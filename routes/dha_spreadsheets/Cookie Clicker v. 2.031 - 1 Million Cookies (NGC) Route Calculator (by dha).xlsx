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ft Clicks (10 cps)" sheetId="1" r:id="rId5"/>
    <sheet state="visible" name="Fast Clicks (15 cps)" sheetId="2" r:id="rId6"/>
    <sheet state="visible" name="Ultra Clicks (200 cps)" sheetId="3" r:id="rId7"/>
    <sheet state="visible" name="Upgrades" sheetId="4" r:id="rId8"/>
    <sheet state="visible" name="New Routes" sheetId="5" r:id="rId9"/>
    <sheet state="hidden" name="Routes" sheetId="6" r:id="rId10"/>
  </sheets>
  <definedNames/>
  <calcPr/>
</workbook>
</file>

<file path=xl/sharedStrings.xml><?xml version="1.0" encoding="utf-8"?>
<sst xmlns="http://schemas.openxmlformats.org/spreadsheetml/2006/main" count="1022" uniqueCount="89">
  <si>
    <t>Buildings</t>
  </si>
  <si>
    <t>Base Price</t>
  </si>
  <si>
    <t>Cps</t>
  </si>
  <si>
    <t>Upgrades</t>
  </si>
  <si>
    <t>Tier 1</t>
  </si>
  <si>
    <t>Tier 2</t>
  </si>
  <si>
    <t>Tier 3</t>
  </si>
  <si>
    <t>Tier 4</t>
  </si>
  <si>
    <t>Requirements</t>
  </si>
  <si>
    <t>Effects</t>
  </si>
  <si>
    <t>Cursor</t>
  </si>
  <si>
    <t>Cursor_up</t>
  </si>
  <si>
    <t>x2 mouse and cursor</t>
  </si>
  <si>
    <t>Grandma</t>
  </si>
  <si>
    <t>Grandma_up</t>
  </si>
  <si>
    <t>x2</t>
  </si>
  <si>
    <t>Farm</t>
  </si>
  <si>
    <t>Farm_up</t>
  </si>
  <si>
    <t>Mine</t>
  </si>
  <si>
    <t>Mine_up</t>
  </si>
  <si>
    <t>Factory</t>
  </si>
  <si>
    <t>Plastic_up</t>
  </si>
  <si>
    <t>Hand-made</t>
  </si>
  <si>
    <t>Plastic</t>
  </si>
  <si>
    <t>Super_up</t>
  </si>
  <si>
    <t>1x Gm +15x &gt;</t>
  </si>
  <si>
    <t>x2 grandma
Farm +1%*#gm</t>
  </si>
  <si>
    <t>x2 grandma
Mine +1%*#gm/2</t>
  </si>
  <si>
    <t>Final Times:</t>
  </si>
  <si>
    <t>Δt:</t>
  </si>
  <si>
    <t>k4l3b0</t>
  </si>
  <si>
    <t>Iwer Sonsch</t>
  </si>
  <si>
    <t>#</t>
  </si>
  <si>
    <t>Lily2_</t>
  </si>
  <si>
    <t>Old Route</t>
  </si>
  <si>
    <t>Impossible</t>
  </si>
  <si>
    <t>Build cps</t>
  </si>
  <si>
    <t>Total cps</t>
  </si>
  <si>
    <t>Build Price</t>
  </si>
  <si>
    <t>Real Cost</t>
  </si>
  <si>
    <t>Seconds</t>
  </si>
  <si>
    <t>Time</t>
  </si>
  <si>
    <t>Cookies</t>
  </si>
  <si>
    <t>Δ Time</t>
  </si>
  <si>
    <t>Δ Cookies</t>
  </si>
  <si>
    <t>New Route</t>
  </si>
  <si>
    <t>Time Passed</t>
  </si>
  <si>
    <t>Start</t>
  </si>
  <si>
    <t>0s</t>
  </si>
  <si>
    <t>SELECT YOUR MOUSE CPS</t>
  </si>
  <si>
    <t>Informazioni cronologiche</t>
  </si>
  <si>
    <t>Copy and Paste the list of actions for the new best route you found:</t>
  </si>
  <si>
    <t>Your Username:</t>
  </si>
  <si>
    <t>Choose the Cps Category you are submitting for:</t>
  </si>
  <si>
    <t>Better RTA</t>
  </si>
  <si>
    <t>Cursor
Cursor_up
Cursor_up
Cursor
Cursor
Cursor
Cursor
Cursor
Cursor
Cursor
Cursor
Cursor
Grandma
Grandma
Grandma
Grandma
Farm
Grandma
Grandma
Grandma
Grandma_up
Grandma
Grandma
Grandma
Grandma
Cursor
Cursor
Cursor
Cursor
Farm
Farm
Farm
Grandma_up
Grandma
Grandma
Grandma
Grandma
Grandma
Grandma
Cursor_up
Cursor
Cursor
Cursor
Cursor
Cursor
Farm
Farm
Farm_up
Farm
Farm
Farm
Farm
Mine
Grandma
Grandma
Grandma
Mine
Farm
Farm
Farm
Farm_up
Farm
Farm
Farm
Farm
Super_up
Grandma
Grandma
Grandma
Grandma
Grandma
Grandma
Grandma_up
Grandma
Grandma
Grandma
Grandma
Grandma
Plastic_up
Farm
Farm
Farm
Mine
Mine
Grandma
Grandma
Grandma
Farm
Cursor
Cursor
Cursor
Cursor
Cursor
Mine
Mine
Mine_up
Mine
Mine
Mine
Mine
Mine
Farm
Farm
Grandma
Grandma
Grandma
Grandma
Grandma
Cursor
Cursor
Cursor
Cursor
Cursor
Cursor
Cursor
Cursor
Cursor
Cursor
Cursor
Cursor
Cursor
Cursor
Cursor</t>
  </si>
  <si>
    <t>dha</t>
  </si>
  <si>
    <t>Fast clicks (15 cps)</t>
  </si>
  <si>
    <t>Cursor
Cursor_up
Cursor_up
Cursor
Cursor
Cursor
Cursor
Cursor
Cursor
Cursor
Grandma
Cursor
Grandma
Cursor
Grandma
Grandma
Farm
Grandma
Grandma
Grandma_up
Grandma
Grandma
Cursor
Grandma
Farm
Cursor
Grandma
Farm
Cursor
Grandma
Farm
Cursor
Grandma
Grandma_up
Grandma
Grandma
Grandma
Grandma
Grandma
Farm
Cursor
Cursor_up
Cursor
Cursor
Cursor
Cursor
Grandma
Farm
Farm_up
Farm
Farm
Farm
Farm
Cursor
Farm
Mine
Grandma
Cursor
Mine
Farm
Grandma
Farm
Farm_up
Farm
Farm
Farm
Farm
Super_up
Grandma
Grandma
Grandma
Grandma
Grandma
Grandma
Grandma
Grandma_up
Grandma
Grandma
Grandma
Farm
Grandma
Farm
Mine
Grandma
Plastic_up
Cursor
Farm
Grandma
Mine
Cursor
Farm
Grandma
Mine
Cursor
Mine
Mine_up
Mine
Mine
Mine
Mine
Farm
Cursor
Mine
Grandma
Farm
Grandma
Farm
Cursor
Grandma
Cursor
Grandma
Cursor
Cursor
Cursor
Cursor
Cursor
Cursor
Cursor
Cursor</t>
  </si>
  <si>
    <t>Left Clicks (10 cps)</t>
  </si>
  <si>
    <t>Start
Cursor
Cursor_up
Cursor_up
Cursor
Cursor
Cursor
Cursor
Cursor
Cursor
Cursor
Grandma
Cursor
Grandma
Cursor
Grandma
Grandma
Farm
Grandma
Grandma
Grandma_up
Grandma
Grandma
Cursor
Grandma
Farm
Cursor
Grandma
Farm
Cursor
Grandma
Farm
Cursor
Grandma
Grandma_up
Grandma
Grandma
Grandma
Grandma
Grandma
Farm
Farm
Farm_up
Farm
Farm
Farm
Cursor
Grandma
Cursor
Cursor_up
Cursor
Cursor
Cursor
Cursor
Farm
Farm
Mine
Grandma
Cursor
Mine
Farm
Grandma
Farm
Farm_up
Farm
Farm
Farm
Farm
Super_up
Grandma
Grandma
Grandma
Grandma
Grandma
Grandma
Grandma
Grandma_up
Grandma
Grandma
Grandma
Farm
Grandma
Farm
Mine
Grandma
Plastic_up
Cursor
Farm
Grandma
Mine
Cursor
Farm
Grandma
Mine
Cursor
Mine
Mine_up
Mine
Mine
Mine
Mine
Farm
Cursor
Mine
Grandma
Farm
Grandma
Farm
Cursor
Grandma
Cursor
Grandma
Cursor
Cursor
Cursor
Cursor
Cursor
Cursor
Cursor
Cursor
Upgrading Cursor after Farms is more worth it the slower you are. Saves 1s at 10c/s, but 5s at 8c/s and 10s at 6c/s.</t>
  </si>
  <si>
    <t>Cursor
Cursor_up
Cursor_up
Cursor
Cursor
Cursor
Cursor
Cursor
Cursor
Cursor
Cursor
Cursor
Cursor_up
Cursor
Cursor
Grandma
Cursor
Grandma
Cursor
Grandma
Cursor
Farm
Grandma
Cursor
Farm
Grandma
Cursor
Farm
Grandma_up
Grandma
Grandma
Grandma
Grandma
Grandma
Cursor
Grandma
Farm
Grandma_up
Grandma
Grandma
Grandma
Grandma
Grandma
Cursor
Grandma
Farm
Plastic_up
Cursor
Grandma
Mine
Farm
Farm_up
Farm
Farm
Farm
Farm
Farm
Cursor
Grandma
Mine
Farm
Farm_up
Farm
Farm
Farm
Farm
Farm
Mine
Super_up
Grandma
Grandma
Grandma
Grandma
Grandma
Grandma
Grandma
Grandma_up
Grandma
Grandma
Grandma
Grandma
Cursor
Cursor
Cursor
Cursor
Cursor_up
Cursor
Cursor
Cursor
Cursor
Cursor
Cursor
Cursor
Grandma
Cursor
Farm
Grandma
Cursor
Farm
Grandma
Cursor
Farm
Cursor
Grandma
Mine
Farm
Cursor
Grandma
Mine
Cursor
Farm
Grandma
Mine
Cursor
Farm
Grandma
Mine_up
Mine
Mine
Mine
Cursor
Grandma
Cursor</t>
  </si>
  <si>
    <t>Ultra clicks (200 cps)</t>
  </si>
  <si>
    <t>Did you find a better route?</t>
  </si>
  <si>
    <t xml:space="preserve">INSTRUCTIONS: Create a copy of the spreadsheet. </t>
  </si>
  <si>
    <t>You can change the "New Route" actions, adding, removing,</t>
  </si>
  <si>
    <t>switching them and see if you get better numbers over time.</t>
  </si>
  <si>
    <t>You will have real-time cookies and time comparisons.</t>
  </si>
  <si>
    <t>WARNING: Never cut things (Ctrl+X), always copy (Ctrl+C).</t>
  </si>
  <si>
    <t>Don't add or remove any row. If you need more rows, you</t>
  </si>
  <si>
    <t>need to extend all the formulas, if you know how to do it.</t>
  </si>
  <si>
    <t>The Checkmark at the right of Δ Cookies is for switching the</t>
  </si>
  <si>
    <t>comparison method, might be useful if you get weird deltas.</t>
  </si>
  <si>
    <t>To sell things you can do Sell_Grandma, Sell_Cursor, etc.</t>
  </si>
  <si>
    <t>Available actions:</t>
  </si>
  <si>
    <t>(Buy / Sell)</t>
  </si>
  <si>
    <t>(x4 ups)</t>
  </si>
  <si>
    <t>(x3 ups)</t>
  </si>
  <si>
    <t>(x2 ups)</t>
  </si>
  <si>
    <t>← Farmer Grandma</t>
  </si>
  <si>
    <t>(x1 ups)</t>
  </si>
  <si>
    <t>← Plastic Mouse</t>
  </si>
  <si>
    <t>Last updated: 23/03/2022</t>
  </si>
  <si>
    <t>Best Route by: dha</t>
  </si>
  <si>
    <t>Last updated: 23/01/2022</t>
  </si>
  <si>
    <t>Best Route by: Bluestonex64</t>
  </si>
  <si>
    <t>SUBMIT</t>
  </si>
  <si>
    <t>Last updated: 01/01/2023</t>
  </si>
  <si>
    <t>Best Route by: Iwer Sonsch</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</si>
</sst>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0"/>
    <numFmt numFmtId="166" formatCode="m/d/yyyy h:mm:ss"/>
  </numFmts>
  <fonts count="22">
    <font>
      <sz val="10.0"/>
      <color rgb="FF000000"/>
      <name val="Arial"/>
      <scheme val="minor"/>
    </font>
    <font>
      <color theme="1"/>
      <name val="Arial"/>
      <scheme val="minor"/>
    </font>
    <font>
      <b/>
      <color theme="1"/>
      <name val="Arial"/>
    </font>
    <font>
      <color rgb="FF0000FF"/>
      <name val="Arial"/>
    </font>
    <font>
      <color rgb="FF0000FF"/>
      <name val="Arial"/>
      <scheme val="minor"/>
    </font>
    <font>
      <color theme="1"/>
      <name val="Arial"/>
    </font>
    <font>
      <sz val="11.0"/>
      <color rgb="FF666666"/>
      <name val="Inconsolata"/>
    </font>
    <font>
      <b/>
      <color theme="1"/>
      <name val="Arial"/>
      <scheme val="minor"/>
    </font>
    <font>
      <b/>
      <color rgb="FF0000FF"/>
      <name val="Arial"/>
      <scheme val="minor"/>
    </font>
    <font/>
    <font>
      <b/>
      <color rgb="FF351C75"/>
      <name val="Arial"/>
    </font>
    <font>
      <b/>
      <color rgb="FF073763"/>
      <name val="Arial"/>
      <scheme val="minor"/>
    </font>
    <font>
      <b/>
      <color rgb="FFB45F06"/>
      <name val="Arial"/>
    </font>
    <font>
      <b/>
      <color rgb="FF3D85C6"/>
      <name val="Arial"/>
    </font>
    <font>
      <b/>
      <sz val="7.0"/>
      <color rgb="FFCCCCCC"/>
      <name val="Arial"/>
    </font>
    <font>
      <b/>
      <color rgb="FF3D85C6"/>
      <name val="Arial"/>
      <scheme val="minor"/>
    </font>
    <font>
      <b/>
      <color rgb="FFA64D79"/>
      <name val="Arial"/>
    </font>
    <font>
      <color rgb="FF6D9EEB"/>
      <name val="Arial"/>
    </font>
    <font>
      <color rgb="FF6D9EEB"/>
      <name val="Arial"/>
      <scheme val="minor"/>
    </font>
    <font>
      <b/>
      <color rgb="FFCC0000"/>
      <name val="Arial"/>
      <scheme val="minor"/>
    </font>
    <font>
      <sz val="10.0"/>
      <color rgb="FF000000"/>
      <name val="Arial"/>
    </font>
    <font>
      <b/>
      <u/>
      <color rgb="FF1155CC"/>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13">
    <border/>
    <border>
      <right style="thin">
        <color rgb="FF000000"/>
      </right>
    </border>
    <border>
      <top style="thin">
        <color rgb="FF000000"/>
      </top>
    </border>
    <border>
      <left style="thin">
        <color rgb="FF000000"/>
      </left>
      <top style="thin">
        <color rgb="FF000000"/>
      </top>
    </border>
    <border>
      <left style="thin">
        <color rgb="FF000000"/>
      </left>
      <right style="thin">
        <color rgb="FF000000"/>
      </right>
      <top style="thin">
        <color rgb="FF000000"/>
      </top>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164" xfId="0" applyFont="1" applyNumberFormat="1"/>
    <xf borderId="0" fillId="0" fontId="1" numFmtId="2" xfId="0" applyFont="1" applyNumberFormat="1"/>
    <xf borderId="0" fillId="2" fontId="2" numFmtId="0" xfId="0" applyAlignment="1" applyFill="1" applyFont="1">
      <alignment readingOrder="0" vertical="bottom"/>
    </xf>
    <xf borderId="0" fillId="0" fontId="1" numFmtId="1" xfId="0" applyFont="1" applyNumberFormat="1"/>
    <xf borderId="0" fillId="2" fontId="3" numFmtId="0" xfId="0" applyAlignment="1" applyFont="1">
      <alignment horizontal="left" readingOrder="0" vertical="bottom"/>
    </xf>
    <xf borderId="0" fillId="2" fontId="2" numFmtId="0" xfId="0" applyAlignment="1" applyFont="1">
      <alignment horizontal="left" readingOrder="0" vertical="bottom"/>
    </xf>
    <xf borderId="0" fillId="2" fontId="4" numFmtId="0" xfId="0" applyAlignment="1" applyFont="1">
      <alignment horizontal="left" readingOrder="0"/>
    </xf>
    <xf borderId="0" fillId="0" fontId="2" numFmtId="0" xfId="0" applyAlignment="1" applyFont="1">
      <alignment readingOrder="0" vertical="bottom"/>
    </xf>
    <xf borderId="0" fillId="0" fontId="3" numFmtId="0" xfId="0" applyAlignment="1" applyFont="1">
      <alignment horizontal="left" readingOrder="0" vertical="bottom"/>
    </xf>
    <xf borderId="0" fillId="0" fontId="2" numFmtId="0" xfId="0" applyAlignment="1" applyFont="1">
      <alignment horizontal="left" readingOrder="0" vertical="bottom"/>
    </xf>
    <xf borderId="0" fillId="0" fontId="4" numFmtId="0" xfId="0" applyAlignment="1" applyFont="1">
      <alignment horizontal="left" readingOrder="0"/>
    </xf>
    <xf borderId="0" fillId="2" fontId="5" numFmtId="0" xfId="0" applyAlignment="1" applyFont="1">
      <alignment vertical="bottom"/>
    </xf>
    <xf borderId="0" fillId="0" fontId="5" numFmtId="0" xfId="0" applyAlignment="1" applyFont="1">
      <alignment vertical="bottom"/>
    </xf>
    <xf borderId="0" fillId="0" fontId="5" numFmtId="0" xfId="0" applyAlignment="1" applyFont="1">
      <alignment horizontal="left" readingOrder="0" vertical="bottom"/>
    </xf>
    <xf borderId="0" fillId="0" fontId="5" numFmtId="0" xfId="0" applyAlignment="1" applyFont="1">
      <alignment readingOrder="0" vertical="bottom"/>
    </xf>
    <xf borderId="0" fillId="0" fontId="1" numFmtId="0" xfId="0" applyAlignment="1" applyFont="1">
      <alignment horizontal="left" readingOrder="0"/>
    </xf>
    <xf borderId="0" fillId="2" fontId="1" numFmtId="0" xfId="0" applyFont="1"/>
    <xf borderId="0" fillId="0" fontId="1" numFmtId="0" xfId="0" applyAlignment="1" applyFont="1">
      <alignment horizontal="left" readingOrder="0" shrinkToFit="0" wrapText="1"/>
    </xf>
    <xf borderId="0" fillId="3" fontId="6" numFmtId="2" xfId="0" applyAlignment="1" applyFill="1" applyFont="1" applyNumberFormat="1">
      <alignment horizontal="center" vertical="center"/>
    </xf>
    <xf borderId="0" fillId="0" fontId="1" numFmtId="0" xfId="0" applyAlignment="1" applyFont="1">
      <alignment readingOrder="0" shrinkToFit="0" wrapText="1"/>
    </xf>
    <xf borderId="0" fillId="2" fontId="5" numFmtId="0" xfId="0" applyAlignment="1" applyFont="1">
      <alignment readingOrder="0" vertical="bottom"/>
    </xf>
    <xf borderId="0" fillId="2" fontId="1" numFmtId="0" xfId="0" applyAlignment="1" applyFont="1">
      <alignment readingOrder="0"/>
    </xf>
    <xf borderId="0" fillId="0" fontId="1" numFmtId="0" xfId="0" applyAlignment="1" applyFont="1">
      <alignment vertical="top"/>
    </xf>
    <xf borderId="0" fillId="2" fontId="1" numFmtId="164" xfId="0" applyAlignment="1" applyFont="1" applyNumberFormat="1">
      <alignment horizontal="left"/>
    </xf>
    <xf borderId="0" fillId="0" fontId="1" numFmtId="0" xfId="0" applyAlignment="1" applyFont="1">
      <alignment horizontal="left" readingOrder="0" vertical="top"/>
    </xf>
    <xf borderId="0" fillId="2" fontId="1" numFmtId="0" xfId="0" applyAlignment="1" applyFont="1">
      <alignment horizontal="left"/>
    </xf>
    <xf borderId="0" fillId="2" fontId="1" numFmtId="0" xfId="0" applyAlignment="1" applyFont="1">
      <alignment readingOrder="0" vertical="top"/>
    </xf>
    <xf borderId="0" fillId="2" fontId="1" numFmtId="0" xfId="0" applyAlignment="1" applyFont="1">
      <alignment vertical="top"/>
    </xf>
    <xf borderId="0" fillId="2" fontId="5" numFmtId="2" xfId="0" applyAlignment="1" applyFont="1" applyNumberFormat="1">
      <alignment vertical="bottom"/>
    </xf>
    <xf borderId="0" fillId="2" fontId="5" numFmtId="1" xfId="0" applyAlignment="1" applyFont="1" applyNumberFormat="1">
      <alignment vertical="bottom"/>
    </xf>
    <xf borderId="0" fillId="0" fontId="1" numFmtId="0" xfId="0" applyAlignment="1" applyFont="1">
      <alignment readingOrder="0" shrinkToFit="0" vertical="top" wrapText="1"/>
    </xf>
    <xf borderId="0" fillId="2" fontId="1" numFmtId="0" xfId="0" applyAlignment="1" applyFont="1">
      <alignment horizontal="left" readingOrder="0"/>
    </xf>
    <xf borderId="1" fillId="2" fontId="2" numFmtId="0" xfId="0" applyAlignment="1" applyBorder="1" applyFont="1">
      <alignment horizontal="center" readingOrder="0" vertical="center"/>
    </xf>
    <xf borderId="0" fillId="2" fontId="7" numFmtId="0" xfId="0" applyAlignment="1" applyFont="1">
      <alignment horizontal="left" readingOrder="0"/>
    </xf>
    <xf borderId="0" fillId="2" fontId="7" numFmtId="0" xfId="0" applyAlignment="1" applyFont="1">
      <alignment horizontal="left"/>
    </xf>
    <xf borderId="0" fillId="2" fontId="3" numFmtId="0" xfId="0" applyAlignment="1" applyFont="1">
      <alignment vertical="bottom"/>
    </xf>
    <xf borderId="2" fillId="2" fontId="8" numFmtId="0" xfId="0" applyAlignment="1" applyBorder="1" applyFont="1">
      <alignment horizontal="center" readingOrder="0" vertical="center"/>
    </xf>
    <xf borderId="3" fillId="2" fontId="8" numFmtId="0" xfId="0" applyAlignment="1" applyBorder="1" applyFont="1">
      <alignment horizontal="center" readingOrder="0" vertical="center"/>
    </xf>
    <xf borderId="2" fillId="0" fontId="9" numFmtId="0" xfId="0" applyBorder="1" applyFont="1"/>
    <xf borderId="4" fillId="2" fontId="2" numFmtId="0" xfId="0" applyAlignment="1" applyBorder="1" applyFont="1">
      <alignment horizontal="center" readingOrder="0" vertical="center"/>
    </xf>
    <xf borderId="0" fillId="0" fontId="10" numFmtId="0" xfId="0" applyAlignment="1" applyFont="1">
      <alignment vertical="bottom"/>
    </xf>
    <xf borderId="4" fillId="2" fontId="2" numFmtId="165" xfId="0" applyAlignment="1" applyBorder="1" applyFont="1" applyNumberFormat="1">
      <alignment horizontal="center" vertical="center"/>
    </xf>
    <xf borderId="0" fillId="0" fontId="11" numFmtId="14" xfId="0" applyAlignment="1" applyFont="1" applyNumberFormat="1">
      <alignment horizontal="left"/>
    </xf>
    <xf borderId="0" fillId="2" fontId="2" numFmtId="0" xfId="0" applyAlignment="1" applyFont="1">
      <alignment vertical="bottom"/>
    </xf>
    <xf borderId="0" fillId="0" fontId="8" numFmtId="14" xfId="0" applyAlignment="1" applyFont="1" applyNumberFormat="1">
      <alignment horizontal="left"/>
    </xf>
    <xf borderId="0" fillId="0" fontId="12" numFmtId="0" xfId="0" applyAlignment="1" applyFont="1">
      <alignment horizontal="right" readingOrder="0" vertical="bottom"/>
    </xf>
    <xf borderId="0" fillId="0" fontId="12" numFmtId="0" xfId="0" applyAlignment="1" applyFont="1">
      <alignment readingOrder="0" vertical="bottom"/>
    </xf>
    <xf borderId="0" fillId="2" fontId="3" numFmtId="14" xfId="0" applyAlignment="1" applyFont="1" applyNumberFormat="1">
      <alignment vertical="bottom"/>
    </xf>
    <xf borderId="0" fillId="0" fontId="12" numFmtId="164" xfId="0" applyAlignment="1" applyFont="1" applyNumberFormat="1">
      <alignment readingOrder="0" vertical="bottom"/>
    </xf>
    <xf borderId="0" fillId="0" fontId="12" numFmtId="0" xfId="0" applyAlignment="1" applyFont="1">
      <alignment horizontal="left" readingOrder="0" vertical="bottom"/>
    </xf>
    <xf borderId="0" fillId="0" fontId="2" numFmtId="2" xfId="0" applyAlignment="1" applyFont="1" applyNumberFormat="1">
      <alignment horizontal="center" readingOrder="0" vertical="bottom"/>
    </xf>
    <xf borderId="0" fillId="0" fontId="2" numFmtId="1" xfId="0" applyAlignment="1" applyFont="1" applyNumberFormat="1">
      <alignment horizontal="center" readingOrder="0" vertical="bottom"/>
    </xf>
    <xf borderId="0" fillId="0" fontId="13" numFmtId="0" xfId="0" applyAlignment="1" applyFont="1">
      <alignment vertical="bottom"/>
    </xf>
    <xf borderId="0" fillId="0" fontId="14" numFmtId="0" xfId="0" applyAlignment="1" applyFont="1">
      <alignment horizontal="center" readingOrder="0" vertical="center"/>
    </xf>
    <xf borderId="0" fillId="0" fontId="15" numFmtId="0" xfId="0" applyAlignment="1" applyFont="1">
      <alignment horizontal="left" readingOrder="0"/>
    </xf>
    <xf borderId="0" fillId="0" fontId="16" numFmtId="0" xfId="0" applyAlignment="1" applyFont="1">
      <alignment horizontal="left" readingOrder="0" vertical="bottom"/>
    </xf>
    <xf borderId="0" fillId="0" fontId="8" numFmtId="0" xfId="0" applyAlignment="1" applyFont="1">
      <alignment horizontal="left"/>
    </xf>
    <xf borderId="5" fillId="0" fontId="9" numFmtId="0" xfId="0" applyBorder="1" applyFont="1"/>
    <xf borderId="6" fillId="0" fontId="9" numFmtId="0" xfId="0" applyBorder="1" applyFont="1"/>
    <xf borderId="7" fillId="0" fontId="9" numFmtId="0" xfId="0" applyBorder="1" applyFont="1"/>
    <xf borderId="8" fillId="0" fontId="9" numFmtId="0" xfId="0" applyBorder="1" applyFont="1"/>
    <xf borderId="0" fillId="0" fontId="17" numFmtId="14" xfId="0" applyAlignment="1" applyFont="1" applyNumberFormat="1">
      <alignment vertical="bottom"/>
    </xf>
    <xf borderId="0" fillId="0" fontId="18" numFmtId="14" xfId="0" applyAlignment="1" applyFont="1" applyNumberFormat="1">
      <alignment horizontal="left"/>
    </xf>
    <xf borderId="0" fillId="0" fontId="19" numFmtId="14" xfId="0" applyAlignment="1" applyFont="1" applyNumberFormat="1">
      <alignment horizontal="left"/>
    </xf>
    <xf borderId="0" fillId="3" fontId="20" numFmtId="0" xfId="0" applyFont="1"/>
    <xf borderId="0" fillId="0" fontId="5" numFmtId="0" xfId="0" applyAlignment="1" applyFont="1">
      <alignment vertical="bottom"/>
    </xf>
    <xf borderId="0" fillId="2" fontId="5" numFmtId="14" xfId="0" applyAlignment="1" applyFont="1" applyNumberFormat="1">
      <alignment vertical="bottom"/>
    </xf>
    <xf borderId="0" fillId="0" fontId="5" numFmtId="164" xfId="0" applyAlignment="1" applyFont="1" applyNumberFormat="1">
      <alignment horizontal="left" readingOrder="0" vertical="bottom"/>
    </xf>
    <xf borderId="0" fillId="0" fontId="1" numFmtId="0" xfId="0" applyFont="1"/>
    <xf borderId="0" fillId="0" fontId="5" numFmtId="2" xfId="0" applyAlignment="1" applyFont="1" applyNumberFormat="1">
      <alignment horizontal="left" readingOrder="0" vertical="bottom"/>
    </xf>
    <xf borderId="0" fillId="0" fontId="5" numFmtId="0" xfId="0" applyAlignment="1" applyFont="1">
      <alignment horizontal="left" vertical="bottom"/>
    </xf>
    <xf borderId="0" fillId="2" fontId="1" numFmtId="0" xfId="0" applyAlignment="1" applyFont="1">
      <alignment horizontal="left" readingOrder="0" shrinkToFit="0" wrapText="1"/>
    </xf>
    <xf borderId="0" fillId="0" fontId="5" numFmtId="164" xfId="0" applyAlignment="1" applyFont="1" applyNumberFormat="1">
      <alignment horizontal="left" vertical="bottom"/>
    </xf>
    <xf borderId="0" fillId="2" fontId="5" numFmtId="0" xfId="0" applyAlignment="1" applyFont="1">
      <alignment vertical="bottom"/>
    </xf>
    <xf borderId="0" fillId="0" fontId="5" numFmtId="1" xfId="0" applyAlignment="1" applyFont="1" applyNumberFormat="1">
      <alignment horizontal="left" readingOrder="0" vertical="bottom"/>
    </xf>
    <xf borderId="0" fillId="0" fontId="5" numFmtId="2" xfId="0" applyAlignment="1" applyFont="1" applyNumberFormat="1">
      <alignment horizontal="left" vertical="bottom"/>
    </xf>
    <xf borderId="0" fillId="0" fontId="5" numFmtId="3" xfId="0" applyAlignment="1" applyFont="1" applyNumberFormat="1">
      <alignment horizontal="left" vertical="bottom"/>
    </xf>
    <xf borderId="9" fillId="2" fontId="2" numFmtId="0" xfId="0" applyAlignment="1" applyBorder="1" applyFont="1">
      <alignment readingOrder="0" vertical="bottom"/>
    </xf>
    <xf borderId="10" fillId="0" fontId="9" numFmtId="0" xfId="0" applyBorder="1" applyFont="1"/>
    <xf borderId="10" fillId="2" fontId="8" numFmtId="0" xfId="0" applyAlignment="1" applyBorder="1" applyFont="1">
      <alignment horizontal="center" readingOrder="0"/>
    </xf>
    <xf borderId="11" fillId="2" fontId="8" numFmtId="0" xfId="0" applyAlignment="1" applyBorder="1" applyFont="1">
      <alignment horizontal="center" readingOrder="0"/>
    </xf>
    <xf borderId="0" fillId="0" fontId="7" numFmtId="0" xfId="0" applyAlignment="1" applyFont="1">
      <alignment horizontal="left" readingOrder="0" vertical="top"/>
    </xf>
    <xf borderId="0" fillId="0" fontId="7" numFmtId="0" xfId="0" applyAlignment="1" applyFont="1">
      <alignment readingOrder="0" vertical="top"/>
    </xf>
    <xf borderId="0" fillId="0" fontId="1" numFmtId="0" xfId="0" applyAlignment="1" applyFont="1">
      <alignment readingOrder="0"/>
    </xf>
    <xf borderId="0" fillId="0" fontId="1" numFmtId="166" xfId="0" applyAlignment="1" applyFont="1" applyNumberFormat="1">
      <alignment readingOrder="0"/>
    </xf>
    <xf borderId="0" fillId="0" fontId="1" numFmtId="0" xfId="0" applyAlignment="1" applyFont="1">
      <alignment horizontal="left" vertical="top"/>
    </xf>
    <xf borderId="10" fillId="2" fontId="2" numFmtId="0" xfId="0" applyAlignment="1" applyBorder="1" applyFont="1">
      <alignment readingOrder="0" vertical="bottom"/>
    </xf>
    <xf borderId="9" fillId="2" fontId="7" numFmtId="0" xfId="0" applyAlignment="1" applyBorder="1" applyFont="1">
      <alignment horizontal="left" readingOrder="0"/>
    </xf>
    <xf borderId="2" fillId="2" fontId="2" numFmtId="0" xfId="0" applyAlignment="1" applyBorder="1" applyFont="1">
      <alignment shrinkToFit="0" vertical="bottom" wrapText="0"/>
    </xf>
    <xf borderId="2" fillId="2" fontId="2" numFmtId="0" xfId="0" applyAlignment="1" applyBorder="1" applyFont="1">
      <alignment vertical="bottom"/>
    </xf>
    <xf borderId="12" fillId="2" fontId="2" numFmtId="0" xfId="0" applyAlignment="1" applyBorder="1" applyFont="1">
      <alignment vertical="bottom"/>
    </xf>
    <xf borderId="0" fillId="2" fontId="2" numFmtId="0" xfId="0" applyAlignment="1" applyFont="1">
      <alignment shrinkToFit="0" vertical="bottom" wrapText="0"/>
    </xf>
    <xf borderId="0" fillId="2" fontId="2" numFmtId="0" xfId="0" applyAlignment="1" applyFont="1">
      <alignment vertical="bottom"/>
    </xf>
    <xf borderId="1" fillId="2" fontId="2" numFmtId="0" xfId="0" applyAlignment="1" applyBorder="1" applyFont="1">
      <alignment vertical="bottom"/>
    </xf>
    <xf borderId="6" fillId="2" fontId="2" numFmtId="0" xfId="0" applyAlignment="1" applyBorder="1" applyFont="1">
      <alignment shrinkToFit="0" vertical="bottom" wrapText="0"/>
    </xf>
    <xf borderId="6" fillId="2" fontId="2" numFmtId="0" xfId="0" applyAlignment="1" applyBorder="1" applyFont="1">
      <alignment vertical="bottom"/>
    </xf>
    <xf borderId="5" fillId="2" fontId="2" numFmtId="0" xfId="0" applyAlignment="1" applyBorder="1" applyFont="1">
      <alignment vertical="bottom"/>
    </xf>
    <xf borderId="2" fillId="2" fontId="2" numFmtId="0" xfId="0" applyAlignment="1" applyBorder="1" applyFont="1">
      <alignment shrinkToFit="0" vertical="bottom" wrapText="0"/>
    </xf>
    <xf borderId="2" fillId="2" fontId="2" numFmtId="0" xfId="0" applyAlignment="1" applyBorder="1" applyFont="1">
      <alignment vertical="bottom"/>
    </xf>
    <xf borderId="12" fillId="2" fontId="2" numFmtId="0" xfId="0" applyAlignment="1" applyBorder="1" applyFont="1">
      <alignment vertical="bottom"/>
    </xf>
    <xf borderId="6" fillId="2" fontId="2" numFmtId="0" xfId="0" applyAlignment="1" applyBorder="1" applyFont="1">
      <alignment shrinkToFit="0" vertical="bottom" wrapText="0"/>
    </xf>
    <xf borderId="6" fillId="2" fontId="2" numFmtId="0" xfId="0" applyAlignment="1" applyBorder="1" applyFont="1">
      <alignment vertical="bottom"/>
    </xf>
    <xf borderId="5" fillId="2" fontId="2" numFmtId="0" xfId="0" applyAlignment="1" applyBorder="1" applyFont="1">
      <alignment vertical="bottom"/>
    </xf>
    <xf borderId="9" fillId="2" fontId="2" numFmtId="0" xfId="0" applyAlignment="1" applyBorder="1" applyFont="1">
      <alignment readingOrder="0" shrinkToFit="0" vertical="bottom" wrapText="0"/>
    </xf>
    <xf borderId="9" fillId="2" fontId="2" numFmtId="0" xfId="0" applyAlignment="1" applyBorder="1" applyFont="1">
      <alignment vertical="bottom"/>
    </xf>
    <xf borderId="10" fillId="2" fontId="2" numFmtId="0" xfId="0" applyAlignment="1" applyBorder="1" applyFont="1">
      <alignment vertical="bottom"/>
    </xf>
    <xf borderId="12" fillId="2" fontId="5" numFmtId="0" xfId="0" applyAlignment="1" applyBorder="1" applyFont="1">
      <alignment vertical="bottom"/>
    </xf>
    <xf borderId="1" fillId="2" fontId="1" numFmtId="0" xfId="0" applyAlignment="1" applyBorder="1" applyFont="1">
      <alignment horizontal="left" readingOrder="0"/>
    </xf>
    <xf borderId="2" fillId="2" fontId="1" numFmtId="0" xfId="0" applyAlignment="1" applyBorder="1" applyFont="1">
      <alignment horizontal="left" readingOrder="0"/>
    </xf>
    <xf borderId="12" fillId="2" fontId="1" numFmtId="0" xfId="0" applyAlignment="1" applyBorder="1" applyFont="1">
      <alignment horizontal="left"/>
    </xf>
    <xf borderId="6" fillId="2" fontId="1" numFmtId="0" xfId="0" applyAlignment="1" applyBorder="1" applyFont="1">
      <alignment horizontal="left" readingOrder="0"/>
    </xf>
    <xf borderId="5" fillId="2" fontId="1" numFmtId="0" xfId="0" applyAlignment="1" applyBorder="1" applyFont="1">
      <alignment horizontal="left" readingOrder="0"/>
    </xf>
    <xf borderId="2" fillId="2" fontId="7" numFmtId="0" xfId="0" applyAlignment="1" applyBorder="1" applyFont="1">
      <alignment horizontal="left" readingOrder="0"/>
    </xf>
    <xf borderId="12" fillId="2" fontId="7" numFmtId="0" xfId="0" applyAlignment="1" applyBorder="1" applyFont="1">
      <alignment horizontal="left" readingOrder="0"/>
    </xf>
    <xf borderId="6" fillId="2" fontId="7" numFmtId="0" xfId="0" applyAlignment="1" applyBorder="1" applyFont="1">
      <alignment horizontal="left" readingOrder="0"/>
    </xf>
    <xf borderId="5" fillId="2" fontId="7" numFmtId="0" xfId="0" applyAlignment="1" applyBorder="1" applyFont="1">
      <alignment horizontal="left" readingOrder="0"/>
    </xf>
    <xf borderId="9" fillId="2" fontId="21" numFmtId="0" xfId="0" applyAlignment="1" applyBorder="1" applyFont="1">
      <alignment horizontal="center" readingOrder="0"/>
    </xf>
    <xf borderId="0" fillId="3" fontId="5" numFmtId="0" xfId="0" applyAlignment="1" applyFont="1">
      <alignment vertical="bottom"/>
    </xf>
    <xf borderId="0" fillId="0" fontId="5" numFmtId="1" xfId="0" applyAlignment="1" applyFont="1" applyNumberFormat="1">
      <alignment vertical="bottom"/>
    </xf>
    <xf borderId="0" fillId="2" fontId="5" numFmtId="0" xfId="0" applyAlignment="1" applyFont="1">
      <alignment horizontal="left" vertical="bottom"/>
    </xf>
    <xf borderId="0" fillId="2" fontId="5" numFmtId="0" xfId="0" applyAlignment="1" applyFont="1">
      <alignment horizontal="left" readingOrder="0" vertical="bottom"/>
    </xf>
    <xf borderId="0" fillId="2" fontId="2" numFmtId="2" xfId="0" applyAlignment="1" applyFont="1" applyNumberFormat="1">
      <alignment horizontal="left" readingOrder="0" vertical="bottom"/>
    </xf>
    <xf borderId="0" fillId="2" fontId="2" numFmtId="1" xfId="0" applyAlignment="1" applyFont="1" applyNumberFormat="1">
      <alignment horizontal="left" readingOrder="0" vertical="bottom"/>
    </xf>
  </cellXfs>
  <cellStyles count="1">
    <cellStyle xfId="0" name="Normal" builtinId="0"/>
  </cellStyles>
  <dxfs count="5">
    <dxf>
      <font>
        <color rgb="FF01CA01"/>
      </font>
      <fill>
        <patternFill patternType="none"/>
      </fill>
      <border/>
    </dxf>
    <dxf>
      <font>
        <color rgb="FFEB0000"/>
      </font>
      <fill>
        <patternFill patternType="none"/>
      </fill>
      <border/>
    </dxf>
    <dxf>
      <font>
        <b/>
        <color rgb="FFFF0000"/>
      </font>
      <fill>
        <patternFill patternType="solid">
          <fgColor rgb="FFFFF8CF"/>
          <bgColor rgb="FFFFF8CF"/>
        </patternFill>
      </fill>
      <border/>
    </dxf>
    <dxf>
      <font>
        <b/>
        <color rgb="FFEB0000"/>
      </font>
      <fill>
        <patternFill patternType="none"/>
      </fill>
      <border/>
    </dxf>
    <dxf>
      <font>
        <b/>
        <color rgb="FF01CA01"/>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gle/aD5dsRp8FtsyQtsx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ms.gle/aD5dsRp8FtsyQtsx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orms.gle/aD5dsRp8FtsyQtsx7"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
    <col customWidth="1" min="2" max="2" width="3.0"/>
    <col customWidth="1" min="3" max="3" width="12.0"/>
    <col customWidth="1" hidden="1" min="4" max="4" width="10.63"/>
    <col customWidth="1" hidden="1" min="5" max="5" width="9.13"/>
    <col customWidth="1" min="6" max="6" width="8.63"/>
    <col customWidth="1" hidden="1" min="7" max="7" width="9.88"/>
    <col customWidth="1" hidden="1" min="8" max="8" width="9.25"/>
    <col customWidth="1" hidden="1" min="9" max="9" width="10.38"/>
    <col customWidth="1" min="10" max="10" width="8.25"/>
    <col customWidth="1" hidden="1" min="11" max="11" width="8.38"/>
    <col customWidth="1" min="12" max="12" width="9.0"/>
    <col customWidth="1" min="13" max="13" width="8.25"/>
    <col customWidth="1" min="14" max="14" width="8.88"/>
    <col customWidth="1" min="15" max="15" width="3.0"/>
    <col customWidth="1" min="16" max="16" width="12.0"/>
    <col customWidth="1" hidden="1" min="17" max="17" width="10.63"/>
    <col customWidth="1" min="18" max="18" width="9.13"/>
    <col customWidth="1" min="19" max="19" width="8.63"/>
    <col customWidth="1" min="20" max="20" width="9.88"/>
    <col customWidth="1" hidden="1" min="21" max="21" width="9.25"/>
    <col customWidth="1" hidden="1" min="22" max="22" width="10.38"/>
    <col customWidth="1" min="23" max="23" width="8.25"/>
    <col customWidth="1" min="24" max="24" width="11.38"/>
    <col customWidth="1" min="25" max="25" width="9.0"/>
    <col customWidth="1" min="26" max="26" width="2.0"/>
    <col customWidth="1" min="27" max="27" width="11.88"/>
    <col customWidth="1" min="28" max="28" width="11.38"/>
    <col customWidth="1" min="29" max="30" width="5.75"/>
    <col customWidth="1" min="31" max="31" width="4.63"/>
    <col customWidth="1" min="32" max="32" width="9.38"/>
    <col customWidth="1" min="33" max="33" width="2.0"/>
  </cols>
  <sheetData>
    <row r="1" ht="15.0" hidden="1" customHeight="1">
      <c r="E1" s="1"/>
      <c r="M1" s="2"/>
      <c r="N1" s="4"/>
      <c r="R1" s="1"/>
      <c r="AB1" s="19">
        <f t="array" ref="AB1">INDEX(J$4:J147,MATCH(LARGE(L$4:L147,COUNTIF(L$4:L147,"&gt;"&amp;1000000)+1),L$4:L147,1))+(1000000-LARGE(L$4:L147,COUNTIF(L$4:L147,"&gt;"&amp;1000000)+1))/INDEX(F$4:F147,MATCH(LARGE(L$4:L147,COUNTIF(L$4:L147,"&gt;"&amp;1000000)+1),L$4:L147,1))</f>
        <v>1186.660228</v>
      </c>
      <c r="AC1" s="19">
        <f t="array" ref="AC1">INDEX(W$4:W147,MATCH(LARGE(Y$4:Y147,COUNTIF(Y$4:Y147,"&gt;"&amp;1000000)+1),Y$4:Y147,1))+(1000000-LARGE(Y$4:Y147,COUNTIF(Y$4:Y147,"&gt;"&amp;1000000)+1))/INDEX(S$4:S147,MATCH(LARGE(Y$4:Y147,COUNTIF(Y$4:Y147,"&gt;"&amp;1000000)+1),Y$4:Y147,1))</f>
        <v>1185.611992</v>
      </c>
    </row>
    <row r="2" ht="11.25" customHeight="1">
      <c r="A2" s="12"/>
      <c r="B2" s="12"/>
      <c r="C2" s="21"/>
      <c r="D2" s="12"/>
      <c r="E2" s="24"/>
      <c r="F2" s="26"/>
      <c r="G2" s="26"/>
      <c r="H2" s="26"/>
      <c r="I2" s="12"/>
      <c r="J2" s="26"/>
      <c r="K2" s="26"/>
      <c r="L2" s="17"/>
      <c r="M2" s="29"/>
      <c r="N2" s="30"/>
      <c r="O2" s="12"/>
      <c r="P2" s="21"/>
      <c r="Q2" s="12"/>
      <c r="R2" s="24"/>
      <c r="S2" s="26"/>
      <c r="T2" s="26"/>
      <c r="U2" s="26"/>
      <c r="V2" s="12"/>
      <c r="W2" s="26"/>
      <c r="X2" s="26"/>
      <c r="Y2" s="17"/>
      <c r="Z2" s="17"/>
      <c r="AA2" s="33" t="s">
        <v>28</v>
      </c>
      <c r="AB2" s="37" t="str">
        <f t="shared" ref="AB2:AC2" si="1">IF(AB1&gt;3600,TRUNC(AB1/3600)&amp;"h ","")&amp;IF(AB1&gt;59,IF(AND(AB1&gt;3599,QUOTIENT(MOD(AB1,3600),60)&lt;10),"0","")&amp;QUOTIENT(MOD(AB1,3600),60)&amp;"m ","")&amp;IF(AND(AB1&gt;=10,MOD(AB1,60)&lt;10),"0","")&amp;ROUNDDOWN(MOD(AB1,60),0)&amp;"s"</f>
        <v>19m 46s</v>
      </c>
      <c r="AC2" s="38" t="str">
        <f t="shared" si="1"/>
        <v>19m 45s</v>
      </c>
      <c r="AD2" s="39"/>
      <c r="AE2" s="40" t="s">
        <v>29</v>
      </c>
      <c r="AF2" s="42">
        <f>AC1-AB1</f>
        <v>-1.048236363</v>
      </c>
      <c r="AG2" s="13"/>
    </row>
    <row r="3" ht="15.0" customHeight="1">
      <c r="A3" s="44"/>
      <c r="B3" s="46" t="s">
        <v>32</v>
      </c>
      <c r="C3" s="47" t="s">
        <v>34</v>
      </c>
      <c r="D3" s="47" t="s">
        <v>35</v>
      </c>
      <c r="E3" s="49" t="s">
        <v>36</v>
      </c>
      <c r="F3" s="47" t="s">
        <v>37</v>
      </c>
      <c r="G3" s="47" t="s">
        <v>38</v>
      </c>
      <c r="H3" s="47" t="s">
        <v>39</v>
      </c>
      <c r="I3" s="47" t="s">
        <v>22</v>
      </c>
      <c r="J3" s="50" t="s">
        <v>40</v>
      </c>
      <c r="K3" s="50" t="s">
        <v>41</v>
      </c>
      <c r="L3" s="50" t="s">
        <v>42</v>
      </c>
      <c r="M3" s="51" t="s">
        <v>43</v>
      </c>
      <c r="N3" s="52" t="s">
        <v>44</v>
      </c>
      <c r="O3" s="54" t="b">
        <v>1</v>
      </c>
      <c r="P3" s="56" t="s">
        <v>45</v>
      </c>
      <c r="Q3" s="56" t="s">
        <v>35</v>
      </c>
      <c r="R3" s="56" t="s">
        <v>36</v>
      </c>
      <c r="S3" s="56" t="s">
        <v>37</v>
      </c>
      <c r="T3" s="56" t="s">
        <v>38</v>
      </c>
      <c r="U3" s="56" t="s">
        <v>39</v>
      </c>
      <c r="V3" s="56" t="s">
        <v>22</v>
      </c>
      <c r="W3" s="56" t="s">
        <v>40</v>
      </c>
      <c r="X3" s="56" t="s">
        <v>46</v>
      </c>
      <c r="Y3" s="56" t="s">
        <v>42</v>
      </c>
      <c r="Z3" s="17"/>
      <c r="AA3" s="58"/>
      <c r="AB3" s="59"/>
      <c r="AC3" s="60"/>
      <c r="AD3" s="59"/>
      <c r="AE3" s="61"/>
      <c r="AF3" s="61"/>
      <c r="AG3" s="13"/>
    </row>
    <row r="4" ht="15.75" customHeight="1">
      <c r="A4" s="12"/>
      <c r="B4" s="65">
        <f>COUNTIF(C$4:C4,C4)-COUNTIF(C$4:C4,"Sell_"&amp;C4)</f>
        <v>1</v>
      </c>
      <c r="C4" s="66" t="s">
        <v>47</v>
      </c>
      <c r="D4" s="14" t="b">
        <v>0</v>
      </c>
      <c r="E4" s="68">
        <v>0.0</v>
      </c>
      <c r="F4" s="14">
        <f>IF($AC$5&gt;0,$AC$5,15)</f>
        <v>10</v>
      </c>
      <c r="G4" s="14">
        <v>0.0</v>
      </c>
      <c r="H4" s="14">
        <v>0.0</v>
      </c>
      <c r="I4" s="14">
        <v>0.0</v>
      </c>
      <c r="J4" s="70">
        <v>0.0</v>
      </c>
      <c r="K4" s="14" t="s">
        <v>48</v>
      </c>
      <c r="L4" s="71">
        <v>0.0</v>
      </c>
      <c r="M4" s="51">
        <v>0.0</v>
      </c>
      <c r="N4" s="52">
        <v>0.0</v>
      </c>
      <c r="O4" s="65">
        <f>COUNTIF(P$4:P4,P4)-COUNTIF(P$4:P4,"Sell_"&amp;P4)</f>
        <v>1</v>
      </c>
      <c r="P4" s="69" t="s">
        <v>47</v>
      </c>
      <c r="Q4" s="14" t="b">
        <v>0</v>
      </c>
      <c r="R4" s="68">
        <v>0.0</v>
      </c>
      <c r="S4" s="14">
        <f>IF($AD$5&gt;0,$AD$5,15)</f>
        <v>10</v>
      </c>
      <c r="T4" s="14">
        <v>0.0</v>
      </c>
      <c r="U4" s="14">
        <v>0.0</v>
      </c>
      <c r="V4" s="14">
        <v>0.0</v>
      </c>
      <c r="W4" s="70">
        <v>0.0</v>
      </c>
      <c r="X4" s="14" t="s">
        <v>48</v>
      </c>
      <c r="Y4" s="71">
        <v>0.0</v>
      </c>
      <c r="Z4" s="17"/>
      <c r="AG4" s="13"/>
    </row>
    <row r="5">
      <c r="A5" s="12"/>
      <c r="B5" s="65">
        <f t="shared" ref="B5:B146" si="2">IF(COUNTA(C5:C147)=0,"",COUNTIF(C$4:C5,C5)-COUNTIF(C$4:C5,"Sell_"&amp;C5))</f>
        <v>1</v>
      </c>
      <c r="C5" s="69" t="s">
        <v>10</v>
      </c>
      <c r="D5" s="14" t="b">
        <f>IFERROR(__xludf.DUMMYFUNCTION("IF(COUNTA(C5:C147)=0,"""",IFERROR(IF(ISBLANK(C5),FALSE,IF(ISBLANK(G5),1,IF(NOT(COUNTIF($AA$24:$AA$34,SUBSTITUTE(C5,""Sell_"",""""))),1,IF(C5=""Plastic_up"",IF(I5&lt;1000,1),IF(C5=""Super_Up"",IF(OR(COUNTIF(C$4:C5,""Grandma"")-COUNTIF(C$4:C5,""Sell_Grandma"")"&amp;"&lt;1,COUNTIF(C$4:C5,VLOOKUP(C5,Upgrades!$F$8:$N$8,7+COUNTIF(C$4:C5,C5)))-COUNTIF(C$4:C5,""Sell_""&amp;VLOOKUP(C5,Upgrades!$F$8:$N$8,7+COUNTIF(C$4:C5,C5)))&lt;15),1),IF(REGEXMATCH(C5,""_up""),IF(COUNTIF(C$4:C5,SUBSTITUTE(C5,""_up"",""""))&lt;IFERROR(VLOOKUP(C5,Upgrade"&amp;"s!$L$3:$P$6,1+COUNTIF(C$4:C5,C5),0),999),1),IF(REGEXMATCH(C5,""Sell_""),IF(COUNTIF(C$4:C5,SUBSTITUTE(C5,""Sell_"",""""))-COUNTIF(C$4:C4,C5)&lt;1,1),FALSE)))))))))"),FALSE)</f>
        <v>0</v>
      </c>
      <c r="E5" s="71">
        <f>IFERROR(__xludf.DUMMYFUNCTION("IF(REGEXMATCH(C5,""^Sell_""),E4, IF(COUNTA(C5:C147)=0,"""",(COUNTIF(C$4:C5,""Cursor"")-COUNTIF(C$4:C5,""Sell_Cursor""))*(0.1*2^SWITCH(COUNTIF(C$4:C5,""Cursor_up""),0,0,1,1,2,2,3)+SWITCH(COUNTIF(C$4:C5,""Cursor_up""),4,0.1,0)*(ROW(C5)-4-COUNTIF(C$4:C5,""Cu"&amp;"rsor"")-COUNTIF(C$4:C5,""*""&amp;""_up"")-2*COUNTIF(C$4:C5,""Sell_""&amp;""*"")+COUNTIF(C$4:C5,""Sell_Cursor"")-COUNTIF(C$4:C5,"""")))+(COUNTIF(C$4:C5,""Grandma"")-COUNTIF(C$4:C5,""Sell_Grandma""))*(1*2^(COUNTIF(C$4:C5,""Grandma_up"")+COUNTIF(C$4:C5,""Super_up"")"&amp;"))+(COUNTIF(C$4:C5,""Farm"")-COUNTIF(C$4:C5,""Sell_Farm""))*(8*2^COUNTIF(C$4:C5,""Farm_up""))*IF(COUNTIF(C$4:C5,""Super_up"")&gt;0,1+0.01*(COUNTIF(C$4:C5,""Grandma"")-COUNTIF(C$4:C5,""Sell_Grandma"")),1)+(COUNTIF(C$4:C5,""Mine"")-COUNTIF(C$4:C5,""Sell_Mine"""&amp;"))*((47*2^COUNTIF(C$4:C5,""Mine_up""))*IF(COUNTIF(C$4:C5,""Super_up"")&gt;1,1+0.005*(COUNTIF(C$4:C5,""Grandma"")-COUNTIF(C$4:C5,""Sell_Grandma"")),1))+(COUNTIF(C$4:C5,""Factory"")-COUNTIF(C$4:C5,""Sell_Factory""))*(260*2^COUNTIF(C$4:C5,""Factory_up""))))"),0.1)</f>
        <v>0.1</v>
      </c>
      <c r="F5" s="73">
        <f>IFERROR(__xludf.DUMMYFUNCTION("IF(COUNTA(C5:C147)=0,"""",IF(REGEXMATCH(INDEX(FILTER(C$4:C5,C$4:C5&lt;&gt;""""),ROWS(FILTER(C$4:C5,C$4:C5&lt;&gt;""""))),""^Sell_""),INDEX(FILTER(F$4:F4,C$4:C4&lt;&gt;""""),ROWS(FILTER(C$4:C4,C$4:C4&lt;&gt;""""))),$AC$5*(2^SWITCH(COUNTIF(C$4:C5,""Cursor_up""),0,0,1,1,2,2,3)+SWIT"&amp;"CH(COUNTIF(C$4:C5,""Cursor_up""),4,0.1,0)*(ROW(C5)-4-COUNTIF(C$4:C5,""Cursor"")-COUNTIF(C$4:C5,""*""&amp;""_up"")-2*COUNTIF(C$4:C5,""Sell_""&amp;""*"")+COUNTIF(C$4:C5,""Sell_Cursor"")-COUNTIF(C$4:C5,""""))+0.01*E5*COUNTIF(C$4:C5,""Plastic_up""))+E5))"),10.1)</f>
        <v>10.1</v>
      </c>
      <c r="G5" s="14">
        <f>IFERROR(__xludf.DUMMYFUNCTION("IF(COUNTA(C5:C147)=0,"""",IF(REGEXMATCH(C5,""_up""),VLOOKUP(C5,Upgrades!$F$3:$J$8,1+COUNTIF(C$4:C5,C5),FALSE),IF(C5="""",0,IF(REGEXMATCH(C5,""^Sell_""),-ROUNDDOWN(ROUNDUP(INDEX(Upgrades!$C$3:$C$8,MATCH(SUBSTITUTE(C5,""Sell_"",""""),Upgrades!$B$3:$B$8,0))*"&amp;"1.15^(COUNTIF(C$4:C4,SUBSTITUTE(C5,""Sell_"",""""))-COUNTIF(C$4:C4,""Sell_""&amp;SUBSTITUTE(C5,""Sell_"",""""))))/4),ROUNDUP(INDEX(Upgrades!$C$3:$C$7,MATCH(C5,Upgrades!$B$3:$B$7,0))*1.15^(COUNTIF(C$4:C4,C5)-COUNTIF(C$4:C4,""Sell_""&amp;C5)))))))"),15.0)</f>
        <v>15</v>
      </c>
      <c r="H5" s="14">
        <f t="shared" ref="H5:H146" si="3">IF(COUNTA(C5:C147)=0,"",G5+IF(H4&lt;0,H4))</f>
        <v>15</v>
      </c>
      <c r="I5" s="75">
        <f t="shared" ref="I5:I146" si="4">IF(COUNTA(C5:C147)=0,"",(F4-E4)*(J5)+I4)</f>
        <v>15</v>
      </c>
      <c r="J5" s="76">
        <f t="shared" ref="J5:J146" si="5">IF(COUNTA(C5:C147)=0,"",J4+IF(H5&gt;0,H5,0)/F4)
</f>
        <v>1.5</v>
      </c>
      <c r="K5" s="71" t="str">
        <f t="shared" ref="K5:K146" si="6">IF(COUNTA(C5:C147)=0,"",IF(J5&gt;3600,TRUNC(J5/3600)&amp;"h ","")&amp;IF(J5&gt;59,IF(AND(J5&gt;3599,QUOTIENT(MOD(J5,3600),60)&lt;10),"0","")&amp;QUOTIENT(MOD(J5,3600),60)&amp;"m ","")&amp;IF(AND(J5&gt;=10,MOD(J5,60)&lt;10),"0","")&amp;ROUNDDOWN(MOD(J5,60),0)&amp;"s")</f>
        <v>1s</v>
      </c>
      <c r="L5" s="77">
        <f t="shared" ref="L5:L146" si="7">IF(COUNTA(C5:C147)=0,"",L4+IF(H5&gt;0,H5,0))</f>
        <v>15</v>
      </c>
      <c r="M5" s="51">
        <f t="shared" ref="M5:M146" si="8">IFS(AND(COUNTA(C5:C147)=0,COUNTA(P5:P147)=0),"",OR(AND(L5&gt;=1000000,OR(Y5&gt;=1000000,COUNTA(P5:P147)=0)),AND(Y5&gt;=1000000,COUNTA(C5:C147)=0),AND(COUNTA(P5:P147)=0,O$3=TRUE)),AF$2,
AND(L5&lt;1000000,COUNTA(C5:C147)&gt;0,O$3=FALSE),TRUNC(LARGE(W$4:W147,COUNTIF(Y$4:Y147,"&gt;"&amp;L5)+1)+(L5-LARGE(Y$4:Y147,COUNTIF(Y$4:Y147,"&gt;"&amp;L5)+1))/LARGE(S$4:S147,COUNTIF(Y$4:Y147,"&gt;"&amp;L5)+1)-J5,5),1,
TRUNC(W5-LARGE(J$4:J147,COUNTIF(L$4:L147,"&gt;"&amp;Y5)+1)-(Y5-LARGE(L$4:L147,COUNTIF(L$4:L147,"&gt;"&amp;Y5)+1))/LARGE(F$4:F147,COUNTIF(L$4:L147,"&gt;"&amp;Y5)+1),5))</f>
        <v>0</v>
      </c>
      <c r="N5" s="52">
        <f>IFERROR(__xludf.DUMMYFUNCTION("IFS(AND(COUNTA(C5:C147)=0,COUNTA(P5:P147)=0),"""",OR(AND(L5&gt;=1000000,OR(Y5&gt;=1000000,COUNTA(P5:P147)=0)),AND(Y5&gt;=1000000,COUNTA(C5:C147)=0),AND(COUNTA(P5:P147)=0,O$3=TRUE)),
ROUNDDOWN((AB$1-AC$1)*MAX(INDEX(S$4:S147,MATCH(LARGE(FILTER(Y$4:Y147,Y$4:Y147&lt;1000"&amp;"000),1),Y$4:Y147)),INDEX(F$4:F147,MATCH(LARGE(FILTER(L$4:L147,L$4:L147&lt;1000000),1),L$4:L147)))),AND(L5&lt;1000000,COUNTA(C5:C147)&gt;0,O$3=FALSE),
ROUNDDOWN(INDEX(Y$4:Y147,MATCH(LARGE(FILTER(W$4:W147,W$4:W147&lt;=J5),1),W$4:W147))+(J5-LARGE(FILTER(W$4:W147,W$4:W14"&amp;"7&lt;=J5),1))*INDEX(S$4:S147,MATCH(LARGE(FILTER(W$4:W147,W$4:W147&lt;=J5),1),W$4:W147))-L5),1,
ROUNDDOWN(Y5-INDEX(L$4:L147,MATCH(LARGE(FILTER(J$4:J147,J$4:J147&lt;=W5),1),J$4:J147))-(W5-LARGE(FILTER(J$4:J147,J$4:J147&lt;=W5),1))*INDEX(F$4:F147,MATCH(LARGE(FILTER(J$4:"&amp;"J147,J$4:J147&lt;=W5),1),J$4:J147))))"),0.0)</f>
        <v>0</v>
      </c>
      <c r="O5" s="65">
        <f t="shared" ref="O5:O146" si="9">IF(COUNTA(P5:P147)=0,"",COUNTIF(P$4:P5,P5)-COUNTIF(P$4:P5,"Sell_"&amp;P5))</f>
        <v>1</v>
      </c>
      <c r="P5" s="69" t="s">
        <v>10</v>
      </c>
      <c r="Q5" s="14" t="b">
        <f>IFERROR(__xludf.DUMMYFUNCTION("IF(COUNTA(P5:P147)=0,"""",IFERROR(IF(ISBLANK(P5),FALSE,IF(ISBLANK(T5),1,IF(NOT(COUNTIF($AA$24:$AA$34,SUBSTITUTE(P5,""Sell_"",""""))),1,IF(P5=""Plastic_up"",IF(V5&lt;1000,1),IF(P5=""Super_Up"",IF(OR(COUNTIF(P$4:P5,""Grandma"")-COUNTIF(P$4:P5,""Sell_Grandma"")"&amp;"&lt;1,COUNTIF(P$4:P5,VLOOKUP(P5,Upgrades!$F$8:$N$8,7+COUNTIF(P$4:P5,P5)))-COUNTIF(P$4:P5,""Sell_""&amp;VLOOKUP(P5,Upgrades!$F$8:$N$8,7+COUNTIF(P$4:P5,P5)))&lt;15),1),IF(REGEXMATCH(P5,""_up""),IF(COUNTIF(P$4:P5,SUBSTITUTE(P5,""_up"",""""))&lt;IFERROR(VLOOKUP(P5,Upgrade"&amp;"s!$L$3:$P$6,1+COUNTIF(P$4:P5,P5),0),999),1),IF(REGEXMATCH(P5,""Sell_""),IF(COUNTIF(P$4:P5,SUBSTITUTE(P5,""Sell_"",""""))-COUNTIF(P$4:P4,P5)&lt;1,1),FALSE)))))))))"),FALSE)</f>
        <v>0</v>
      </c>
      <c r="R5" s="71">
        <f>IFERROR(__xludf.DUMMYFUNCTION("IF(REGEXMATCH(P5,""^Sell_""),R4, IF(COUNTA(P5:P147)=0,"""",(COUNTIF(P$4:P5,""Cursor"")-COUNTIF(P$4:P5,""Sell_Cursor""))*(0.1*2^SWITCH(COUNTIF(P$4:P5,""Cursor_up""),0,0,1,1,2,2,3)+SWITCH(COUNTIF(P$4:P5,""Cursor_up""),4,0.1,0)*(ROW(P5)-4-COUNTIF(P$4:P5,""Cu"&amp;"rsor"")-COUNTIF(P$4:P5,""*""&amp;""_up"")-2*COUNTIF(P$4:P5,""Sell_""&amp;""*"")+COUNTIF(P$4:P5,""Sell_Cursor"")-COUNTIF(P$4:P5,"""")))+(COUNTIF(P$4:P5,""Grandma"")-COUNTIF(P$4:P5,""Sell_Grandma""))*(1*2^(COUNTIF(P$4:P5,""Grandma_up"")+COUNTIF(P$4:P5,""Super_up"")"&amp;"))+(COUNTIF(P$4:P5,""Farm"")-COUNTIF(P$4:P5,""Sell_Farm""))*(8*2^COUNTIF(P$4:P5,""Farm_up""))*IF(COUNTIF(P$4:P5,""Super_up"")&gt;0,1+0.01*(COUNTIF(P$4:P5,""Grandma"")-COUNTIF(P$4:P5,""Sell_Grandma"")),1)+(COUNTIF(P$4:P5,""Mine"")-COUNTIF(P$4:P5,""Sell_Mine"""&amp;"))*((47*2^COUNTIF(P$4:P5,""Mine_up""))*IF(COUNTIF(P$4:P5,""Super_up"")&gt;1,1+0.005*(COUNTIF(P$4:P5,""Grandma"")-COUNTIF(P$4:P5,""Sell_Grandma"")),1))+(COUNTIF(P$4:P5,""Factory"")-COUNTIF(P$4:P5,""Sell_Factory""))*(260*2^COUNTIF(P$4:P5,""Factory_up""))))"),0.1)</f>
        <v>0.1</v>
      </c>
      <c r="S5" s="73">
        <f>IFERROR(__xludf.DUMMYFUNCTION("IF(COUNTA(P5:P147)=0,"""",IF(REGEXMATCH(INDEX(FILTER(P$4:P5,P$4:P5&lt;&gt;""""),ROWS(FILTER(P$4:P5,P$4:P5&lt;&gt;""""))),""^Sell_""),INDEX(FILTER(S$4:S4,P$4:P4&lt;&gt;""""),ROWS(FILTER(P$4:P4,P$4:P4&lt;&gt;""""))),$AD$5*(2^SWITCH(COUNTIF(P$4:P5,""Cursor_up""),0,0,1,1,2,2,3)+SWIT"&amp;"CH(COUNTIF(P$4:P5,""Cursor_up""),4,0.1,0)*(ROW(P5)-4-COUNTIF(P$4:P5,""Cursor"")-COUNTIF(P$4:P5,""*""&amp;""_up"")-2*COUNTIF(P$4:P5,""Sell_""&amp;""*"")+COUNTIF(P$4:P5,""Sell_Cursor"")-COUNTIF(P$4:P5,""""))+0.01*R5*COUNTIF(P$4:P5,""Plastic_up""))+R5))"),10.1)</f>
        <v>10.1</v>
      </c>
      <c r="T5" s="14">
        <f>IFERROR(__xludf.DUMMYFUNCTION("IF(COUNTA(P5:P147)=0,"""",IF(REGEXMATCH(P5,""_up""),VLOOKUP(P5,Upgrades!$F$3:$J$8,1+COUNTIF(P$4:P5,P5),FALSE),IF(P5="""",0,IF(REGEXMATCH(P5,""^Sell_""),-ROUNDDOWN(ROUNDUP(INDEX(Upgrades!$C$3:$C$8,MATCH(SUBSTITUTE(P5,""Sell_"",""""),Upgrades!$B$3:$B$8,0))*"&amp;"1.15^(COUNTIF(P$4:P4,SUBSTITUTE(P5,""Sell_"",""""))-COUNTIF(P$4:P4,""Sell_""&amp;SUBSTITUTE(P5,""Sell_"",""""))))/4),ROUNDUP(INDEX(Upgrades!$C$3:$C$7,MATCH(P5,Upgrades!$B$3:$B$7,0))*1.15^(COUNTIF(P$4:P4,P5)-COUNTIF(P$4:P4,""Sell_""&amp;P5)))))))"),15.0)</f>
        <v>15</v>
      </c>
      <c r="U5" s="14">
        <f t="shared" ref="U5:U146" si="10">IF(COUNTA(P5:P147)=0,"",T5+IF(U4&lt;0,U4))</f>
        <v>15</v>
      </c>
      <c r="V5" s="75">
        <f t="shared" ref="V5:V146" si="11">IF(COUNTA(P5:P147)=0,"",(S4-R4)*(W5)+V4)</f>
        <v>15</v>
      </c>
      <c r="W5" s="76">
        <f t="shared" ref="W5:W146" si="12">IF(COUNTA(P5:P147)=0,"",W4+IF(U5&gt;0,U5,0)/S4)
</f>
        <v>1.5</v>
      </c>
      <c r="X5" s="71" t="str">
        <f t="shared" ref="X5:X146" si="13">IF(COUNTA(P5:P147)=0,"",IF(W5&gt;3600,TRUNC(W5/3600)&amp;"h ","")&amp;IF(W5&gt;59,IF(AND(W5&gt;3599,QUOTIENT(MOD(W5,3600),60)&lt;10),"0","")&amp;QUOTIENT(MOD(W5,3600),60)&amp;"m ","")&amp;IF(AND(W5&gt;=10,MOD(W5,60)&lt;10),"0","")&amp;ROUNDDOWN(MOD(W5,60),0)&amp;"s")</f>
        <v>1s</v>
      </c>
      <c r="Y5" s="77">
        <f t="shared" ref="Y5:Y146" si="14">IF(COUNTA(P5:P147)=0,"",Y4+IF(U5&gt;0,U5,0))</f>
        <v>15</v>
      </c>
      <c r="Z5" s="17"/>
      <c r="AA5" s="78" t="s">
        <v>49</v>
      </c>
      <c r="AB5" s="79"/>
      <c r="AC5" s="80">
        <v>10.0</v>
      </c>
      <c r="AD5" s="81">
        <v>10.0</v>
      </c>
      <c r="AG5" s="13"/>
    </row>
    <row r="6">
      <c r="A6" s="12"/>
      <c r="B6" s="65">
        <f t="shared" si="2"/>
        <v>1</v>
      </c>
      <c r="C6" s="69" t="s">
        <v>11</v>
      </c>
      <c r="D6" s="14" t="b">
        <f>IFERROR(__xludf.DUMMYFUNCTION("IF(COUNTA(C6:C147)=0,"""",IFERROR(IF(ISBLANK(C6),FALSE,IF(ISBLANK(G6),1,IF(NOT(COUNTIF($AA$24:$AA$34,SUBSTITUTE(C6,""Sell_"",""""))),1,IF(C6=""Plastic_up"",IF(I6&lt;1000,1),IF(C6=""Super_Up"",IF(OR(COUNTIF(C$4:C6,""Grandma"")-COUNTIF(C$4:C6,""Sell_Grandma"")"&amp;"&lt;1,COUNTIF(C$4:C6,VLOOKUP(C6,Upgrades!$F$8:$N$8,7+COUNTIF(C$4:C6,C6)))-COUNTIF(C$4:C6,""Sell_""&amp;VLOOKUP(C6,Upgrades!$F$8:$N$8,7+COUNTIF(C$4:C6,C6)))&lt;15),1),IF(REGEXMATCH(C6,""_up""),IF(COUNTIF(C$4:C6,SUBSTITUTE(C6,""_up"",""""))&lt;IFERROR(VLOOKUP(C6,Upgrade"&amp;"s!$L$3:$P$6,1+COUNTIF(C$4:C6,C6),0),999),1),IF(REGEXMATCH(C6,""Sell_""),IF(COUNTIF(C$4:C6,SUBSTITUTE(C6,""Sell_"",""""))-COUNTIF(C$4:C5,C6)&lt;1,1),FALSE)))))))))"),FALSE)</f>
        <v>0</v>
      </c>
      <c r="E6" s="71">
        <f>IFERROR(__xludf.DUMMYFUNCTION("IF(REGEXMATCH(C6,""^Sell_""),E5, IF(COUNTA(C6:C147)=0,"""",(COUNTIF(C$4:C6,""Cursor"")-COUNTIF(C$4:C6,""Sell_Cursor""))*(0.1*2^SWITCH(COUNTIF(C$4:C6,""Cursor_up""),0,0,1,1,2,2,3)+SWITCH(COUNTIF(C$4:C6,""Cursor_up""),4,0.1,0)*(ROW(C6)-4-COUNTIF(C$4:C6,""Cu"&amp;"rsor"")-COUNTIF(C$4:C6,""*""&amp;""_up"")-2*COUNTIF(C$4:C6,""Sell_""&amp;""*"")+COUNTIF(C$4:C6,""Sell_Cursor"")-COUNTIF(C$4:C6,"""")))+(COUNTIF(C$4:C6,""Grandma"")-COUNTIF(C$4:C6,""Sell_Grandma""))*(1*2^(COUNTIF(C$4:C6,""Grandma_up"")+COUNTIF(C$4:C6,""Super_up"")"&amp;"))+(COUNTIF(C$4:C6,""Farm"")-COUNTIF(C$4:C6,""Sell_Farm""))*(8*2^COUNTIF(C$4:C6,""Farm_up""))*IF(COUNTIF(C$4:C6,""Super_up"")&gt;0,1+0.01*(COUNTIF(C$4:C6,""Grandma"")-COUNTIF(C$4:C6,""Sell_Grandma"")),1)+(COUNTIF(C$4:C6,""Mine"")-COUNTIF(C$4:C6,""Sell_Mine"""&amp;"))*((47*2^COUNTIF(C$4:C6,""Mine_up""))*IF(COUNTIF(C$4:C6,""Super_up"")&gt;1,1+0.005*(COUNTIF(C$4:C6,""Grandma"")-COUNTIF(C$4:C6,""Sell_Grandma"")),1))+(COUNTIF(C$4:C6,""Factory"")-COUNTIF(C$4:C6,""Sell_Factory""))*(260*2^COUNTIF(C$4:C6,""Factory_up""))))"),0.2)</f>
        <v>0.2</v>
      </c>
      <c r="F6" s="73">
        <f>IFERROR(__xludf.DUMMYFUNCTION("IF(COUNTA(C6:C147)=0,"""",IF(REGEXMATCH(INDEX(FILTER(C$4:C6,C$4:C6&lt;&gt;""""),ROWS(FILTER(C$4:C6,C$4:C6&lt;&gt;""""))),""^Sell_""),INDEX(FILTER(F$4:F5,C$4:C5&lt;&gt;""""),ROWS(FILTER(C$4:C5,C$4:C5&lt;&gt;""""))),$AC$5*(2^SWITCH(COUNTIF(C$4:C6,""Cursor_up""),0,0,1,1,2,2,3)+SWIT"&amp;"CH(COUNTIF(C$4:C6,""Cursor_up""),4,0.1,0)*(ROW(C6)-4-COUNTIF(C$4:C6,""Cursor"")-COUNTIF(C$4:C6,""*""&amp;""_up"")-2*COUNTIF(C$4:C6,""Sell_""&amp;""*"")+COUNTIF(C$4:C6,""Sell_Cursor"")-COUNTIF(C$4:C6,""""))+0.01*E6*COUNTIF(C$4:C6,""Plastic_up""))+E6))"),20.2)</f>
        <v>20.2</v>
      </c>
      <c r="G6" s="14">
        <f>IFERROR(__xludf.DUMMYFUNCTION("IF(COUNTA(C6:C147)=0,"""",IF(REGEXMATCH(C6,""_up""),VLOOKUP(C6,Upgrades!$F$3:$J$8,1+COUNTIF(C$4:C6,C6),FALSE),IF(C6="""",0,IF(REGEXMATCH(C6,""^Sell_""),-ROUNDDOWN(ROUNDUP(INDEX(Upgrades!$C$3:$C$8,MATCH(SUBSTITUTE(C6,""Sell_"",""""),Upgrades!$B$3:$B$8,0))*"&amp;"1.15^(COUNTIF(C$4:C5,SUBSTITUTE(C6,""Sell_"",""""))-COUNTIF(C$4:C5,""Sell_""&amp;SUBSTITUTE(C6,""Sell_"",""""))))/4),ROUNDUP(INDEX(Upgrades!$C$3:$C$7,MATCH(C6,Upgrades!$B$3:$B$7,0))*1.15^(COUNTIF(C$4:C5,C6)-COUNTIF(C$4:C5,""Sell_""&amp;C6)))))))"),100.0)</f>
        <v>100</v>
      </c>
      <c r="H6" s="14">
        <f t="shared" si="3"/>
        <v>100</v>
      </c>
      <c r="I6" s="75">
        <f t="shared" si="4"/>
        <v>129.009901</v>
      </c>
      <c r="J6" s="76">
        <f t="shared" si="5"/>
        <v>11.4009901</v>
      </c>
      <c r="K6" s="71" t="str">
        <f t="shared" si="6"/>
        <v>11s</v>
      </c>
      <c r="L6" s="77">
        <f t="shared" si="7"/>
        <v>115</v>
      </c>
      <c r="M6" s="51">
        <f t="shared" si="8"/>
        <v>0</v>
      </c>
      <c r="N6" s="52">
        <f>IFERROR(__xludf.DUMMYFUNCTION("IFS(AND(COUNTA(C6:C147)=0,COUNTA(P6:P147)=0),"""",OR(AND(L6&gt;=1000000,OR(Y6&gt;=1000000,COUNTA(P6:P147)=0)),AND(Y6&gt;=1000000,COUNTA(C6:C147)=0),AND(COUNTA(P6:P147)=0,O$3=TRUE)),
ROUNDDOWN((AB$1-AC$1)*MAX(INDEX(S$4:S147,MATCH(LARGE(FILTER(Y$4:Y147,Y$4:Y147&lt;1000"&amp;"000),1),Y$4:Y147)),INDEX(F$4:F147,MATCH(LARGE(FILTER(L$4:L147,L$4:L147&lt;1000000),1),L$4:L147)))),AND(L6&lt;1000000,COUNTA(C6:C147)&gt;0,O$3=FALSE),
ROUNDDOWN(INDEX(Y$4:Y147,MATCH(LARGE(FILTER(W$4:W147,W$4:W147&lt;=J6),1),W$4:W147))+(J6-LARGE(FILTER(W$4:W147,W$4:W14"&amp;"7&lt;=J6),1))*INDEX(S$4:S147,MATCH(LARGE(FILTER(W$4:W147,W$4:W147&lt;=J6),1),W$4:W147))-L6),1,
ROUNDDOWN(Y6-INDEX(L$4:L147,MATCH(LARGE(FILTER(J$4:J147,J$4:J147&lt;=W6),1),J$4:J147))-(W6-LARGE(FILTER(J$4:J147,J$4:J147&lt;=W6),1))*INDEX(F$4:F147,MATCH(LARGE(FILTER(J$4:"&amp;"J147,J$4:J147&lt;=W6),1),J$4:J147))))"),0.0)</f>
        <v>0</v>
      </c>
      <c r="O6" s="65">
        <f t="shared" si="9"/>
        <v>1</v>
      </c>
      <c r="P6" s="69" t="s">
        <v>11</v>
      </c>
      <c r="Q6" s="14" t="b">
        <f>IFERROR(__xludf.DUMMYFUNCTION("IF(COUNTA(P6:P147)=0,"""",IFERROR(IF(ISBLANK(P6),FALSE,IF(ISBLANK(T6),1,IF(NOT(COUNTIF($AA$24:$AA$34,SUBSTITUTE(P6,""Sell_"",""""))),1,IF(P6=""Plastic_up"",IF(V6&lt;1000,1),IF(P6=""Super_Up"",IF(OR(COUNTIF(P$4:P6,""Grandma"")-COUNTIF(P$4:P6,""Sell_Grandma"")"&amp;"&lt;1,COUNTIF(P$4:P6,VLOOKUP(P6,Upgrades!$F$8:$N$8,7+COUNTIF(P$4:P6,P6)))-COUNTIF(P$4:P6,""Sell_""&amp;VLOOKUP(P6,Upgrades!$F$8:$N$8,7+COUNTIF(P$4:P6,P6)))&lt;15),1),IF(REGEXMATCH(P6,""_up""),IF(COUNTIF(P$4:P6,SUBSTITUTE(P6,""_up"",""""))&lt;IFERROR(VLOOKUP(P6,Upgrade"&amp;"s!$L$3:$P$6,1+COUNTIF(P$4:P6,P6),0),999),1),IF(REGEXMATCH(P6,""Sell_""),IF(COUNTIF(P$4:P6,SUBSTITUTE(P6,""Sell_"",""""))-COUNTIF(P$4:P5,P6)&lt;1,1),FALSE)))))))))"),FALSE)</f>
        <v>0</v>
      </c>
      <c r="R6" s="71">
        <f>IFERROR(__xludf.DUMMYFUNCTION("IF(REGEXMATCH(P6,""^Sell_""),R5, IF(COUNTA(P6:P147)=0,"""",(COUNTIF(P$4:P6,""Cursor"")-COUNTIF(P$4:P6,""Sell_Cursor""))*(0.1*2^SWITCH(COUNTIF(P$4:P6,""Cursor_up""),0,0,1,1,2,2,3)+SWITCH(COUNTIF(P$4:P6,""Cursor_up""),4,0.1,0)*(ROW(P6)-4-COUNTIF(P$4:P6,""Cu"&amp;"rsor"")-COUNTIF(P$4:P6,""*""&amp;""_up"")-2*COUNTIF(P$4:P6,""Sell_""&amp;""*"")+COUNTIF(P$4:P6,""Sell_Cursor"")-COUNTIF(P$4:P6,"""")))+(COUNTIF(P$4:P6,""Grandma"")-COUNTIF(P$4:P6,""Sell_Grandma""))*(1*2^(COUNTIF(P$4:P6,""Grandma_up"")+COUNTIF(P$4:P6,""Super_up"")"&amp;"))+(COUNTIF(P$4:P6,""Farm"")-COUNTIF(P$4:P6,""Sell_Farm""))*(8*2^COUNTIF(P$4:P6,""Farm_up""))*IF(COUNTIF(P$4:P6,""Super_up"")&gt;0,1+0.01*(COUNTIF(P$4:P6,""Grandma"")-COUNTIF(P$4:P6,""Sell_Grandma"")),1)+(COUNTIF(P$4:P6,""Mine"")-COUNTIF(P$4:P6,""Sell_Mine"""&amp;"))*((47*2^COUNTIF(P$4:P6,""Mine_up""))*IF(COUNTIF(P$4:P6,""Super_up"")&gt;1,1+0.005*(COUNTIF(P$4:P6,""Grandma"")-COUNTIF(P$4:P6,""Sell_Grandma"")),1))+(COUNTIF(P$4:P6,""Factory"")-COUNTIF(P$4:P6,""Sell_Factory""))*(260*2^COUNTIF(P$4:P6,""Factory_up""))))"),0.2)</f>
        <v>0.2</v>
      </c>
      <c r="S6" s="73">
        <f>IFERROR(__xludf.DUMMYFUNCTION("IF(COUNTA(P6:P147)=0,"""",IF(REGEXMATCH(INDEX(FILTER(P$4:P6,P$4:P6&lt;&gt;""""),ROWS(FILTER(P$4:P6,P$4:P6&lt;&gt;""""))),""^Sell_""),INDEX(FILTER(S$4:S5,P$4:P5&lt;&gt;""""),ROWS(FILTER(P$4:P5,P$4:P5&lt;&gt;""""))),$AD$5*(2^SWITCH(COUNTIF(P$4:P6,""Cursor_up""),0,0,1,1,2,2,3)+SWIT"&amp;"CH(COUNTIF(P$4:P6,""Cursor_up""),4,0.1,0)*(ROW(P6)-4-COUNTIF(P$4:P6,""Cursor"")-COUNTIF(P$4:P6,""*""&amp;""_up"")-2*COUNTIF(P$4:P6,""Sell_""&amp;""*"")+COUNTIF(P$4:P6,""Sell_Cursor"")-COUNTIF(P$4:P6,""""))+0.01*R6*COUNTIF(P$4:P6,""Plastic_up""))+R6))"),20.2)</f>
        <v>20.2</v>
      </c>
      <c r="T6" s="14">
        <f>IFERROR(__xludf.DUMMYFUNCTION("IF(COUNTA(P6:P147)=0,"""",IF(REGEXMATCH(P6,""_up""),VLOOKUP(P6,Upgrades!$F$3:$J$8,1+COUNTIF(P$4:P6,P6),FALSE),IF(P6="""",0,IF(REGEXMATCH(P6,""^Sell_""),-ROUNDDOWN(ROUNDUP(INDEX(Upgrades!$C$3:$C$8,MATCH(SUBSTITUTE(P6,""Sell_"",""""),Upgrades!$B$3:$B$8,0))*"&amp;"1.15^(COUNTIF(P$4:P5,SUBSTITUTE(P6,""Sell_"",""""))-COUNTIF(P$4:P5,""Sell_""&amp;SUBSTITUTE(P6,""Sell_"",""""))))/4),ROUNDUP(INDEX(Upgrades!$C$3:$C$7,MATCH(P6,Upgrades!$B$3:$B$7,0))*1.15^(COUNTIF(P$4:P5,P6)-COUNTIF(P$4:P5,""Sell_""&amp;P6)))))))"),100.0)</f>
        <v>100</v>
      </c>
      <c r="U6" s="14">
        <f t="shared" si="10"/>
        <v>100</v>
      </c>
      <c r="V6" s="75">
        <f t="shared" si="11"/>
        <v>129.009901</v>
      </c>
      <c r="W6" s="76">
        <f t="shared" si="12"/>
        <v>11.4009901</v>
      </c>
      <c r="X6" s="71" t="str">
        <f t="shared" si="13"/>
        <v>11s</v>
      </c>
      <c r="Y6" s="77">
        <f t="shared" si="14"/>
        <v>115</v>
      </c>
      <c r="Z6" s="17"/>
      <c r="AG6" s="13"/>
    </row>
    <row r="7">
      <c r="A7" s="12"/>
      <c r="B7" s="65">
        <f t="shared" si="2"/>
        <v>2</v>
      </c>
      <c r="C7" s="69" t="s">
        <v>11</v>
      </c>
      <c r="D7" s="14" t="b">
        <f>IFERROR(__xludf.DUMMYFUNCTION("IF(COUNTA(C7:C147)=0,"""",IFERROR(IF(ISBLANK(C7),FALSE,IF(ISBLANK(G7),1,IF(NOT(COUNTIF($AA$24:$AA$34,SUBSTITUTE(C7,""Sell_"",""""))),1,IF(C7=""Plastic_up"",IF(I7&lt;1000,1),IF(C7=""Super_Up"",IF(OR(COUNTIF(C$4:C7,""Grandma"")-COUNTIF(C$4:C7,""Sell_Grandma"")"&amp;"&lt;1,COUNTIF(C$4:C7,VLOOKUP(C7,Upgrades!$F$8:$N$8,7+COUNTIF(C$4:C7,C7)))-COUNTIF(C$4:C7,""Sell_""&amp;VLOOKUP(C7,Upgrades!$F$8:$N$8,7+COUNTIF(C$4:C7,C7)))&lt;15),1),IF(REGEXMATCH(C7,""_up""),IF(COUNTIF(C$4:C7,SUBSTITUTE(C7,""_up"",""""))&lt;IFERROR(VLOOKUP(C7,Upgrade"&amp;"s!$L$3:$P$6,1+COUNTIF(C$4:C7,C7),0),999),1),IF(REGEXMATCH(C7,""Sell_""),IF(COUNTIF(C$4:C7,SUBSTITUTE(C7,""Sell_"",""""))-COUNTIF(C$4:C6,C7)&lt;1,1),FALSE)))))))))"),FALSE)</f>
        <v>0</v>
      </c>
      <c r="E7" s="71">
        <f>IFERROR(__xludf.DUMMYFUNCTION("IF(REGEXMATCH(C7,""^Sell_""),E6, IF(COUNTA(C7:C147)=0,"""",(COUNTIF(C$4:C7,""Cursor"")-COUNTIF(C$4:C7,""Sell_Cursor""))*(0.1*2^SWITCH(COUNTIF(C$4:C7,""Cursor_up""),0,0,1,1,2,2,3)+SWITCH(COUNTIF(C$4:C7,""Cursor_up""),4,0.1,0)*(ROW(C7)-4-COUNTIF(C$4:C7,""Cu"&amp;"rsor"")-COUNTIF(C$4:C7,""*""&amp;""_up"")-2*COUNTIF(C$4:C7,""Sell_""&amp;""*"")+COUNTIF(C$4:C7,""Sell_Cursor"")-COUNTIF(C$4:C7,"""")))+(COUNTIF(C$4:C7,""Grandma"")-COUNTIF(C$4:C7,""Sell_Grandma""))*(1*2^(COUNTIF(C$4:C7,""Grandma_up"")+COUNTIF(C$4:C7,""Super_up"")"&amp;"))+(COUNTIF(C$4:C7,""Farm"")-COUNTIF(C$4:C7,""Sell_Farm""))*(8*2^COUNTIF(C$4:C7,""Farm_up""))*IF(COUNTIF(C$4:C7,""Super_up"")&gt;0,1+0.01*(COUNTIF(C$4:C7,""Grandma"")-COUNTIF(C$4:C7,""Sell_Grandma"")),1)+(COUNTIF(C$4:C7,""Mine"")-COUNTIF(C$4:C7,""Sell_Mine"""&amp;"))*((47*2^COUNTIF(C$4:C7,""Mine_up""))*IF(COUNTIF(C$4:C7,""Super_up"")&gt;1,1+0.005*(COUNTIF(C$4:C7,""Grandma"")-COUNTIF(C$4:C7,""Sell_Grandma"")),1))+(COUNTIF(C$4:C7,""Factory"")-COUNTIF(C$4:C7,""Sell_Factory""))*(260*2^COUNTIF(C$4:C7,""Factory_up""))))"),0.4)</f>
        <v>0.4</v>
      </c>
      <c r="F7" s="73">
        <f>IFERROR(__xludf.DUMMYFUNCTION("IF(COUNTA(C7:C147)=0,"""",IF(REGEXMATCH(INDEX(FILTER(C$4:C7,C$4:C7&lt;&gt;""""),ROWS(FILTER(C$4:C7,C$4:C7&lt;&gt;""""))),""^Sell_""),INDEX(FILTER(F$4:F6,C$4:C6&lt;&gt;""""),ROWS(FILTER(C$4:C6,C$4:C6&lt;&gt;""""))),$AC$5*(2^SWITCH(COUNTIF(C$4:C7,""Cursor_up""),0,0,1,1,2,2,3)+SWIT"&amp;"CH(COUNTIF(C$4:C7,""Cursor_up""),4,0.1,0)*(ROW(C7)-4-COUNTIF(C$4:C7,""Cursor"")-COUNTIF(C$4:C7,""*""&amp;""_up"")-2*COUNTIF(C$4:C7,""Sell_""&amp;""*"")+COUNTIF(C$4:C7,""Sell_Cursor"")-COUNTIF(C$4:C7,""""))+0.01*E7*COUNTIF(C$4:C7,""Plastic_up""))+E7))"),40.4)</f>
        <v>40.4</v>
      </c>
      <c r="G7" s="14">
        <f>IFERROR(__xludf.DUMMYFUNCTION("IF(COUNTA(C7:C147)=0,"""",IF(REGEXMATCH(C7,""_up""),VLOOKUP(C7,Upgrades!$F$3:$J$8,1+COUNTIF(C$4:C7,C7),FALSE),IF(C7="""",0,IF(REGEXMATCH(C7,""^Sell_""),-ROUNDDOWN(ROUNDUP(INDEX(Upgrades!$C$3:$C$8,MATCH(SUBSTITUTE(C7,""Sell_"",""""),Upgrades!$B$3:$B$8,0))*"&amp;"1.15^(COUNTIF(C$4:C6,SUBSTITUTE(C7,""Sell_"",""""))-COUNTIF(C$4:C6,""Sell_""&amp;SUBSTITUTE(C7,""Sell_"",""""))))/4),ROUNDUP(INDEX(Upgrades!$C$3:$C$7,MATCH(C7,Upgrades!$B$3:$B$7,0))*1.15^(COUNTIF(C$4:C6,C7)-COUNTIF(C$4:C6,""Sell_""&amp;C7)))))))"),500.0)</f>
        <v>500</v>
      </c>
      <c r="H7" s="14">
        <f t="shared" si="3"/>
        <v>500</v>
      </c>
      <c r="I7" s="75">
        <f t="shared" si="4"/>
        <v>852.0792079</v>
      </c>
      <c r="J7" s="76">
        <f t="shared" si="5"/>
        <v>36.15346535</v>
      </c>
      <c r="K7" s="71" t="str">
        <f t="shared" si="6"/>
        <v>36s</v>
      </c>
      <c r="L7" s="77">
        <f t="shared" si="7"/>
        <v>615</v>
      </c>
      <c r="M7" s="51">
        <f t="shared" si="8"/>
        <v>0</v>
      </c>
      <c r="N7" s="52">
        <f>IFERROR(__xludf.DUMMYFUNCTION("IFS(AND(COUNTA(C7:C147)=0,COUNTA(P7:P147)=0),"""",OR(AND(L7&gt;=1000000,OR(Y7&gt;=1000000,COUNTA(P7:P147)=0)),AND(Y7&gt;=1000000,COUNTA(C7:C147)=0),AND(COUNTA(P7:P147)=0,O$3=TRUE)),
ROUNDDOWN((AB$1-AC$1)*MAX(INDEX(S$4:S147,MATCH(LARGE(FILTER(Y$4:Y147,Y$4:Y147&lt;1000"&amp;"000),1),Y$4:Y147)),INDEX(F$4:F147,MATCH(LARGE(FILTER(L$4:L147,L$4:L147&lt;1000000),1),L$4:L147)))),AND(L7&lt;1000000,COUNTA(C7:C147)&gt;0,O$3=FALSE),
ROUNDDOWN(INDEX(Y$4:Y147,MATCH(LARGE(FILTER(W$4:W147,W$4:W147&lt;=J7),1),W$4:W147))+(J7-LARGE(FILTER(W$4:W147,W$4:W14"&amp;"7&lt;=J7),1))*INDEX(S$4:S147,MATCH(LARGE(FILTER(W$4:W147,W$4:W147&lt;=J7),1),W$4:W147))-L7),1,
ROUNDDOWN(Y7-INDEX(L$4:L147,MATCH(LARGE(FILTER(J$4:J147,J$4:J147&lt;=W7),1),J$4:J147))-(W7-LARGE(FILTER(J$4:J147,J$4:J147&lt;=W7),1))*INDEX(F$4:F147,MATCH(LARGE(FILTER(J$4:"&amp;"J147,J$4:J147&lt;=W7),1),J$4:J147))))"),0.0)</f>
        <v>0</v>
      </c>
      <c r="O7" s="65">
        <f t="shared" si="9"/>
        <v>2</v>
      </c>
      <c r="P7" s="69" t="s">
        <v>11</v>
      </c>
      <c r="Q7" s="14" t="b">
        <f>IFERROR(__xludf.DUMMYFUNCTION("IF(COUNTA(P7:P147)=0,"""",IFERROR(IF(ISBLANK(P7),FALSE,IF(ISBLANK(T7),1,IF(NOT(COUNTIF($AA$24:$AA$34,SUBSTITUTE(P7,""Sell_"",""""))),1,IF(P7=""Plastic_up"",IF(V7&lt;1000,1),IF(P7=""Super_Up"",IF(OR(COUNTIF(P$4:P7,""Grandma"")-COUNTIF(P$4:P7,""Sell_Grandma"")"&amp;"&lt;1,COUNTIF(P$4:P7,VLOOKUP(P7,Upgrades!$F$8:$N$8,7+COUNTIF(P$4:P7,P7)))-COUNTIF(P$4:P7,""Sell_""&amp;VLOOKUP(P7,Upgrades!$F$8:$N$8,7+COUNTIF(P$4:P7,P7)))&lt;15),1),IF(REGEXMATCH(P7,""_up""),IF(COUNTIF(P$4:P7,SUBSTITUTE(P7,""_up"",""""))&lt;IFERROR(VLOOKUP(P7,Upgrade"&amp;"s!$L$3:$P$6,1+COUNTIF(P$4:P7,P7),0),999),1),IF(REGEXMATCH(P7,""Sell_""),IF(COUNTIF(P$4:P7,SUBSTITUTE(P7,""Sell_"",""""))-COUNTIF(P$4:P6,P7)&lt;1,1),FALSE)))))))))"),FALSE)</f>
        <v>0</v>
      </c>
      <c r="R7" s="71">
        <f>IFERROR(__xludf.DUMMYFUNCTION("IF(REGEXMATCH(P7,""^Sell_""),R6, IF(COUNTA(P7:P147)=0,"""",(COUNTIF(P$4:P7,""Cursor"")-COUNTIF(P$4:P7,""Sell_Cursor""))*(0.1*2^SWITCH(COUNTIF(P$4:P7,""Cursor_up""),0,0,1,1,2,2,3)+SWITCH(COUNTIF(P$4:P7,""Cursor_up""),4,0.1,0)*(ROW(P7)-4-COUNTIF(P$4:P7,""Cu"&amp;"rsor"")-COUNTIF(P$4:P7,""*""&amp;""_up"")-2*COUNTIF(P$4:P7,""Sell_""&amp;""*"")+COUNTIF(P$4:P7,""Sell_Cursor"")-COUNTIF(P$4:P7,"""")))+(COUNTIF(P$4:P7,""Grandma"")-COUNTIF(P$4:P7,""Sell_Grandma""))*(1*2^(COUNTIF(P$4:P7,""Grandma_up"")+COUNTIF(P$4:P7,""Super_up"")"&amp;"))+(COUNTIF(P$4:P7,""Farm"")-COUNTIF(P$4:P7,""Sell_Farm""))*(8*2^COUNTIF(P$4:P7,""Farm_up""))*IF(COUNTIF(P$4:P7,""Super_up"")&gt;0,1+0.01*(COUNTIF(P$4:P7,""Grandma"")-COUNTIF(P$4:P7,""Sell_Grandma"")),1)+(COUNTIF(P$4:P7,""Mine"")-COUNTIF(P$4:P7,""Sell_Mine"""&amp;"))*((47*2^COUNTIF(P$4:P7,""Mine_up""))*IF(COUNTIF(P$4:P7,""Super_up"")&gt;1,1+0.005*(COUNTIF(P$4:P7,""Grandma"")-COUNTIF(P$4:P7,""Sell_Grandma"")),1))+(COUNTIF(P$4:P7,""Factory"")-COUNTIF(P$4:P7,""Sell_Factory""))*(260*2^COUNTIF(P$4:P7,""Factory_up""))))"),0.4)</f>
        <v>0.4</v>
      </c>
      <c r="S7" s="73">
        <f>IFERROR(__xludf.DUMMYFUNCTION("IF(COUNTA(P7:P147)=0,"""",IF(REGEXMATCH(INDEX(FILTER(P$4:P7,P$4:P7&lt;&gt;""""),ROWS(FILTER(P$4:P7,P$4:P7&lt;&gt;""""))),""^Sell_""),INDEX(FILTER(S$4:S6,P$4:P6&lt;&gt;""""),ROWS(FILTER(P$4:P6,P$4:P6&lt;&gt;""""))),$AD$5*(2^SWITCH(COUNTIF(P$4:P7,""Cursor_up""),0,0,1,1,2,2,3)+SWIT"&amp;"CH(COUNTIF(P$4:P7,""Cursor_up""),4,0.1,0)*(ROW(P7)-4-COUNTIF(P$4:P7,""Cursor"")-COUNTIF(P$4:P7,""*""&amp;""_up"")-2*COUNTIF(P$4:P7,""Sell_""&amp;""*"")+COUNTIF(P$4:P7,""Sell_Cursor"")-COUNTIF(P$4:P7,""""))+0.01*R7*COUNTIF(P$4:P7,""Plastic_up""))+R7))"),40.4)</f>
        <v>40.4</v>
      </c>
      <c r="T7" s="14">
        <f>IFERROR(__xludf.DUMMYFUNCTION("IF(COUNTA(P7:P147)=0,"""",IF(REGEXMATCH(P7,""_up""),VLOOKUP(P7,Upgrades!$F$3:$J$8,1+COUNTIF(P$4:P7,P7),FALSE),IF(P7="""",0,IF(REGEXMATCH(P7,""^Sell_""),-ROUNDDOWN(ROUNDUP(INDEX(Upgrades!$C$3:$C$8,MATCH(SUBSTITUTE(P7,""Sell_"",""""),Upgrades!$B$3:$B$8,0))*"&amp;"1.15^(COUNTIF(P$4:P6,SUBSTITUTE(P7,""Sell_"",""""))-COUNTIF(P$4:P6,""Sell_""&amp;SUBSTITUTE(P7,""Sell_"",""""))))/4),ROUNDUP(INDEX(Upgrades!$C$3:$C$7,MATCH(P7,Upgrades!$B$3:$B$7,0))*1.15^(COUNTIF(P$4:P6,P7)-COUNTIF(P$4:P6,""Sell_""&amp;P7)))))))"),500.0)</f>
        <v>500</v>
      </c>
      <c r="U7" s="14">
        <f t="shared" si="10"/>
        <v>500</v>
      </c>
      <c r="V7" s="75">
        <f t="shared" si="11"/>
        <v>852.0792079</v>
      </c>
      <c r="W7" s="76">
        <f t="shared" si="12"/>
        <v>36.15346535</v>
      </c>
      <c r="X7" s="71" t="str">
        <f t="shared" si="13"/>
        <v>36s</v>
      </c>
      <c r="Y7" s="77">
        <f t="shared" si="14"/>
        <v>615</v>
      </c>
      <c r="Z7" s="17"/>
      <c r="AA7" s="87" t="s">
        <v>63</v>
      </c>
      <c r="AB7" s="88"/>
      <c r="AC7" s="81" t="str">
        <f>IF(AF2&lt;0,"YES","NO")</f>
        <v>YES</v>
      </c>
      <c r="AG7" s="13"/>
    </row>
    <row r="8">
      <c r="A8" s="12"/>
      <c r="B8" s="65">
        <f t="shared" si="2"/>
        <v>2</v>
      </c>
      <c r="C8" s="69" t="s">
        <v>10</v>
      </c>
      <c r="D8" s="14" t="b">
        <f>IFERROR(__xludf.DUMMYFUNCTION("IF(COUNTA(C8:C147)=0,"""",IFERROR(IF(ISBLANK(C8),FALSE,IF(ISBLANK(G8),1,IF(NOT(COUNTIF($AA$24:$AA$34,SUBSTITUTE(C8,""Sell_"",""""))),1,IF(C8=""Plastic_up"",IF(I8&lt;1000,1),IF(C8=""Super_Up"",IF(OR(COUNTIF(C$4:C8,""Grandma"")-COUNTIF(C$4:C8,""Sell_Grandma"")"&amp;"&lt;1,COUNTIF(C$4:C8,VLOOKUP(C8,Upgrades!$F$8:$N$8,7+COUNTIF(C$4:C8,C8)))-COUNTIF(C$4:C8,""Sell_""&amp;VLOOKUP(C8,Upgrades!$F$8:$N$8,7+COUNTIF(C$4:C8,C8)))&lt;15),1),IF(REGEXMATCH(C8,""_up""),IF(COUNTIF(C$4:C8,SUBSTITUTE(C8,""_up"",""""))&lt;IFERROR(VLOOKUP(C8,Upgrade"&amp;"s!$L$3:$P$6,1+COUNTIF(C$4:C8,C8),0),999),1),IF(REGEXMATCH(C8,""Sell_""),IF(COUNTIF(C$4:C8,SUBSTITUTE(C8,""Sell_"",""""))-COUNTIF(C$4:C7,C8)&lt;1,1),FALSE)))))))))"),FALSE)</f>
        <v>0</v>
      </c>
      <c r="E8" s="71">
        <f>IFERROR(__xludf.DUMMYFUNCTION("IF(REGEXMATCH(C8,""^Sell_""),E7, IF(COUNTA(C8:C147)=0,"""",(COUNTIF(C$4:C8,""Cursor"")-COUNTIF(C$4:C8,""Sell_Cursor""))*(0.1*2^SWITCH(COUNTIF(C$4:C8,""Cursor_up""),0,0,1,1,2,2,3)+SWITCH(COUNTIF(C$4:C8,""Cursor_up""),4,0.1,0)*(ROW(C8)-4-COUNTIF(C$4:C8,""Cu"&amp;"rsor"")-COUNTIF(C$4:C8,""*""&amp;""_up"")-2*COUNTIF(C$4:C8,""Sell_""&amp;""*"")+COUNTIF(C$4:C8,""Sell_Cursor"")-COUNTIF(C$4:C8,"""")))+(COUNTIF(C$4:C8,""Grandma"")-COUNTIF(C$4:C8,""Sell_Grandma""))*(1*2^(COUNTIF(C$4:C8,""Grandma_up"")+COUNTIF(C$4:C8,""Super_up"")"&amp;"))+(COUNTIF(C$4:C8,""Farm"")-COUNTIF(C$4:C8,""Sell_Farm""))*(8*2^COUNTIF(C$4:C8,""Farm_up""))*IF(COUNTIF(C$4:C8,""Super_up"")&gt;0,1+0.01*(COUNTIF(C$4:C8,""Grandma"")-COUNTIF(C$4:C8,""Sell_Grandma"")),1)+(COUNTIF(C$4:C8,""Mine"")-COUNTIF(C$4:C8,""Sell_Mine"""&amp;"))*((47*2^COUNTIF(C$4:C8,""Mine_up""))*IF(COUNTIF(C$4:C8,""Super_up"")&gt;1,1+0.005*(COUNTIF(C$4:C8,""Grandma"")-COUNTIF(C$4:C8,""Sell_Grandma"")),1))+(COUNTIF(C$4:C8,""Factory"")-COUNTIF(C$4:C8,""Sell_Factory""))*(260*2^COUNTIF(C$4:C8,""Factory_up""))))"),0.8)</f>
        <v>0.8</v>
      </c>
      <c r="F8" s="73">
        <f>IFERROR(__xludf.DUMMYFUNCTION("IF(COUNTA(C8:C147)=0,"""",IF(REGEXMATCH(INDEX(FILTER(C$4:C8,C$4:C8&lt;&gt;""""),ROWS(FILTER(C$4:C8,C$4:C8&lt;&gt;""""))),""^Sell_""),INDEX(FILTER(F$4:F7,C$4:C7&lt;&gt;""""),ROWS(FILTER(C$4:C7,C$4:C7&lt;&gt;""""))),$AC$5*(2^SWITCH(COUNTIF(C$4:C8,""Cursor_up""),0,0,1,1,2,2,3)+SWIT"&amp;"CH(COUNTIF(C$4:C8,""Cursor_up""),4,0.1,0)*(ROW(C8)-4-COUNTIF(C$4:C8,""Cursor"")-COUNTIF(C$4:C8,""*""&amp;""_up"")-2*COUNTIF(C$4:C8,""Sell_""&amp;""*"")+COUNTIF(C$4:C8,""Sell_Cursor"")-COUNTIF(C$4:C8,""""))+0.01*E8*COUNTIF(C$4:C8,""Plastic_up""))+E8))"),40.8)</f>
        <v>40.8</v>
      </c>
      <c r="G8" s="14">
        <f>IFERROR(__xludf.DUMMYFUNCTION("IF(COUNTA(C8:C147)=0,"""",IF(REGEXMATCH(C8,""_up""),VLOOKUP(C8,Upgrades!$F$3:$J$8,1+COUNTIF(C$4:C8,C8),FALSE),IF(C8="""",0,IF(REGEXMATCH(C8,""^Sell_""),-ROUNDDOWN(ROUNDUP(INDEX(Upgrades!$C$3:$C$8,MATCH(SUBSTITUTE(C8,""Sell_"",""""),Upgrades!$B$3:$B$8,0))*"&amp;"1.15^(COUNTIF(C$4:C7,SUBSTITUTE(C8,""Sell_"",""""))-COUNTIF(C$4:C7,""Sell_""&amp;SUBSTITUTE(C8,""Sell_"",""""))))/4),ROUNDUP(INDEX(Upgrades!$C$3:$C$7,MATCH(C8,Upgrades!$B$3:$B$7,0))*1.15^(COUNTIF(C$4:C7,C8)-COUNTIF(C$4:C7,""Sell_""&amp;C8)))))))"),18.0)</f>
        <v>18</v>
      </c>
      <c r="H8" s="14">
        <f t="shared" si="3"/>
        <v>18</v>
      </c>
      <c r="I8" s="75">
        <f t="shared" si="4"/>
        <v>2316.039604</v>
      </c>
      <c r="J8" s="76">
        <f t="shared" si="5"/>
        <v>36.5990099</v>
      </c>
      <c r="K8" s="71" t="str">
        <f t="shared" si="6"/>
        <v>36s</v>
      </c>
      <c r="L8" s="77">
        <f t="shared" si="7"/>
        <v>633</v>
      </c>
      <c r="M8" s="51">
        <f t="shared" si="8"/>
        <v>0</v>
      </c>
      <c r="N8" s="52">
        <f>IFERROR(__xludf.DUMMYFUNCTION("IFS(AND(COUNTA(C8:C147)=0,COUNTA(P8:P147)=0),"""",OR(AND(L8&gt;=1000000,OR(Y8&gt;=1000000,COUNTA(P8:P147)=0)),AND(Y8&gt;=1000000,COUNTA(C8:C147)=0),AND(COUNTA(P8:P147)=0,O$3=TRUE)),
ROUNDDOWN((AB$1-AC$1)*MAX(INDEX(S$4:S147,MATCH(LARGE(FILTER(Y$4:Y147,Y$4:Y147&lt;1000"&amp;"000),1),Y$4:Y147)),INDEX(F$4:F147,MATCH(LARGE(FILTER(L$4:L147,L$4:L147&lt;1000000),1),L$4:L147)))),AND(L8&lt;1000000,COUNTA(C8:C147)&gt;0,O$3=FALSE),
ROUNDDOWN(INDEX(Y$4:Y147,MATCH(LARGE(FILTER(W$4:W147,W$4:W147&lt;=J8),1),W$4:W147))+(J8-LARGE(FILTER(W$4:W147,W$4:W14"&amp;"7&lt;=J8),1))*INDEX(S$4:S147,MATCH(LARGE(FILTER(W$4:W147,W$4:W147&lt;=J8),1),W$4:W147))-L8),1,
ROUNDDOWN(Y8-INDEX(L$4:L147,MATCH(LARGE(FILTER(J$4:J147,J$4:J147&lt;=W8),1),J$4:J147))-(W8-LARGE(FILTER(J$4:J147,J$4:J147&lt;=W8),1))*INDEX(F$4:F147,MATCH(LARGE(FILTER(J$4:"&amp;"J147,J$4:J147&lt;=W8),1),J$4:J147))))"),0.0)</f>
        <v>0</v>
      </c>
      <c r="O8" s="65">
        <f t="shared" si="9"/>
        <v>2</v>
      </c>
      <c r="P8" s="69" t="s">
        <v>10</v>
      </c>
      <c r="Q8" s="14" t="b">
        <f>IFERROR(__xludf.DUMMYFUNCTION("IF(COUNTA(P8:P147)=0,"""",IFERROR(IF(ISBLANK(P8),FALSE,IF(ISBLANK(T8),1,IF(NOT(COUNTIF($AA$24:$AA$34,SUBSTITUTE(P8,""Sell_"",""""))),1,IF(P8=""Plastic_up"",IF(V8&lt;1000,1),IF(P8=""Super_Up"",IF(OR(COUNTIF(P$4:P8,""Grandma"")-COUNTIF(P$4:P8,""Sell_Grandma"")"&amp;"&lt;1,COUNTIF(P$4:P8,VLOOKUP(P8,Upgrades!$F$8:$N$8,7+COUNTIF(P$4:P8,P8)))-COUNTIF(P$4:P8,""Sell_""&amp;VLOOKUP(P8,Upgrades!$F$8:$N$8,7+COUNTIF(P$4:P8,P8)))&lt;15),1),IF(REGEXMATCH(P8,""_up""),IF(COUNTIF(P$4:P8,SUBSTITUTE(P8,""_up"",""""))&lt;IFERROR(VLOOKUP(P8,Upgrade"&amp;"s!$L$3:$P$6,1+COUNTIF(P$4:P8,P8),0),999),1),IF(REGEXMATCH(P8,""Sell_""),IF(COUNTIF(P$4:P8,SUBSTITUTE(P8,""Sell_"",""""))-COUNTIF(P$4:P7,P8)&lt;1,1),FALSE)))))))))"),FALSE)</f>
        <v>0</v>
      </c>
      <c r="R8" s="71">
        <f>IFERROR(__xludf.DUMMYFUNCTION("IF(REGEXMATCH(P8,""^Sell_""),R7, IF(COUNTA(P8:P147)=0,"""",(COUNTIF(P$4:P8,""Cursor"")-COUNTIF(P$4:P8,""Sell_Cursor""))*(0.1*2^SWITCH(COUNTIF(P$4:P8,""Cursor_up""),0,0,1,1,2,2,3)+SWITCH(COUNTIF(P$4:P8,""Cursor_up""),4,0.1,0)*(ROW(P8)-4-COUNTIF(P$4:P8,""Cu"&amp;"rsor"")-COUNTIF(P$4:P8,""*""&amp;""_up"")-2*COUNTIF(P$4:P8,""Sell_""&amp;""*"")+COUNTIF(P$4:P8,""Sell_Cursor"")-COUNTIF(P$4:P8,"""")))+(COUNTIF(P$4:P8,""Grandma"")-COUNTIF(P$4:P8,""Sell_Grandma""))*(1*2^(COUNTIF(P$4:P8,""Grandma_up"")+COUNTIF(P$4:P8,""Super_up"")"&amp;"))+(COUNTIF(P$4:P8,""Farm"")-COUNTIF(P$4:P8,""Sell_Farm""))*(8*2^COUNTIF(P$4:P8,""Farm_up""))*IF(COUNTIF(P$4:P8,""Super_up"")&gt;0,1+0.01*(COUNTIF(P$4:P8,""Grandma"")-COUNTIF(P$4:P8,""Sell_Grandma"")),1)+(COUNTIF(P$4:P8,""Mine"")-COUNTIF(P$4:P8,""Sell_Mine"""&amp;"))*((47*2^COUNTIF(P$4:P8,""Mine_up""))*IF(COUNTIF(P$4:P8,""Super_up"")&gt;1,1+0.005*(COUNTIF(P$4:P8,""Grandma"")-COUNTIF(P$4:P8,""Sell_Grandma"")),1))+(COUNTIF(P$4:P8,""Factory"")-COUNTIF(P$4:P8,""Sell_Factory""))*(260*2^COUNTIF(P$4:P8,""Factory_up""))))"),0.8)</f>
        <v>0.8</v>
      </c>
      <c r="S8" s="73">
        <f>IFERROR(__xludf.DUMMYFUNCTION("IF(COUNTA(P8:P147)=0,"""",IF(REGEXMATCH(INDEX(FILTER(P$4:P8,P$4:P8&lt;&gt;""""),ROWS(FILTER(P$4:P8,P$4:P8&lt;&gt;""""))),""^Sell_""),INDEX(FILTER(S$4:S7,P$4:P7&lt;&gt;""""),ROWS(FILTER(P$4:P7,P$4:P7&lt;&gt;""""))),$AD$5*(2^SWITCH(COUNTIF(P$4:P8,""Cursor_up""),0,0,1,1,2,2,3)+SWIT"&amp;"CH(COUNTIF(P$4:P8,""Cursor_up""),4,0.1,0)*(ROW(P8)-4-COUNTIF(P$4:P8,""Cursor"")-COUNTIF(P$4:P8,""*""&amp;""_up"")-2*COUNTIF(P$4:P8,""Sell_""&amp;""*"")+COUNTIF(P$4:P8,""Sell_Cursor"")-COUNTIF(P$4:P8,""""))+0.01*R8*COUNTIF(P$4:P8,""Plastic_up""))+R8))"),40.8)</f>
        <v>40.8</v>
      </c>
      <c r="T8" s="14">
        <f>IFERROR(__xludf.DUMMYFUNCTION("IF(COUNTA(P8:P147)=0,"""",IF(REGEXMATCH(P8,""_up""),VLOOKUP(P8,Upgrades!$F$3:$J$8,1+COUNTIF(P$4:P8,P8),FALSE),IF(P8="""",0,IF(REGEXMATCH(P8,""^Sell_""),-ROUNDDOWN(ROUNDUP(INDEX(Upgrades!$C$3:$C$8,MATCH(SUBSTITUTE(P8,""Sell_"",""""),Upgrades!$B$3:$B$8,0))*"&amp;"1.15^(COUNTIF(P$4:P7,SUBSTITUTE(P8,""Sell_"",""""))-COUNTIF(P$4:P7,""Sell_""&amp;SUBSTITUTE(P8,""Sell_"",""""))))/4),ROUNDUP(INDEX(Upgrades!$C$3:$C$7,MATCH(P8,Upgrades!$B$3:$B$7,0))*1.15^(COUNTIF(P$4:P7,P8)-COUNTIF(P$4:P7,""Sell_""&amp;P8)))))))"),18.0)</f>
        <v>18</v>
      </c>
      <c r="U8" s="14">
        <f t="shared" si="10"/>
        <v>18</v>
      </c>
      <c r="V8" s="75">
        <f t="shared" si="11"/>
        <v>2316.039604</v>
      </c>
      <c r="W8" s="76">
        <f t="shared" si="12"/>
        <v>36.5990099</v>
      </c>
      <c r="X8" s="71" t="str">
        <f t="shared" si="13"/>
        <v>36s</v>
      </c>
      <c r="Y8" s="77">
        <f t="shared" si="14"/>
        <v>633</v>
      </c>
      <c r="Z8" s="17"/>
      <c r="AG8" s="13"/>
    </row>
    <row r="9">
      <c r="A9" s="12"/>
      <c r="B9" s="65">
        <f t="shared" si="2"/>
        <v>3</v>
      </c>
      <c r="C9" s="69" t="s">
        <v>10</v>
      </c>
      <c r="D9" s="14" t="b">
        <f>IFERROR(__xludf.DUMMYFUNCTION("IF(COUNTA(C9:C147)=0,"""",IFERROR(IF(ISBLANK(C9),FALSE,IF(ISBLANK(G9),1,IF(NOT(COUNTIF($AA$24:$AA$34,SUBSTITUTE(C9,""Sell_"",""""))),1,IF(C9=""Plastic_up"",IF(I9&lt;1000,1),IF(C9=""Super_Up"",IF(OR(COUNTIF(C$4:C9,""Grandma"")-COUNTIF(C$4:C9,""Sell_Grandma"")"&amp;"&lt;1,COUNTIF(C$4:C9,VLOOKUP(C9,Upgrades!$F$8:$N$8,7+COUNTIF(C$4:C9,C9)))-COUNTIF(C$4:C9,""Sell_""&amp;VLOOKUP(C9,Upgrades!$F$8:$N$8,7+COUNTIF(C$4:C9,C9)))&lt;15),1),IF(REGEXMATCH(C9,""_up""),IF(COUNTIF(C$4:C9,SUBSTITUTE(C9,""_up"",""""))&lt;IFERROR(VLOOKUP(C9,Upgrade"&amp;"s!$L$3:$P$6,1+COUNTIF(C$4:C9,C9),0),999),1),IF(REGEXMATCH(C9,""Sell_""),IF(COUNTIF(C$4:C9,SUBSTITUTE(C9,""Sell_"",""""))-COUNTIF(C$4:C8,C9)&lt;1,1),FALSE)))))))))"),FALSE)</f>
        <v>0</v>
      </c>
      <c r="E9" s="71">
        <f>IFERROR(__xludf.DUMMYFUNCTION("IF(REGEXMATCH(C9,""^Sell_""),E8, IF(COUNTA(C9:C147)=0,"""",(COUNTIF(C$4:C9,""Cursor"")-COUNTIF(C$4:C9,""Sell_Cursor""))*(0.1*2^SWITCH(COUNTIF(C$4:C9,""Cursor_up""),0,0,1,1,2,2,3)+SWITCH(COUNTIF(C$4:C9,""Cursor_up""),4,0.1,0)*(ROW(C9)-4-COUNTIF(C$4:C9,""Cu"&amp;"rsor"")-COUNTIF(C$4:C9,""*""&amp;""_up"")-2*COUNTIF(C$4:C9,""Sell_""&amp;""*"")+COUNTIF(C$4:C9,""Sell_Cursor"")-COUNTIF(C$4:C9,"""")))+(COUNTIF(C$4:C9,""Grandma"")-COUNTIF(C$4:C9,""Sell_Grandma""))*(1*2^(COUNTIF(C$4:C9,""Grandma_up"")+COUNTIF(C$4:C9,""Super_up"")"&amp;"))+(COUNTIF(C$4:C9,""Farm"")-COUNTIF(C$4:C9,""Sell_Farm""))*(8*2^COUNTIF(C$4:C9,""Farm_up""))*IF(COUNTIF(C$4:C9,""Super_up"")&gt;0,1+0.01*(COUNTIF(C$4:C9,""Grandma"")-COUNTIF(C$4:C9,""Sell_Grandma"")),1)+(COUNTIF(C$4:C9,""Mine"")-COUNTIF(C$4:C9,""Sell_Mine"""&amp;"))*((47*2^COUNTIF(C$4:C9,""Mine_up""))*IF(COUNTIF(C$4:C9,""Super_up"")&gt;1,1+0.005*(COUNTIF(C$4:C9,""Grandma"")-COUNTIF(C$4:C9,""Sell_Grandma"")),1))+(COUNTIF(C$4:C9,""Factory"")-COUNTIF(C$4:C9,""Sell_Factory""))*(260*2^COUNTIF(C$4:C9,""Factory_up""))))"),1.2000000000000002)</f>
        <v>1.2</v>
      </c>
      <c r="F9" s="73">
        <f>IFERROR(__xludf.DUMMYFUNCTION("IF(COUNTA(C9:C147)=0,"""",IF(REGEXMATCH(INDEX(FILTER(C$4:C9,C$4:C9&lt;&gt;""""),ROWS(FILTER(C$4:C9,C$4:C9&lt;&gt;""""))),""^Sell_""),INDEX(FILTER(F$4:F8,C$4:C8&lt;&gt;""""),ROWS(FILTER(C$4:C8,C$4:C8&lt;&gt;""""))),$AC$5*(2^SWITCH(COUNTIF(C$4:C9,""Cursor_up""),0,0,1,1,2,2,3)+SWIT"&amp;"CH(COUNTIF(C$4:C9,""Cursor_up""),4,0.1,0)*(ROW(C9)-4-COUNTIF(C$4:C9,""Cursor"")-COUNTIF(C$4:C9,""*""&amp;""_up"")-2*COUNTIF(C$4:C9,""Sell_""&amp;""*"")+COUNTIF(C$4:C9,""Sell_Cursor"")-COUNTIF(C$4:C9,""""))+0.01*E9*COUNTIF(C$4:C9,""Plastic_up""))+E9))"),41.2)</f>
        <v>41.2</v>
      </c>
      <c r="G9" s="14">
        <f>IFERROR(__xludf.DUMMYFUNCTION("IF(COUNTA(C9:C147)=0,"""",IF(REGEXMATCH(C9,""_up""),VLOOKUP(C9,Upgrades!$F$3:$J$8,1+COUNTIF(C$4:C9,C9),FALSE),IF(C9="""",0,IF(REGEXMATCH(C9,""^Sell_""),-ROUNDDOWN(ROUNDUP(INDEX(Upgrades!$C$3:$C$8,MATCH(SUBSTITUTE(C9,""Sell_"",""""),Upgrades!$B$3:$B$8,0))*"&amp;"1.15^(COUNTIF(C$4:C8,SUBSTITUTE(C9,""Sell_"",""""))-COUNTIF(C$4:C8,""Sell_""&amp;SUBSTITUTE(C9,""Sell_"",""""))))/4),ROUNDUP(INDEX(Upgrades!$C$3:$C$7,MATCH(C9,Upgrades!$B$3:$B$7,0))*1.15^(COUNTIF(C$4:C8,C9)-COUNTIF(C$4:C8,""Sell_""&amp;C9)))))))"),20.0)</f>
        <v>20</v>
      </c>
      <c r="H9" s="14">
        <f t="shared" si="3"/>
        <v>20</v>
      </c>
      <c r="I9" s="75">
        <f t="shared" si="4"/>
        <v>3799.607843</v>
      </c>
      <c r="J9" s="76">
        <f t="shared" si="5"/>
        <v>37.08920598</v>
      </c>
      <c r="K9" s="71" t="str">
        <f t="shared" si="6"/>
        <v>37s</v>
      </c>
      <c r="L9" s="77">
        <f t="shared" si="7"/>
        <v>653</v>
      </c>
      <c r="M9" s="51">
        <f t="shared" si="8"/>
        <v>0</v>
      </c>
      <c r="N9" s="52">
        <f>IFERROR(__xludf.DUMMYFUNCTION("IFS(AND(COUNTA(C9:C147)=0,COUNTA(P9:P147)=0),"""",OR(AND(L9&gt;=1000000,OR(Y9&gt;=1000000,COUNTA(P9:P147)=0)),AND(Y9&gt;=1000000,COUNTA(C9:C147)=0),AND(COUNTA(P9:P147)=0,O$3=TRUE)),
ROUNDDOWN((AB$1-AC$1)*MAX(INDEX(S$4:S147,MATCH(LARGE(FILTER(Y$4:Y147,Y$4:Y147&lt;1000"&amp;"000),1),Y$4:Y147)),INDEX(F$4:F147,MATCH(LARGE(FILTER(L$4:L147,L$4:L147&lt;1000000),1),L$4:L147)))),AND(L9&lt;1000000,COUNTA(C9:C147)&gt;0,O$3=FALSE),
ROUNDDOWN(INDEX(Y$4:Y147,MATCH(LARGE(FILTER(W$4:W147,W$4:W147&lt;=J9),1),W$4:W147))+(J9-LARGE(FILTER(W$4:W147,W$4:W14"&amp;"7&lt;=J9),1))*INDEX(S$4:S147,MATCH(LARGE(FILTER(W$4:W147,W$4:W147&lt;=J9),1),W$4:W147))-L9),1,
ROUNDDOWN(Y9-INDEX(L$4:L147,MATCH(LARGE(FILTER(J$4:J147,J$4:J147&lt;=W9),1),J$4:J147))-(W9-LARGE(FILTER(J$4:J147,J$4:J147&lt;=W9),1))*INDEX(F$4:F147,MATCH(LARGE(FILTER(J$4:"&amp;"J147,J$4:J147&lt;=W9),1),J$4:J147))))"),0.0)</f>
        <v>0</v>
      </c>
      <c r="O9" s="65">
        <f t="shared" si="9"/>
        <v>3</v>
      </c>
      <c r="P9" s="69" t="s">
        <v>10</v>
      </c>
      <c r="Q9" s="14" t="b">
        <f>IFERROR(__xludf.DUMMYFUNCTION("IF(COUNTA(P9:P147)=0,"""",IFERROR(IF(ISBLANK(P9),FALSE,IF(ISBLANK(T9),1,IF(NOT(COUNTIF($AA$24:$AA$34,SUBSTITUTE(P9,""Sell_"",""""))),1,IF(P9=""Plastic_up"",IF(V9&lt;1000,1),IF(P9=""Super_Up"",IF(OR(COUNTIF(P$4:P9,""Grandma"")-COUNTIF(P$4:P9,""Sell_Grandma"")"&amp;"&lt;1,COUNTIF(P$4:P9,VLOOKUP(P9,Upgrades!$F$8:$N$8,7+COUNTIF(P$4:P9,P9)))-COUNTIF(P$4:P9,""Sell_""&amp;VLOOKUP(P9,Upgrades!$F$8:$N$8,7+COUNTIF(P$4:P9,P9)))&lt;15),1),IF(REGEXMATCH(P9,""_up""),IF(COUNTIF(P$4:P9,SUBSTITUTE(P9,""_up"",""""))&lt;IFERROR(VLOOKUP(P9,Upgrade"&amp;"s!$L$3:$P$6,1+COUNTIF(P$4:P9,P9),0),999),1),IF(REGEXMATCH(P9,""Sell_""),IF(COUNTIF(P$4:P9,SUBSTITUTE(P9,""Sell_"",""""))-COUNTIF(P$4:P8,P9)&lt;1,1),FALSE)))))))))"),FALSE)</f>
        <v>0</v>
      </c>
      <c r="R9" s="71">
        <f>IFERROR(__xludf.DUMMYFUNCTION("IF(REGEXMATCH(P9,""^Sell_""),R8, IF(COUNTA(P9:P147)=0,"""",(COUNTIF(P$4:P9,""Cursor"")-COUNTIF(P$4:P9,""Sell_Cursor""))*(0.1*2^SWITCH(COUNTIF(P$4:P9,""Cursor_up""),0,0,1,1,2,2,3)+SWITCH(COUNTIF(P$4:P9,""Cursor_up""),4,0.1,0)*(ROW(P9)-4-COUNTIF(P$4:P9,""Cu"&amp;"rsor"")-COUNTIF(P$4:P9,""*""&amp;""_up"")-2*COUNTIF(P$4:P9,""Sell_""&amp;""*"")+COUNTIF(P$4:P9,""Sell_Cursor"")-COUNTIF(P$4:P9,"""")))+(COUNTIF(P$4:P9,""Grandma"")-COUNTIF(P$4:P9,""Sell_Grandma""))*(1*2^(COUNTIF(P$4:P9,""Grandma_up"")+COUNTIF(P$4:P9,""Super_up"")"&amp;"))+(COUNTIF(P$4:P9,""Farm"")-COUNTIF(P$4:P9,""Sell_Farm""))*(8*2^COUNTIF(P$4:P9,""Farm_up""))*IF(COUNTIF(P$4:P9,""Super_up"")&gt;0,1+0.01*(COUNTIF(P$4:P9,""Grandma"")-COUNTIF(P$4:P9,""Sell_Grandma"")),1)+(COUNTIF(P$4:P9,""Mine"")-COUNTIF(P$4:P9,""Sell_Mine"""&amp;"))*((47*2^COUNTIF(P$4:P9,""Mine_up""))*IF(COUNTIF(P$4:P9,""Super_up"")&gt;1,1+0.005*(COUNTIF(P$4:P9,""Grandma"")-COUNTIF(P$4:P9,""Sell_Grandma"")),1))+(COUNTIF(P$4:P9,""Factory"")-COUNTIF(P$4:P9,""Sell_Factory""))*(260*2^COUNTIF(P$4:P9,""Factory_up""))))"),1.2000000000000002)</f>
        <v>1.2</v>
      </c>
      <c r="S9" s="73">
        <f>IFERROR(__xludf.DUMMYFUNCTION("IF(COUNTA(P9:P147)=0,"""",IF(REGEXMATCH(INDEX(FILTER(P$4:P9,P$4:P9&lt;&gt;""""),ROWS(FILTER(P$4:P9,P$4:P9&lt;&gt;""""))),""^Sell_""),INDEX(FILTER(S$4:S8,P$4:P8&lt;&gt;""""),ROWS(FILTER(P$4:P8,P$4:P8&lt;&gt;""""))),$AD$5*(2^SWITCH(COUNTIF(P$4:P9,""Cursor_up""),0,0,1,1,2,2,3)+SWIT"&amp;"CH(COUNTIF(P$4:P9,""Cursor_up""),4,0.1,0)*(ROW(P9)-4-COUNTIF(P$4:P9,""Cursor"")-COUNTIF(P$4:P9,""*""&amp;""_up"")-2*COUNTIF(P$4:P9,""Sell_""&amp;""*"")+COUNTIF(P$4:P9,""Sell_Cursor"")-COUNTIF(P$4:P9,""""))+0.01*R9*COUNTIF(P$4:P9,""Plastic_up""))+R9))"),41.2)</f>
        <v>41.2</v>
      </c>
      <c r="T9" s="14">
        <f>IFERROR(__xludf.DUMMYFUNCTION("IF(COUNTA(P9:P147)=0,"""",IF(REGEXMATCH(P9,""_up""),VLOOKUP(P9,Upgrades!$F$3:$J$8,1+COUNTIF(P$4:P9,P9),FALSE),IF(P9="""",0,IF(REGEXMATCH(P9,""^Sell_""),-ROUNDDOWN(ROUNDUP(INDEX(Upgrades!$C$3:$C$8,MATCH(SUBSTITUTE(P9,""Sell_"",""""),Upgrades!$B$3:$B$8,0))*"&amp;"1.15^(COUNTIF(P$4:P8,SUBSTITUTE(P9,""Sell_"",""""))-COUNTIF(P$4:P8,""Sell_""&amp;SUBSTITUTE(P9,""Sell_"",""""))))/4),ROUNDUP(INDEX(Upgrades!$C$3:$C$7,MATCH(P9,Upgrades!$B$3:$B$7,0))*1.15^(COUNTIF(P$4:P8,P9)-COUNTIF(P$4:P8,""Sell_""&amp;P9)))))))"),20.0)</f>
        <v>20</v>
      </c>
      <c r="U9" s="14">
        <f t="shared" si="10"/>
        <v>20</v>
      </c>
      <c r="V9" s="75">
        <f t="shared" si="11"/>
        <v>3799.607843</v>
      </c>
      <c r="W9" s="76">
        <f t="shared" si="12"/>
        <v>37.08920598</v>
      </c>
      <c r="X9" s="71" t="str">
        <f t="shared" si="13"/>
        <v>37s</v>
      </c>
      <c r="Y9" s="77">
        <f t="shared" si="14"/>
        <v>653</v>
      </c>
      <c r="Z9" s="17"/>
      <c r="AA9" s="89" t="s">
        <v>64</v>
      </c>
      <c r="AB9" s="90"/>
      <c r="AC9" s="90"/>
      <c r="AD9" s="90"/>
      <c r="AE9" s="90"/>
      <c r="AF9" s="91"/>
      <c r="AG9" s="13"/>
    </row>
    <row r="10">
      <c r="A10" s="12"/>
      <c r="B10" s="65">
        <f t="shared" si="2"/>
        <v>4</v>
      </c>
      <c r="C10" s="69" t="s">
        <v>10</v>
      </c>
      <c r="D10" s="14" t="b">
        <f>IFERROR(__xludf.DUMMYFUNCTION("IF(COUNTA(C10:C147)=0,"""",IFERROR(IF(ISBLANK(C10),FALSE,IF(ISBLANK(G10),1,IF(NOT(COUNTIF($AA$24:$AA$34,SUBSTITUTE(C10,""Sell_"",""""))),1,IF(C10=""Plastic_up"",IF(I10&lt;1000,1),IF(C10=""Super_Up"",IF(OR(COUNTIF(C$4:C10,""Grandma"")-COUNTIF(C$4:C10,""Sell_G"&amp;"randma"")&lt;1,COUNTIF(C$4:C10,VLOOKUP(C10,Upgrades!$F$8:$N$8,7+COUNTIF(C$4:C10,C10)))-COUNTIF(C$4:C10,""Sell_""&amp;VLOOKUP(C10,Upgrades!$F$8:$N$8,7+COUNTIF(C$4:C10,C10)))&lt;15),1),IF(REGEXMATCH(C10,""_up""),IF(COUNTIF(C$4:C10,SUBSTITUTE(C10,""_up"",""""))&lt;IFERRO"&amp;"R(VLOOKUP(C10,Upgrades!$L$3:$P$6,1+COUNTIF(C$4:C10,C10),0),999),1),IF(REGEXMATCH(C10,""Sell_""),IF(COUNTIF(C$4:C10,SUBSTITUTE(C10,""Sell_"",""""))-COUNTIF(C$4:C9,C10)&lt;1,1),FALSE)))))))))"),FALSE)</f>
        <v>0</v>
      </c>
      <c r="E10" s="71">
        <f>IFERROR(__xludf.DUMMYFUNCTION("IF(REGEXMATCH(C10,""^Sell_""),E9, IF(COUNTA(C10:C147)=0,"""",(COUNTIF(C$4:C10,""Cursor"")-COUNTIF(C$4:C10,""Sell_Cursor""))*(0.1*2^SWITCH(COUNTIF(C$4:C10,""Cursor_up""),0,0,1,1,2,2,3)+SWITCH(COUNTIF(C$4:C10,""Cursor_up""),4,0.1,0)*(ROW(C10)-4-COUNTIF(C$4:"&amp;"C10,""Cursor"")-COUNTIF(C$4:C10,""*""&amp;""_up"")-2*COUNTIF(C$4:C10,""Sell_""&amp;""*"")+COUNTIF(C$4:C10,""Sell_Cursor"")-COUNTIF(C$4:C10,"""")))+(COUNTIF(C$4:C10,""Grandma"")-COUNTIF(C$4:C10,""Sell_Grandma""))*(1*2^(COUNTIF(C$4:C10,""Grandma_up"")+COUNTIF(C$4:C"&amp;"10,""Super_up"")))+(COUNTIF(C$4:C10,""Farm"")-COUNTIF(C$4:C10,""Sell_Farm""))*(8*2^COUNTIF(C$4:C10,""Farm_up""))*IF(COUNTIF(C$4:C10,""Super_up"")&gt;0,1+0.01*(COUNTIF(C$4:C10,""Grandma"")-COUNTIF(C$4:C10,""Sell_Grandma"")),1)+(COUNTIF(C$4:C10,""Mine"")-COUNT"&amp;"IF(C$4:C10,""Sell_Mine""))*((47*2^COUNTIF(C$4:C10,""Mine_up""))*IF(COUNTIF(C$4:C10,""Super_up"")&gt;1,1+0.005*(COUNTIF(C$4:C10,""Grandma"")-COUNTIF(C$4:C10,""Sell_Grandma"")),1))+(COUNTIF(C$4:C10,""Factory"")-COUNTIF(C$4:C10,""Sell_Factory""))*(260*2^COUNTIF"&amp;"(C$4:C10,""Factory_up""))))"),1.6)</f>
        <v>1.6</v>
      </c>
      <c r="F10" s="73">
        <f>IFERROR(__xludf.DUMMYFUNCTION("IF(COUNTA(C10:C147)=0,"""",IF(REGEXMATCH(INDEX(FILTER(C$4:C10,C$4:C10&lt;&gt;""""),ROWS(FILTER(C$4:C10,C$4:C10&lt;&gt;""""))),""^Sell_""),INDEX(FILTER(F$4:F9,C$4:C9&lt;&gt;""""),ROWS(FILTER(C$4:C9,C$4:C9&lt;&gt;""""))),$AC$5*(2^SWITCH(COUNTIF(C$4:C10,""Cursor_up""),0,0,1,1,2,2,3"&amp;")+SWITCH(COUNTIF(C$4:C10,""Cursor_up""),4,0.1,0)*(ROW(C10)-4-COUNTIF(C$4:C10,""Cursor"")-COUNTIF(C$4:C10,""*""&amp;""_up"")-2*COUNTIF(C$4:C10,""Sell_""&amp;""*"")+COUNTIF(C$4:C10,""Sell_Cursor"")-COUNTIF(C$4:C10,""""))+0.01*E10*COUNTIF(C$4:C10,""Plastic_up""))+E1"&amp;"0))"),41.6)</f>
        <v>41.6</v>
      </c>
      <c r="G10" s="14">
        <f>IFERROR(__xludf.DUMMYFUNCTION("IF(COUNTA(C10:C147)=0,"""",IF(REGEXMATCH(C10,""_up""),VLOOKUP(C10,Upgrades!$F$3:$J$8,1+COUNTIF(C$4:C10,C10),FALSE),IF(C10="""",0,IF(REGEXMATCH(C10,""^Sell_""),-ROUNDDOWN(ROUNDUP(INDEX(Upgrades!$C$3:$C$8,MATCH(SUBSTITUTE(C10,""Sell_"",""""),Upgrades!$B$3:$"&amp;"B$8,0))*1.15^(COUNTIF(C$4:C9,SUBSTITUTE(C10,""Sell_"",""""))-COUNTIF(C$4:C9,""Sell_""&amp;SUBSTITUTE(C10,""Sell_"",""""))))/4),ROUNDUP(INDEX(Upgrades!$C$3:$C$7,MATCH(C10,Upgrades!$B$3:$B$7,0))*1.15^(COUNTIF(C$4:C9,C10)-COUNTIF(C$4:C9,""Sell_""&amp;C10)))))))"),23.0)</f>
        <v>23</v>
      </c>
      <c r="H10" s="14">
        <f t="shared" si="3"/>
        <v>23</v>
      </c>
      <c r="I10" s="75">
        <f t="shared" si="4"/>
        <v>5305.506179</v>
      </c>
      <c r="J10" s="76">
        <f t="shared" si="5"/>
        <v>37.64745841</v>
      </c>
      <c r="K10" s="71" t="str">
        <f t="shared" si="6"/>
        <v>37s</v>
      </c>
      <c r="L10" s="77">
        <f t="shared" si="7"/>
        <v>676</v>
      </c>
      <c r="M10" s="51">
        <f t="shared" si="8"/>
        <v>0</v>
      </c>
      <c r="N10" s="52">
        <f>IFERROR(__xludf.DUMMYFUNCTION("IFS(AND(COUNTA(C10:C147)=0,COUNTA(P10:P147)=0),"""",OR(AND(L10&gt;=1000000,OR(Y10&gt;=1000000,COUNTA(P10:P147)=0)),AND(Y10&gt;=1000000,COUNTA(C10:C147)=0),AND(COUNTA(P10:P147)=0,O$3=TRUE)),
ROUNDDOWN((AB$1-AC$1)*MAX(INDEX(S$4:S147,MATCH(LARGE(FILTER(Y$4:Y147,Y$4:Y"&amp;"147&lt;1000000),1),Y$4:Y147)),INDEX(F$4:F147,MATCH(LARGE(FILTER(L$4:L147,L$4:L147&lt;1000000),1),L$4:L147)))),AND(L10&lt;1000000,COUNTA(C10:C147)&gt;0,O$3=FALSE),
ROUNDDOWN(INDEX(Y$4:Y147,MATCH(LARGE(FILTER(W$4:W147,W$4:W147&lt;=J10),1),W$4:W147))+(J10-LARGE(FILTER(W$4:"&amp;"W147,W$4:W147&lt;=J10),1))*INDEX(S$4:S147,MATCH(LARGE(FILTER(W$4:W147,W$4:W147&lt;=J10),1),W$4:W147))-L10),1,
ROUNDDOWN(Y10-INDEX(L$4:L147,MATCH(LARGE(FILTER(J$4:J147,J$4:J147&lt;=W10),1),J$4:J147))-(W10-LARGE(FILTER(J$4:J147,J$4:J147&lt;=W10),1))*INDEX(F$4:F147,MATC"&amp;"H(LARGE(FILTER(J$4:J147,J$4:J147&lt;=W10),1),J$4:J147))))"),0.0)</f>
        <v>0</v>
      </c>
      <c r="O10" s="65">
        <f t="shared" si="9"/>
        <v>4</v>
      </c>
      <c r="P10" s="69" t="s">
        <v>10</v>
      </c>
      <c r="Q10" s="14" t="b">
        <f>IFERROR(__xludf.DUMMYFUNCTION("IF(COUNTA(P10:P147)=0,"""",IFERROR(IF(ISBLANK(P10),FALSE,IF(ISBLANK(T10),1,IF(NOT(COUNTIF($AA$24:$AA$34,SUBSTITUTE(P10,""Sell_"",""""))),1,IF(P10=""Plastic_up"",IF(V10&lt;1000,1),IF(P10=""Super_Up"",IF(OR(COUNTIF(P$4:P10,""Grandma"")-COUNTIF(P$4:P10,""Sell_G"&amp;"randma"")&lt;1,COUNTIF(P$4:P10,VLOOKUP(P10,Upgrades!$F$8:$N$8,7+COUNTIF(P$4:P10,P10)))-COUNTIF(P$4:P10,""Sell_""&amp;VLOOKUP(P10,Upgrades!$F$8:$N$8,7+COUNTIF(P$4:P10,P10)))&lt;15),1),IF(REGEXMATCH(P10,""_up""),IF(COUNTIF(P$4:P10,SUBSTITUTE(P10,""_up"",""""))&lt;IFERRO"&amp;"R(VLOOKUP(P10,Upgrades!$L$3:$P$6,1+COUNTIF(P$4:P10,P10),0),999),1),IF(REGEXMATCH(P10,""Sell_""),IF(COUNTIF(P$4:P10,SUBSTITUTE(P10,""Sell_"",""""))-COUNTIF(P$4:P9,P10)&lt;1,1),FALSE)))))))))"),FALSE)</f>
        <v>0</v>
      </c>
      <c r="R10" s="71">
        <f>IFERROR(__xludf.DUMMYFUNCTION("IF(REGEXMATCH(P10,""^Sell_""),R9, IF(COUNTA(P10:P147)=0,"""",(COUNTIF(P$4:P10,""Cursor"")-COUNTIF(P$4:P10,""Sell_Cursor""))*(0.1*2^SWITCH(COUNTIF(P$4:P10,""Cursor_up""),0,0,1,1,2,2,3)+SWITCH(COUNTIF(P$4:P10,""Cursor_up""),4,0.1,0)*(ROW(P10)-4-COUNTIF(P$4:"&amp;"P10,""Cursor"")-COUNTIF(P$4:P10,""*""&amp;""_up"")-2*COUNTIF(P$4:P10,""Sell_""&amp;""*"")+COUNTIF(P$4:P10,""Sell_Cursor"")-COUNTIF(P$4:P10,"""")))+(COUNTIF(P$4:P10,""Grandma"")-COUNTIF(P$4:P10,""Sell_Grandma""))*(1*2^(COUNTIF(P$4:P10,""Grandma_up"")+COUNTIF(P$4:P"&amp;"10,""Super_up"")))+(COUNTIF(P$4:P10,""Farm"")-COUNTIF(P$4:P10,""Sell_Farm""))*(8*2^COUNTIF(P$4:P10,""Farm_up""))*IF(COUNTIF(P$4:P10,""Super_up"")&gt;0,1+0.01*(COUNTIF(P$4:P10,""Grandma"")-COUNTIF(P$4:P10,""Sell_Grandma"")),1)+(COUNTIF(P$4:P10,""Mine"")-COUNT"&amp;"IF(P$4:P10,""Sell_Mine""))*((47*2^COUNTIF(P$4:P10,""Mine_up""))*IF(COUNTIF(P$4:P10,""Super_up"")&gt;1,1+0.005*(COUNTIF(P$4:P10,""Grandma"")-COUNTIF(P$4:P10,""Sell_Grandma"")),1))+(COUNTIF(P$4:P10,""Factory"")-COUNTIF(P$4:P10,""Sell_Factory""))*(260*2^COUNTIF"&amp;"(P$4:P10,""Factory_up""))))"),1.6)</f>
        <v>1.6</v>
      </c>
      <c r="S10" s="73">
        <f>IFERROR(__xludf.DUMMYFUNCTION("IF(COUNTA(P10:P147)=0,"""",IF(REGEXMATCH(INDEX(FILTER(P$4:P10,P$4:P10&lt;&gt;""""),ROWS(FILTER(P$4:P10,P$4:P10&lt;&gt;""""))),""^Sell_""),INDEX(FILTER(S$4:S9,P$4:P9&lt;&gt;""""),ROWS(FILTER(P$4:P9,P$4:P9&lt;&gt;""""))),$AD$5*(2^SWITCH(COUNTIF(P$4:P10,""Cursor_up""),0,0,1,1,2,2,3"&amp;")+SWITCH(COUNTIF(P$4:P10,""Cursor_up""),4,0.1,0)*(ROW(P10)-4-COUNTIF(P$4:P10,""Cursor"")-COUNTIF(P$4:P10,""*""&amp;""_up"")-2*COUNTIF(P$4:P10,""Sell_""&amp;""*"")+COUNTIF(P$4:P10,""Sell_Cursor"")-COUNTIF(P$4:P10,""""))+0.01*R10*COUNTIF(P$4:P10,""Plastic_up""))+R1"&amp;"0))"),41.6)</f>
        <v>41.6</v>
      </c>
      <c r="T10" s="14">
        <f>IFERROR(__xludf.DUMMYFUNCTION("IF(COUNTA(P10:P147)=0,"""",IF(REGEXMATCH(P10,""_up""),VLOOKUP(P10,Upgrades!$F$3:$J$8,1+COUNTIF(P$4:P10,P10),FALSE),IF(P10="""",0,IF(REGEXMATCH(P10,""^Sell_""),-ROUNDDOWN(ROUNDUP(INDEX(Upgrades!$C$3:$C$8,MATCH(SUBSTITUTE(P10,""Sell_"",""""),Upgrades!$B$3:$"&amp;"B$8,0))*1.15^(COUNTIF(P$4:P9,SUBSTITUTE(P10,""Sell_"",""""))-COUNTIF(P$4:P9,""Sell_""&amp;SUBSTITUTE(P10,""Sell_"",""""))))/4),ROUNDUP(INDEX(Upgrades!$C$3:$C$7,MATCH(P10,Upgrades!$B$3:$B$7,0))*1.15^(COUNTIF(P$4:P9,P10)-COUNTIF(P$4:P9,""Sell_""&amp;P10)))))))"),23.0)</f>
        <v>23</v>
      </c>
      <c r="U10" s="14">
        <f t="shared" si="10"/>
        <v>23</v>
      </c>
      <c r="V10" s="75">
        <f t="shared" si="11"/>
        <v>5305.506179</v>
      </c>
      <c r="W10" s="76">
        <f t="shared" si="12"/>
        <v>37.64745841</v>
      </c>
      <c r="X10" s="71" t="str">
        <f t="shared" si="13"/>
        <v>37s</v>
      </c>
      <c r="Y10" s="77">
        <f t="shared" si="14"/>
        <v>676</v>
      </c>
      <c r="Z10" s="17"/>
      <c r="AA10" s="92" t="s">
        <v>65</v>
      </c>
      <c r="AB10" s="93"/>
      <c r="AC10" s="93"/>
      <c r="AD10" s="93"/>
      <c r="AE10" s="93"/>
      <c r="AF10" s="94"/>
      <c r="AG10" s="13"/>
    </row>
    <row r="11">
      <c r="A11" s="12"/>
      <c r="B11" s="65">
        <f t="shared" si="2"/>
        <v>5</v>
      </c>
      <c r="C11" s="69" t="s">
        <v>10</v>
      </c>
      <c r="D11" s="14" t="b">
        <f>IFERROR(__xludf.DUMMYFUNCTION("IF(COUNTA(C11:C147)=0,"""",IFERROR(IF(ISBLANK(C11),FALSE,IF(ISBLANK(G11),1,IF(NOT(COUNTIF($AA$24:$AA$34,SUBSTITUTE(C11,""Sell_"",""""))),1,IF(C11=""Plastic_up"",IF(I11&lt;1000,1),IF(C11=""Super_Up"",IF(OR(COUNTIF(C$4:C11,""Grandma"")-COUNTIF(C$4:C11,""Sell_G"&amp;"randma"")&lt;1,COUNTIF(C$4:C11,VLOOKUP(C11,Upgrades!$F$8:$N$8,7+COUNTIF(C$4:C11,C11)))-COUNTIF(C$4:C11,""Sell_""&amp;VLOOKUP(C11,Upgrades!$F$8:$N$8,7+COUNTIF(C$4:C11,C11)))&lt;15),1),IF(REGEXMATCH(C11,""_up""),IF(COUNTIF(C$4:C11,SUBSTITUTE(C11,""_up"",""""))&lt;IFERRO"&amp;"R(VLOOKUP(C11,Upgrades!$L$3:$P$6,1+COUNTIF(C$4:C11,C11),0),999),1),IF(REGEXMATCH(C11,""Sell_""),IF(COUNTIF(C$4:C11,SUBSTITUTE(C11,""Sell_"",""""))-COUNTIF(C$4:C10,C11)&lt;1,1),FALSE)))))))))"),FALSE)</f>
        <v>0</v>
      </c>
      <c r="E11" s="71">
        <f>IFERROR(__xludf.DUMMYFUNCTION("IF(REGEXMATCH(C11,""^Sell_""),E10, IF(COUNTA(C11:C147)=0,"""",(COUNTIF(C$4:C11,""Cursor"")-COUNTIF(C$4:C11,""Sell_Cursor""))*(0.1*2^SWITCH(COUNTIF(C$4:C11,""Cursor_up""),0,0,1,1,2,2,3)+SWITCH(COUNTIF(C$4:C11,""Cursor_up""),4,0.1,0)*(ROW(C11)-4-COUNTIF(C$4"&amp;":C11,""Cursor"")-COUNTIF(C$4:C11,""*""&amp;""_up"")-2*COUNTIF(C$4:C11,""Sell_""&amp;""*"")+COUNTIF(C$4:C11,""Sell_Cursor"")-COUNTIF(C$4:C11,"""")))+(COUNTIF(C$4:C11,""Grandma"")-COUNTIF(C$4:C11,""Sell_Grandma""))*(1*2^(COUNTIF(C$4:C11,""Grandma_up"")+COUNTIF(C$4:"&amp;"C11,""Super_up"")))+(COUNTIF(C$4:C11,""Farm"")-COUNTIF(C$4:C11,""Sell_Farm""))*(8*2^COUNTIF(C$4:C11,""Farm_up""))*IF(COUNTIF(C$4:C11,""Super_up"")&gt;0,1+0.01*(COUNTIF(C$4:C11,""Grandma"")-COUNTIF(C$4:C11,""Sell_Grandma"")),1)+(COUNTIF(C$4:C11,""Mine"")-COUN"&amp;"TIF(C$4:C11,""Sell_Mine""))*((47*2^COUNTIF(C$4:C11,""Mine_up""))*IF(COUNTIF(C$4:C11,""Super_up"")&gt;1,1+0.005*(COUNTIF(C$4:C11,""Grandma"")-COUNTIF(C$4:C11,""Sell_Grandma"")),1))+(COUNTIF(C$4:C11,""Factory"")-COUNTIF(C$4:C11,""Sell_Factory""))*(260*2^COUNTI"&amp;"F(C$4:C11,""Factory_up""))))"),2.0)</f>
        <v>2</v>
      </c>
      <c r="F11" s="73">
        <f>IFERROR(__xludf.DUMMYFUNCTION("IF(COUNTA(C11:C147)=0,"""",IF(REGEXMATCH(INDEX(FILTER(C$4:C11,C$4:C11&lt;&gt;""""),ROWS(FILTER(C$4:C11,C$4:C11&lt;&gt;""""))),""^Sell_""),INDEX(FILTER(F$4:F10,C$4:C10&lt;&gt;""""),ROWS(FILTER(C$4:C10,C$4:C10&lt;&gt;""""))),$AC$5*(2^SWITCH(COUNTIF(C$4:C11,""Cursor_up""),0,0,1,1,2"&amp;",2,3)+SWITCH(COUNTIF(C$4:C11,""Cursor_up""),4,0.1,0)*(ROW(C11)-4-COUNTIF(C$4:C11,""Cursor"")-COUNTIF(C$4:C11,""*""&amp;""_up"")-2*COUNTIF(C$4:C11,""Sell_""&amp;""*"")+COUNTIF(C$4:C11,""Sell_Cursor"")-COUNTIF(C$4:C11,""""))+0.01*E11*COUNTIF(C$4:C11,""Plastic_up"")"&amp;")+E11))"),42.0)</f>
        <v>42</v>
      </c>
      <c r="G11" s="14">
        <f>IFERROR(__xludf.DUMMYFUNCTION("IF(COUNTA(C11:C147)=0,"""",IF(REGEXMATCH(C11,""_up""),VLOOKUP(C11,Upgrades!$F$3:$J$8,1+COUNTIF(C$4:C11,C11),FALSE),IF(C11="""",0,IF(REGEXMATCH(C11,""^Sell_""),-ROUNDDOWN(ROUNDUP(INDEX(Upgrades!$C$3:$C$8,MATCH(SUBSTITUTE(C11,""Sell_"",""""),Upgrades!$B$3:$"&amp;"B$8,0))*1.15^(COUNTIF(C$4:C10,SUBSTITUTE(C11,""Sell_"",""""))-COUNTIF(C$4:C10,""Sell_""&amp;SUBSTITUTE(C11,""Sell_"",""""))))/4),ROUNDUP(INDEX(Upgrades!$C$3:$C$7,MATCH(C11,Upgrades!$B$3:$B$7,0))*1.15^(COUNTIF(C$4:C10,C11)-COUNTIF(C$4:C10,""Sell_""&amp;C11)))))))"),27.0)</f>
        <v>27</v>
      </c>
      <c r="H11" s="14">
        <f t="shared" si="3"/>
        <v>27</v>
      </c>
      <c r="I11" s="75">
        <f t="shared" si="4"/>
        <v>6837.366054</v>
      </c>
      <c r="J11" s="76">
        <f t="shared" si="5"/>
        <v>38.29649687</v>
      </c>
      <c r="K11" s="71" t="str">
        <f t="shared" si="6"/>
        <v>38s</v>
      </c>
      <c r="L11" s="77">
        <f t="shared" si="7"/>
        <v>703</v>
      </c>
      <c r="M11" s="51">
        <f t="shared" si="8"/>
        <v>0</v>
      </c>
      <c r="N11" s="52">
        <f>IFERROR(__xludf.DUMMYFUNCTION("IFS(AND(COUNTA(C11:C147)=0,COUNTA(P11:P147)=0),"""",OR(AND(L11&gt;=1000000,OR(Y11&gt;=1000000,COUNTA(P11:P147)=0)),AND(Y11&gt;=1000000,COUNTA(C11:C147)=0),AND(COUNTA(P11:P147)=0,O$3=TRUE)),
ROUNDDOWN((AB$1-AC$1)*MAX(INDEX(S$4:S147,MATCH(LARGE(FILTER(Y$4:Y147,Y$4:Y"&amp;"147&lt;1000000),1),Y$4:Y147)),INDEX(F$4:F147,MATCH(LARGE(FILTER(L$4:L147,L$4:L147&lt;1000000),1),L$4:L147)))),AND(L11&lt;1000000,COUNTA(C11:C147)&gt;0,O$3=FALSE),
ROUNDDOWN(INDEX(Y$4:Y147,MATCH(LARGE(FILTER(W$4:W147,W$4:W147&lt;=J11),1),W$4:W147))+(J11-LARGE(FILTER(W$4:"&amp;"W147,W$4:W147&lt;=J11),1))*INDEX(S$4:S147,MATCH(LARGE(FILTER(W$4:W147,W$4:W147&lt;=J11),1),W$4:W147))-L11),1,
ROUNDDOWN(Y11-INDEX(L$4:L147,MATCH(LARGE(FILTER(J$4:J147,J$4:J147&lt;=W11),1),J$4:J147))-(W11-LARGE(FILTER(J$4:J147,J$4:J147&lt;=W11),1))*INDEX(F$4:F147,MATC"&amp;"H(LARGE(FILTER(J$4:J147,J$4:J147&lt;=W11),1),J$4:J147))))"),0.0)</f>
        <v>0</v>
      </c>
      <c r="O11" s="65">
        <f t="shared" si="9"/>
        <v>5</v>
      </c>
      <c r="P11" s="69" t="s">
        <v>10</v>
      </c>
      <c r="Q11" s="14" t="b">
        <f>IFERROR(__xludf.DUMMYFUNCTION("IF(COUNTA(P11:P147)=0,"""",IFERROR(IF(ISBLANK(P11),FALSE,IF(ISBLANK(T11),1,IF(NOT(COUNTIF($AA$24:$AA$34,SUBSTITUTE(P11,""Sell_"",""""))),1,IF(P11=""Plastic_up"",IF(V11&lt;1000,1),IF(P11=""Super_Up"",IF(OR(COUNTIF(P$4:P11,""Grandma"")-COUNTIF(P$4:P11,""Sell_G"&amp;"randma"")&lt;1,COUNTIF(P$4:P11,VLOOKUP(P11,Upgrades!$F$8:$N$8,7+COUNTIF(P$4:P11,P11)))-COUNTIF(P$4:P11,""Sell_""&amp;VLOOKUP(P11,Upgrades!$F$8:$N$8,7+COUNTIF(P$4:P11,P11)))&lt;15),1),IF(REGEXMATCH(P11,""_up""),IF(COUNTIF(P$4:P11,SUBSTITUTE(P11,""_up"",""""))&lt;IFERRO"&amp;"R(VLOOKUP(P11,Upgrades!$L$3:$P$6,1+COUNTIF(P$4:P11,P11),0),999),1),IF(REGEXMATCH(P11,""Sell_""),IF(COUNTIF(P$4:P11,SUBSTITUTE(P11,""Sell_"",""""))-COUNTIF(P$4:P10,P11)&lt;1,1),FALSE)))))))))"),FALSE)</f>
        <v>0</v>
      </c>
      <c r="R11" s="71">
        <f>IFERROR(__xludf.DUMMYFUNCTION("IF(REGEXMATCH(P11,""^Sell_""),R10, IF(COUNTA(P11:P147)=0,"""",(COUNTIF(P$4:P11,""Cursor"")-COUNTIF(P$4:P11,""Sell_Cursor""))*(0.1*2^SWITCH(COUNTIF(P$4:P11,""Cursor_up""),0,0,1,1,2,2,3)+SWITCH(COUNTIF(P$4:P11,""Cursor_up""),4,0.1,0)*(ROW(P11)-4-COUNTIF(P$4"&amp;":P11,""Cursor"")-COUNTIF(P$4:P11,""*""&amp;""_up"")-2*COUNTIF(P$4:P11,""Sell_""&amp;""*"")+COUNTIF(P$4:P11,""Sell_Cursor"")-COUNTIF(P$4:P11,"""")))+(COUNTIF(P$4:P11,""Grandma"")-COUNTIF(P$4:P11,""Sell_Grandma""))*(1*2^(COUNTIF(P$4:P11,""Grandma_up"")+COUNTIF(P$4:"&amp;"P11,""Super_up"")))+(COUNTIF(P$4:P11,""Farm"")-COUNTIF(P$4:P11,""Sell_Farm""))*(8*2^COUNTIF(P$4:P11,""Farm_up""))*IF(COUNTIF(P$4:P11,""Super_up"")&gt;0,1+0.01*(COUNTIF(P$4:P11,""Grandma"")-COUNTIF(P$4:P11,""Sell_Grandma"")),1)+(COUNTIF(P$4:P11,""Mine"")-COUN"&amp;"TIF(P$4:P11,""Sell_Mine""))*((47*2^COUNTIF(P$4:P11,""Mine_up""))*IF(COUNTIF(P$4:P11,""Super_up"")&gt;1,1+0.005*(COUNTIF(P$4:P11,""Grandma"")-COUNTIF(P$4:P11,""Sell_Grandma"")),1))+(COUNTIF(P$4:P11,""Factory"")-COUNTIF(P$4:P11,""Sell_Factory""))*(260*2^COUNTI"&amp;"F(P$4:P11,""Factory_up""))))"),2.0)</f>
        <v>2</v>
      </c>
      <c r="S11" s="73">
        <f>IFERROR(__xludf.DUMMYFUNCTION("IF(COUNTA(P11:P147)=0,"""",IF(REGEXMATCH(INDEX(FILTER(P$4:P11,P$4:P11&lt;&gt;""""),ROWS(FILTER(P$4:P11,P$4:P11&lt;&gt;""""))),""^Sell_""),INDEX(FILTER(S$4:S10,P$4:P10&lt;&gt;""""),ROWS(FILTER(P$4:P10,P$4:P10&lt;&gt;""""))),$AD$5*(2^SWITCH(COUNTIF(P$4:P11,""Cursor_up""),0,0,1,1,2"&amp;",2,3)+SWITCH(COUNTIF(P$4:P11,""Cursor_up""),4,0.1,0)*(ROW(P11)-4-COUNTIF(P$4:P11,""Cursor"")-COUNTIF(P$4:P11,""*""&amp;""_up"")-2*COUNTIF(P$4:P11,""Sell_""&amp;""*"")+COUNTIF(P$4:P11,""Sell_Cursor"")-COUNTIF(P$4:P11,""""))+0.01*R11*COUNTIF(P$4:P11,""Plastic_up"")"&amp;")+R11))"),42.0)</f>
        <v>42</v>
      </c>
      <c r="T11" s="14">
        <f>IFERROR(__xludf.DUMMYFUNCTION("IF(COUNTA(P11:P147)=0,"""",IF(REGEXMATCH(P11,""_up""),VLOOKUP(P11,Upgrades!$F$3:$J$8,1+COUNTIF(P$4:P11,P11),FALSE),IF(P11="""",0,IF(REGEXMATCH(P11,""^Sell_""),-ROUNDDOWN(ROUNDUP(INDEX(Upgrades!$C$3:$C$8,MATCH(SUBSTITUTE(P11,""Sell_"",""""),Upgrades!$B$3:$"&amp;"B$8,0))*1.15^(COUNTIF(P$4:P10,SUBSTITUTE(P11,""Sell_"",""""))-COUNTIF(P$4:P10,""Sell_""&amp;SUBSTITUTE(P11,""Sell_"",""""))))/4),ROUNDUP(INDEX(Upgrades!$C$3:$C$7,MATCH(P11,Upgrades!$B$3:$B$7,0))*1.15^(COUNTIF(P$4:P10,P11)-COUNTIF(P$4:P10,""Sell_""&amp;P11)))))))"),27.0)</f>
        <v>27</v>
      </c>
      <c r="U11" s="14">
        <f t="shared" si="10"/>
        <v>27</v>
      </c>
      <c r="V11" s="75">
        <f t="shared" si="11"/>
        <v>6837.366054</v>
      </c>
      <c r="W11" s="76">
        <f t="shared" si="12"/>
        <v>38.29649687</v>
      </c>
      <c r="X11" s="71" t="str">
        <f t="shared" si="13"/>
        <v>38s</v>
      </c>
      <c r="Y11" s="77">
        <f t="shared" si="14"/>
        <v>703</v>
      </c>
      <c r="Z11" s="17"/>
      <c r="AA11" s="92" t="s">
        <v>66</v>
      </c>
      <c r="AB11" s="93"/>
      <c r="AC11" s="93"/>
      <c r="AD11" s="93"/>
      <c r="AE11" s="93"/>
      <c r="AF11" s="94"/>
      <c r="AG11" s="13"/>
    </row>
    <row r="12">
      <c r="A12" s="12"/>
      <c r="B12" s="65">
        <f t="shared" si="2"/>
        <v>6</v>
      </c>
      <c r="C12" s="69" t="s">
        <v>10</v>
      </c>
      <c r="D12" s="14" t="b">
        <f>IFERROR(__xludf.DUMMYFUNCTION("IF(COUNTA(C12:C147)=0,"""",IFERROR(IF(ISBLANK(C12),FALSE,IF(ISBLANK(G12),1,IF(NOT(COUNTIF($AA$24:$AA$34,SUBSTITUTE(C12,""Sell_"",""""))),1,IF(C12=""Plastic_up"",IF(I12&lt;1000,1),IF(C12=""Super_Up"",IF(OR(COUNTIF(C$4:C12,""Grandma"")-COUNTIF(C$4:C12,""Sell_G"&amp;"randma"")&lt;1,COUNTIF(C$4:C12,VLOOKUP(C12,Upgrades!$F$8:$N$8,7+COUNTIF(C$4:C12,C12)))-COUNTIF(C$4:C12,""Sell_""&amp;VLOOKUP(C12,Upgrades!$F$8:$N$8,7+COUNTIF(C$4:C12,C12)))&lt;15),1),IF(REGEXMATCH(C12,""_up""),IF(COUNTIF(C$4:C12,SUBSTITUTE(C12,""_up"",""""))&lt;IFERRO"&amp;"R(VLOOKUP(C12,Upgrades!$L$3:$P$6,1+COUNTIF(C$4:C12,C12),0),999),1),IF(REGEXMATCH(C12,""Sell_""),IF(COUNTIF(C$4:C12,SUBSTITUTE(C12,""Sell_"",""""))-COUNTIF(C$4:C11,C12)&lt;1,1),FALSE)))))))))"),FALSE)</f>
        <v>0</v>
      </c>
      <c r="E12" s="71">
        <f>IFERROR(__xludf.DUMMYFUNCTION("IF(REGEXMATCH(C12,""^Sell_""),E11, IF(COUNTA(C12:C147)=0,"""",(COUNTIF(C$4:C12,""Cursor"")-COUNTIF(C$4:C12,""Sell_Cursor""))*(0.1*2^SWITCH(COUNTIF(C$4:C12,""Cursor_up""),0,0,1,1,2,2,3)+SWITCH(COUNTIF(C$4:C12,""Cursor_up""),4,0.1,0)*(ROW(C12)-4-COUNTIF(C$4"&amp;":C12,""Cursor"")-COUNTIF(C$4:C12,""*""&amp;""_up"")-2*COUNTIF(C$4:C12,""Sell_""&amp;""*"")+COUNTIF(C$4:C12,""Sell_Cursor"")-COUNTIF(C$4:C12,"""")))+(COUNTIF(C$4:C12,""Grandma"")-COUNTIF(C$4:C12,""Sell_Grandma""))*(1*2^(COUNTIF(C$4:C12,""Grandma_up"")+COUNTIF(C$4:"&amp;"C12,""Super_up"")))+(COUNTIF(C$4:C12,""Farm"")-COUNTIF(C$4:C12,""Sell_Farm""))*(8*2^COUNTIF(C$4:C12,""Farm_up""))*IF(COUNTIF(C$4:C12,""Super_up"")&gt;0,1+0.01*(COUNTIF(C$4:C12,""Grandma"")-COUNTIF(C$4:C12,""Sell_Grandma"")),1)+(COUNTIF(C$4:C12,""Mine"")-COUN"&amp;"TIF(C$4:C12,""Sell_Mine""))*((47*2^COUNTIF(C$4:C12,""Mine_up""))*IF(COUNTIF(C$4:C12,""Super_up"")&gt;1,1+0.005*(COUNTIF(C$4:C12,""Grandma"")-COUNTIF(C$4:C12,""Sell_Grandma"")),1))+(COUNTIF(C$4:C12,""Factory"")-COUNTIF(C$4:C12,""Sell_Factory""))*(260*2^COUNTI"&amp;"F(C$4:C12,""Factory_up""))))"),2.4000000000000004)</f>
        <v>2.4</v>
      </c>
      <c r="F12" s="73">
        <f>IFERROR(__xludf.DUMMYFUNCTION("IF(COUNTA(C12:C147)=0,"""",IF(REGEXMATCH(INDEX(FILTER(C$4:C12,C$4:C12&lt;&gt;""""),ROWS(FILTER(C$4:C12,C$4:C12&lt;&gt;""""))),""^Sell_""),INDEX(FILTER(F$4:F11,C$4:C11&lt;&gt;""""),ROWS(FILTER(C$4:C11,C$4:C11&lt;&gt;""""))),$AC$5*(2^SWITCH(COUNTIF(C$4:C12,""Cursor_up""),0,0,1,1,2"&amp;",2,3)+SWITCH(COUNTIF(C$4:C12,""Cursor_up""),4,0.1,0)*(ROW(C12)-4-COUNTIF(C$4:C12,""Cursor"")-COUNTIF(C$4:C12,""*""&amp;""_up"")-2*COUNTIF(C$4:C12,""Sell_""&amp;""*"")+COUNTIF(C$4:C12,""Sell_Cursor"")-COUNTIF(C$4:C12,""""))+0.01*E12*COUNTIF(C$4:C12,""Plastic_up"")"&amp;")+E12))"),42.4)</f>
        <v>42.4</v>
      </c>
      <c r="G12" s="14">
        <f>IFERROR(__xludf.DUMMYFUNCTION("IF(COUNTA(C12:C147)=0,"""",IF(REGEXMATCH(C12,""_up""),VLOOKUP(C12,Upgrades!$F$3:$J$8,1+COUNTIF(C$4:C12,C12),FALSE),IF(C12="""",0,IF(REGEXMATCH(C12,""^Sell_""),-ROUNDDOWN(ROUNDUP(INDEX(Upgrades!$C$3:$C$8,MATCH(SUBSTITUTE(C12,""Sell_"",""""),Upgrades!$B$3:$"&amp;"B$8,0))*1.15^(COUNTIF(C$4:C11,SUBSTITUTE(C12,""Sell_"",""""))-COUNTIF(C$4:C11,""Sell_""&amp;SUBSTITUTE(C12,""Sell_"",""""))))/4),ROUNDUP(INDEX(Upgrades!$C$3:$C$7,MATCH(C12,Upgrades!$B$3:$B$7,0))*1.15^(COUNTIF(C$4:C11,C12)-COUNTIF(C$4:C11,""Sell_""&amp;C12)))))))"),31.0)</f>
        <v>31</v>
      </c>
      <c r="H12" s="14">
        <f t="shared" si="3"/>
        <v>31</v>
      </c>
      <c r="I12" s="75">
        <f t="shared" si="4"/>
        <v>8398.749738</v>
      </c>
      <c r="J12" s="76">
        <f t="shared" si="5"/>
        <v>39.03459211</v>
      </c>
      <c r="K12" s="71" t="str">
        <f t="shared" si="6"/>
        <v>39s</v>
      </c>
      <c r="L12" s="77">
        <f t="shared" si="7"/>
        <v>734</v>
      </c>
      <c r="M12" s="51">
        <f t="shared" si="8"/>
        <v>0</v>
      </c>
      <c r="N12" s="52">
        <f>IFERROR(__xludf.DUMMYFUNCTION("IFS(AND(COUNTA(C12:C147)=0,COUNTA(P12:P147)=0),"""",OR(AND(L12&gt;=1000000,OR(Y12&gt;=1000000,COUNTA(P12:P147)=0)),AND(Y12&gt;=1000000,COUNTA(C12:C147)=0),AND(COUNTA(P12:P147)=0,O$3=TRUE)),
ROUNDDOWN((AB$1-AC$1)*MAX(INDEX(S$4:S147,MATCH(LARGE(FILTER(Y$4:Y147,Y$4:Y"&amp;"147&lt;1000000),1),Y$4:Y147)),INDEX(F$4:F147,MATCH(LARGE(FILTER(L$4:L147,L$4:L147&lt;1000000),1),L$4:L147)))),AND(L12&lt;1000000,COUNTA(C12:C147)&gt;0,O$3=FALSE),
ROUNDDOWN(INDEX(Y$4:Y147,MATCH(LARGE(FILTER(W$4:W147,W$4:W147&lt;=J12),1),W$4:W147))+(J12-LARGE(FILTER(W$4:"&amp;"W147,W$4:W147&lt;=J12),1))*INDEX(S$4:S147,MATCH(LARGE(FILTER(W$4:W147,W$4:W147&lt;=J12),1),W$4:W147))-L12),1,
ROUNDDOWN(Y12-INDEX(L$4:L147,MATCH(LARGE(FILTER(J$4:J147,J$4:J147&lt;=W12),1),J$4:J147))-(W12-LARGE(FILTER(J$4:J147,J$4:J147&lt;=W12),1))*INDEX(F$4:F147,MATC"&amp;"H(LARGE(FILTER(J$4:J147,J$4:J147&lt;=W12),1),J$4:J147))))"),0.0)</f>
        <v>0</v>
      </c>
      <c r="O12" s="65">
        <f t="shared" si="9"/>
        <v>6</v>
      </c>
      <c r="P12" s="69" t="s">
        <v>10</v>
      </c>
      <c r="Q12" s="14" t="b">
        <f>IFERROR(__xludf.DUMMYFUNCTION("IF(COUNTA(P12:P147)=0,"""",IFERROR(IF(ISBLANK(P12),FALSE,IF(ISBLANK(T12),1,IF(NOT(COUNTIF($AA$24:$AA$34,SUBSTITUTE(P12,""Sell_"",""""))),1,IF(P12=""Plastic_up"",IF(V12&lt;1000,1),IF(P12=""Super_Up"",IF(OR(COUNTIF(P$4:P12,""Grandma"")-COUNTIF(P$4:P12,""Sell_G"&amp;"randma"")&lt;1,COUNTIF(P$4:P12,VLOOKUP(P12,Upgrades!$F$8:$N$8,7+COUNTIF(P$4:P12,P12)))-COUNTIF(P$4:P12,""Sell_""&amp;VLOOKUP(P12,Upgrades!$F$8:$N$8,7+COUNTIF(P$4:P12,P12)))&lt;15),1),IF(REGEXMATCH(P12,""_up""),IF(COUNTIF(P$4:P12,SUBSTITUTE(P12,""_up"",""""))&lt;IFERRO"&amp;"R(VLOOKUP(P12,Upgrades!$L$3:$P$6,1+COUNTIF(P$4:P12,P12),0),999),1),IF(REGEXMATCH(P12,""Sell_""),IF(COUNTIF(P$4:P12,SUBSTITUTE(P12,""Sell_"",""""))-COUNTIF(P$4:P11,P12)&lt;1,1),FALSE)))))))))"),FALSE)</f>
        <v>0</v>
      </c>
      <c r="R12" s="71">
        <f>IFERROR(__xludf.DUMMYFUNCTION("IF(REGEXMATCH(P12,""^Sell_""),R11, IF(COUNTA(P12:P147)=0,"""",(COUNTIF(P$4:P12,""Cursor"")-COUNTIF(P$4:P12,""Sell_Cursor""))*(0.1*2^SWITCH(COUNTIF(P$4:P12,""Cursor_up""),0,0,1,1,2,2,3)+SWITCH(COUNTIF(P$4:P12,""Cursor_up""),4,0.1,0)*(ROW(P12)-4-COUNTIF(P$4"&amp;":P12,""Cursor"")-COUNTIF(P$4:P12,""*""&amp;""_up"")-2*COUNTIF(P$4:P12,""Sell_""&amp;""*"")+COUNTIF(P$4:P12,""Sell_Cursor"")-COUNTIF(P$4:P12,"""")))+(COUNTIF(P$4:P12,""Grandma"")-COUNTIF(P$4:P12,""Sell_Grandma""))*(1*2^(COUNTIF(P$4:P12,""Grandma_up"")+COUNTIF(P$4:"&amp;"P12,""Super_up"")))+(COUNTIF(P$4:P12,""Farm"")-COUNTIF(P$4:P12,""Sell_Farm""))*(8*2^COUNTIF(P$4:P12,""Farm_up""))*IF(COUNTIF(P$4:P12,""Super_up"")&gt;0,1+0.01*(COUNTIF(P$4:P12,""Grandma"")-COUNTIF(P$4:P12,""Sell_Grandma"")),1)+(COUNTIF(P$4:P12,""Mine"")-COUN"&amp;"TIF(P$4:P12,""Sell_Mine""))*((47*2^COUNTIF(P$4:P12,""Mine_up""))*IF(COUNTIF(P$4:P12,""Super_up"")&gt;1,1+0.005*(COUNTIF(P$4:P12,""Grandma"")-COUNTIF(P$4:P12,""Sell_Grandma"")),1))+(COUNTIF(P$4:P12,""Factory"")-COUNTIF(P$4:P12,""Sell_Factory""))*(260*2^COUNTI"&amp;"F(P$4:P12,""Factory_up""))))"),2.4000000000000004)</f>
        <v>2.4</v>
      </c>
      <c r="S12" s="73">
        <f>IFERROR(__xludf.DUMMYFUNCTION("IF(COUNTA(P12:P147)=0,"""",IF(REGEXMATCH(INDEX(FILTER(P$4:P12,P$4:P12&lt;&gt;""""),ROWS(FILTER(P$4:P12,P$4:P12&lt;&gt;""""))),""^Sell_""),INDEX(FILTER(S$4:S11,P$4:P11&lt;&gt;""""),ROWS(FILTER(P$4:P11,P$4:P11&lt;&gt;""""))),$AD$5*(2^SWITCH(COUNTIF(P$4:P12,""Cursor_up""),0,0,1,1,2"&amp;",2,3)+SWITCH(COUNTIF(P$4:P12,""Cursor_up""),4,0.1,0)*(ROW(P12)-4-COUNTIF(P$4:P12,""Cursor"")-COUNTIF(P$4:P12,""*""&amp;""_up"")-2*COUNTIF(P$4:P12,""Sell_""&amp;""*"")+COUNTIF(P$4:P12,""Sell_Cursor"")-COUNTIF(P$4:P12,""""))+0.01*R12*COUNTIF(P$4:P12,""Plastic_up"")"&amp;")+R12))"),42.4)</f>
        <v>42.4</v>
      </c>
      <c r="T12" s="14">
        <f>IFERROR(__xludf.DUMMYFUNCTION("IF(COUNTA(P12:P147)=0,"""",IF(REGEXMATCH(P12,""_up""),VLOOKUP(P12,Upgrades!$F$3:$J$8,1+COUNTIF(P$4:P12,P12),FALSE),IF(P12="""",0,IF(REGEXMATCH(P12,""^Sell_""),-ROUNDDOWN(ROUNDUP(INDEX(Upgrades!$C$3:$C$8,MATCH(SUBSTITUTE(P12,""Sell_"",""""),Upgrades!$B$3:$"&amp;"B$8,0))*1.15^(COUNTIF(P$4:P11,SUBSTITUTE(P12,""Sell_"",""""))-COUNTIF(P$4:P11,""Sell_""&amp;SUBSTITUTE(P12,""Sell_"",""""))))/4),ROUNDUP(INDEX(Upgrades!$C$3:$C$7,MATCH(P12,Upgrades!$B$3:$B$7,0))*1.15^(COUNTIF(P$4:P11,P12)-COUNTIF(P$4:P11,""Sell_""&amp;P12)))))))"),31.0)</f>
        <v>31</v>
      </c>
      <c r="U12" s="14">
        <f t="shared" si="10"/>
        <v>31</v>
      </c>
      <c r="V12" s="75">
        <f t="shared" si="11"/>
        <v>8398.749738</v>
      </c>
      <c r="W12" s="76">
        <f t="shared" si="12"/>
        <v>39.03459211</v>
      </c>
      <c r="X12" s="71" t="str">
        <f t="shared" si="13"/>
        <v>39s</v>
      </c>
      <c r="Y12" s="77">
        <f t="shared" si="14"/>
        <v>734</v>
      </c>
      <c r="Z12" s="17"/>
      <c r="AA12" s="95" t="s">
        <v>67</v>
      </c>
      <c r="AB12" s="96"/>
      <c r="AC12" s="96"/>
      <c r="AD12" s="96"/>
      <c r="AE12" s="96"/>
      <c r="AF12" s="97"/>
      <c r="AG12" s="13"/>
    </row>
    <row r="13">
      <c r="A13" s="12"/>
      <c r="B13" s="65">
        <f t="shared" si="2"/>
        <v>7</v>
      </c>
      <c r="C13" s="69" t="s">
        <v>10</v>
      </c>
      <c r="D13" s="14" t="b">
        <f>IFERROR(__xludf.DUMMYFUNCTION("IF(COUNTA(C13:C147)=0,"""",IFERROR(IF(ISBLANK(C13),FALSE,IF(ISBLANK(G13),1,IF(NOT(COUNTIF($AA$24:$AA$34,SUBSTITUTE(C13,""Sell_"",""""))),1,IF(C13=""Plastic_up"",IF(I13&lt;1000,1),IF(C13=""Super_Up"",IF(OR(COUNTIF(C$4:C13,""Grandma"")-COUNTIF(C$4:C13,""Sell_G"&amp;"randma"")&lt;1,COUNTIF(C$4:C13,VLOOKUP(C13,Upgrades!$F$8:$N$8,7+COUNTIF(C$4:C13,C13)))-COUNTIF(C$4:C13,""Sell_""&amp;VLOOKUP(C13,Upgrades!$F$8:$N$8,7+COUNTIF(C$4:C13,C13)))&lt;15),1),IF(REGEXMATCH(C13,""_up""),IF(COUNTIF(C$4:C13,SUBSTITUTE(C13,""_up"",""""))&lt;IFERRO"&amp;"R(VLOOKUP(C13,Upgrades!$L$3:$P$6,1+COUNTIF(C$4:C13,C13),0),999),1),IF(REGEXMATCH(C13,""Sell_""),IF(COUNTIF(C$4:C13,SUBSTITUTE(C13,""Sell_"",""""))-COUNTIF(C$4:C12,C13)&lt;1,1),FALSE)))))))))"),FALSE)</f>
        <v>0</v>
      </c>
      <c r="E13" s="71">
        <f>IFERROR(__xludf.DUMMYFUNCTION("IF(REGEXMATCH(C13,""^Sell_""),E12, IF(COUNTA(C13:C147)=0,"""",(COUNTIF(C$4:C13,""Cursor"")-COUNTIF(C$4:C13,""Sell_Cursor""))*(0.1*2^SWITCH(COUNTIF(C$4:C13,""Cursor_up""),0,0,1,1,2,2,3)+SWITCH(COUNTIF(C$4:C13,""Cursor_up""),4,0.1,0)*(ROW(C13)-4-COUNTIF(C$4"&amp;":C13,""Cursor"")-COUNTIF(C$4:C13,""*""&amp;""_up"")-2*COUNTIF(C$4:C13,""Sell_""&amp;""*"")+COUNTIF(C$4:C13,""Sell_Cursor"")-COUNTIF(C$4:C13,"""")))+(COUNTIF(C$4:C13,""Grandma"")-COUNTIF(C$4:C13,""Sell_Grandma""))*(1*2^(COUNTIF(C$4:C13,""Grandma_up"")+COUNTIF(C$4:"&amp;"C13,""Super_up"")))+(COUNTIF(C$4:C13,""Farm"")-COUNTIF(C$4:C13,""Sell_Farm""))*(8*2^COUNTIF(C$4:C13,""Farm_up""))*IF(COUNTIF(C$4:C13,""Super_up"")&gt;0,1+0.01*(COUNTIF(C$4:C13,""Grandma"")-COUNTIF(C$4:C13,""Sell_Grandma"")),1)+(COUNTIF(C$4:C13,""Mine"")-COUN"&amp;"TIF(C$4:C13,""Sell_Mine""))*((47*2^COUNTIF(C$4:C13,""Mine_up""))*IF(COUNTIF(C$4:C13,""Super_up"")&gt;1,1+0.005*(COUNTIF(C$4:C13,""Grandma"")-COUNTIF(C$4:C13,""Sell_Grandma"")),1))+(COUNTIF(C$4:C13,""Factory"")-COUNTIF(C$4:C13,""Sell_Factory""))*(260*2^COUNTI"&amp;"F(C$4:C13,""Factory_up""))))"),2.8000000000000003)</f>
        <v>2.8</v>
      </c>
      <c r="F13" s="73">
        <f>IFERROR(__xludf.DUMMYFUNCTION("IF(COUNTA(C13:C147)=0,"""",IF(REGEXMATCH(INDEX(FILTER(C$4:C13,C$4:C13&lt;&gt;""""),ROWS(FILTER(C$4:C13,C$4:C13&lt;&gt;""""))),""^Sell_""),INDEX(FILTER(F$4:F12,C$4:C12&lt;&gt;""""),ROWS(FILTER(C$4:C12,C$4:C12&lt;&gt;""""))),$AC$5*(2^SWITCH(COUNTIF(C$4:C13,""Cursor_up""),0,0,1,1,2"&amp;",2,3)+SWITCH(COUNTIF(C$4:C13,""Cursor_up""),4,0.1,0)*(ROW(C13)-4-COUNTIF(C$4:C13,""Cursor"")-COUNTIF(C$4:C13,""*""&amp;""_up"")-2*COUNTIF(C$4:C13,""Sell_""&amp;""*"")+COUNTIF(C$4:C13,""Sell_Cursor"")-COUNTIF(C$4:C13,""""))+0.01*E13*COUNTIF(C$4:C13,""Plastic_up"")"&amp;")+E13))"),42.8)</f>
        <v>42.8</v>
      </c>
      <c r="G13" s="14">
        <f>IFERROR(__xludf.DUMMYFUNCTION("IF(COUNTA(C13:C147)=0,"""",IF(REGEXMATCH(C13,""_up""),VLOOKUP(C13,Upgrades!$F$3:$J$8,1+COUNTIF(C$4:C13,C13),FALSE),IF(C13="""",0,IF(REGEXMATCH(C13,""^Sell_""),-ROUNDDOWN(ROUNDUP(INDEX(Upgrades!$C$3:$C$8,MATCH(SUBSTITUTE(C13,""Sell_"",""""),Upgrades!$B$3:$"&amp;"B$8,0))*1.15^(COUNTIF(C$4:C12,SUBSTITUTE(C13,""Sell_"",""""))-COUNTIF(C$4:C12,""Sell_""&amp;SUBSTITUTE(C13,""Sell_"",""""))))/4),ROUNDUP(INDEX(Upgrades!$C$3:$C$7,MATCH(C13,Upgrades!$B$3:$B$7,0))*1.15^(COUNTIF(C$4:C12,C13)-COUNTIF(C$4:C12,""Sell_""&amp;C13)))))))"),35.0)</f>
        <v>35</v>
      </c>
      <c r="H13" s="14">
        <f t="shared" si="3"/>
        <v>35</v>
      </c>
      <c r="I13" s="75">
        <f t="shared" si="4"/>
        <v>9993.152291</v>
      </c>
      <c r="J13" s="76">
        <f t="shared" si="5"/>
        <v>39.8600638</v>
      </c>
      <c r="K13" s="71" t="str">
        <f t="shared" si="6"/>
        <v>39s</v>
      </c>
      <c r="L13" s="77">
        <f t="shared" si="7"/>
        <v>769</v>
      </c>
      <c r="M13" s="51">
        <f t="shared" si="8"/>
        <v>0</v>
      </c>
      <c r="N13" s="52">
        <f>IFERROR(__xludf.DUMMYFUNCTION("IFS(AND(COUNTA(C13:C147)=0,COUNTA(P13:P147)=0),"""",OR(AND(L13&gt;=1000000,OR(Y13&gt;=1000000,COUNTA(P13:P147)=0)),AND(Y13&gt;=1000000,COUNTA(C13:C147)=0),AND(COUNTA(P13:P147)=0,O$3=TRUE)),
ROUNDDOWN((AB$1-AC$1)*MAX(INDEX(S$4:S147,MATCH(LARGE(FILTER(Y$4:Y147,Y$4:Y"&amp;"147&lt;1000000),1),Y$4:Y147)),INDEX(F$4:F147,MATCH(LARGE(FILTER(L$4:L147,L$4:L147&lt;1000000),1),L$4:L147)))),AND(L13&lt;1000000,COUNTA(C13:C147)&gt;0,O$3=FALSE),
ROUNDDOWN(INDEX(Y$4:Y147,MATCH(LARGE(FILTER(W$4:W147,W$4:W147&lt;=J13),1),W$4:W147))+(J13-LARGE(FILTER(W$4:"&amp;"W147,W$4:W147&lt;=J13),1))*INDEX(S$4:S147,MATCH(LARGE(FILTER(W$4:W147,W$4:W147&lt;=J13),1),W$4:W147))-L13),1,
ROUNDDOWN(Y13-INDEX(L$4:L147,MATCH(LARGE(FILTER(J$4:J147,J$4:J147&lt;=W13),1),J$4:J147))-(W13-LARGE(FILTER(J$4:J147,J$4:J147&lt;=W13),1))*INDEX(F$4:F147,MATC"&amp;"H(LARGE(FILTER(J$4:J147,J$4:J147&lt;=W13),1),J$4:J147))))"),0.0)</f>
        <v>0</v>
      </c>
      <c r="O13" s="65">
        <f t="shared" si="9"/>
        <v>7</v>
      </c>
      <c r="P13" s="69" t="s">
        <v>10</v>
      </c>
      <c r="Q13" s="14" t="b">
        <f>IFERROR(__xludf.DUMMYFUNCTION("IF(COUNTA(P13:P147)=0,"""",IFERROR(IF(ISBLANK(P13),FALSE,IF(ISBLANK(T13),1,IF(NOT(COUNTIF($AA$24:$AA$34,SUBSTITUTE(P13,""Sell_"",""""))),1,IF(P13=""Plastic_up"",IF(V13&lt;1000,1),IF(P13=""Super_Up"",IF(OR(COUNTIF(P$4:P13,""Grandma"")-COUNTIF(P$4:P13,""Sell_G"&amp;"randma"")&lt;1,COUNTIF(P$4:P13,VLOOKUP(P13,Upgrades!$F$8:$N$8,7+COUNTIF(P$4:P13,P13)))-COUNTIF(P$4:P13,""Sell_""&amp;VLOOKUP(P13,Upgrades!$F$8:$N$8,7+COUNTIF(P$4:P13,P13)))&lt;15),1),IF(REGEXMATCH(P13,""_up""),IF(COUNTIF(P$4:P13,SUBSTITUTE(P13,""_up"",""""))&lt;IFERRO"&amp;"R(VLOOKUP(P13,Upgrades!$L$3:$P$6,1+COUNTIF(P$4:P13,P13),0),999),1),IF(REGEXMATCH(P13,""Sell_""),IF(COUNTIF(P$4:P13,SUBSTITUTE(P13,""Sell_"",""""))-COUNTIF(P$4:P12,P13)&lt;1,1),FALSE)))))))))"),FALSE)</f>
        <v>0</v>
      </c>
      <c r="R13" s="71">
        <f>IFERROR(__xludf.DUMMYFUNCTION("IF(REGEXMATCH(P13,""^Sell_""),R12, IF(COUNTA(P13:P147)=0,"""",(COUNTIF(P$4:P13,""Cursor"")-COUNTIF(P$4:P13,""Sell_Cursor""))*(0.1*2^SWITCH(COUNTIF(P$4:P13,""Cursor_up""),0,0,1,1,2,2,3)+SWITCH(COUNTIF(P$4:P13,""Cursor_up""),4,0.1,0)*(ROW(P13)-4-COUNTIF(P$4"&amp;":P13,""Cursor"")-COUNTIF(P$4:P13,""*""&amp;""_up"")-2*COUNTIF(P$4:P13,""Sell_""&amp;""*"")+COUNTIF(P$4:P13,""Sell_Cursor"")-COUNTIF(P$4:P13,"""")))+(COUNTIF(P$4:P13,""Grandma"")-COUNTIF(P$4:P13,""Sell_Grandma""))*(1*2^(COUNTIF(P$4:P13,""Grandma_up"")+COUNTIF(P$4:"&amp;"P13,""Super_up"")))+(COUNTIF(P$4:P13,""Farm"")-COUNTIF(P$4:P13,""Sell_Farm""))*(8*2^COUNTIF(P$4:P13,""Farm_up""))*IF(COUNTIF(P$4:P13,""Super_up"")&gt;0,1+0.01*(COUNTIF(P$4:P13,""Grandma"")-COUNTIF(P$4:P13,""Sell_Grandma"")),1)+(COUNTIF(P$4:P13,""Mine"")-COUN"&amp;"TIF(P$4:P13,""Sell_Mine""))*((47*2^COUNTIF(P$4:P13,""Mine_up""))*IF(COUNTIF(P$4:P13,""Super_up"")&gt;1,1+0.005*(COUNTIF(P$4:P13,""Grandma"")-COUNTIF(P$4:P13,""Sell_Grandma"")),1))+(COUNTIF(P$4:P13,""Factory"")-COUNTIF(P$4:P13,""Sell_Factory""))*(260*2^COUNTI"&amp;"F(P$4:P13,""Factory_up""))))"),2.8000000000000003)</f>
        <v>2.8</v>
      </c>
      <c r="S13" s="73">
        <f>IFERROR(__xludf.DUMMYFUNCTION("IF(COUNTA(P13:P147)=0,"""",IF(REGEXMATCH(INDEX(FILTER(P$4:P13,P$4:P13&lt;&gt;""""),ROWS(FILTER(P$4:P13,P$4:P13&lt;&gt;""""))),""^Sell_""),INDEX(FILTER(S$4:S12,P$4:P12&lt;&gt;""""),ROWS(FILTER(P$4:P12,P$4:P12&lt;&gt;""""))),$AD$5*(2^SWITCH(COUNTIF(P$4:P13,""Cursor_up""),0,0,1,1,2"&amp;",2,3)+SWITCH(COUNTIF(P$4:P13,""Cursor_up""),4,0.1,0)*(ROW(P13)-4-COUNTIF(P$4:P13,""Cursor"")-COUNTIF(P$4:P13,""*""&amp;""_up"")-2*COUNTIF(P$4:P13,""Sell_""&amp;""*"")+COUNTIF(P$4:P13,""Sell_Cursor"")-COUNTIF(P$4:P13,""""))+0.01*R13*COUNTIF(P$4:P13,""Plastic_up"")"&amp;")+R13))"),42.8)</f>
        <v>42.8</v>
      </c>
      <c r="T13" s="14">
        <f>IFERROR(__xludf.DUMMYFUNCTION("IF(COUNTA(P13:P147)=0,"""",IF(REGEXMATCH(P13,""_up""),VLOOKUP(P13,Upgrades!$F$3:$J$8,1+COUNTIF(P$4:P13,P13),FALSE),IF(P13="""",0,IF(REGEXMATCH(P13,""^Sell_""),-ROUNDDOWN(ROUNDUP(INDEX(Upgrades!$C$3:$C$8,MATCH(SUBSTITUTE(P13,""Sell_"",""""),Upgrades!$B$3:$"&amp;"B$8,0))*1.15^(COUNTIF(P$4:P12,SUBSTITUTE(P13,""Sell_"",""""))-COUNTIF(P$4:P12,""Sell_""&amp;SUBSTITUTE(P13,""Sell_"",""""))))/4),ROUNDUP(INDEX(Upgrades!$C$3:$C$7,MATCH(P13,Upgrades!$B$3:$B$7,0))*1.15^(COUNTIF(P$4:P12,P13)-COUNTIF(P$4:P12,""Sell_""&amp;P13)))))))"),35.0)</f>
        <v>35</v>
      </c>
      <c r="U13" s="14">
        <f t="shared" si="10"/>
        <v>35</v>
      </c>
      <c r="V13" s="75">
        <f t="shared" si="11"/>
        <v>9993.152291</v>
      </c>
      <c r="W13" s="76">
        <f t="shared" si="12"/>
        <v>39.8600638</v>
      </c>
      <c r="X13" s="71" t="str">
        <f t="shared" si="13"/>
        <v>39s</v>
      </c>
      <c r="Y13" s="77">
        <f t="shared" si="14"/>
        <v>769</v>
      </c>
      <c r="Z13" s="17"/>
      <c r="AA13" s="13"/>
      <c r="AB13" s="13"/>
      <c r="AC13" s="13"/>
      <c r="AD13" s="13"/>
      <c r="AE13" s="13"/>
      <c r="AF13" s="13"/>
      <c r="AG13" s="13"/>
    </row>
    <row r="14">
      <c r="A14" s="12"/>
      <c r="B14" s="65">
        <f t="shared" si="2"/>
        <v>8</v>
      </c>
      <c r="C14" s="69" t="s">
        <v>10</v>
      </c>
      <c r="D14" s="14" t="b">
        <f>IFERROR(__xludf.DUMMYFUNCTION("IF(COUNTA(C14:C147)=0,"""",IFERROR(IF(ISBLANK(C14),FALSE,IF(ISBLANK(G14),1,IF(NOT(COUNTIF($AA$24:$AA$34,SUBSTITUTE(C14,""Sell_"",""""))),1,IF(C14=""Plastic_up"",IF(I14&lt;1000,1),IF(C14=""Super_Up"",IF(OR(COUNTIF(C$4:C14,""Grandma"")-COUNTIF(C$4:C14,""Sell_G"&amp;"randma"")&lt;1,COUNTIF(C$4:C14,VLOOKUP(C14,Upgrades!$F$8:$N$8,7+COUNTIF(C$4:C14,C14)))-COUNTIF(C$4:C14,""Sell_""&amp;VLOOKUP(C14,Upgrades!$F$8:$N$8,7+COUNTIF(C$4:C14,C14)))&lt;15),1),IF(REGEXMATCH(C14,""_up""),IF(COUNTIF(C$4:C14,SUBSTITUTE(C14,""_up"",""""))&lt;IFERRO"&amp;"R(VLOOKUP(C14,Upgrades!$L$3:$P$6,1+COUNTIF(C$4:C14,C14),0),999),1),IF(REGEXMATCH(C14,""Sell_""),IF(COUNTIF(C$4:C14,SUBSTITUTE(C14,""Sell_"",""""))-COUNTIF(C$4:C13,C14)&lt;1,1),FALSE)))))))))"),FALSE)</f>
        <v>0</v>
      </c>
      <c r="E14" s="71">
        <f>IFERROR(__xludf.DUMMYFUNCTION("IF(REGEXMATCH(C14,""^Sell_""),E13, IF(COUNTA(C14:C147)=0,"""",(COUNTIF(C$4:C14,""Cursor"")-COUNTIF(C$4:C14,""Sell_Cursor""))*(0.1*2^SWITCH(COUNTIF(C$4:C14,""Cursor_up""),0,0,1,1,2,2,3)+SWITCH(COUNTIF(C$4:C14,""Cursor_up""),4,0.1,0)*(ROW(C14)-4-COUNTIF(C$4"&amp;":C14,""Cursor"")-COUNTIF(C$4:C14,""*""&amp;""_up"")-2*COUNTIF(C$4:C14,""Sell_""&amp;""*"")+COUNTIF(C$4:C14,""Sell_Cursor"")-COUNTIF(C$4:C14,"""")))+(COUNTIF(C$4:C14,""Grandma"")-COUNTIF(C$4:C14,""Sell_Grandma""))*(1*2^(COUNTIF(C$4:C14,""Grandma_up"")+COUNTIF(C$4:"&amp;"C14,""Super_up"")))+(COUNTIF(C$4:C14,""Farm"")-COUNTIF(C$4:C14,""Sell_Farm""))*(8*2^COUNTIF(C$4:C14,""Farm_up""))*IF(COUNTIF(C$4:C14,""Super_up"")&gt;0,1+0.01*(COUNTIF(C$4:C14,""Grandma"")-COUNTIF(C$4:C14,""Sell_Grandma"")),1)+(COUNTIF(C$4:C14,""Mine"")-COUN"&amp;"TIF(C$4:C14,""Sell_Mine""))*((47*2^COUNTIF(C$4:C14,""Mine_up""))*IF(COUNTIF(C$4:C14,""Super_up"")&gt;1,1+0.005*(COUNTIF(C$4:C14,""Grandma"")-COUNTIF(C$4:C14,""Sell_Grandma"")),1))+(COUNTIF(C$4:C14,""Factory"")-COUNTIF(C$4:C14,""Sell_Factory""))*(260*2^COUNTI"&amp;"F(C$4:C14,""Factory_up""))))"),3.2)</f>
        <v>3.2</v>
      </c>
      <c r="F14" s="73">
        <f>IFERROR(__xludf.DUMMYFUNCTION("IF(COUNTA(C14:C147)=0,"""",IF(REGEXMATCH(INDEX(FILTER(C$4:C14,C$4:C14&lt;&gt;""""),ROWS(FILTER(C$4:C14,C$4:C14&lt;&gt;""""))),""^Sell_""),INDEX(FILTER(F$4:F13,C$4:C13&lt;&gt;""""),ROWS(FILTER(C$4:C13,C$4:C13&lt;&gt;""""))),$AC$5*(2^SWITCH(COUNTIF(C$4:C14,""Cursor_up""),0,0,1,1,2"&amp;",2,3)+SWITCH(COUNTIF(C$4:C14,""Cursor_up""),4,0.1,0)*(ROW(C14)-4-COUNTIF(C$4:C14,""Cursor"")-COUNTIF(C$4:C14,""*""&amp;""_up"")-2*COUNTIF(C$4:C14,""Sell_""&amp;""*"")+COUNTIF(C$4:C14,""Sell_Cursor"")-COUNTIF(C$4:C14,""""))+0.01*E14*COUNTIF(C$4:C14,""Plastic_up"")"&amp;")+E14))"),43.2)</f>
        <v>43.2</v>
      </c>
      <c r="G14" s="14">
        <f>IFERROR(__xludf.DUMMYFUNCTION("IF(COUNTA(C14:C147)=0,"""",IF(REGEXMATCH(C14,""_up""),VLOOKUP(C14,Upgrades!$F$3:$J$8,1+COUNTIF(C$4:C14,C14),FALSE),IF(C14="""",0,IF(REGEXMATCH(C14,""^Sell_""),-ROUNDDOWN(ROUNDUP(INDEX(Upgrades!$C$3:$C$8,MATCH(SUBSTITUTE(C14,""Sell_"",""""),Upgrades!$B$3:$"&amp;"B$8,0))*1.15^(COUNTIF(C$4:C13,SUBSTITUTE(C14,""Sell_"",""""))-COUNTIF(C$4:C13,""Sell_""&amp;SUBSTITUTE(C14,""Sell_"",""""))))/4),ROUNDUP(INDEX(Upgrades!$C$3:$C$7,MATCH(C14,Upgrades!$B$3:$B$7,0))*1.15^(COUNTIF(C$4:C13,C14)-COUNTIF(C$4:C13,""Sell_""&amp;C14)))))))"),40.0)</f>
        <v>40</v>
      </c>
      <c r="H14" s="14">
        <f t="shared" si="3"/>
        <v>40</v>
      </c>
      <c r="I14" s="75">
        <f t="shared" si="4"/>
        <v>11624.93802</v>
      </c>
      <c r="J14" s="76">
        <f t="shared" si="5"/>
        <v>40.79464324</v>
      </c>
      <c r="K14" s="71" t="str">
        <f t="shared" si="6"/>
        <v>40s</v>
      </c>
      <c r="L14" s="77">
        <f t="shared" si="7"/>
        <v>809</v>
      </c>
      <c r="M14" s="51">
        <f t="shared" si="8"/>
        <v>0</v>
      </c>
      <c r="N14" s="52">
        <f>IFERROR(__xludf.DUMMYFUNCTION("IFS(AND(COUNTA(C14:C147)=0,COUNTA(P14:P147)=0),"""",OR(AND(L14&gt;=1000000,OR(Y14&gt;=1000000,COUNTA(P14:P147)=0)),AND(Y14&gt;=1000000,COUNTA(C14:C147)=0),AND(COUNTA(P14:P147)=0,O$3=TRUE)),
ROUNDDOWN((AB$1-AC$1)*MAX(INDEX(S$4:S147,MATCH(LARGE(FILTER(Y$4:Y147,Y$4:Y"&amp;"147&lt;1000000),1),Y$4:Y147)),INDEX(F$4:F147,MATCH(LARGE(FILTER(L$4:L147,L$4:L147&lt;1000000),1),L$4:L147)))),AND(L14&lt;1000000,COUNTA(C14:C147)&gt;0,O$3=FALSE),
ROUNDDOWN(INDEX(Y$4:Y147,MATCH(LARGE(FILTER(W$4:W147,W$4:W147&lt;=J14),1),W$4:W147))+(J14-LARGE(FILTER(W$4:"&amp;"W147,W$4:W147&lt;=J14),1))*INDEX(S$4:S147,MATCH(LARGE(FILTER(W$4:W147,W$4:W147&lt;=J14),1),W$4:W147))-L14),1,
ROUNDDOWN(Y14-INDEX(L$4:L147,MATCH(LARGE(FILTER(J$4:J147,J$4:J147&lt;=W14),1),J$4:J147))-(W14-LARGE(FILTER(J$4:J147,J$4:J147&lt;=W14),1))*INDEX(F$4:F147,MATC"&amp;"H(LARGE(FILTER(J$4:J147,J$4:J147&lt;=W14),1),J$4:J147))))"),0.0)</f>
        <v>0</v>
      </c>
      <c r="O14" s="65">
        <f t="shared" si="9"/>
        <v>8</v>
      </c>
      <c r="P14" s="69" t="s">
        <v>10</v>
      </c>
      <c r="Q14" s="14" t="b">
        <f>IFERROR(__xludf.DUMMYFUNCTION("IF(COUNTA(P14:P147)=0,"""",IFERROR(IF(ISBLANK(P14),FALSE,IF(ISBLANK(T14),1,IF(NOT(COUNTIF($AA$24:$AA$34,SUBSTITUTE(P14,""Sell_"",""""))),1,IF(P14=""Plastic_up"",IF(V14&lt;1000,1),IF(P14=""Super_Up"",IF(OR(COUNTIF(P$4:P14,""Grandma"")-COUNTIF(P$4:P14,""Sell_G"&amp;"randma"")&lt;1,COUNTIF(P$4:P14,VLOOKUP(P14,Upgrades!$F$8:$N$8,7+COUNTIF(P$4:P14,P14)))-COUNTIF(P$4:P14,""Sell_""&amp;VLOOKUP(P14,Upgrades!$F$8:$N$8,7+COUNTIF(P$4:P14,P14)))&lt;15),1),IF(REGEXMATCH(P14,""_up""),IF(COUNTIF(P$4:P14,SUBSTITUTE(P14,""_up"",""""))&lt;IFERRO"&amp;"R(VLOOKUP(P14,Upgrades!$L$3:$P$6,1+COUNTIF(P$4:P14,P14),0),999),1),IF(REGEXMATCH(P14,""Sell_""),IF(COUNTIF(P$4:P14,SUBSTITUTE(P14,""Sell_"",""""))-COUNTIF(P$4:P13,P14)&lt;1,1),FALSE)))))))))"),FALSE)</f>
        <v>0</v>
      </c>
      <c r="R14" s="71">
        <f>IFERROR(__xludf.DUMMYFUNCTION("IF(REGEXMATCH(P14,""^Sell_""),R13, IF(COUNTA(P14:P147)=0,"""",(COUNTIF(P$4:P14,""Cursor"")-COUNTIF(P$4:P14,""Sell_Cursor""))*(0.1*2^SWITCH(COUNTIF(P$4:P14,""Cursor_up""),0,0,1,1,2,2,3)+SWITCH(COUNTIF(P$4:P14,""Cursor_up""),4,0.1,0)*(ROW(P14)-4-COUNTIF(P$4"&amp;":P14,""Cursor"")-COUNTIF(P$4:P14,""*""&amp;""_up"")-2*COUNTIF(P$4:P14,""Sell_""&amp;""*"")+COUNTIF(P$4:P14,""Sell_Cursor"")-COUNTIF(P$4:P14,"""")))+(COUNTIF(P$4:P14,""Grandma"")-COUNTIF(P$4:P14,""Sell_Grandma""))*(1*2^(COUNTIF(P$4:P14,""Grandma_up"")+COUNTIF(P$4:"&amp;"P14,""Super_up"")))+(COUNTIF(P$4:P14,""Farm"")-COUNTIF(P$4:P14,""Sell_Farm""))*(8*2^COUNTIF(P$4:P14,""Farm_up""))*IF(COUNTIF(P$4:P14,""Super_up"")&gt;0,1+0.01*(COUNTIF(P$4:P14,""Grandma"")-COUNTIF(P$4:P14,""Sell_Grandma"")),1)+(COUNTIF(P$4:P14,""Mine"")-COUN"&amp;"TIF(P$4:P14,""Sell_Mine""))*((47*2^COUNTIF(P$4:P14,""Mine_up""))*IF(COUNTIF(P$4:P14,""Super_up"")&gt;1,1+0.005*(COUNTIF(P$4:P14,""Grandma"")-COUNTIF(P$4:P14,""Sell_Grandma"")),1))+(COUNTIF(P$4:P14,""Factory"")-COUNTIF(P$4:P14,""Sell_Factory""))*(260*2^COUNTI"&amp;"F(P$4:P14,""Factory_up""))))"),3.2)</f>
        <v>3.2</v>
      </c>
      <c r="S14" s="73">
        <f>IFERROR(__xludf.DUMMYFUNCTION("IF(COUNTA(P14:P147)=0,"""",IF(REGEXMATCH(INDEX(FILTER(P$4:P14,P$4:P14&lt;&gt;""""),ROWS(FILTER(P$4:P14,P$4:P14&lt;&gt;""""))),""^Sell_""),INDEX(FILTER(S$4:S13,P$4:P13&lt;&gt;""""),ROWS(FILTER(P$4:P13,P$4:P13&lt;&gt;""""))),$AD$5*(2^SWITCH(COUNTIF(P$4:P14,""Cursor_up""),0,0,1,1,2"&amp;",2,3)+SWITCH(COUNTIF(P$4:P14,""Cursor_up""),4,0.1,0)*(ROW(P14)-4-COUNTIF(P$4:P14,""Cursor"")-COUNTIF(P$4:P14,""*""&amp;""_up"")-2*COUNTIF(P$4:P14,""Sell_""&amp;""*"")+COUNTIF(P$4:P14,""Sell_Cursor"")-COUNTIF(P$4:P14,""""))+0.01*R14*COUNTIF(P$4:P14,""Plastic_up"")"&amp;")+R14))"),43.2)</f>
        <v>43.2</v>
      </c>
      <c r="T14" s="14">
        <f>IFERROR(__xludf.DUMMYFUNCTION("IF(COUNTA(P14:P147)=0,"""",IF(REGEXMATCH(P14,""_up""),VLOOKUP(P14,Upgrades!$F$3:$J$8,1+COUNTIF(P$4:P14,P14),FALSE),IF(P14="""",0,IF(REGEXMATCH(P14,""^Sell_""),-ROUNDDOWN(ROUNDUP(INDEX(Upgrades!$C$3:$C$8,MATCH(SUBSTITUTE(P14,""Sell_"",""""),Upgrades!$B$3:$"&amp;"B$8,0))*1.15^(COUNTIF(P$4:P13,SUBSTITUTE(P14,""Sell_"",""""))-COUNTIF(P$4:P13,""Sell_""&amp;SUBSTITUTE(P14,""Sell_"",""""))))/4),ROUNDUP(INDEX(Upgrades!$C$3:$C$7,MATCH(P14,Upgrades!$B$3:$B$7,0))*1.15^(COUNTIF(P$4:P13,P14)-COUNTIF(P$4:P13,""Sell_""&amp;P14)))))))"),40.0)</f>
        <v>40</v>
      </c>
      <c r="U14" s="14">
        <f t="shared" si="10"/>
        <v>40</v>
      </c>
      <c r="V14" s="75">
        <f t="shared" si="11"/>
        <v>11624.93802</v>
      </c>
      <c r="W14" s="76">
        <f t="shared" si="12"/>
        <v>40.79464324</v>
      </c>
      <c r="X14" s="71" t="str">
        <f t="shared" si="13"/>
        <v>40s</v>
      </c>
      <c r="Y14" s="77">
        <f t="shared" si="14"/>
        <v>809</v>
      </c>
      <c r="Z14" s="17"/>
      <c r="AA14" s="98" t="s">
        <v>68</v>
      </c>
      <c r="AB14" s="99"/>
      <c r="AC14" s="99"/>
      <c r="AD14" s="99"/>
      <c r="AE14" s="99"/>
      <c r="AF14" s="100"/>
      <c r="AG14" s="13"/>
    </row>
    <row r="15">
      <c r="A15" s="12"/>
      <c r="B15" s="65">
        <f t="shared" si="2"/>
        <v>1</v>
      </c>
      <c r="C15" s="69" t="s">
        <v>13</v>
      </c>
      <c r="D15" s="14" t="b">
        <f>IFERROR(__xludf.DUMMYFUNCTION("IF(COUNTA(C15:C147)=0,"""",IFERROR(IF(ISBLANK(C15),FALSE,IF(ISBLANK(G15),1,IF(NOT(COUNTIF($AA$24:$AA$34,SUBSTITUTE(C15,""Sell_"",""""))),1,IF(C15=""Plastic_up"",IF(I15&lt;1000,1),IF(C15=""Super_Up"",IF(OR(COUNTIF(C$4:C15,""Grandma"")-COUNTIF(C$4:C15,""Sell_G"&amp;"randma"")&lt;1,COUNTIF(C$4:C15,VLOOKUP(C15,Upgrades!$F$8:$N$8,7+COUNTIF(C$4:C15,C15)))-COUNTIF(C$4:C15,""Sell_""&amp;VLOOKUP(C15,Upgrades!$F$8:$N$8,7+COUNTIF(C$4:C15,C15)))&lt;15),1),IF(REGEXMATCH(C15,""_up""),IF(COUNTIF(C$4:C15,SUBSTITUTE(C15,""_up"",""""))&lt;IFERRO"&amp;"R(VLOOKUP(C15,Upgrades!$L$3:$P$6,1+COUNTIF(C$4:C15,C15),0),999),1),IF(REGEXMATCH(C15,""Sell_""),IF(COUNTIF(C$4:C15,SUBSTITUTE(C15,""Sell_"",""""))-COUNTIF(C$4:C14,C15)&lt;1,1),FALSE)))))))))"),FALSE)</f>
        <v>0</v>
      </c>
      <c r="E15" s="71">
        <f>IFERROR(__xludf.DUMMYFUNCTION("IF(REGEXMATCH(C15,""^Sell_""),E14, IF(COUNTA(C15:C147)=0,"""",(COUNTIF(C$4:C15,""Cursor"")-COUNTIF(C$4:C15,""Sell_Cursor""))*(0.1*2^SWITCH(COUNTIF(C$4:C15,""Cursor_up""),0,0,1,1,2,2,3)+SWITCH(COUNTIF(C$4:C15,""Cursor_up""),4,0.1,0)*(ROW(C15)-4-COUNTIF(C$4"&amp;":C15,""Cursor"")-COUNTIF(C$4:C15,""*""&amp;""_up"")-2*COUNTIF(C$4:C15,""Sell_""&amp;""*"")+COUNTIF(C$4:C15,""Sell_Cursor"")-COUNTIF(C$4:C15,"""")))+(COUNTIF(C$4:C15,""Grandma"")-COUNTIF(C$4:C15,""Sell_Grandma""))*(1*2^(COUNTIF(C$4:C15,""Grandma_up"")+COUNTIF(C$4:"&amp;"C15,""Super_up"")))+(COUNTIF(C$4:C15,""Farm"")-COUNTIF(C$4:C15,""Sell_Farm""))*(8*2^COUNTIF(C$4:C15,""Farm_up""))*IF(COUNTIF(C$4:C15,""Super_up"")&gt;0,1+0.01*(COUNTIF(C$4:C15,""Grandma"")-COUNTIF(C$4:C15,""Sell_Grandma"")),1)+(COUNTIF(C$4:C15,""Mine"")-COUN"&amp;"TIF(C$4:C15,""Sell_Mine""))*((47*2^COUNTIF(C$4:C15,""Mine_up""))*IF(COUNTIF(C$4:C15,""Super_up"")&gt;1,1+0.005*(COUNTIF(C$4:C15,""Grandma"")-COUNTIF(C$4:C15,""Sell_Grandma"")),1))+(COUNTIF(C$4:C15,""Factory"")-COUNTIF(C$4:C15,""Sell_Factory""))*(260*2^COUNTI"&amp;"F(C$4:C15,""Factory_up""))))"),4.2)</f>
        <v>4.2</v>
      </c>
      <c r="F15" s="73">
        <f>IFERROR(__xludf.DUMMYFUNCTION("IF(COUNTA(C15:C147)=0,"""",IF(REGEXMATCH(INDEX(FILTER(C$4:C15,C$4:C15&lt;&gt;""""),ROWS(FILTER(C$4:C15,C$4:C15&lt;&gt;""""))),""^Sell_""),INDEX(FILTER(F$4:F14,C$4:C14&lt;&gt;""""),ROWS(FILTER(C$4:C14,C$4:C14&lt;&gt;""""))),$AC$5*(2^SWITCH(COUNTIF(C$4:C15,""Cursor_up""),0,0,1,1,2"&amp;",2,3)+SWITCH(COUNTIF(C$4:C15,""Cursor_up""),4,0.1,0)*(ROW(C15)-4-COUNTIF(C$4:C15,""Cursor"")-COUNTIF(C$4:C15,""*""&amp;""_up"")-2*COUNTIF(C$4:C15,""Sell_""&amp;""*"")+COUNTIF(C$4:C15,""Sell_Cursor"")-COUNTIF(C$4:C15,""""))+0.01*E15*COUNTIF(C$4:C15,""Plastic_up"")"&amp;")+E15))"),44.2)</f>
        <v>44.2</v>
      </c>
      <c r="G15" s="14">
        <f>IFERROR(__xludf.DUMMYFUNCTION("IF(COUNTA(C15:C147)=0,"""",IF(REGEXMATCH(C15,""_up""),VLOOKUP(C15,Upgrades!$F$3:$J$8,1+COUNTIF(C$4:C15,C15),FALSE),IF(C15="""",0,IF(REGEXMATCH(C15,""^Sell_""),-ROUNDDOWN(ROUNDUP(INDEX(Upgrades!$C$3:$C$8,MATCH(SUBSTITUTE(C15,""Sell_"",""""),Upgrades!$B$3:$"&amp;"B$8,0))*1.15^(COUNTIF(C$4:C14,SUBSTITUTE(C15,""Sell_"",""""))-COUNTIF(C$4:C14,""Sell_""&amp;SUBSTITUTE(C15,""Sell_"",""""))))/4),ROUNDUP(INDEX(Upgrades!$C$3:$C$7,MATCH(C15,Upgrades!$B$3:$B$7,0))*1.15^(COUNTIF(C$4:C14,C15)-COUNTIF(C$4:C14,""Sell_""&amp;C15)))))))"),100.0)</f>
        <v>100</v>
      </c>
      <c r="H15" s="14">
        <f t="shared" si="3"/>
        <v>100</v>
      </c>
      <c r="I15" s="75">
        <f t="shared" si="4"/>
        <v>13349.31634</v>
      </c>
      <c r="J15" s="76">
        <f t="shared" si="5"/>
        <v>43.10945806</v>
      </c>
      <c r="K15" s="71" t="str">
        <f t="shared" si="6"/>
        <v>43s</v>
      </c>
      <c r="L15" s="77">
        <f t="shared" si="7"/>
        <v>909</v>
      </c>
      <c r="M15" s="51">
        <f t="shared" si="8"/>
        <v>0</v>
      </c>
      <c r="N15" s="52">
        <f>IFERROR(__xludf.DUMMYFUNCTION("IFS(AND(COUNTA(C15:C147)=0,COUNTA(P15:P147)=0),"""",OR(AND(L15&gt;=1000000,OR(Y15&gt;=1000000,COUNTA(P15:P147)=0)),AND(Y15&gt;=1000000,COUNTA(C15:C147)=0),AND(COUNTA(P15:P147)=0,O$3=TRUE)),
ROUNDDOWN((AB$1-AC$1)*MAX(INDEX(S$4:S147,MATCH(LARGE(FILTER(Y$4:Y147,Y$4:Y"&amp;"147&lt;1000000),1),Y$4:Y147)),INDEX(F$4:F147,MATCH(LARGE(FILTER(L$4:L147,L$4:L147&lt;1000000),1),L$4:L147)))),AND(L15&lt;1000000,COUNTA(C15:C147)&gt;0,O$3=FALSE),
ROUNDDOWN(INDEX(Y$4:Y147,MATCH(LARGE(FILTER(W$4:W147,W$4:W147&lt;=J15),1),W$4:W147))+(J15-LARGE(FILTER(W$4:"&amp;"W147,W$4:W147&lt;=J15),1))*INDEX(S$4:S147,MATCH(LARGE(FILTER(W$4:W147,W$4:W147&lt;=J15),1),W$4:W147))-L15),1,
ROUNDDOWN(Y15-INDEX(L$4:L147,MATCH(LARGE(FILTER(J$4:J147,J$4:J147&lt;=W15),1),J$4:J147))-(W15-LARGE(FILTER(J$4:J147,J$4:J147&lt;=W15),1))*INDEX(F$4:F147,MATC"&amp;"H(LARGE(FILTER(J$4:J147,J$4:J147&lt;=W15),1),J$4:J147))))"),0.0)</f>
        <v>0</v>
      </c>
      <c r="O15" s="65">
        <f t="shared" si="9"/>
        <v>1</v>
      </c>
      <c r="P15" s="69" t="s">
        <v>13</v>
      </c>
      <c r="Q15" s="14" t="b">
        <f>IFERROR(__xludf.DUMMYFUNCTION("IF(COUNTA(P15:P147)=0,"""",IFERROR(IF(ISBLANK(P15),FALSE,IF(ISBLANK(T15),1,IF(NOT(COUNTIF($AA$24:$AA$34,SUBSTITUTE(P15,""Sell_"",""""))),1,IF(P15=""Plastic_up"",IF(V15&lt;1000,1),IF(P15=""Super_Up"",IF(OR(COUNTIF(P$4:P15,""Grandma"")-COUNTIF(P$4:P15,""Sell_G"&amp;"randma"")&lt;1,COUNTIF(P$4:P15,VLOOKUP(P15,Upgrades!$F$8:$N$8,7+COUNTIF(P$4:P15,P15)))-COUNTIF(P$4:P15,""Sell_""&amp;VLOOKUP(P15,Upgrades!$F$8:$N$8,7+COUNTIF(P$4:P15,P15)))&lt;15),1),IF(REGEXMATCH(P15,""_up""),IF(COUNTIF(P$4:P15,SUBSTITUTE(P15,""_up"",""""))&lt;IFERRO"&amp;"R(VLOOKUP(P15,Upgrades!$L$3:$P$6,1+COUNTIF(P$4:P15,P15),0),999),1),IF(REGEXMATCH(P15,""Sell_""),IF(COUNTIF(P$4:P15,SUBSTITUTE(P15,""Sell_"",""""))-COUNTIF(P$4:P14,P15)&lt;1,1),FALSE)))))))))"),FALSE)</f>
        <v>0</v>
      </c>
      <c r="R15" s="71">
        <f>IFERROR(__xludf.DUMMYFUNCTION("IF(REGEXMATCH(P15,""^Sell_""),R14, IF(COUNTA(P15:P147)=0,"""",(COUNTIF(P$4:P15,""Cursor"")-COUNTIF(P$4:P15,""Sell_Cursor""))*(0.1*2^SWITCH(COUNTIF(P$4:P15,""Cursor_up""),0,0,1,1,2,2,3)+SWITCH(COUNTIF(P$4:P15,""Cursor_up""),4,0.1,0)*(ROW(P15)-4-COUNTIF(P$4"&amp;":P15,""Cursor"")-COUNTIF(P$4:P15,""*""&amp;""_up"")-2*COUNTIF(P$4:P15,""Sell_""&amp;""*"")+COUNTIF(P$4:P15,""Sell_Cursor"")-COUNTIF(P$4:P15,"""")))+(COUNTIF(P$4:P15,""Grandma"")-COUNTIF(P$4:P15,""Sell_Grandma""))*(1*2^(COUNTIF(P$4:P15,""Grandma_up"")+COUNTIF(P$4:"&amp;"P15,""Super_up"")))+(COUNTIF(P$4:P15,""Farm"")-COUNTIF(P$4:P15,""Sell_Farm""))*(8*2^COUNTIF(P$4:P15,""Farm_up""))*IF(COUNTIF(P$4:P15,""Super_up"")&gt;0,1+0.01*(COUNTIF(P$4:P15,""Grandma"")-COUNTIF(P$4:P15,""Sell_Grandma"")),1)+(COUNTIF(P$4:P15,""Mine"")-COUN"&amp;"TIF(P$4:P15,""Sell_Mine""))*((47*2^COUNTIF(P$4:P15,""Mine_up""))*IF(COUNTIF(P$4:P15,""Super_up"")&gt;1,1+0.005*(COUNTIF(P$4:P15,""Grandma"")-COUNTIF(P$4:P15,""Sell_Grandma"")),1))+(COUNTIF(P$4:P15,""Factory"")-COUNTIF(P$4:P15,""Sell_Factory""))*(260*2^COUNTI"&amp;"F(P$4:P15,""Factory_up""))))"),4.2)</f>
        <v>4.2</v>
      </c>
      <c r="S15" s="73">
        <f>IFERROR(__xludf.DUMMYFUNCTION("IF(COUNTA(P15:P147)=0,"""",IF(REGEXMATCH(INDEX(FILTER(P$4:P15,P$4:P15&lt;&gt;""""),ROWS(FILTER(P$4:P15,P$4:P15&lt;&gt;""""))),""^Sell_""),INDEX(FILTER(S$4:S14,P$4:P14&lt;&gt;""""),ROWS(FILTER(P$4:P14,P$4:P14&lt;&gt;""""))),$AD$5*(2^SWITCH(COUNTIF(P$4:P15,""Cursor_up""),0,0,1,1,2"&amp;",2,3)+SWITCH(COUNTIF(P$4:P15,""Cursor_up""),4,0.1,0)*(ROW(P15)-4-COUNTIF(P$4:P15,""Cursor"")-COUNTIF(P$4:P15,""*""&amp;""_up"")-2*COUNTIF(P$4:P15,""Sell_""&amp;""*"")+COUNTIF(P$4:P15,""Sell_Cursor"")-COUNTIF(P$4:P15,""""))+0.01*R15*COUNTIF(P$4:P15,""Plastic_up"")"&amp;")+R15))"),44.2)</f>
        <v>44.2</v>
      </c>
      <c r="T15" s="14">
        <f>IFERROR(__xludf.DUMMYFUNCTION("IF(COUNTA(P15:P147)=0,"""",IF(REGEXMATCH(P15,""_up""),VLOOKUP(P15,Upgrades!$F$3:$J$8,1+COUNTIF(P$4:P15,P15),FALSE),IF(P15="""",0,IF(REGEXMATCH(P15,""^Sell_""),-ROUNDDOWN(ROUNDUP(INDEX(Upgrades!$C$3:$C$8,MATCH(SUBSTITUTE(P15,""Sell_"",""""),Upgrades!$B$3:$"&amp;"B$8,0))*1.15^(COUNTIF(P$4:P14,SUBSTITUTE(P15,""Sell_"",""""))-COUNTIF(P$4:P14,""Sell_""&amp;SUBSTITUTE(P15,""Sell_"",""""))))/4),ROUNDUP(INDEX(Upgrades!$C$3:$C$7,MATCH(P15,Upgrades!$B$3:$B$7,0))*1.15^(COUNTIF(P$4:P14,P15)-COUNTIF(P$4:P14,""Sell_""&amp;P15)))))))"),100.0)</f>
        <v>100</v>
      </c>
      <c r="U15" s="14">
        <f t="shared" si="10"/>
        <v>100</v>
      </c>
      <c r="V15" s="75">
        <f t="shared" si="11"/>
        <v>13349.31634</v>
      </c>
      <c r="W15" s="76">
        <f t="shared" si="12"/>
        <v>43.10945806</v>
      </c>
      <c r="X15" s="71" t="str">
        <f t="shared" si="13"/>
        <v>43s</v>
      </c>
      <c r="Y15" s="77">
        <f t="shared" si="14"/>
        <v>909</v>
      </c>
      <c r="Z15" s="17"/>
      <c r="AA15" s="92" t="s">
        <v>69</v>
      </c>
      <c r="AB15" s="93"/>
      <c r="AC15" s="93"/>
      <c r="AD15" s="93"/>
      <c r="AE15" s="93"/>
      <c r="AF15" s="94"/>
      <c r="AG15" s="13"/>
    </row>
    <row r="16">
      <c r="A16" s="12"/>
      <c r="B16" s="65">
        <f t="shared" si="2"/>
        <v>9</v>
      </c>
      <c r="C16" s="69" t="s">
        <v>10</v>
      </c>
      <c r="D16" s="14" t="b">
        <f>IFERROR(__xludf.DUMMYFUNCTION("IF(COUNTA(C16:C147)=0,"""",IFERROR(IF(ISBLANK(C16),FALSE,IF(ISBLANK(G16),1,IF(NOT(COUNTIF($AA$24:$AA$34,SUBSTITUTE(C16,""Sell_"",""""))),1,IF(C16=""Plastic_up"",IF(I16&lt;1000,1),IF(C16=""Super_Up"",IF(OR(COUNTIF(C$4:C16,""Grandma"")-COUNTIF(C$4:C16,""Sell_G"&amp;"randma"")&lt;1,COUNTIF(C$4:C16,VLOOKUP(C16,Upgrades!$F$8:$N$8,7+COUNTIF(C$4:C16,C16)))-COUNTIF(C$4:C16,""Sell_""&amp;VLOOKUP(C16,Upgrades!$F$8:$N$8,7+COUNTIF(C$4:C16,C16)))&lt;15),1),IF(REGEXMATCH(C16,""_up""),IF(COUNTIF(C$4:C16,SUBSTITUTE(C16,""_up"",""""))&lt;IFERRO"&amp;"R(VLOOKUP(C16,Upgrades!$L$3:$P$6,1+COUNTIF(C$4:C16,C16),0),999),1),IF(REGEXMATCH(C16,""Sell_""),IF(COUNTIF(C$4:C16,SUBSTITUTE(C16,""Sell_"",""""))-COUNTIF(C$4:C15,C16)&lt;1,1),FALSE)))))))))"),FALSE)</f>
        <v>0</v>
      </c>
      <c r="E16" s="71">
        <f>IFERROR(__xludf.DUMMYFUNCTION("IF(REGEXMATCH(C16,""^Sell_""),E15, IF(COUNTA(C16:C147)=0,"""",(COUNTIF(C$4:C16,""Cursor"")-COUNTIF(C$4:C16,""Sell_Cursor""))*(0.1*2^SWITCH(COUNTIF(C$4:C16,""Cursor_up""),0,0,1,1,2,2,3)+SWITCH(COUNTIF(C$4:C16,""Cursor_up""),4,0.1,0)*(ROW(C16)-4-COUNTIF(C$4"&amp;":C16,""Cursor"")-COUNTIF(C$4:C16,""*""&amp;""_up"")-2*COUNTIF(C$4:C16,""Sell_""&amp;""*"")+COUNTIF(C$4:C16,""Sell_Cursor"")-COUNTIF(C$4:C16,"""")))+(COUNTIF(C$4:C16,""Grandma"")-COUNTIF(C$4:C16,""Sell_Grandma""))*(1*2^(COUNTIF(C$4:C16,""Grandma_up"")+COUNTIF(C$4:"&amp;"C16,""Super_up"")))+(COUNTIF(C$4:C16,""Farm"")-COUNTIF(C$4:C16,""Sell_Farm""))*(8*2^COUNTIF(C$4:C16,""Farm_up""))*IF(COUNTIF(C$4:C16,""Super_up"")&gt;0,1+0.01*(COUNTIF(C$4:C16,""Grandma"")-COUNTIF(C$4:C16,""Sell_Grandma"")),1)+(COUNTIF(C$4:C16,""Mine"")-COUN"&amp;"TIF(C$4:C16,""Sell_Mine""))*((47*2^COUNTIF(C$4:C16,""Mine_up""))*IF(COUNTIF(C$4:C16,""Super_up"")&gt;1,1+0.005*(COUNTIF(C$4:C16,""Grandma"")-COUNTIF(C$4:C16,""Sell_Grandma"")),1))+(COUNTIF(C$4:C16,""Factory"")-COUNTIF(C$4:C16,""Sell_Factory""))*(260*2^COUNTI"&amp;"F(C$4:C16,""Factory_up""))))"),4.6)</f>
        <v>4.6</v>
      </c>
      <c r="F16" s="73">
        <f>IFERROR(__xludf.DUMMYFUNCTION("IF(COUNTA(C16:C147)=0,"""",IF(REGEXMATCH(INDEX(FILTER(C$4:C16,C$4:C16&lt;&gt;""""),ROWS(FILTER(C$4:C16,C$4:C16&lt;&gt;""""))),""^Sell_""),INDEX(FILTER(F$4:F15,C$4:C15&lt;&gt;""""),ROWS(FILTER(C$4:C15,C$4:C15&lt;&gt;""""))),$AC$5*(2^SWITCH(COUNTIF(C$4:C16,""Cursor_up""),0,0,1,1,2"&amp;",2,3)+SWITCH(COUNTIF(C$4:C16,""Cursor_up""),4,0.1,0)*(ROW(C16)-4-COUNTIF(C$4:C16,""Cursor"")-COUNTIF(C$4:C16,""*""&amp;""_up"")-2*COUNTIF(C$4:C16,""Sell_""&amp;""*"")+COUNTIF(C$4:C16,""Sell_Cursor"")-COUNTIF(C$4:C16,""""))+0.01*E16*COUNTIF(C$4:C16,""Plastic_up"")"&amp;")+E16))"),44.6)</f>
        <v>44.6</v>
      </c>
      <c r="G16" s="14">
        <f>IFERROR(__xludf.DUMMYFUNCTION("IF(COUNTA(C16:C147)=0,"""",IF(REGEXMATCH(C16,""_up""),VLOOKUP(C16,Upgrades!$F$3:$J$8,1+COUNTIF(C$4:C16,C16),FALSE),IF(C16="""",0,IF(REGEXMATCH(C16,""^Sell_""),-ROUNDDOWN(ROUNDUP(INDEX(Upgrades!$C$3:$C$8,MATCH(SUBSTITUTE(C16,""Sell_"",""""),Upgrades!$B$3:$"&amp;"B$8,0))*1.15^(COUNTIF(C$4:C15,SUBSTITUTE(C16,""Sell_"",""""))-COUNTIF(C$4:C15,""Sell_""&amp;SUBSTITUTE(C16,""Sell_"",""""))))/4),ROUNDUP(INDEX(Upgrades!$C$3:$C$7,MATCH(C16,Upgrades!$B$3:$B$7,0))*1.15^(COUNTIF(C$4:C15,C16)-COUNTIF(C$4:C15,""Sell_""&amp;C16)))))))"),46.0)</f>
        <v>46</v>
      </c>
      <c r="H16" s="14">
        <f t="shared" si="3"/>
        <v>46</v>
      </c>
      <c r="I16" s="75">
        <f t="shared" si="4"/>
        <v>15115.32362</v>
      </c>
      <c r="J16" s="76">
        <f t="shared" si="5"/>
        <v>44.15018204</v>
      </c>
      <c r="K16" s="71" t="str">
        <f t="shared" si="6"/>
        <v>44s</v>
      </c>
      <c r="L16" s="77">
        <f t="shared" si="7"/>
        <v>955</v>
      </c>
      <c r="M16" s="51">
        <f t="shared" si="8"/>
        <v>0</v>
      </c>
      <c r="N16" s="52">
        <f>IFERROR(__xludf.DUMMYFUNCTION("IFS(AND(COUNTA(C16:C147)=0,COUNTA(P16:P147)=0),"""",OR(AND(L16&gt;=1000000,OR(Y16&gt;=1000000,COUNTA(P16:P147)=0)),AND(Y16&gt;=1000000,COUNTA(C16:C147)=0),AND(COUNTA(P16:P147)=0,O$3=TRUE)),
ROUNDDOWN((AB$1-AC$1)*MAX(INDEX(S$4:S147,MATCH(LARGE(FILTER(Y$4:Y147,Y$4:Y"&amp;"147&lt;1000000),1),Y$4:Y147)),INDEX(F$4:F147,MATCH(LARGE(FILTER(L$4:L147,L$4:L147&lt;1000000),1),L$4:L147)))),AND(L16&lt;1000000,COUNTA(C16:C147)&gt;0,O$3=FALSE),
ROUNDDOWN(INDEX(Y$4:Y147,MATCH(LARGE(FILTER(W$4:W147,W$4:W147&lt;=J16),1),W$4:W147))+(J16-LARGE(FILTER(W$4:"&amp;"W147,W$4:W147&lt;=J16),1))*INDEX(S$4:S147,MATCH(LARGE(FILTER(W$4:W147,W$4:W147&lt;=J16),1),W$4:W147))-L16),1,
ROUNDDOWN(Y16-INDEX(L$4:L147,MATCH(LARGE(FILTER(J$4:J147,J$4:J147&lt;=W16),1),J$4:J147))-(W16-LARGE(FILTER(J$4:J147,J$4:J147&lt;=W16),1))*INDEX(F$4:F147,MATC"&amp;"H(LARGE(FILTER(J$4:J147,J$4:J147&lt;=W16),1),J$4:J147))))"),0.0)</f>
        <v>0</v>
      </c>
      <c r="O16" s="65">
        <f t="shared" si="9"/>
        <v>9</v>
      </c>
      <c r="P16" s="69" t="s">
        <v>10</v>
      </c>
      <c r="Q16" s="14" t="b">
        <f>IFERROR(__xludf.DUMMYFUNCTION("IF(COUNTA(P16:P147)=0,"""",IFERROR(IF(ISBLANK(P16),FALSE,IF(ISBLANK(T16),1,IF(NOT(COUNTIF($AA$24:$AA$34,SUBSTITUTE(P16,""Sell_"",""""))),1,IF(P16=""Plastic_up"",IF(V16&lt;1000,1),IF(P16=""Super_Up"",IF(OR(COUNTIF(P$4:P16,""Grandma"")-COUNTIF(P$4:P16,""Sell_G"&amp;"randma"")&lt;1,COUNTIF(P$4:P16,VLOOKUP(P16,Upgrades!$F$8:$N$8,7+COUNTIF(P$4:P16,P16)))-COUNTIF(P$4:P16,""Sell_""&amp;VLOOKUP(P16,Upgrades!$F$8:$N$8,7+COUNTIF(P$4:P16,P16)))&lt;15),1),IF(REGEXMATCH(P16,""_up""),IF(COUNTIF(P$4:P16,SUBSTITUTE(P16,""_up"",""""))&lt;IFERRO"&amp;"R(VLOOKUP(P16,Upgrades!$L$3:$P$6,1+COUNTIF(P$4:P16,P16),0),999),1),IF(REGEXMATCH(P16,""Sell_""),IF(COUNTIF(P$4:P16,SUBSTITUTE(P16,""Sell_"",""""))-COUNTIF(P$4:P15,P16)&lt;1,1),FALSE)))))))))"),FALSE)</f>
        <v>0</v>
      </c>
      <c r="R16" s="71">
        <f>IFERROR(__xludf.DUMMYFUNCTION("IF(REGEXMATCH(P16,""^Sell_""),R15, IF(COUNTA(P16:P147)=0,"""",(COUNTIF(P$4:P16,""Cursor"")-COUNTIF(P$4:P16,""Sell_Cursor""))*(0.1*2^SWITCH(COUNTIF(P$4:P16,""Cursor_up""),0,0,1,1,2,2,3)+SWITCH(COUNTIF(P$4:P16,""Cursor_up""),4,0.1,0)*(ROW(P16)-4-COUNTIF(P$4"&amp;":P16,""Cursor"")-COUNTIF(P$4:P16,""*""&amp;""_up"")-2*COUNTIF(P$4:P16,""Sell_""&amp;""*"")+COUNTIF(P$4:P16,""Sell_Cursor"")-COUNTIF(P$4:P16,"""")))+(COUNTIF(P$4:P16,""Grandma"")-COUNTIF(P$4:P16,""Sell_Grandma""))*(1*2^(COUNTIF(P$4:P16,""Grandma_up"")+COUNTIF(P$4:"&amp;"P16,""Super_up"")))+(COUNTIF(P$4:P16,""Farm"")-COUNTIF(P$4:P16,""Sell_Farm""))*(8*2^COUNTIF(P$4:P16,""Farm_up""))*IF(COUNTIF(P$4:P16,""Super_up"")&gt;0,1+0.01*(COUNTIF(P$4:P16,""Grandma"")-COUNTIF(P$4:P16,""Sell_Grandma"")),1)+(COUNTIF(P$4:P16,""Mine"")-COUN"&amp;"TIF(P$4:P16,""Sell_Mine""))*((47*2^COUNTIF(P$4:P16,""Mine_up""))*IF(COUNTIF(P$4:P16,""Super_up"")&gt;1,1+0.005*(COUNTIF(P$4:P16,""Grandma"")-COUNTIF(P$4:P16,""Sell_Grandma"")),1))+(COUNTIF(P$4:P16,""Factory"")-COUNTIF(P$4:P16,""Sell_Factory""))*(260*2^COUNTI"&amp;"F(P$4:P16,""Factory_up""))))"),4.6)</f>
        <v>4.6</v>
      </c>
      <c r="S16" s="73">
        <f>IFERROR(__xludf.DUMMYFUNCTION("IF(COUNTA(P16:P147)=0,"""",IF(REGEXMATCH(INDEX(FILTER(P$4:P16,P$4:P16&lt;&gt;""""),ROWS(FILTER(P$4:P16,P$4:P16&lt;&gt;""""))),""^Sell_""),INDEX(FILTER(S$4:S15,P$4:P15&lt;&gt;""""),ROWS(FILTER(P$4:P15,P$4:P15&lt;&gt;""""))),$AD$5*(2^SWITCH(COUNTIF(P$4:P16,""Cursor_up""),0,0,1,1,2"&amp;",2,3)+SWITCH(COUNTIF(P$4:P16,""Cursor_up""),4,0.1,0)*(ROW(P16)-4-COUNTIF(P$4:P16,""Cursor"")-COUNTIF(P$4:P16,""*""&amp;""_up"")-2*COUNTIF(P$4:P16,""Sell_""&amp;""*"")+COUNTIF(P$4:P16,""Sell_Cursor"")-COUNTIF(P$4:P16,""""))+0.01*R16*COUNTIF(P$4:P16,""Plastic_up"")"&amp;")+R16))"),44.6)</f>
        <v>44.6</v>
      </c>
      <c r="T16" s="14">
        <f>IFERROR(__xludf.DUMMYFUNCTION("IF(COUNTA(P16:P147)=0,"""",IF(REGEXMATCH(P16,""_up""),VLOOKUP(P16,Upgrades!$F$3:$J$8,1+COUNTIF(P$4:P16,P16),FALSE),IF(P16="""",0,IF(REGEXMATCH(P16,""^Sell_""),-ROUNDDOWN(ROUNDUP(INDEX(Upgrades!$C$3:$C$8,MATCH(SUBSTITUTE(P16,""Sell_"",""""),Upgrades!$B$3:$"&amp;"B$8,0))*1.15^(COUNTIF(P$4:P15,SUBSTITUTE(P16,""Sell_"",""""))-COUNTIF(P$4:P15,""Sell_""&amp;SUBSTITUTE(P16,""Sell_"",""""))))/4),ROUNDUP(INDEX(Upgrades!$C$3:$C$7,MATCH(P16,Upgrades!$B$3:$B$7,0))*1.15^(COUNTIF(P$4:P15,P16)-COUNTIF(P$4:P15,""Sell_""&amp;P16)))))))"),46.0)</f>
        <v>46</v>
      </c>
      <c r="U16" s="14">
        <f t="shared" si="10"/>
        <v>46</v>
      </c>
      <c r="V16" s="75">
        <f t="shared" si="11"/>
        <v>15115.32362</v>
      </c>
      <c r="W16" s="76">
        <f t="shared" si="12"/>
        <v>44.15018204</v>
      </c>
      <c r="X16" s="71" t="str">
        <f t="shared" si="13"/>
        <v>44s</v>
      </c>
      <c r="Y16" s="77">
        <f t="shared" si="14"/>
        <v>955</v>
      </c>
      <c r="Z16" s="17"/>
      <c r="AA16" s="95" t="s">
        <v>70</v>
      </c>
      <c r="AB16" s="96"/>
      <c r="AC16" s="96"/>
      <c r="AD16" s="96"/>
      <c r="AE16" s="96"/>
      <c r="AF16" s="97"/>
      <c r="AG16" s="13"/>
    </row>
    <row r="17">
      <c r="A17" s="12"/>
      <c r="B17" s="65">
        <f t="shared" si="2"/>
        <v>2</v>
      </c>
      <c r="C17" s="69" t="s">
        <v>13</v>
      </c>
      <c r="D17" s="14" t="b">
        <f>IFERROR(__xludf.DUMMYFUNCTION("IF(COUNTA(C17:C147)=0,"""",IFERROR(IF(ISBLANK(C17),FALSE,IF(ISBLANK(G17),1,IF(NOT(COUNTIF($AA$24:$AA$34,SUBSTITUTE(C17,""Sell_"",""""))),1,IF(C17=""Plastic_up"",IF(I17&lt;1000,1),IF(C17=""Super_Up"",IF(OR(COUNTIF(C$4:C17,""Grandma"")-COUNTIF(C$4:C17,""Sell_G"&amp;"randma"")&lt;1,COUNTIF(C$4:C17,VLOOKUP(C17,Upgrades!$F$8:$N$8,7+COUNTIF(C$4:C17,C17)))-COUNTIF(C$4:C17,""Sell_""&amp;VLOOKUP(C17,Upgrades!$F$8:$N$8,7+COUNTIF(C$4:C17,C17)))&lt;15),1),IF(REGEXMATCH(C17,""_up""),IF(COUNTIF(C$4:C17,SUBSTITUTE(C17,""_up"",""""))&lt;IFERRO"&amp;"R(VLOOKUP(C17,Upgrades!$L$3:$P$6,1+COUNTIF(C$4:C17,C17),0),999),1),IF(REGEXMATCH(C17,""Sell_""),IF(COUNTIF(C$4:C17,SUBSTITUTE(C17,""Sell_"",""""))-COUNTIF(C$4:C16,C17)&lt;1,1),FALSE)))))))))"),FALSE)</f>
        <v>0</v>
      </c>
      <c r="E17" s="71">
        <f>IFERROR(__xludf.DUMMYFUNCTION("IF(REGEXMATCH(C17,""^Sell_""),E16, IF(COUNTA(C17:C147)=0,"""",(COUNTIF(C$4:C17,""Cursor"")-COUNTIF(C$4:C17,""Sell_Cursor""))*(0.1*2^SWITCH(COUNTIF(C$4:C17,""Cursor_up""),0,0,1,1,2,2,3)+SWITCH(COUNTIF(C$4:C17,""Cursor_up""),4,0.1,0)*(ROW(C17)-4-COUNTIF(C$4"&amp;":C17,""Cursor"")-COUNTIF(C$4:C17,""*""&amp;""_up"")-2*COUNTIF(C$4:C17,""Sell_""&amp;""*"")+COUNTIF(C$4:C17,""Sell_Cursor"")-COUNTIF(C$4:C17,"""")))+(COUNTIF(C$4:C17,""Grandma"")-COUNTIF(C$4:C17,""Sell_Grandma""))*(1*2^(COUNTIF(C$4:C17,""Grandma_up"")+COUNTIF(C$4:"&amp;"C17,""Super_up"")))+(COUNTIF(C$4:C17,""Farm"")-COUNTIF(C$4:C17,""Sell_Farm""))*(8*2^COUNTIF(C$4:C17,""Farm_up""))*IF(COUNTIF(C$4:C17,""Super_up"")&gt;0,1+0.01*(COUNTIF(C$4:C17,""Grandma"")-COUNTIF(C$4:C17,""Sell_Grandma"")),1)+(COUNTIF(C$4:C17,""Mine"")-COUN"&amp;"TIF(C$4:C17,""Sell_Mine""))*((47*2^COUNTIF(C$4:C17,""Mine_up""))*IF(COUNTIF(C$4:C17,""Super_up"")&gt;1,1+0.005*(COUNTIF(C$4:C17,""Grandma"")-COUNTIF(C$4:C17,""Sell_Grandma"")),1))+(COUNTIF(C$4:C17,""Factory"")-COUNTIF(C$4:C17,""Sell_Factory""))*(260*2^COUNTI"&amp;"F(C$4:C17,""Factory_up""))))"),5.6)</f>
        <v>5.6</v>
      </c>
      <c r="F17" s="73">
        <f>IFERROR(__xludf.DUMMYFUNCTION("IF(COUNTA(C17:C147)=0,"""",IF(REGEXMATCH(INDEX(FILTER(C$4:C17,C$4:C17&lt;&gt;""""),ROWS(FILTER(C$4:C17,C$4:C17&lt;&gt;""""))),""^Sell_""),INDEX(FILTER(F$4:F16,C$4:C16&lt;&gt;""""),ROWS(FILTER(C$4:C16,C$4:C16&lt;&gt;""""))),$AC$5*(2^SWITCH(COUNTIF(C$4:C17,""Cursor_up""),0,0,1,1,2"&amp;",2,3)+SWITCH(COUNTIF(C$4:C17,""Cursor_up""),4,0.1,0)*(ROW(C17)-4-COUNTIF(C$4:C17,""Cursor"")-COUNTIF(C$4:C17,""*""&amp;""_up"")-2*COUNTIF(C$4:C17,""Sell_""&amp;""*"")+COUNTIF(C$4:C17,""Sell_Cursor"")-COUNTIF(C$4:C17,""""))+0.01*E17*COUNTIF(C$4:C17,""Plastic_up"")"&amp;")+E17))"),45.6)</f>
        <v>45.6</v>
      </c>
      <c r="G17" s="14">
        <f>IFERROR(__xludf.DUMMYFUNCTION("IF(COUNTA(C17:C147)=0,"""",IF(REGEXMATCH(C17,""_up""),VLOOKUP(C17,Upgrades!$F$3:$J$8,1+COUNTIF(C$4:C17,C17),FALSE),IF(C17="""",0,IF(REGEXMATCH(C17,""^Sell_""),-ROUNDDOWN(ROUNDUP(INDEX(Upgrades!$C$3:$C$8,MATCH(SUBSTITUTE(C17,""Sell_"",""""),Upgrades!$B$3:$"&amp;"B$8,0))*1.15^(COUNTIF(C$4:C16,SUBSTITUTE(C17,""Sell_"",""""))-COUNTIF(C$4:C16,""Sell_""&amp;SUBSTITUTE(C17,""Sell_"",""""))))/4),ROUNDUP(INDEX(Upgrades!$C$3:$C$7,MATCH(C17,Upgrades!$B$3:$B$7,0))*1.15^(COUNTIF(C$4:C16,C17)-COUNTIF(C$4:C16,""Sell_""&amp;C17)))))))"),115.0)</f>
        <v>115</v>
      </c>
      <c r="H17" s="14">
        <f t="shared" si="3"/>
        <v>115</v>
      </c>
      <c r="I17" s="75">
        <f t="shared" si="4"/>
        <v>16984.46992</v>
      </c>
      <c r="J17" s="76">
        <f t="shared" si="5"/>
        <v>46.72865738</v>
      </c>
      <c r="K17" s="71" t="str">
        <f t="shared" si="6"/>
        <v>46s</v>
      </c>
      <c r="L17" s="77">
        <f t="shared" si="7"/>
        <v>1070</v>
      </c>
      <c r="M17" s="51">
        <f t="shared" si="8"/>
        <v>0</v>
      </c>
      <c r="N17" s="52">
        <f>IFERROR(__xludf.DUMMYFUNCTION("IFS(AND(COUNTA(C17:C147)=0,COUNTA(P17:P147)=0),"""",OR(AND(L17&gt;=1000000,OR(Y17&gt;=1000000,COUNTA(P17:P147)=0)),AND(Y17&gt;=1000000,COUNTA(C17:C147)=0),AND(COUNTA(P17:P147)=0,O$3=TRUE)),
ROUNDDOWN((AB$1-AC$1)*MAX(INDEX(S$4:S147,MATCH(LARGE(FILTER(Y$4:Y147,Y$4:Y"&amp;"147&lt;1000000),1),Y$4:Y147)),INDEX(F$4:F147,MATCH(LARGE(FILTER(L$4:L147,L$4:L147&lt;1000000),1),L$4:L147)))),AND(L17&lt;1000000,COUNTA(C17:C147)&gt;0,O$3=FALSE),
ROUNDDOWN(INDEX(Y$4:Y147,MATCH(LARGE(FILTER(W$4:W147,W$4:W147&lt;=J17),1),W$4:W147))+(J17-LARGE(FILTER(W$4:"&amp;"W147,W$4:W147&lt;=J17),1))*INDEX(S$4:S147,MATCH(LARGE(FILTER(W$4:W147,W$4:W147&lt;=J17),1),W$4:W147))-L17),1,
ROUNDDOWN(Y17-INDEX(L$4:L147,MATCH(LARGE(FILTER(J$4:J147,J$4:J147&lt;=W17),1),J$4:J147))-(W17-LARGE(FILTER(J$4:J147,J$4:J147&lt;=W17),1))*INDEX(F$4:F147,MATC"&amp;"H(LARGE(FILTER(J$4:J147,J$4:J147&lt;=W17),1),J$4:J147))))"),0.0)</f>
        <v>0</v>
      </c>
      <c r="O17" s="65">
        <f t="shared" si="9"/>
        <v>2</v>
      </c>
      <c r="P17" s="69" t="s">
        <v>13</v>
      </c>
      <c r="Q17" s="14" t="b">
        <f>IFERROR(__xludf.DUMMYFUNCTION("IF(COUNTA(P17:P147)=0,"""",IFERROR(IF(ISBLANK(P17),FALSE,IF(ISBLANK(T17),1,IF(NOT(COUNTIF($AA$24:$AA$34,SUBSTITUTE(P17,""Sell_"",""""))),1,IF(P17=""Plastic_up"",IF(V17&lt;1000,1),IF(P17=""Super_Up"",IF(OR(COUNTIF(P$4:P17,""Grandma"")-COUNTIF(P$4:P17,""Sell_G"&amp;"randma"")&lt;1,COUNTIF(P$4:P17,VLOOKUP(P17,Upgrades!$F$8:$N$8,7+COUNTIF(P$4:P17,P17)))-COUNTIF(P$4:P17,""Sell_""&amp;VLOOKUP(P17,Upgrades!$F$8:$N$8,7+COUNTIF(P$4:P17,P17)))&lt;15),1),IF(REGEXMATCH(P17,""_up""),IF(COUNTIF(P$4:P17,SUBSTITUTE(P17,""_up"",""""))&lt;IFERRO"&amp;"R(VLOOKUP(P17,Upgrades!$L$3:$P$6,1+COUNTIF(P$4:P17,P17),0),999),1),IF(REGEXMATCH(P17,""Sell_""),IF(COUNTIF(P$4:P17,SUBSTITUTE(P17,""Sell_"",""""))-COUNTIF(P$4:P16,P17)&lt;1,1),FALSE)))))))))"),FALSE)</f>
        <v>0</v>
      </c>
      <c r="R17" s="71">
        <f>IFERROR(__xludf.DUMMYFUNCTION("IF(REGEXMATCH(P17,""^Sell_""),R16, IF(COUNTA(P17:P147)=0,"""",(COUNTIF(P$4:P17,""Cursor"")-COUNTIF(P$4:P17,""Sell_Cursor""))*(0.1*2^SWITCH(COUNTIF(P$4:P17,""Cursor_up""),0,0,1,1,2,2,3)+SWITCH(COUNTIF(P$4:P17,""Cursor_up""),4,0.1,0)*(ROW(P17)-4-COUNTIF(P$4"&amp;":P17,""Cursor"")-COUNTIF(P$4:P17,""*""&amp;""_up"")-2*COUNTIF(P$4:P17,""Sell_""&amp;""*"")+COUNTIF(P$4:P17,""Sell_Cursor"")-COUNTIF(P$4:P17,"""")))+(COUNTIF(P$4:P17,""Grandma"")-COUNTIF(P$4:P17,""Sell_Grandma""))*(1*2^(COUNTIF(P$4:P17,""Grandma_up"")+COUNTIF(P$4:"&amp;"P17,""Super_up"")))+(COUNTIF(P$4:P17,""Farm"")-COUNTIF(P$4:P17,""Sell_Farm""))*(8*2^COUNTIF(P$4:P17,""Farm_up""))*IF(COUNTIF(P$4:P17,""Super_up"")&gt;0,1+0.01*(COUNTIF(P$4:P17,""Grandma"")-COUNTIF(P$4:P17,""Sell_Grandma"")),1)+(COUNTIF(P$4:P17,""Mine"")-COUN"&amp;"TIF(P$4:P17,""Sell_Mine""))*((47*2^COUNTIF(P$4:P17,""Mine_up""))*IF(COUNTIF(P$4:P17,""Super_up"")&gt;1,1+0.005*(COUNTIF(P$4:P17,""Grandma"")-COUNTIF(P$4:P17,""Sell_Grandma"")),1))+(COUNTIF(P$4:P17,""Factory"")-COUNTIF(P$4:P17,""Sell_Factory""))*(260*2^COUNTI"&amp;"F(P$4:P17,""Factory_up""))))"),5.6)</f>
        <v>5.6</v>
      </c>
      <c r="S17" s="73">
        <f>IFERROR(__xludf.DUMMYFUNCTION("IF(COUNTA(P17:P147)=0,"""",IF(REGEXMATCH(INDEX(FILTER(P$4:P17,P$4:P17&lt;&gt;""""),ROWS(FILTER(P$4:P17,P$4:P17&lt;&gt;""""))),""^Sell_""),INDEX(FILTER(S$4:S16,P$4:P16&lt;&gt;""""),ROWS(FILTER(P$4:P16,P$4:P16&lt;&gt;""""))),$AD$5*(2^SWITCH(COUNTIF(P$4:P17,""Cursor_up""),0,0,1,1,2"&amp;",2,3)+SWITCH(COUNTIF(P$4:P17,""Cursor_up""),4,0.1,0)*(ROW(P17)-4-COUNTIF(P$4:P17,""Cursor"")-COUNTIF(P$4:P17,""*""&amp;""_up"")-2*COUNTIF(P$4:P17,""Sell_""&amp;""*"")+COUNTIF(P$4:P17,""Sell_Cursor"")-COUNTIF(P$4:P17,""""))+0.01*R17*COUNTIF(P$4:P17,""Plastic_up"")"&amp;")+R17))"),45.6)</f>
        <v>45.6</v>
      </c>
      <c r="T17" s="14">
        <f>IFERROR(__xludf.DUMMYFUNCTION("IF(COUNTA(P17:P147)=0,"""",IF(REGEXMATCH(P17,""_up""),VLOOKUP(P17,Upgrades!$F$3:$J$8,1+COUNTIF(P$4:P17,P17),FALSE),IF(P17="""",0,IF(REGEXMATCH(P17,""^Sell_""),-ROUNDDOWN(ROUNDUP(INDEX(Upgrades!$C$3:$C$8,MATCH(SUBSTITUTE(P17,""Sell_"",""""),Upgrades!$B$3:$"&amp;"B$8,0))*1.15^(COUNTIF(P$4:P16,SUBSTITUTE(P17,""Sell_"",""""))-COUNTIF(P$4:P16,""Sell_""&amp;SUBSTITUTE(P17,""Sell_"",""""))))/4),ROUNDUP(INDEX(Upgrades!$C$3:$C$7,MATCH(P17,Upgrades!$B$3:$B$7,0))*1.15^(COUNTIF(P$4:P16,P17)-COUNTIF(P$4:P16,""Sell_""&amp;P17)))))))"),115.0)</f>
        <v>115</v>
      </c>
      <c r="U17" s="14">
        <f t="shared" si="10"/>
        <v>115</v>
      </c>
      <c r="V17" s="75">
        <f t="shared" si="11"/>
        <v>16984.46992</v>
      </c>
      <c r="W17" s="76">
        <f t="shared" si="12"/>
        <v>46.72865738</v>
      </c>
      <c r="X17" s="71" t="str">
        <f t="shared" si="13"/>
        <v>46s</v>
      </c>
      <c r="Y17" s="77">
        <f t="shared" si="14"/>
        <v>1070</v>
      </c>
      <c r="Z17" s="17"/>
      <c r="AA17" s="13"/>
      <c r="AB17" s="13"/>
      <c r="AC17" s="13"/>
      <c r="AD17" s="13"/>
      <c r="AE17" s="13"/>
      <c r="AF17" s="13"/>
      <c r="AG17" s="13"/>
    </row>
    <row r="18">
      <c r="A18" s="12"/>
      <c r="B18" s="65">
        <f t="shared" si="2"/>
        <v>10</v>
      </c>
      <c r="C18" s="69" t="s">
        <v>10</v>
      </c>
      <c r="D18" s="14" t="b">
        <f>IFERROR(__xludf.DUMMYFUNCTION("IF(COUNTA(C18:C147)=0,"""",IFERROR(IF(ISBLANK(C18),FALSE,IF(ISBLANK(G18),1,IF(NOT(COUNTIF($AA$24:$AA$34,SUBSTITUTE(C18,""Sell_"",""""))),1,IF(C18=""Plastic_up"",IF(I18&lt;1000,1),IF(C18=""Super_Up"",IF(OR(COUNTIF(C$4:C18,""Grandma"")-COUNTIF(C$4:C18,""Sell_G"&amp;"randma"")&lt;1,COUNTIF(C$4:C18,VLOOKUP(C18,Upgrades!$F$8:$N$8,7+COUNTIF(C$4:C18,C18)))-COUNTIF(C$4:C18,""Sell_""&amp;VLOOKUP(C18,Upgrades!$F$8:$N$8,7+COUNTIF(C$4:C18,C18)))&lt;15),1),IF(REGEXMATCH(C18,""_up""),IF(COUNTIF(C$4:C18,SUBSTITUTE(C18,""_up"",""""))&lt;IFERRO"&amp;"R(VLOOKUP(C18,Upgrades!$L$3:$P$6,1+COUNTIF(C$4:C18,C18),0),999),1),IF(REGEXMATCH(C18,""Sell_""),IF(COUNTIF(C$4:C18,SUBSTITUTE(C18,""Sell_"",""""))-COUNTIF(C$4:C17,C18)&lt;1,1),FALSE)))))))))"),FALSE)</f>
        <v>0</v>
      </c>
      <c r="E18" s="71">
        <f>IFERROR(__xludf.DUMMYFUNCTION("IF(REGEXMATCH(C18,""^Sell_""),E17, IF(COUNTA(C18:C147)=0,"""",(COUNTIF(C$4:C18,""Cursor"")-COUNTIF(C$4:C18,""Sell_Cursor""))*(0.1*2^SWITCH(COUNTIF(C$4:C18,""Cursor_up""),0,0,1,1,2,2,3)+SWITCH(COUNTIF(C$4:C18,""Cursor_up""),4,0.1,0)*(ROW(C18)-4-COUNTIF(C$4"&amp;":C18,""Cursor"")-COUNTIF(C$4:C18,""*""&amp;""_up"")-2*COUNTIF(C$4:C18,""Sell_""&amp;""*"")+COUNTIF(C$4:C18,""Sell_Cursor"")-COUNTIF(C$4:C18,"""")))+(COUNTIF(C$4:C18,""Grandma"")-COUNTIF(C$4:C18,""Sell_Grandma""))*(1*2^(COUNTIF(C$4:C18,""Grandma_up"")+COUNTIF(C$4:"&amp;"C18,""Super_up"")))+(COUNTIF(C$4:C18,""Farm"")-COUNTIF(C$4:C18,""Sell_Farm""))*(8*2^COUNTIF(C$4:C18,""Farm_up""))*IF(COUNTIF(C$4:C18,""Super_up"")&gt;0,1+0.01*(COUNTIF(C$4:C18,""Grandma"")-COUNTIF(C$4:C18,""Sell_Grandma"")),1)+(COUNTIF(C$4:C18,""Mine"")-COUN"&amp;"TIF(C$4:C18,""Sell_Mine""))*((47*2^COUNTIF(C$4:C18,""Mine_up""))*IF(COUNTIF(C$4:C18,""Super_up"")&gt;1,1+0.005*(COUNTIF(C$4:C18,""Grandma"")-COUNTIF(C$4:C18,""Sell_Grandma"")),1))+(COUNTIF(C$4:C18,""Factory"")-COUNTIF(C$4:C18,""Sell_Factory""))*(260*2^COUNTI"&amp;"F(C$4:C18,""Factory_up""))))"),6.0)</f>
        <v>6</v>
      </c>
      <c r="F18" s="73">
        <f>IFERROR(__xludf.DUMMYFUNCTION("IF(COUNTA(C18:C147)=0,"""",IF(REGEXMATCH(INDEX(FILTER(C$4:C18,C$4:C18&lt;&gt;""""),ROWS(FILTER(C$4:C18,C$4:C18&lt;&gt;""""))),""^Sell_""),INDEX(FILTER(F$4:F17,C$4:C17&lt;&gt;""""),ROWS(FILTER(C$4:C17,C$4:C17&lt;&gt;""""))),$AC$5*(2^SWITCH(COUNTIF(C$4:C18,""Cursor_up""),0,0,1,1,2"&amp;",2,3)+SWITCH(COUNTIF(C$4:C18,""Cursor_up""),4,0.1,0)*(ROW(C18)-4-COUNTIF(C$4:C18,""Cursor"")-COUNTIF(C$4:C18,""*""&amp;""_up"")-2*COUNTIF(C$4:C18,""Sell_""&amp;""*"")+COUNTIF(C$4:C18,""Sell_Cursor"")-COUNTIF(C$4:C18,""""))+0.01*E18*COUNTIF(C$4:C18,""Plastic_up"")"&amp;")+E18))"),46.0)</f>
        <v>46</v>
      </c>
      <c r="G18" s="14">
        <f>IFERROR(__xludf.DUMMYFUNCTION("IF(COUNTA(C18:C147)=0,"""",IF(REGEXMATCH(C18,""_up""),VLOOKUP(C18,Upgrades!$F$3:$J$8,1+COUNTIF(C$4:C18,C18),FALSE),IF(C18="""",0,IF(REGEXMATCH(C18,""^Sell_""),-ROUNDDOWN(ROUNDUP(INDEX(Upgrades!$C$3:$C$8,MATCH(SUBSTITUTE(C18,""Sell_"",""""),Upgrades!$B$3:$"&amp;"B$8,0))*1.15^(COUNTIF(C$4:C17,SUBSTITUTE(C18,""Sell_"",""""))-COUNTIF(C$4:C17,""Sell_""&amp;SUBSTITUTE(C18,""Sell_"",""""))))/4),ROUNDUP(INDEX(Upgrades!$C$3:$C$7,MATCH(C18,Upgrades!$B$3:$B$7,0))*1.15^(COUNTIF(C$4:C17,C18)-COUNTIF(C$4:C17,""Sell_""&amp;C18)))))))"),53.0)</f>
        <v>53</v>
      </c>
      <c r="H18" s="14">
        <f t="shared" si="3"/>
        <v>53</v>
      </c>
      <c r="I18" s="75">
        <f t="shared" si="4"/>
        <v>18900.10744</v>
      </c>
      <c r="J18" s="76">
        <f t="shared" si="5"/>
        <v>47.89093808</v>
      </c>
      <c r="K18" s="71" t="str">
        <f t="shared" si="6"/>
        <v>47s</v>
      </c>
      <c r="L18" s="77">
        <f t="shared" si="7"/>
        <v>1123</v>
      </c>
      <c r="M18" s="51">
        <f t="shared" si="8"/>
        <v>0</v>
      </c>
      <c r="N18" s="52">
        <f>IFERROR(__xludf.DUMMYFUNCTION("IFS(AND(COUNTA(C18:C147)=0,COUNTA(P18:P147)=0),"""",OR(AND(L18&gt;=1000000,OR(Y18&gt;=1000000,COUNTA(P18:P147)=0)),AND(Y18&gt;=1000000,COUNTA(C18:C147)=0),AND(COUNTA(P18:P147)=0,O$3=TRUE)),
ROUNDDOWN((AB$1-AC$1)*MAX(INDEX(S$4:S147,MATCH(LARGE(FILTER(Y$4:Y147,Y$4:Y"&amp;"147&lt;1000000),1),Y$4:Y147)),INDEX(F$4:F147,MATCH(LARGE(FILTER(L$4:L147,L$4:L147&lt;1000000),1),L$4:L147)))),AND(L18&lt;1000000,COUNTA(C18:C147)&gt;0,O$3=FALSE),
ROUNDDOWN(INDEX(Y$4:Y147,MATCH(LARGE(FILTER(W$4:W147,W$4:W147&lt;=J18),1),W$4:W147))+(J18-LARGE(FILTER(W$4:"&amp;"W147,W$4:W147&lt;=J18),1))*INDEX(S$4:S147,MATCH(LARGE(FILTER(W$4:W147,W$4:W147&lt;=J18),1),W$4:W147))-L18),1,
ROUNDDOWN(Y18-INDEX(L$4:L147,MATCH(LARGE(FILTER(J$4:J147,J$4:J147&lt;=W18),1),J$4:J147))-(W18-LARGE(FILTER(J$4:J147,J$4:J147&lt;=W18),1))*INDEX(F$4:F147,MATC"&amp;"H(LARGE(FILTER(J$4:J147,J$4:J147&lt;=W18),1),J$4:J147))))"),0.0)</f>
        <v>0</v>
      </c>
      <c r="O18" s="65">
        <f t="shared" si="9"/>
        <v>10</v>
      </c>
      <c r="P18" s="69" t="s">
        <v>10</v>
      </c>
      <c r="Q18" s="14" t="b">
        <f>IFERROR(__xludf.DUMMYFUNCTION("IF(COUNTA(P18:P147)=0,"""",IFERROR(IF(ISBLANK(P18),FALSE,IF(ISBLANK(T18),1,IF(NOT(COUNTIF($AA$24:$AA$34,SUBSTITUTE(P18,""Sell_"",""""))),1,IF(P18=""Plastic_up"",IF(V18&lt;1000,1),IF(P18=""Super_Up"",IF(OR(COUNTIF(P$4:P18,""Grandma"")-COUNTIF(P$4:P18,""Sell_G"&amp;"randma"")&lt;1,COUNTIF(P$4:P18,VLOOKUP(P18,Upgrades!$F$8:$N$8,7+COUNTIF(P$4:P18,P18)))-COUNTIF(P$4:P18,""Sell_""&amp;VLOOKUP(P18,Upgrades!$F$8:$N$8,7+COUNTIF(P$4:P18,P18)))&lt;15),1),IF(REGEXMATCH(P18,""_up""),IF(COUNTIF(P$4:P18,SUBSTITUTE(P18,""_up"",""""))&lt;IFERRO"&amp;"R(VLOOKUP(P18,Upgrades!$L$3:$P$6,1+COUNTIF(P$4:P18,P18),0),999),1),IF(REGEXMATCH(P18,""Sell_""),IF(COUNTIF(P$4:P18,SUBSTITUTE(P18,""Sell_"",""""))-COUNTIF(P$4:P17,P18)&lt;1,1),FALSE)))))))))"),FALSE)</f>
        <v>0</v>
      </c>
      <c r="R18" s="71">
        <f>IFERROR(__xludf.DUMMYFUNCTION("IF(REGEXMATCH(P18,""^Sell_""),R17, IF(COUNTA(P18:P147)=0,"""",(COUNTIF(P$4:P18,""Cursor"")-COUNTIF(P$4:P18,""Sell_Cursor""))*(0.1*2^SWITCH(COUNTIF(P$4:P18,""Cursor_up""),0,0,1,1,2,2,3)+SWITCH(COUNTIF(P$4:P18,""Cursor_up""),4,0.1,0)*(ROW(P18)-4-COUNTIF(P$4"&amp;":P18,""Cursor"")-COUNTIF(P$4:P18,""*""&amp;""_up"")-2*COUNTIF(P$4:P18,""Sell_""&amp;""*"")+COUNTIF(P$4:P18,""Sell_Cursor"")-COUNTIF(P$4:P18,"""")))+(COUNTIF(P$4:P18,""Grandma"")-COUNTIF(P$4:P18,""Sell_Grandma""))*(1*2^(COUNTIF(P$4:P18,""Grandma_up"")+COUNTIF(P$4:"&amp;"P18,""Super_up"")))+(COUNTIF(P$4:P18,""Farm"")-COUNTIF(P$4:P18,""Sell_Farm""))*(8*2^COUNTIF(P$4:P18,""Farm_up""))*IF(COUNTIF(P$4:P18,""Super_up"")&gt;0,1+0.01*(COUNTIF(P$4:P18,""Grandma"")-COUNTIF(P$4:P18,""Sell_Grandma"")),1)+(COUNTIF(P$4:P18,""Mine"")-COUN"&amp;"TIF(P$4:P18,""Sell_Mine""))*((47*2^COUNTIF(P$4:P18,""Mine_up""))*IF(COUNTIF(P$4:P18,""Super_up"")&gt;1,1+0.005*(COUNTIF(P$4:P18,""Grandma"")-COUNTIF(P$4:P18,""Sell_Grandma"")),1))+(COUNTIF(P$4:P18,""Factory"")-COUNTIF(P$4:P18,""Sell_Factory""))*(260*2^COUNTI"&amp;"F(P$4:P18,""Factory_up""))))"),6.0)</f>
        <v>6</v>
      </c>
      <c r="S18" s="73">
        <f>IFERROR(__xludf.DUMMYFUNCTION("IF(COUNTA(P18:P147)=0,"""",IF(REGEXMATCH(INDEX(FILTER(P$4:P18,P$4:P18&lt;&gt;""""),ROWS(FILTER(P$4:P18,P$4:P18&lt;&gt;""""))),""^Sell_""),INDEX(FILTER(S$4:S17,P$4:P17&lt;&gt;""""),ROWS(FILTER(P$4:P17,P$4:P17&lt;&gt;""""))),$AD$5*(2^SWITCH(COUNTIF(P$4:P18,""Cursor_up""),0,0,1,1,2"&amp;",2,3)+SWITCH(COUNTIF(P$4:P18,""Cursor_up""),4,0.1,0)*(ROW(P18)-4-COUNTIF(P$4:P18,""Cursor"")-COUNTIF(P$4:P18,""*""&amp;""_up"")-2*COUNTIF(P$4:P18,""Sell_""&amp;""*"")+COUNTIF(P$4:P18,""Sell_Cursor"")-COUNTIF(P$4:P18,""""))+0.01*R18*COUNTIF(P$4:P18,""Plastic_up"")"&amp;")+R18))"),46.0)</f>
        <v>46</v>
      </c>
      <c r="T18" s="14">
        <f>IFERROR(__xludf.DUMMYFUNCTION("IF(COUNTA(P18:P147)=0,"""",IF(REGEXMATCH(P18,""_up""),VLOOKUP(P18,Upgrades!$F$3:$J$8,1+COUNTIF(P$4:P18,P18),FALSE),IF(P18="""",0,IF(REGEXMATCH(P18,""^Sell_""),-ROUNDDOWN(ROUNDUP(INDEX(Upgrades!$C$3:$C$8,MATCH(SUBSTITUTE(P18,""Sell_"",""""),Upgrades!$B$3:$"&amp;"B$8,0))*1.15^(COUNTIF(P$4:P17,SUBSTITUTE(P18,""Sell_"",""""))-COUNTIF(P$4:P17,""Sell_""&amp;SUBSTITUTE(P18,""Sell_"",""""))))/4),ROUNDUP(INDEX(Upgrades!$C$3:$C$7,MATCH(P18,Upgrades!$B$3:$B$7,0))*1.15^(COUNTIF(P$4:P17,P18)-COUNTIF(P$4:P17,""Sell_""&amp;P18)))))))"),53.0)</f>
        <v>53</v>
      </c>
      <c r="U18" s="14">
        <f t="shared" si="10"/>
        <v>53</v>
      </c>
      <c r="V18" s="75">
        <f t="shared" si="11"/>
        <v>18900.10744</v>
      </c>
      <c r="W18" s="76">
        <f t="shared" si="12"/>
        <v>47.89093808</v>
      </c>
      <c r="X18" s="71" t="str">
        <f t="shared" si="13"/>
        <v>47s</v>
      </c>
      <c r="Y18" s="77">
        <f t="shared" si="14"/>
        <v>1123</v>
      </c>
      <c r="Z18" s="17"/>
      <c r="AA18" s="89" t="s">
        <v>71</v>
      </c>
      <c r="AB18" s="90"/>
      <c r="AC18" s="90"/>
      <c r="AD18" s="90"/>
      <c r="AE18" s="90"/>
      <c r="AF18" s="91"/>
      <c r="AG18" s="13"/>
    </row>
    <row r="19">
      <c r="A19" s="12"/>
      <c r="B19" s="65">
        <f t="shared" si="2"/>
        <v>3</v>
      </c>
      <c r="C19" s="69" t="s">
        <v>13</v>
      </c>
      <c r="D19" s="14" t="b">
        <f>IFERROR(__xludf.DUMMYFUNCTION("IF(COUNTA(C19:C147)=0,"""",IFERROR(IF(ISBLANK(C19),FALSE,IF(ISBLANK(G19),1,IF(NOT(COUNTIF($AA$24:$AA$34,SUBSTITUTE(C19,""Sell_"",""""))),1,IF(C19=""Plastic_up"",IF(I19&lt;1000,1),IF(C19=""Super_Up"",IF(OR(COUNTIF(C$4:C19,""Grandma"")-COUNTIF(C$4:C19,""Sell_G"&amp;"randma"")&lt;1,COUNTIF(C$4:C19,VLOOKUP(C19,Upgrades!$F$8:$N$8,7+COUNTIF(C$4:C19,C19)))-COUNTIF(C$4:C19,""Sell_""&amp;VLOOKUP(C19,Upgrades!$F$8:$N$8,7+COUNTIF(C$4:C19,C19)))&lt;15),1),IF(REGEXMATCH(C19,""_up""),IF(COUNTIF(C$4:C19,SUBSTITUTE(C19,""_up"",""""))&lt;IFERRO"&amp;"R(VLOOKUP(C19,Upgrades!$L$3:$P$6,1+COUNTIF(C$4:C19,C19),0),999),1),IF(REGEXMATCH(C19,""Sell_""),IF(COUNTIF(C$4:C19,SUBSTITUTE(C19,""Sell_"",""""))-COUNTIF(C$4:C18,C19)&lt;1,1),FALSE)))))))))"),FALSE)</f>
        <v>0</v>
      </c>
      <c r="E19" s="71">
        <f>IFERROR(__xludf.DUMMYFUNCTION("IF(REGEXMATCH(C19,""^Sell_""),E18, IF(COUNTA(C19:C147)=0,"""",(COUNTIF(C$4:C19,""Cursor"")-COUNTIF(C$4:C19,""Sell_Cursor""))*(0.1*2^SWITCH(COUNTIF(C$4:C19,""Cursor_up""),0,0,1,1,2,2,3)+SWITCH(COUNTIF(C$4:C19,""Cursor_up""),4,0.1,0)*(ROW(C19)-4-COUNTIF(C$4"&amp;":C19,""Cursor"")-COUNTIF(C$4:C19,""*""&amp;""_up"")-2*COUNTIF(C$4:C19,""Sell_""&amp;""*"")+COUNTIF(C$4:C19,""Sell_Cursor"")-COUNTIF(C$4:C19,"""")))+(COUNTIF(C$4:C19,""Grandma"")-COUNTIF(C$4:C19,""Sell_Grandma""))*(1*2^(COUNTIF(C$4:C19,""Grandma_up"")+COUNTIF(C$4:"&amp;"C19,""Super_up"")))+(COUNTIF(C$4:C19,""Farm"")-COUNTIF(C$4:C19,""Sell_Farm""))*(8*2^COUNTIF(C$4:C19,""Farm_up""))*IF(COUNTIF(C$4:C19,""Super_up"")&gt;0,1+0.01*(COUNTIF(C$4:C19,""Grandma"")-COUNTIF(C$4:C19,""Sell_Grandma"")),1)+(COUNTIF(C$4:C19,""Mine"")-COUN"&amp;"TIF(C$4:C19,""Sell_Mine""))*((47*2^COUNTIF(C$4:C19,""Mine_up""))*IF(COUNTIF(C$4:C19,""Super_up"")&gt;1,1+0.005*(COUNTIF(C$4:C19,""Grandma"")-COUNTIF(C$4:C19,""Sell_Grandma"")),1))+(COUNTIF(C$4:C19,""Factory"")-COUNTIF(C$4:C19,""Sell_Factory""))*(260*2^COUNTI"&amp;"F(C$4:C19,""Factory_up""))))"),7.0)</f>
        <v>7</v>
      </c>
      <c r="F19" s="73">
        <f>IFERROR(__xludf.DUMMYFUNCTION("IF(COUNTA(C19:C147)=0,"""",IF(REGEXMATCH(INDEX(FILTER(C$4:C19,C$4:C19&lt;&gt;""""),ROWS(FILTER(C$4:C19,C$4:C19&lt;&gt;""""))),""^Sell_""),INDEX(FILTER(F$4:F18,C$4:C18&lt;&gt;""""),ROWS(FILTER(C$4:C18,C$4:C18&lt;&gt;""""))),$AC$5*(2^SWITCH(COUNTIF(C$4:C19,""Cursor_up""),0,0,1,1,2"&amp;",2,3)+SWITCH(COUNTIF(C$4:C19,""Cursor_up""),4,0.1,0)*(ROW(C19)-4-COUNTIF(C$4:C19,""Cursor"")-COUNTIF(C$4:C19,""*""&amp;""_up"")-2*COUNTIF(C$4:C19,""Sell_""&amp;""*"")+COUNTIF(C$4:C19,""Sell_Cursor"")-COUNTIF(C$4:C19,""""))+0.01*E19*COUNTIF(C$4:C19,""Plastic_up"")"&amp;")+E19))"),47.0)</f>
        <v>47</v>
      </c>
      <c r="G19" s="14">
        <f>IFERROR(__xludf.DUMMYFUNCTION("IF(COUNTA(C19:C147)=0,"""",IF(REGEXMATCH(C19,""_up""),VLOOKUP(C19,Upgrades!$F$3:$J$8,1+COUNTIF(C$4:C19,C19),FALSE),IF(C19="""",0,IF(REGEXMATCH(C19,""^Sell_""),-ROUNDDOWN(ROUNDUP(INDEX(Upgrades!$C$3:$C$8,MATCH(SUBSTITUTE(C19,""Sell_"",""""),Upgrades!$B$3:$"&amp;"B$8,0))*1.15^(COUNTIF(C$4:C18,SUBSTITUTE(C19,""Sell_"",""""))-COUNTIF(C$4:C18,""Sell_""&amp;SUBSTITUTE(C19,""Sell_"",""""))))/4),ROUNDUP(INDEX(Upgrades!$C$3:$C$7,MATCH(C19,Upgrades!$B$3:$B$7,0))*1.15^(COUNTIF(C$4:C18,C19)-COUNTIF(C$4:C18,""Sell_""&amp;C19)))))))"),133.0)</f>
        <v>133</v>
      </c>
      <c r="H19" s="14">
        <f t="shared" si="3"/>
        <v>133</v>
      </c>
      <c r="I19" s="75">
        <f t="shared" si="4"/>
        <v>20931.39714</v>
      </c>
      <c r="J19" s="76">
        <f t="shared" si="5"/>
        <v>50.78224243</v>
      </c>
      <c r="K19" s="71" t="str">
        <f t="shared" si="6"/>
        <v>50s</v>
      </c>
      <c r="L19" s="77">
        <f t="shared" si="7"/>
        <v>1256</v>
      </c>
      <c r="M19" s="51">
        <f t="shared" si="8"/>
        <v>0</v>
      </c>
      <c r="N19" s="52">
        <f>IFERROR(__xludf.DUMMYFUNCTION("IFS(AND(COUNTA(C19:C147)=0,COUNTA(P19:P147)=0),"""",OR(AND(L19&gt;=1000000,OR(Y19&gt;=1000000,COUNTA(P19:P147)=0)),AND(Y19&gt;=1000000,COUNTA(C19:C147)=0),AND(COUNTA(P19:P147)=0,O$3=TRUE)),
ROUNDDOWN((AB$1-AC$1)*MAX(INDEX(S$4:S147,MATCH(LARGE(FILTER(Y$4:Y147,Y$4:Y"&amp;"147&lt;1000000),1),Y$4:Y147)),INDEX(F$4:F147,MATCH(LARGE(FILTER(L$4:L147,L$4:L147&lt;1000000),1),L$4:L147)))),AND(L19&lt;1000000,COUNTA(C19:C147)&gt;0,O$3=FALSE),
ROUNDDOWN(INDEX(Y$4:Y147,MATCH(LARGE(FILTER(W$4:W147,W$4:W147&lt;=J19),1),W$4:W147))+(J19-LARGE(FILTER(W$4:"&amp;"W147,W$4:W147&lt;=J19),1))*INDEX(S$4:S147,MATCH(LARGE(FILTER(W$4:W147,W$4:W147&lt;=J19),1),W$4:W147))-L19),1,
ROUNDDOWN(Y19-INDEX(L$4:L147,MATCH(LARGE(FILTER(J$4:J147,J$4:J147&lt;=W19),1),J$4:J147))-(W19-LARGE(FILTER(J$4:J147,J$4:J147&lt;=W19),1))*INDEX(F$4:F147,MATC"&amp;"H(LARGE(FILTER(J$4:J147,J$4:J147&lt;=W19),1),J$4:J147))))"),0.0)</f>
        <v>0</v>
      </c>
      <c r="O19" s="65">
        <f t="shared" si="9"/>
        <v>3</v>
      </c>
      <c r="P19" s="69" t="s">
        <v>13</v>
      </c>
      <c r="Q19" s="14" t="b">
        <f>IFERROR(__xludf.DUMMYFUNCTION("IF(COUNTA(P19:P147)=0,"""",IFERROR(IF(ISBLANK(P19),FALSE,IF(ISBLANK(T19),1,IF(NOT(COUNTIF($AA$24:$AA$34,SUBSTITUTE(P19,""Sell_"",""""))),1,IF(P19=""Plastic_up"",IF(V19&lt;1000,1),IF(P19=""Super_Up"",IF(OR(COUNTIF(P$4:P19,""Grandma"")-COUNTIF(P$4:P19,""Sell_G"&amp;"randma"")&lt;1,COUNTIF(P$4:P19,VLOOKUP(P19,Upgrades!$F$8:$N$8,7+COUNTIF(P$4:P19,P19)))-COUNTIF(P$4:P19,""Sell_""&amp;VLOOKUP(P19,Upgrades!$F$8:$N$8,7+COUNTIF(P$4:P19,P19)))&lt;15),1),IF(REGEXMATCH(P19,""_up""),IF(COUNTIF(P$4:P19,SUBSTITUTE(P19,""_up"",""""))&lt;IFERRO"&amp;"R(VLOOKUP(P19,Upgrades!$L$3:$P$6,1+COUNTIF(P$4:P19,P19),0),999),1),IF(REGEXMATCH(P19,""Sell_""),IF(COUNTIF(P$4:P19,SUBSTITUTE(P19,""Sell_"",""""))-COUNTIF(P$4:P18,P19)&lt;1,1),FALSE)))))))))"),FALSE)</f>
        <v>0</v>
      </c>
      <c r="R19" s="71">
        <f>IFERROR(__xludf.DUMMYFUNCTION("IF(REGEXMATCH(P19,""^Sell_""),R18, IF(COUNTA(P19:P147)=0,"""",(COUNTIF(P$4:P19,""Cursor"")-COUNTIF(P$4:P19,""Sell_Cursor""))*(0.1*2^SWITCH(COUNTIF(P$4:P19,""Cursor_up""),0,0,1,1,2,2,3)+SWITCH(COUNTIF(P$4:P19,""Cursor_up""),4,0.1,0)*(ROW(P19)-4-COUNTIF(P$4"&amp;":P19,""Cursor"")-COUNTIF(P$4:P19,""*""&amp;""_up"")-2*COUNTIF(P$4:P19,""Sell_""&amp;""*"")+COUNTIF(P$4:P19,""Sell_Cursor"")-COUNTIF(P$4:P19,"""")))+(COUNTIF(P$4:P19,""Grandma"")-COUNTIF(P$4:P19,""Sell_Grandma""))*(1*2^(COUNTIF(P$4:P19,""Grandma_up"")+COUNTIF(P$4:"&amp;"P19,""Super_up"")))+(COUNTIF(P$4:P19,""Farm"")-COUNTIF(P$4:P19,""Sell_Farm""))*(8*2^COUNTIF(P$4:P19,""Farm_up""))*IF(COUNTIF(P$4:P19,""Super_up"")&gt;0,1+0.01*(COUNTIF(P$4:P19,""Grandma"")-COUNTIF(P$4:P19,""Sell_Grandma"")),1)+(COUNTIF(P$4:P19,""Mine"")-COUN"&amp;"TIF(P$4:P19,""Sell_Mine""))*((47*2^COUNTIF(P$4:P19,""Mine_up""))*IF(COUNTIF(P$4:P19,""Super_up"")&gt;1,1+0.005*(COUNTIF(P$4:P19,""Grandma"")-COUNTIF(P$4:P19,""Sell_Grandma"")),1))+(COUNTIF(P$4:P19,""Factory"")-COUNTIF(P$4:P19,""Sell_Factory""))*(260*2^COUNTI"&amp;"F(P$4:P19,""Factory_up""))))"),7.0)</f>
        <v>7</v>
      </c>
      <c r="S19" s="73">
        <f>IFERROR(__xludf.DUMMYFUNCTION("IF(COUNTA(P19:P147)=0,"""",IF(REGEXMATCH(INDEX(FILTER(P$4:P19,P$4:P19&lt;&gt;""""),ROWS(FILTER(P$4:P19,P$4:P19&lt;&gt;""""))),""^Sell_""),INDEX(FILTER(S$4:S18,P$4:P18&lt;&gt;""""),ROWS(FILTER(P$4:P18,P$4:P18&lt;&gt;""""))),$AD$5*(2^SWITCH(COUNTIF(P$4:P19,""Cursor_up""),0,0,1,1,2"&amp;",2,3)+SWITCH(COUNTIF(P$4:P19,""Cursor_up""),4,0.1,0)*(ROW(P19)-4-COUNTIF(P$4:P19,""Cursor"")-COUNTIF(P$4:P19,""*""&amp;""_up"")-2*COUNTIF(P$4:P19,""Sell_""&amp;""*"")+COUNTIF(P$4:P19,""Sell_Cursor"")-COUNTIF(P$4:P19,""""))+0.01*R19*COUNTIF(P$4:P19,""Plastic_up"")"&amp;")+R19))"),47.0)</f>
        <v>47</v>
      </c>
      <c r="T19" s="14">
        <f>IFERROR(__xludf.DUMMYFUNCTION("IF(COUNTA(P19:P147)=0,"""",IF(REGEXMATCH(P19,""_up""),VLOOKUP(P19,Upgrades!$F$3:$J$8,1+COUNTIF(P$4:P19,P19),FALSE),IF(P19="""",0,IF(REGEXMATCH(P19,""^Sell_""),-ROUNDDOWN(ROUNDUP(INDEX(Upgrades!$C$3:$C$8,MATCH(SUBSTITUTE(P19,""Sell_"",""""),Upgrades!$B$3:$"&amp;"B$8,0))*1.15^(COUNTIF(P$4:P18,SUBSTITUTE(P19,""Sell_"",""""))-COUNTIF(P$4:P18,""Sell_""&amp;SUBSTITUTE(P19,""Sell_"",""""))))/4),ROUNDUP(INDEX(Upgrades!$C$3:$C$7,MATCH(P19,Upgrades!$B$3:$B$7,0))*1.15^(COUNTIF(P$4:P18,P19)-COUNTIF(P$4:P18,""Sell_""&amp;P19)))))))"),133.0)</f>
        <v>133</v>
      </c>
      <c r="U19" s="14">
        <f t="shared" si="10"/>
        <v>133</v>
      </c>
      <c r="V19" s="75">
        <f t="shared" si="11"/>
        <v>20931.39714</v>
      </c>
      <c r="W19" s="76">
        <f t="shared" si="12"/>
        <v>50.78224243</v>
      </c>
      <c r="X19" s="71" t="str">
        <f t="shared" si="13"/>
        <v>50s</v>
      </c>
      <c r="Y19" s="77">
        <f t="shared" si="14"/>
        <v>1256</v>
      </c>
      <c r="Z19" s="17"/>
      <c r="AA19" s="101" t="s">
        <v>72</v>
      </c>
      <c r="AB19" s="102"/>
      <c r="AC19" s="102"/>
      <c r="AD19" s="102"/>
      <c r="AE19" s="102"/>
      <c r="AF19" s="103"/>
      <c r="AG19" s="13"/>
    </row>
    <row r="20">
      <c r="A20" s="12"/>
      <c r="B20" s="65">
        <f t="shared" si="2"/>
        <v>4</v>
      </c>
      <c r="C20" s="69" t="s">
        <v>13</v>
      </c>
      <c r="D20" s="14" t="b">
        <f>IFERROR(__xludf.DUMMYFUNCTION("IF(COUNTA(C20:C147)=0,"""",IFERROR(IF(ISBLANK(C20),FALSE,IF(ISBLANK(G20),1,IF(NOT(COUNTIF($AA$24:$AA$34,SUBSTITUTE(C20,""Sell_"",""""))),1,IF(C20=""Plastic_up"",IF(I20&lt;1000,1),IF(C20=""Super_Up"",IF(OR(COUNTIF(C$4:C20,""Grandma"")-COUNTIF(C$4:C20,""Sell_G"&amp;"randma"")&lt;1,COUNTIF(C$4:C20,VLOOKUP(C20,Upgrades!$F$8:$N$8,7+COUNTIF(C$4:C20,C20)))-COUNTIF(C$4:C20,""Sell_""&amp;VLOOKUP(C20,Upgrades!$F$8:$N$8,7+COUNTIF(C$4:C20,C20)))&lt;15),1),IF(REGEXMATCH(C20,""_up""),IF(COUNTIF(C$4:C20,SUBSTITUTE(C20,""_up"",""""))&lt;IFERRO"&amp;"R(VLOOKUP(C20,Upgrades!$L$3:$P$6,1+COUNTIF(C$4:C20,C20),0),999),1),IF(REGEXMATCH(C20,""Sell_""),IF(COUNTIF(C$4:C20,SUBSTITUTE(C20,""Sell_"",""""))-COUNTIF(C$4:C19,C20)&lt;1,1),FALSE)))))))))"),FALSE)</f>
        <v>0</v>
      </c>
      <c r="E20" s="71">
        <f>IFERROR(__xludf.DUMMYFUNCTION("IF(REGEXMATCH(C20,""^Sell_""),E19, IF(COUNTA(C20:C147)=0,"""",(COUNTIF(C$4:C20,""Cursor"")-COUNTIF(C$4:C20,""Sell_Cursor""))*(0.1*2^SWITCH(COUNTIF(C$4:C20,""Cursor_up""),0,0,1,1,2,2,3)+SWITCH(COUNTIF(C$4:C20,""Cursor_up""),4,0.1,0)*(ROW(C20)-4-COUNTIF(C$4"&amp;":C20,""Cursor"")-COUNTIF(C$4:C20,""*""&amp;""_up"")-2*COUNTIF(C$4:C20,""Sell_""&amp;""*"")+COUNTIF(C$4:C20,""Sell_Cursor"")-COUNTIF(C$4:C20,"""")))+(COUNTIF(C$4:C20,""Grandma"")-COUNTIF(C$4:C20,""Sell_Grandma""))*(1*2^(COUNTIF(C$4:C20,""Grandma_up"")+COUNTIF(C$4:"&amp;"C20,""Super_up"")))+(COUNTIF(C$4:C20,""Farm"")-COUNTIF(C$4:C20,""Sell_Farm""))*(8*2^COUNTIF(C$4:C20,""Farm_up""))*IF(COUNTIF(C$4:C20,""Super_up"")&gt;0,1+0.01*(COUNTIF(C$4:C20,""Grandma"")-COUNTIF(C$4:C20,""Sell_Grandma"")),1)+(COUNTIF(C$4:C20,""Mine"")-COUN"&amp;"TIF(C$4:C20,""Sell_Mine""))*((47*2^COUNTIF(C$4:C20,""Mine_up""))*IF(COUNTIF(C$4:C20,""Super_up"")&gt;1,1+0.005*(COUNTIF(C$4:C20,""Grandma"")-COUNTIF(C$4:C20,""Sell_Grandma"")),1))+(COUNTIF(C$4:C20,""Factory"")-COUNTIF(C$4:C20,""Sell_Factory""))*(260*2^COUNTI"&amp;"F(C$4:C20,""Factory_up""))))"),8.0)</f>
        <v>8</v>
      </c>
      <c r="F20" s="73">
        <f>IFERROR(__xludf.DUMMYFUNCTION("IF(COUNTA(C20:C147)=0,"""",IF(REGEXMATCH(INDEX(FILTER(C$4:C20,C$4:C20&lt;&gt;""""),ROWS(FILTER(C$4:C20,C$4:C20&lt;&gt;""""))),""^Sell_""),INDEX(FILTER(F$4:F19,C$4:C19&lt;&gt;""""),ROWS(FILTER(C$4:C19,C$4:C19&lt;&gt;""""))),$AC$5*(2^SWITCH(COUNTIF(C$4:C20,""Cursor_up""),0,0,1,1,2"&amp;",2,3)+SWITCH(COUNTIF(C$4:C20,""Cursor_up""),4,0.1,0)*(ROW(C20)-4-COUNTIF(C$4:C20,""Cursor"")-COUNTIF(C$4:C20,""*""&amp;""_up"")-2*COUNTIF(C$4:C20,""Sell_""&amp;""*"")+COUNTIF(C$4:C20,""Sell_Cursor"")-COUNTIF(C$4:C20,""""))+0.01*E20*COUNTIF(C$4:C20,""Plastic_up"")"&amp;")+E20))"),48.0)</f>
        <v>48</v>
      </c>
      <c r="G20" s="14">
        <f>IFERROR(__xludf.DUMMYFUNCTION("IF(COUNTA(C20:C147)=0,"""",IF(REGEXMATCH(C20,""_up""),VLOOKUP(C20,Upgrades!$F$3:$J$8,1+COUNTIF(C$4:C20,C20),FALSE),IF(C20="""",0,IF(REGEXMATCH(C20,""^Sell_""),-ROUNDDOWN(ROUNDUP(INDEX(Upgrades!$C$3:$C$8,MATCH(SUBSTITUTE(C20,""Sell_"",""""),Upgrades!$B$3:$"&amp;"B$8,0))*1.15^(COUNTIF(C$4:C19,SUBSTITUTE(C20,""Sell_"",""""))-COUNTIF(C$4:C19,""Sell_""&amp;SUBSTITUTE(C20,""Sell_"",""""))))/4),ROUNDUP(INDEX(Upgrades!$C$3:$C$7,MATCH(C20,Upgrades!$B$3:$B$7,0))*1.15^(COUNTIF(C$4:C19,C20)-COUNTIF(C$4:C19,""Sell_""&amp;C20)))))))"),153.0)</f>
        <v>153</v>
      </c>
      <c r="H20" s="14">
        <f t="shared" si="3"/>
        <v>153</v>
      </c>
      <c r="I20" s="75">
        <f t="shared" si="4"/>
        <v>23092.8996</v>
      </c>
      <c r="J20" s="76">
        <f t="shared" si="5"/>
        <v>54.03756158</v>
      </c>
      <c r="K20" s="71" t="str">
        <f t="shared" si="6"/>
        <v>54s</v>
      </c>
      <c r="L20" s="77">
        <f t="shared" si="7"/>
        <v>1409</v>
      </c>
      <c r="M20" s="51">
        <f t="shared" si="8"/>
        <v>0</v>
      </c>
      <c r="N20" s="52">
        <f>IFERROR(__xludf.DUMMYFUNCTION("IFS(AND(COUNTA(C20:C147)=0,COUNTA(P20:P147)=0),"""",OR(AND(L20&gt;=1000000,OR(Y20&gt;=1000000,COUNTA(P20:P147)=0)),AND(Y20&gt;=1000000,COUNTA(C20:C147)=0),AND(COUNTA(P20:P147)=0,O$3=TRUE)),
ROUNDDOWN((AB$1-AC$1)*MAX(INDEX(S$4:S147,MATCH(LARGE(FILTER(Y$4:Y147,Y$4:Y"&amp;"147&lt;1000000),1),Y$4:Y147)),INDEX(F$4:F147,MATCH(LARGE(FILTER(L$4:L147,L$4:L147&lt;1000000),1),L$4:L147)))),AND(L20&lt;1000000,COUNTA(C20:C147)&gt;0,O$3=FALSE),
ROUNDDOWN(INDEX(Y$4:Y147,MATCH(LARGE(FILTER(W$4:W147,W$4:W147&lt;=J20),1),W$4:W147))+(J20-LARGE(FILTER(W$4:"&amp;"W147,W$4:W147&lt;=J20),1))*INDEX(S$4:S147,MATCH(LARGE(FILTER(W$4:W147,W$4:W147&lt;=J20),1),W$4:W147))-L20),1,
ROUNDDOWN(Y20-INDEX(L$4:L147,MATCH(LARGE(FILTER(J$4:J147,J$4:J147&lt;=W20),1),J$4:J147))-(W20-LARGE(FILTER(J$4:J147,J$4:J147&lt;=W20),1))*INDEX(F$4:F147,MATC"&amp;"H(LARGE(FILTER(J$4:J147,J$4:J147&lt;=W20),1),J$4:J147))))"),0.0)</f>
        <v>0</v>
      </c>
      <c r="O20" s="65">
        <f t="shared" si="9"/>
        <v>4</v>
      </c>
      <c r="P20" s="69" t="s">
        <v>13</v>
      </c>
      <c r="Q20" s="14" t="b">
        <f>IFERROR(__xludf.DUMMYFUNCTION("IF(COUNTA(P20:P147)=0,"""",IFERROR(IF(ISBLANK(P20),FALSE,IF(ISBLANK(T20),1,IF(NOT(COUNTIF($AA$24:$AA$34,SUBSTITUTE(P20,""Sell_"",""""))),1,IF(P20=""Plastic_up"",IF(V20&lt;1000,1),IF(P20=""Super_Up"",IF(OR(COUNTIF(P$4:P20,""Grandma"")-COUNTIF(P$4:P20,""Sell_G"&amp;"randma"")&lt;1,COUNTIF(P$4:P20,VLOOKUP(P20,Upgrades!$F$8:$N$8,7+COUNTIF(P$4:P20,P20)))-COUNTIF(P$4:P20,""Sell_""&amp;VLOOKUP(P20,Upgrades!$F$8:$N$8,7+COUNTIF(P$4:P20,P20)))&lt;15),1),IF(REGEXMATCH(P20,""_up""),IF(COUNTIF(P$4:P20,SUBSTITUTE(P20,""_up"",""""))&lt;IFERRO"&amp;"R(VLOOKUP(P20,Upgrades!$L$3:$P$6,1+COUNTIF(P$4:P20,P20),0),999),1),IF(REGEXMATCH(P20,""Sell_""),IF(COUNTIF(P$4:P20,SUBSTITUTE(P20,""Sell_"",""""))-COUNTIF(P$4:P19,P20)&lt;1,1),FALSE)))))))))"),FALSE)</f>
        <v>0</v>
      </c>
      <c r="R20" s="71">
        <f>IFERROR(__xludf.DUMMYFUNCTION("IF(REGEXMATCH(P20,""^Sell_""),R19, IF(COUNTA(P20:P147)=0,"""",(COUNTIF(P$4:P20,""Cursor"")-COUNTIF(P$4:P20,""Sell_Cursor""))*(0.1*2^SWITCH(COUNTIF(P$4:P20,""Cursor_up""),0,0,1,1,2,2,3)+SWITCH(COUNTIF(P$4:P20,""Cursor_up""),4,0.1,0)*(ROW(P20)-4-COUNTIF(P$4"&amp;":P20,""Cursor"")-COUNTIF(P$4:P20,""*""&amp;""_up"")-2*COUNTIF(P$4:P20,""Sell_""&amp;""*"")+COUNTIF(P$4:P20,""Sell_Cursor"")-COUNTIF(P$4:P20,"""")))+(COUNTIF(P$4:P20,""Grandma"")-COUNTIF(P$4:P20,""Sell_Grandma""))*(1*2^(COUNTIF(P$4:P20,""Grandma_up"")+COUNTIF(P$4:"&amp;"P20,""Super_up"")))+(COUNTIF(P$4:P20,""Farm"")-COUNTIF(P$4:P20,""Sell_Farm""))*(8*2^COUNTIF(P$4:P20,""Farm_up""))*IF(COUNTIF(P$4:P20,""Super_up"")&gt;0,1+0.01*(COUNTIF(P$4:P20,""Grandma"")-COUNTIF(P$4:P20,""Sell_Grandma"")),1)+(COUNTIF(P$4:P20,""Mine"")-COUN"&amp;"TIF(P$4:P20,""Sell_Mine""))*((47*2^COUNTIF(P$4:P20,""Mine_up""))*IF(COUNTIF(P$4:P20,""Super_up"")&gt;1,1+0.005*(COUNTIF(P$4:P20,""Grandma"")-COUNTIF(P$4:P20,""Sell_Grandma"")),1))+(COUNTIF(P$4:P20,""Factory"")-COUNTIF(P$4:P20,""Sell_Factory""))*(260*2^COUNTI"&amp;"F(P$4:P20,""Factory_up""))))"),8.0)</f>
        <v>8</v>
      </c>
      <c r="S20" s="73">
        <f>IFERROR(__xludf.DUMMYFUNCTION("IF(COUNTA(P20:P147)=0,"""",IF(REGEXMATCH(INDEX(FILTER(P$4:P20,P$4:P20&lt;&gt;""""),ROWS(FILTER(P$4:P20,P$4:P20&lt;&gt;""""))),""^Sell_""),INDEX(FILTER(S$4:S19,P$4:P19&lt;&gt;""""),ROWS(FILTER(P$4:P19,P$4:P19&lt;&gt;""""))),$AD$5*(2^SWITCH(COUNTIF(P$4:P20,""Cursor_up""),0,0,1,1,2"&amp;",2,3)+SWITCH(COUNTIF(P$4:P20,""Cursor_up""),4,0.1,0)*(ROW(P20)-4-COUNTIF(P$4:P20,""Cursor"")-COUNTIF(P$4:P20,""*""&amp;""_up"")-2*COUNTIF(P$4:P20,""Sell_""&amp;""*"")+COUNTIF(P$4:P20,""Sell_Cursor"")-COUNTIF(P$4:P20,""""))+0.01*R20*COUNTIF(P$4:P20,""Plastic_up"")"&amp;")+R20))"),48.0)</f>
        <v>48</v>
      </c>
      <c r="T20" s="14">
        <f>IFERROR(__xludf.DUMMYFUNCTION("IF(COUNTA(P20:P147)=0,"""",IF(REGEXMATCH(P20,""_up""),VLOOKUP(P20,Upgrades!$F$3:$J$8,1+COUNTIF(P$4:P20,P20),FALSE),IF(P20="""",0,IF(REGEXMATCH(P20,""^Sell_""),-ROUNDDOWN(ROUNDUP(INDEX(Upgrades!$C$3:$C$8,MATCH(SUBSTITUTE(P20,""Sell_"",""""),Upgrades!$B$3:$"&amp;"B$8,0))*1.15^(COUNTIF(P$4:P19,SUBSTITUTE(P20,""Sell_"",""""))-COUNTIF(P$4:P19,""Sell_""&amp;SUBSTITUTE(P20,""Sell_"",""""))))/4),ROUNDUP(INDEX(Upgrades!$C$3:$C$7,MATCH(P20,Upgrades!$B$3:$B$7,0))*1.15^(COUNTIF(P$4:P19,P20)-COUNTIF(P$4:P19,""Sell_""&amp;P20)))))))"),153.0)</f>
        <v>153</v>
      </c>
      <c r="U20" s="14">
        <f t="shared" si="10"/>
        <v>153</v>
      </c>
      <c r="V20" s="75">
        <f t="shared" si="11"/>
        <v>23092.8996</v>
      </c>
      <c r="W20" s="76">
        <f t="shared" si="12"/>
        <v>54.03756158</v>
      </c>
      <c r="X20" s="71" t="str">
        <f t="shared" si="13"/>
        <v>54s</v>
      </c>
      <c r="Y20" s="77">
        <f t="shared" si="14"/>
        <v>1409</v>
      </c>
      <c r="Z20" s="17"/>
      <c r="AA20" s="13"/>
      <c r="AB20" s="13"/>
      <c r="AC20" s="13"/>
      <c r="AD20" s="13"/>
      <c r="AE20" s="13"/>
      <c r="AF20" s="13"/>
      <c r="AG20" s="13"/>
    </row>
    <row r="21">
      <c r="A21" s="12"/>
      <c r="B21" s="65">
        <f t="shared" si="2"/>
        <v>1</v>
      </c>
      <c r="C21" s="69" t="s">
        <v>16</v>
      </c>
      <c r="D21" s="14" t="b">
        <f>IFERROR(__xludf.DUMMYFUNCTION("IF(COUNTA(C21:C147)=0,"""",IFERROR(IF(ISBLANK(C21),FALSE,IF(ISBLANK(G21),1,IF(NOT(COUNTIF($AA$24:$AA$34,SUBSTITUTE(C21,""Sell_"",""""))),1,IF(C21=""Plastic_up"",IF(I21&lt;1000,1),IF(C21=""Super_Up"",IF(OR(COUNTIF(C$4:C21,""Grandma"")-COUNTIF(C$4:C21,""Sell_G"&amp;"randma"")&lt;1,COUNTIF(C$4:C21,VLOOKUP(C21,Upgrades!$F$8:$N$8,7+COUNTIF(C$4:C21,C21)))-COUNTIF(C$4:C21,""Sell_""&amp;VLOOKUP(C21,Upgrades!$F$8:$N$8,7+COUNTIF(C$4:C21,C21)))&lt;15),1),IF(REGEXMATCH(C21,""_up""),IF(COUNTIF(C$4:C21,SUBSTITUTE(C21,""_up"",""""))&lt;IFERRO"&amp;"R(VLOOKUP(C21,Upgrades!$L$3:$P$6,1+COUNTIF(C$4:C21,C21),0),999),1),IF(REGEXMATCH(C21,""Sell_""),IF(COUNTIF(C$4:C21,SUBSTITUTE(C21,""Sell_"",""""))-COUNTIF(C$4:C20,C21)&lt;1,1),FALSE)))))))))"),FALSE)</f>
        <v>0</v>
      </c>
      <c r="E21" s="71">
        <f>IFERROR(__xludf.DUMMYFUNCTION("IF(REGEXMATCH(C21,""^Sell_""),E20, IF(COUNTA(C21:C147)=0,"""",(COUNTIF(C$4:C21,""Cursor"")-COUNTIF(C$4:C21,""Sell_Cursor""))*(0.1*2^SWITCH(COUNTIF(C$4:C21,""Cursor_up""),0,0,1,1,2,2,3)+SWITCH(COUNTIF(C$4:C21,""Cursor_up""),4,0.1,0)*(ROW(C21)-4-COUNTIF(C$4"&amp;":C21,""Cursor"")-COUNTIF(C$4:C21,""*""&amp;""_up"")-2*COUNTIF(C$4:C21,""Sell_""&amp;""*"")+COUNTIF(C$4:C21,""Sell_Cursor"")-COUNTIF(C$4:C21,"""")))+(COUNTIF(C$4:C21,""Grandma"")-COUNTIF(C$4:C21,""Sell_Grandma""))*(1*2^(COUNTIF(C$4:C21,""Grandma_up"")+COUNTIF(C$4:"&amp;"C21,""Super_up"")))+(COUNTIF(C$4:C21,""Farm"")-COUNTIF(C$4:C21,""Sell_Farm""))*(8*2^COUNTIF(C$4:C21,""Farm_up""))*IF(COUNTIF(C$4:C21,""Super_up"")&gt;0,1+0.01*(COUNTIF(C$4:C21,""Grandma"")-COUNTIF(C$4:C21,""Sell_Grandma"")),1)+(COUNTIF(C$4:C21,""Mine"")-COUN"&amp;"TIF(C$4:C21,""Sell_Mine""))*((47*2^COUNTIF(C$4:C21,""Mine_up""))*IF(COUNTIF(C$4:C21,""Super_up"")&gt;1,1+0.005*(COUNTIF(C$4:C21,""Grandma"")-COUNTIF(C$4:C21,""Sell_Grandma"")),1))+(COUNTIF(C$4:C21,""Factory"")-COUNTIF(C$4:C21,""Sell_Factory""))*(260*2^COUNTI"&amp;"F(C$4:C21,""Factory_up""))))"),16.0)</f>
        <v>16</v>
      </c>
      <c r="F21" s="73">
        <f>IFERROR(__xludf.DUMMYFUNCTION("IF(COUNTA(C21:C147)=0,"""",IF(REGEXMATCH(INDEX(FILTER(C$4:C21,C$4:C21&lt;&gt;""""),ROWS(FILTER(C$4:C21,C$4:C21&lt;&gt;""""))),""^Sell_""),INDEX(FILTER(F$4:F20,C$4:C20&lt;&gt;""""),ROWS(FILTER(C$4:C20,C$4:C20&lt;&gt;""""))),$AC$5*(2^SWITCH(COUNTIF(C$4:C21,""Cursor_up""),0,0,1,1,2"&amp;",2,3)+SWITCH(COUNTIF(C$4:C21,""Cursor_up""),4,0.1,0)*(ROW(C21)-4-COUNTIF(C$4:C21,""Cursor"")-COUNTIF(C$4:C21,""*""&amp;""_up"")-2*COUNTIF(C$4:C21,""Sell_""&amp;""*"")+COUNTIF(C$4:C21,""Sell_Cursor"")-COUNTIF(C$4:C21,""""))+0.01*E21*COUNTIF(C$4:C21,""Plastic_up"")"&amp;")+E21))"),56.0)</f>
        <v>56</v>
      </c>
      <c r="G21" s="14">
        <f>IFERROR(__xludf.DUMMYFUNCTION("IF(COUNTA(C21:C147)=0,"""",IF(REGEXMATCH(C21,""_up""),VLOOKUP(C21,Upgrades!$F$3:$J$8,1+COUNTIF(C$4:C21,C21),FALSE),IF(C21="""",0,IF(REGEXMATCH(C21,""^Sell_""),-ROUNDDOWN(ROUNDUP(INDEX(Upgrades!$C$3:$C$8,MATCH(SUBSTITUTE(C21,""Sell_"",""""),Upgrades!$B$3:$"&amp;"B$8,0))*1.15^(COUNTIF(C$4:C20,SUBSTITUTE(C21,""Sell_"",""""))-COUNTIF(C$4:C20,""Sell_""&amp;SUBSTITUTE(C21,""Sell_"",""""))))/4),ROUNDUP(INDEX(Upgrades!$C$3:$C$7,MATCH(C21,Upgrades!$B$3:$B$7,0))*1.15^(COUNTIF(C$4:C20,C21)-COUNTIF(C$4:C20,""Sell_""&amp;C21)))))))"),1100.0)</f>
        <v>1100</v>
      </c>
      <c r="H21" s="14">
        <f t="shared" si="3"/>
        <v>1100</v>
      </c>
      <c r="I21" s="75">
        <f t="shared" si="4"/>
        <v>26171.06873</v>
      </c>
      <c r="J21" s="76">
        <f t="shared" si="5"/>
        <v>76.95422824</v>
      </c>
      <c r="K21" s="71" t="str">
        <f t="shared" si="6"/>
        <v>1m 16s</v>
      </c>
      <c r="L21" s="77">
        <f t="shared" si="7"/>
        <v>2509</v>
      </c>
      <c r="M21" s="51">
        <f t="shared" si="8"/>
        <v>0</v>
      </c>
      <c r="N21" s="52">
        <f>IFERROR(__xludf.DUMMYFUNCTION("IFS(AND(COUNTA(C21:C147)=0,COUNTA(P21:P147)=0),"""",OR(AND(L21&gt;=1000000,OR(Y21&gt;=1000000,COUNTA(P21:P147)=0)),AND(Y21&gt;=1000000,COUNTA(C21:C147)=0),AND(COUNTA(P21:P147)=0,O$3=TRUE)),
ROUNDDOWN((AB$1-AC$1)*MAX(INDEX(S$4:S147,MATCH(LARGE(FILTER(Y$4:Y147,Y$4:Y"&amp;"147&lt;1000000),1),Y$4:Y147)),INDEX(F$4:F147,MATCH(LARGE(FILTER(L$4:L147,L$4:L147&lt;1000000),1),L$4:L147)))),AND(L21&lt;1000000,COUNTA(C21:C147)&gt;0,O$3=FALSE),
ROUNDDOWN(INDEX(Y$4:Y147,MATCH(LARGE(FILTER(W$4:W147,W$4:W147&lt;=J21),1),W$4:W147))+(J21-LARGE(FILTER(W$4:"&amp;"W147,W$4:W147&lt;=J21),1))*INDEX(S$4:S147,MATCH(LARGE(FILTER(W$4:W147,W$4:W147&lt;=J21),1),W$4:W147))-L21),1,
ROUNDDOWN(Y21-INDEX(L$4:L147,MATCH(LARGE(FILTER(J$4:J147,J$4:J147&lt;=W21),1),J$4:J147))-(W21-LARGE(FILTER(J$4:J147,J$4:J147&lt;=W21),1))*INDEX(F$4:F147,MATC"&amp;"H(LARGE(FILTER(J$4:J147,J$4:J147&lt;=W21),1),J$4:J147))))"),0.0)</f>
        <v>0</v>
      </c>
      <c r="O21" s="65">
        <f t="shared" si="9"/>
        <v>1</v>
      </c>
      <c r="P21" s="69" t="s">
        <v>16</v>
      </c>
      <c r="Q21" s="14" t="b">
        <f>IFERROR(__xludf.DUMMYFUNCTION("IF(COUNTA(P21:P147)=0,"""",IFERROR(IF(ISBLANK(P21),FALSE,IF(ISBLANK(T21),1,IF(NOT(COUNTIF($AA$24:$AA$34,SUBSTITUTE(P21,""Sell_"",""""))),1,IF(P21=""Plastic_up"",IF(V21&lt;1000,1),IF(P21=""Super_Up"",IF(OR(COUNTIF(P$4:P21,""Grandma"")-COUNTIF(P$4:P21,""Sell_G"&amp;"randma"")&lt;1,COUNTIF(P$4:P21,VLOOKUP(P21,Upgrades!$F$8:$N$8,7+COUNTIF(P$4:P21,P21)))-COUNTIF(P$4:P21,""Sell_""&amp;VLOOKUP(P21,Upgrades!$F$8:$N$8,7+COUNTIF(P$4:P21,P21)))&lt;15),1),IF(REGEXMATCH(P21,""_up""),IF(COUNTIF(P$4:P21,SUBSTITUTE(P21,""_up"",""""))&lt;IFERRO"&amp;"R(VLOOKUP(P21,Upgrades!$L$3:$P$6,1+COUNTIF(P$4:P21,P21),0),999),1),IF(REGEXMATCH(P21,""Sell_""),IF(COUNTIF(P$4:P21,SUBSTITUTE(P21,""Sell_"",""""))-COUNTIF(P$4:P20,P21)&lt;1,1),FALSE)))))))))"),FALSE)</f>
        <v>0</v>
      </c>
      <c r="R21" s="71">
        <f>IFERROR(__xludf.DUMMYFUNCTION("IF(REGEXMATCH(P21,""^Sell_""),R20, IF(COUNTA(P21:P147)=0,"""",(COUNTIF(P$4:P21,""Cursor"")-COUNTIF(P$4:P21,""Sell_Cursor""))*(0.1*2^SWITCH(COUNTIF(P$4:P21,""Cursor_up""),0,0,1,1,2,2,3)+SWITCH(COUNTIF(P$4:P21,""Cursor_up""),4,0.1,0)*(ROW(P21)-4-COUNTIF(P$4"&amp;":P21,""Cursor"")-COUNTIF(P$4:P21,""*""&amp;""_up"")-2*COUNTIF(P$4:P21,""Sell_""&amp;""*"")+COUNTIF(P$4:P21,""Sell_Cursor"")-COUNTIF(P$4:P21,"""")))+(COUNTIF(P$4:P21,""Grandma"")-COUNTIF(P$4:P21,""Sell_Grandma""))*(1*2^(COUNTIF(P$4:P21,""Grandma_up"")+COUNTIF(P$4:"&amp;"P21,""Super_up"")))+(COUNTIF(P$4:P21,""Farm"")-COUNTIF(P$4:P21,""Sell_Farm""))*(8*2^COUNTIF(P$4:P21,""Farm_up""))*IF(COUNTIF(P$4:P21,""Super_up"")&gt;0,1+0.01*(COUNTIF(P$4:P21,""Grandma"")-COUNTIF(P$4:P21,""Sell_Grandma"")),1)+(COUNTIF(P$4:P21,""Mine"")-COUN"&amp;"TIF(P$4:P21,""Sell_Mine""))*((47*2^COUNTIF(P$4:P21,""Mine_up""))*IF(COUNTIF(P$4:P21,""Super_up"")&gt;1,1+0.005*(COUNTIF(P$4:P21,""Grandma"")-COUNTIF(P$4:P21,""Sell_Grandma"")),1))+(COUNTIF(P$4:P21,""Factory"")-COUNTIF(P$4:P21,""Sell_Factory""))*(260*2^COUNTI"&amp;"F(P$4:P21,""Factory_up""))))"),16.0)</f>
        <v>16</v>
      </c>
      <c r="S21" s="73">
        <f>IFERROR(__xludf.DUMMYFUNCTION("IF(COUNTA(P21:P147)=0,"""",IF(REGEXMATCH(INDEX(FILTER(P$4:P21,P$4:P21&lt;&gt;""""),ROWS(FILTER(P$4:P21,P$4:P21&lt;&gt;""""))),""^Sell_""),INDEX(FILTER(S$4:S20,P$4:P20&lt;&gt;""""),ROWS(FILTER(P$4:P20,P$4:P20&lt;&gt;""""))),$AD$5*(2^SWITCH(COUNTIF(P$4:P21,""Cursor_up""),0,0,1,1,2"&amp;",2,3)+SWITCH(COUNTIF(P$4:P21,""Cursor_up""),4,0.1,0)*(ROW(P21)-4-COUNTIF(P$4:P21,""Cursor"")-COUNTIF(P$4:P21,""*""&amp;""_up"")-2*COUNTIF(P$4:P21,""Sell_""&amp;""*"")+COUNTIF(P$4:P21,""Sell_Cursor"")-COUNTIF(P$4:P21,""""))+0.01*R21*COUNTIF(P$4:P21,""Plastic_up"")"&amp;")+R21))"),56.0)</f>
        <v>56</v>
      </c>
      <c r="T21" s="14">
        <f>IFERROR(__xludf.DUMMYFUNCTION("IF(COUNTA(P21:P147)=0,"""",IF(REGEXMATCH(P21,""_up""),VLOOKUP(P21,Upgrades!$F$3:$J$8,1+COUNTIF(P$4:P21,P21),FALSE),IF(P21="""",0,IF(REGEXMATCH(P21,""^Sell_""),-ROUNDDOWN(ROUNDUP(INDEX(Upgrades!$C$3:$C$8,MATCH(SUBSTITUTE(P21,""Sell_"",""""),Upgrades!$B$3:$"&amp;"B$8,0))*1.15^(COUNTIF(P$4:P20,SUBSTITUTE(P21,""Sell_"",""""))-COUNTIF(P$4:P20,""Sell_""&amp;SUBSTITUTE(P21,""Sell_"",""""))))/4),ROUNDUP(INDEX(Upgrades!$C$3:$C$7,MATCH(P21,Upgrades!$B$3:$B$7,0))*1.15^(COUNTIF(P$4:P20,P21)-COUNTIF(P$4:P20,""Sell_""&amp;P21)))))))"),1100.0)</f>
        <v>1100</v>
      </c>
      <c r="U21" s="14">
        <f t="shared" si="10"/>
        <v>1100</v>
      </c>
      <c r="V21" s="75">
        <f t="shared" si="11"/>
        <v>26171.06873</v>
      </c>
      <c r="W21" s="76">
        <f t="shared" si="12"/>
        <v>76.95422824</v>
      </c>
      <c r="X21" s="71" t="str">
        <f t="shared" si="13"/>
        <v>1m 16s</v>
      </c>
      <c r="Y21" s="77">
        <f t="shared" si="14"/>
        <v>2509</v>
      </c>
      <c r="Z21" s="17"/>
      <c r="AA21" s="104" t="s">
        <v>73</v>
      </c>
      <c r="AB21" s="105"/>
      <c r="AC21" s="105"/>
      <c r="AD21" s="105"/>
      <c r="AE21" s="105"/>
      <c r="AF21" s="106"/>
      <c r="AG21" s="13"/>
    </row>
    <row r="22">
      <c r="A22" s="12"/>
      <c r="B22" s="65">
        <f t="shared" si="2"/>
        <v>5</v>
      </c>
      <c r="C22" s="69" t="s">
        <v>13</v>
      </c>
      <c r="D22" s="14" t="b">
        <f>IFERROR(__xludf.DUMMYFUNCTION("IF(COUNTA(C22:C147)=0,"""",IFERROR(IF(ISBLANK(C22),FALSE,IF(ISBLANK(G22),1,IF(NOT(COUNTIF($AA$24:$AA$34,SUBSTITUTE(C22,""Sell_"",""""))),1,IF(C22=""Plastic_up"",IF(I22&lt;1000,1),IF(C22=""Super_Up"",IF(OR(COUNTIF(C$4:C22,""Grandma"")-COUNTIF(C$4:C22,""Sell_G"&amp;"randma"")&lt;1,COUNTIF(C$4:C22,VLOOKUP(C22,Upgrades!$F$8:$N$8,7+COUNTIF(C$4:C22,C22)))-COUNTIF(C$4:C22,""Sell_""&amp;VLOOKUP(C22,Upgrades!$F$8:$N$8,7+COUNTIF(C$4:C22,C22)))&lt;15),1),IF(REGEXMATCH(C22,""_up""),IF(COUNTIF(C$4:C22,SUBSTITUTE(C22,""_up"",""""))&lt;IFERRO"&amp;"R(VLOOKUP(C22,Upgrades!$L$3:$P$6,1+COUNTIF(C$4:C22,C22),0),999),1),IF(REGEXMATCH(C22,""Sell_""),IF(COUNTIF(C$4:C22,SUBSTITUTE(C22,""Sell_"",""""))-COUNTIF(C$4:C21,C22)&lt;1,1),FALSE)))))))))"),FALSE)</f>
        <v>0</v>
      </c>
      <c r="E22" s="71">
        <f>IFERROR(__xludf.DUMMYFUNCTION("IF(REGEXMATCH(C22,""^Sell_""),E21, IF(COUNTA(C22:C147)=0,"""",(COUNTIF(C$4:C22,""Cursor"")-COUNTIF(C$4:C22,""Sell_Cursor""))*(0.1*2^SWITCH(COUNTIF(C$4:C22,""Cursor_up""),0,0,1,1,2,2,3)+SWITCH(COUNTIF(C$4:C22,""Cursor_up""),4,0.1,0)*(ROW(C22)-4-COUNTIF(C$4"&amp;":C22,""Cursor"")-COUNTIF(C$4:C22,""*""&amp;""_up"")-2*COUNTIF(C$4:C22,""Sell_""&amp;""*"")+COUNTIF(C$4:C22,""Sell_Cursor"")-COUNTIF(C$4:C22,"""")))+(COUNTIF(C$4:C22,""Grandma"")-COUNTIF(C$4:C22,""Sell_Grandma""))*(1*2^(COUNTIF(C$4:C22,""Grandma_up"")+COUNTIF(C$4:"&amp;"C22,""Super_up"")))+(COUNTIF(C$4:C22,""Farm"")-COUNTIF(C$4:C22,""Sell_Farm""))*(8*2^COUNTIF(C$4:C22,""Farm_up""))*IF(COUNTIF(C$4:C22,""Super_up"")&gt;0,1+0.01*(COUNTIF(C$4:C22,""Grandma"")-COUNTIF(C$4:C22,""Sell_Grandma"")),1)+(COUNTIF(C$4:C22,""Mine"")-COUN"&amp;"TIF(C$4:C22,""Sell_Mine""))*((47*2^COUNTIF(C$4:C22,""Mine_up""))*IF(COUNTIF(C$4:C22,""Super_up"")&gt;1,1+0.005*(COUNTIF(C$4:C22,""Grandma"")-COUNTIF(C$4:C22,""Sell_Grandma"")),1))+(COUNTIF(C$4:C22,""Factory"")-COUNTIF(C$4:C22,""Sell_Factory""))*(260*2^COUNTI"&amp;"F(C$4:C22,""Factory_up""))))"),17.0)</f>
        <v>17</v>
      </c>
      <c r="F22" s="73">
        <f>IFERROR(__xludf.DUMMYFUNCTION("IF(COUNTA(C22:C147)=0,"""",IF(REGEXMATCH(INDEX(FILTER(C$4:C22,C$4:C22&lt;&gt;""""),ROWS(FILTER(C$4:C22,C$4:C22&lt;&gt;""""))),""^Sell_""),INDEX(FILTER(F$4:F21,C$4:C21&lt;&gt;""""),ROWS(FILTER(C$4:C21,C$4:C21&lt;&gt;""""))),$AC$5*(2^SWITCH(COUNTIF(C$4:C22,""Cursor_up""),0,0,1,1,2"&amp;",2,3)+SWITCH(COUNTIF(C$4:C22,""Cursor_up""),4,0.1,0)*(ROW(C22)-4-COUNTIF(C$4:C22,""Cursor"")-COUNTIF(C$4:C22,""*""&amp;""_up"")-2*COUNTIF(C$4:C22,""Sell_""&amp;""*"")+COUNTIF(C$4:C22,""Sell_Cursor"")-COUNTIF(C$4:C22,""""))+0.01*E22*COUNTIF(C$4:C22,""Plastic_up"")"&amp;")+E22))"),57.0)</f>
        <v>57</v>
      </c>
      <c r="G22" s="14">
        <f>IFERROR(__xludf.DUMMYFUNCTION("IF(COUNTA(C22:C147)=0,"""",IF(REGEXMATCH(C22,""_up""),VLOOKUP(C22,Upgrades!$F$3:$J$8,1+COUNTIF(C$4:C22,C22),FALSE),IF(C22="""",0,IF(REGEXMATCH(C22,""^Sell_""),-ROUNDDOWN(ROUNDUP(INDEX(Upgrades!$C$3:$C$8,MATCH(SUBSTITUTE(C22,""Sell_"",""""),Upgrades!$B$3:$"&amp;"B$8,0))*1.15^(COUNTIF(C$4:C21,SUBSTITUTE(C22,""Sell_"",""""))-COUNTIF(C$4:C21,""Sell_""&amp;SUBSTITUTE(C22,""Sell_"",""""))))/4),ROUNDUP(INDEX(Upgrades!$C$3:$C$7,MATCH(C22,Upgrades!$B$3:$B$7,0))*1.15^(COUNTIF(C$4:C21,C22)-COUNTIF(C$4:C21,""Sell_""&amp;C22)))))))"),175.0)</f>
        <v>175</v>
      </c>
      <c r="H22" s="14">
        <f t="shared" si="3"/>
        <v>175</v>
      </c>
      <c r="I22" s="75">
        <f t="shared" si="4"/>
        <v>29374.23786</v>
      </c>
      <c r="J22" s="76">
        <f t="shared" si="5"/>
        <v>80.07922824</v>
      </c>
      <c r="K22" s="71" t="str">
        <f t="shared" si="6"/>
        <v>1m 20s</v>
      </c>
      <c r="L22" s="77">
        <f t="shared" si="7"/>
        <v>2684</v>
      </c>
      <c r="M22" s="51">
        <f t="shared" si="8"/>
        <v>0</v>
      </c>
      <c r="N22" s="52">
        <f>IFERROR(__xludf.DUMMYFUNCTION("IFS(AND(COUNTA(C22:C147)=0,COUNTA(P22:P147)=0),"""",OR(AND(L22&gt;=1000000,OR(Y22&gt;=1000000,COUNTA(P22:P147)=0)),AND(Y22&gt;=1000000,COUNTA(C22:C147)=0),AND(COUNTA(P22:P147)=0,O$3=TRUE)),
ROUNDDOWN((AB$1-AC$1)*MAX(INDEX(S$4:S147,MATCH(LARGE(FILTER(Y$4:Y147,Y$4:Y"&amp;"147&lt;1000000),1),Y$4:Y147)),INDEX(F$4:F147,MATCH(LARGE(FILTER(L$4:L147,L$4:L147&lt;1000000),1),L$4:L147)))),AND(L22&lt;1000000,COUNTA(C22:C147)&gt;0,O$3=FALSE),
ROUNDDOWN(INDEX(Y$4:Y147,MATCH(LARGE(FILTER(W$4:W147,W$4:W147&lt;=J22),1),W$4:W147))+(J22-LARGE(FILTER(W$4:"&amp;"W147,W$4:W147&lt;=J22),1))*INDEX(S$4:S147,MATCH(LARGE(FILTER(W$4:W147,W$4:W147&lt;=J22),1),W$4:W147))-L22),1,
ROUNDDOWN(Y22-INDEX(L$4:L147,MATCH(LARGE(FILTER(J$4:J147,J$4:J147&lt;=W22),1),J$4:J147))-(W22-LARGE(FILTER(J$4:J147,J$4:J147&lt;=W22),1))*INDEX(F$4:F147,MATC"&amp;"H(LARGE(FILTER(J$4:J147,J$4:J147&lt;=W22),1),J$4:J147))))"),0.0)</f>
        <v>0</v>
      </c>
      <c r="O22" s="65">
        <f t="shared" si="9"/>
        <v>5</v>
      </c>
      <c r="P22" s="69" t="s">
        <v>13</v>
      </c>
      <c r="Q22" s="14" t="b">
        <f>IFERROR(__xludf.DUMMYFUNCTION("IF(COUNTA(P22:P147)=0,"""",IFERROR(IF(ISBLANK(P22),FALSE,IF(ISBLANK(T22),1,IF(NOT(COUNTIF($AA$24:$AA$34,SUBSTITUTE(P22,""Sell_"",""""))),1,IF(P22=""Plastic_up"",IF(V22&lt;1000,1),IF(P22=""Super_Up"",IF(OR(COUNTIF(P$4:P22,""Grandma"")-COUNTIF(P$4:P22,""Sell_G"&amp;"randma"")&lt;1,COUNTIF(P$4:P22,VLOOKUP(P22,Upgrades!$F$8:$N$8,7+COUNTIF(P$4:P22,P22)))-COUNTIF(P$4:P22,""Sell_""&amp;VLOOKUP(P22,Upgrades!$F$8:$N$8,7+COUNTIF(P$4:P22,P22)))&lt;15),1),IF(REGEXMATCH(P22,""_up""),IF(COUNTIF(P$4:P22,SUBSTITUTE(P22,""_up"",""""))&lt;IFERRO"&amp;"R(VLOOKUP(P22,Upgrades!$L$3:$P$6,1+COUNTIF(P$4:P22,P22),0),999),1),IF(REGEXMATCH(P22,""Sell_""),IF(COUNTIF(P$4:P22,SUBSTITUTE(P22,""Sell_"",""""))-COUNTIF(P$4:P21,P22)&lt;1,1),FALSE)))))))))"),FALSE)</f>
        <v>0</v>
      </c>
      <c r="R22" s="71">
        <f>IFERROR(__xludf.DUMMYFUNCTION("IF(REGEXMATCH(P22,""^Sell_""),R21, IF(COUNTA(P22:P147)=0,"""",(COUNTIF(P$4:P22,""Cursor"")-COUNTIF(P$4:P22,""Sell_Cursor""))*(0.1*2^SWITCH(COUNTIF(P$4:P22,""Cursor_up""),0,0,1,1,2,2,3)+SWITCH(COUNTIF(P$4:P22,""Cursor_up""),4,0.1,0)*(ROW(P22)-4-COUNTIF(P$4"&amp;":P22,""Cursor"")-COUNTIF(P$4:P22,""*""&amp;""_up"")-2*COUNTIF(P$4:P22,""Sell_""&amp;""*"")+COUNTIF(P$4:P22,""Sell_Cursor"")-COUNTIF(P$4:P22,"""")))+(COUNTIF(P$4:P22,""Grandma"")-COUNTIF(P$4:P22,""Sell_Grandma""))*(1*2^(COUNTIF(P$4:P22,""Grandma_up"")+COUNTIF(P$4:"&amp;"P22,""Super_up"")))+(COUNTIF(P$4:P22,""Farm"")-COUNTIF(P$4:P22,""Sell_Farm""))*(8*2^COUNTIF(P$4:P22,""Farm_up""))*IF(COUNTIF(P$4:P22,""Super_up"")&gt;0,1+0.01*(COUNTIF(P$4:P22,""Grandma"")-COUNTIF(P$4:P22,""Sell_Grandma"")),1)+(COUNTIF(P$4:P22,""Mine"")-COUN"&amp;"TIF(P$4:P22,""Sell_Mine""))*((47*2^COUNTIF(P$4:P22,""Mine_up""))*IF(COUNTIF(P$4:P22,""Super_up"")&gt;1,1+0.005*(COUNTIF(P$4:P22,""Grandma"")-COUNTIF(P$4:P22,""Sell_Grandma"")),1))+(COUNTIF(P$4:P22,""Factory"")-COUNTIF(P$4:P22,""Sell_Factory""))*(260*2^COUNTI"&amp;"F(P$4:P22,""Factory_up""))))"),17.0)</f>
        <v>17</v>
      </c>
      <c r="S22" s="73">
        <f>IFERROR(__xludf.DUMMYFUNCTION("IF(COUNTA(P22:P147)=0,"""",IF(REGEXMATCH(INDEX(FILTER(P$4:P22,P$4:P22&lt;&gt;""""),ROWS(FILTER(P$4:P22,P$4:P22&lt;&gt;""""))),""^Sell_""),INDEX(FILTER(S$4:S21,P$4:P21&lt;&gt;""""),ROWS(FILTER(P$4:P21,P$4:P21&lt;&gt;""""))),$AD$5*(2^SWITCH(COUNTIF(P$4:P22,""Cursor_up""),0,0,1,1,2"&amp;",2,3)+SWITCH(COUNTIF(P$4:P22,""Cursor_up""),4,0.1,0)*(ROW(P22)-4-COUNTIF(P$4:P22,""Cursor"")-COUNTIF(P$4:P22,""*""&amp;""_up"")-2*COUNTIF(P$4:P22,""Sell_""&amp;""*"")+COUNTIF(P$4:P22,""Sell_Cursor"")-COUNTIF(P$4:P22,""""))+0.01*R22*COUNTIF(P$4:P22,""Plastic_up"")"&amp;")+R22))"),57.0)</f>
        <v>57</v>
      </c>
      <c r="T22" s="14">
        <f>IFERROR(__xludf.DUMMYFUNCTION("IF(COUNTA(P22:P147)=0,"""",IF(REGEXMATCH(P22,""_up""),VLOOKUP(P22,Upgrades!$F$3:$J$8,1+COUNTIF(P$4:P22,P22),FALSE),IF(P22="""",0,IF(REGEXMATCH(P22,""^Sell_""),-ROUNDDOWN(ROUNDUP(INDEX(Upgrades!$C$3:$C$8,MATCH(SUBSTITUTE(P22,""Sell_"",""""),Upgrades!$B$3:$"&amp;"B$8,0))*1.15^(COUNTIF(P$4:P21,SUBSTITUTE(P22,""Sell_"",""""))-COUNTIF(P$4:P21,""Sell_""&amp;SUBSTITUTE(P22,""Sell_"",""""))))/4),ROUNDUP(INDEX(Upgrades!$C$3:$C$7,MATCH(P22,Upgrades!$B$3:$B$7,0))*1.15^(COUNTIF(P$4:P21,P22)-COUNTIF(P$4:P21,""Sell_""&amp;P22)))))))"),175.0)</f>
        <v>175</v>
      </c>
      <c r="U22" s="14">
        <f t="shared" si="10"/>
        <v>175</v>
      </c>
      <c r="V22" s="75">
        <f t="shared" si="11"/>
        <v>29374.23786</v>
      </c>
      <c r="W22" s="76">
        <f t="shared" si="12"/>
        <v>80.07922824</v>
      </c>
      <c r="X22" s="71" t="str">
        <f t="shared" si="13"/>
        <v>1m 20s</v>
      </c>
      <c r="Y22" s="77">
        <f t="shared" si="14"/>
        <v>2684</v>
      </c>
      <c r="Z22" s="17"/>
      <c r="AA22" s="13"/>
      <c r="AB22" s="13"/>
      <c r="AC22" s="13"/>
      <c r="AD22" s="13"/>
      <c r="AE22" s="13"/>
      <c r="AF22" s="13"/>
      <c r="AG22" s="13"/>
    </row>
    <row r="23">
      <c r="A23" s="12"/>
      <c r="B23" s="65">
        <f t="shared" si="2"/>
        <v>6</v>
      </c>
      <c r="C23" s="69" t="s">
        <v>13</v>
      </c>
      <c r="D23" s="14" t="b">
        <f>IFERROR(__xludf.DUMMYFUNCTION("IF(COUNTA(C23:C147)=0,"""",IFERROR(IF(ISBLANK(C23),FALSE,IF(ISBLANK(G23),1,IF(NOT(COUNTIF($AA$24:$AA$34,SUBSTITUTE(C23,""Sell_"",""""))),1,IF(C23=""Plastic_up"",IF(I23&lt;1000,1),IF(C23=""Super_Up"",IF(OR(COUNTIF(C$4:C23,""Grandma"")-COUNTIF(C$4:C23,""Sell_G"&amp;"randma"")&lt;1,COUNTIF(C$4:C23,VLOOKUP(C23,Upgrades!$F$8:$N$8,7+COUNTIF(C$4:C23,C23)))-COUNTIF(C$4:C23,""Sell_""&amp;VLOOKUP(C23,Upgrades!$F$8:$N$8,7+COUNTIF(C$4:C23,C23)))&lt;15),1),IF(REGEXMATCH(C23,""_up""),IF(COUNTIF(C$4:C23,SUBSTITUTE(C23,""_up"",""""))&lt;IFERRO"&amp;"R(VLOOKUP(C23,Upgrades!$L$3:$P$6,1+COUNTIF(C$4:C23,C23),0),999),1),IF(REGEXMATCH(C23,""Sell_""),IF(COUNTIF(C$4:C23,SUBSTITUTE(C23,""Sell_"",""""))-COUNTIF(C$4:C22,C23)&lt;1,1),FALSE)))))))))"),FALSE)</f>
        <v>0</v>
      </c>
      <c r="E23" s="71">
        <f>IFERROR(__xludf.DUMMYFUNCTION("IF(REGEXMATCH(C23,""^Sell_""),E22, IF(COUNTA(C23:C147)=0,"""",(COUNTIF(C$4:C23,""Cursor"")-COUNTIF(C$4:C23,""Sell_Cursor""))*(0.1*2^SWITCH(COUNTIF(C$4:C23,""Cursor_up""),0,0,1,1,2,2,3)+SWITCH(COUNTIF(C$4:C23,""Cursor_up""),4,0.1,0)*(ROW(C23)-4-COUNTIF(C$4"&amp;":C23,""Cursor"")-COUNTIF(C$4:C23,""*""&amp;""_up"")-2*COUNTIF(C$4:C23,""Sell_""&amp;""*"")+COUNTIF(C$4:C23,""Sell_Cursor"")-COUNTIF(C$4:C23,"""")))+(COUNTIF(C$4:C23,""Grandma"")-COUNTIF(C$4:C23,""Sell_Grandma""))*(1*2^(COUNTIF(C$4:C23,""Grandma_up"")+COUNTIF(C$4:"&amp;"C23,""Super_up"")))+(COUNTIF(C$4:C23,""Farm"")-COUNTIF(C$4:C23,""Sell_Farm""))*(8*2^COUNTIF(C$4:C23,""Farm_up""))*IF(COUNTIF(C$4:C23,""Super_up"")&gt;0,1+0.01*(COUNTIF(C$4:C23,""Grandma"")-COUNTIF(C$4:C23,""Sell_Grandma"")),1)+(COUNTIF(C$4:C23,""Mine"")-COUN"&amp;"TIF(C$4:C23,""Sell_Mine""))*((47*2^COUNTIF(C$4:C23,""Mine_up""))*IF(COUNTIF(C$4:C23,""Super_up"")&gt;1,1+0.005*(COUNTIF(C$4:C23,""Grandma"")-COUNTIF(C$4:C23,""Sell_Grandma"")),1))+(COUNTIF(C$4:C23,""Factory"")-COUNTIF(C$4:C23,""Sell_Factory""))*(260*2^COUNTI"&amp;"F(C$4:C23,""Factory_up""))))"),18.0)</f>
        <v>18</v>
      </c>
      <c r="F23" s="73">
        <f>IFERROR(__xludf.DUMMYFUNCTION("IF(COUNTA(C23:C147)=0,"""",IF(REGEXMATCH(INDEX(FILTER(C$4:C23,C$4:C23&lt;&gt;""""),ROWS(FILTER(C$4:C23,C$4:C23&lt;&gt;""""))),""^Sell_""),INDEX(FILTER(F$4:F22,C$4:C22&lt;&gt;""""),ROWS(FILTER(C$4:C22,C$4:C22&lt;&gt;""""))),$AC$5*(2^SWITCH(COUNTIF(C$4:C23,""Cursor_up""),0,0,1,1,2"&amp;",2,3)+SWITCH(COUNTIF(C$4:C23,""Cursor_up""),4,0.1,0)*(ROW(C23)-4-COUNTIF(C$4:C23,""Cursor"")-COUNTIF(C$4:C23,""*""&amp;""_up"")-2*COUNTIF(C$4:C23,""Sell_""&amp;""*"")+COUNTIF(C$4:C23,""Sell_Cursor"")-COUNTIF(C$4:C23,""""))+0.01*E23*COUNTIF(C$4:C23,""Plastic_up"")"&amp;")+E23))"),58.0)</f>
        <v>58</v>
      </c>
      <c r="G23" s="14">
        <f>IFERROR(__xludf.DUMMYFUNCTION("IF(COUNTA(C23:C147)=0,"""",IF(REGEXMATCH(C23,""_up""),VLOOKUP(C23,Upgrades!$F$3:$J$8,1+COUNTIF(C$4:C23,C23),FALSE),IF(C23="""",0,IF(REGEXMATCH(C23,""^Sell_""),-ROUNDDOWN(ROUNDUP(INDEX(Upgrades!$C$3:$C$8,MATCH(SUBSTITUTE(C23,""Sell_"",""""),Upgrades!$B$3:$"&amp;"B$8,0))*1.15^(COUNTIF(C$4:C22,SUBSTITUTE(C23,""Sell_"",""""))-COUNTIF(C$4:C22,""Sell_""&amp;SUBSTITUTE(C23,""Sell_"",""""))))/4),ROUNDUP(INDEX(Upgrades!$C$3:$C$7,MATCH(C23,Upgrades!$B$3:$B$7,0))*1.15^(COUNTIF(C$4:C22,C23)-COUNTIF(C$4:C22,""Sell_""&amp;C23)))))))"),202.0)</f>
        <v>202</v>
      </c>
      <c r="H23" s="14">
        <f t="shared" si="3"/>
        <v>202</v>
      </c>
      <c r="I23" s="75">
        <f t="shared" si="4"/>
        <v>32719.16138</v>
      </c>
      <c r="J23" s="76">
        <f t="shared" si="5"/>
        <v>83.62308789</v>
      </c>
      <c r="K23" s="71" t="str">
        <f t="shared" si="6"/>
        <v>1m 23s</v>
      </c>
      <c r="L23" s="77">
        <f t="shared" si="7"/>
        <v>2886</v>
      </c>
      <c r="M23" s="51">
        <f t="shared" si="8"/>
        <v>0</v>
      </c>
      <c r="N23" s="52">
        <f>IFERROR(__xludf.DUMMYFUNCTION("IFS(AND(COUNTA(C23:C147)=0,COUNTA(P23:P147)=0),"""",OR(AND(L23&gt;=1000000,OR(Y23&gt;=1000000,COUNTA(P23:P147)=0)),AND(Y23&gt;=1000000,COUNTA(C23:C147)=0),AND(COUNTA(P23:P147)=0,O$3=TRUE)),
ROUNDDOWN((AB$1-AC$1)*MAX(INDEX(S$4:S147,MATCH(LARGE(FILTER(Y$4:Y147,Y$4:Y"&amp;"147&lt;1000000),1),Y$4:Y147)),INDEX(F$4:F147,MATCH(LARGE(FILTER(L$4:L147,L$4:L147&lt;1000000),1),L$4:L147)))),AND(L23&lt;1000000,COUNTA(C23:C147)&gt;0,O$3=FALSE),
ROUNDDOWN(INDEX(Y$4:Y147,MATCH(LARGE(FILTER(W$4:W147,W$4:W147&lt;=J23),1),W$4:W147))+(J23-LARGE(FILTER(W$4:"&amp;"W147,W$4:W147&lt;=J23),1))*INDEX(S$4:S147,MATCH(LARGE(FILTER(W$4:W147,W$4:W147&lt;=J23),1),W$4:W147))-L23),1,
ROUNDDOWN(Y23-INDEX(L$4:L147,MATCH(LARGE(FILTER(J$4:J147,J$4:J147&lt;=W23),1),J$4:J147))-(W23-LARGE(FILTER(J$4:J147,J$4:J147&lt;=W23),1))*INDEX(F$4:F147,MATC"&amp;"H(LARGE(FILTER(J$4:J147,J$4:J147&lt;=W23),1),J$4:J147))))"),0.0)</f>
        <v>0</v>
      </c>
      <c r="O23" s="65">
        <f t="shared" si="9"/>
        <v>6</v>
      </c>
      <c r="P23" s="69" t="s">
        <v>13</v>
      </c>
      <c r="Q23" s="14" t="b">
        <f>IFERROR(__xludf.DUMMYFUNCTION("IF(COUNTA(P23:P147)=0,"""",IFERROR(IF(ISBLANK(P23),FALSE,IF(ISBLANK(T23),1,IF(NOT(COUNTIF($AA$24:$AA$34,SUBSTITUTE(P23,""Sell_"",""""))),1,IF(P23=""Plastic_up"",IF(V23&lt;1000,1),IF(P23=""Super_Up"",IF(OR(COUNTIF(P$4:P23,""Grandma"")-COUNTIF(P$4:P23,""Sell_G"&amp;"randma"")&lt;1,COUNTIF(P$4:P23,VLOOKUP(P23,Upgrades!$F$8:$N$8,7+COUNTIF(P$4:P23,P23)))-COUNTIF(P$4:P23,""Sell_""&amp;VLOOKUP(P23,Upgrades!$F$8:$N$8,7+COUNTIF(P$4:P23,P23)))&lt;15),1),IF(REGEXMATCH(P23,""_up""),IF(COUNTIF(P$4:P23,SUBSTITUTE(P23,""_up"",""""))&lt;IFERRO"&amp;"R(VLOOKUP(P23,Upgrades!$L$3:$P$6,1+COUNTIF(P$4:P23,P23),0),999),1),IF(REGEXMATCH(P23,""Sell_""),IF(COUNTIF(P$4:P23,SUBSTITUTE(P23,""Sell_"",""""))-COUNTIF(P$4:P22,P23)&lt;1,1),FALSE)))))))))"),FALSE)</f>
        <v>0</v>
      </c>
      <c r="R23" s="71">
        <f>IFERROR(__xludf.DUMMYFUNCTION("IF(REGEXMATCH(P23,""^Sell_""),R22, IF(COUNTA(P23:P147)=0,"""",(COUNTIF(P$4:P23,""Cursor"")-COUNTIF(P$4:P23,""Sell_Cursor""))*(0.1*2^SWITCH(COUNTIF(P$4:P23,""Cursor_up""),0,0,1,1,2,2,3)+SWITCH(COUNTIF(P$4:P23,""Cursor_up""),4,0.1,0)*(ROW(P23)-4-COUNTIF(P$4"&amp;":P23,""Cursor"")-COUNTIF(P$4:P23,""*""&amp;""_up"")-2*COUNTIF(P$4:P23,""Sell_""&amp;""*"")+COUNTIF(P$4:P23,""Sell_Cursor"")-COUNTIF(P$4:P23,"""")))+(COUNTIF(P$4:P23,""Grandma"")-COUNTIF(P$4:P23,""Sell_Grandma""))*(1*2^(COUNTIF(P$4:P23,""Grandma_up"")+COUNTIF(P$4:"&amp;"P23,""Super_up"")))+(COUNTIF(P$4:P23,""Farm"")-COUNTIF(P$4:P23,""Sell_Farm""))*(8*2^COUNTIF(P$4:P23,""Farm_up""))*IF(COUNTIF(P$4:P23,""Super_up"")&gt;0,1+0.01*(COUNTIF(P$4:P23,""Grandma"")-COUNTIF(P$4:P23,""Sell_Grandma"")),1)+(COUNTIF(P$4:P23,""Mine"")-COUN"&amp;"TIF(P$4:P23,""Sell_Mine""))*((47*2^COUNTIF(P$4:P23,""Mine_up""))*IF(COUNTIF(P$4:P23,""Super_up"")&gt;1,1+0.005*(COUNTIF(P$4:P23,""Grandma"")-COUNTIF(P$4:P23,""Sell_Grandma"")),1))+(COUNTIF(P$4:P23,""Factory"")-COUNTIF(P$4:P23,""Sell_Factory""))*(260*2^COUNTI"&amp;"F(P$4:P23,""Factory_up""))))"),18.0)</f>
        <v>18</v>
      </c>
      <c r="S23" s="73">
        <f>IFERROR(__xludf.DUMMYFUNCTION("IF(COUNTA(P23:P147)=0,"""",IF(REGEXMATCH(INDEX(FILTER(P$4:P23,P$4:P23&lt;&gt;""""),ROWS(FILTER(P$4:P23,P$4:P23&lt;&gt;""""))),""^Sell_""),INDEX(FILTER(S$4:S22,P$4:P22&lt;&gt;""""),ROWS(FILTER(P$4:P22,P$4:P22&lt;&gt;""""))),$AD$5*(2^SWITCH(COUNTIF(P$4:P23,""Cursor_up""),0,0,1,1,2"&amp;",2,3)+SWITCH(COUNTIF(P$4:P23,""Cursor_up""),4,0.1,0)*(ROW(P23)-4-COUNTIF(P$4:P23,""Cursor"")-COUNTIF(P$4:P23,""*""&amp;""_up"")-2*COUNTIF(P$4:P23,""Sell_""&amp;""*"")+COUNTIF(P$4:P23,""Sell_Cursor"")-COUNTIF(P$4:P23,""""))+0.01*R23*COUNTIF(P$4:P23,""Plastic_up"")"&amp;")+R23))"),58.0)</f>
        <v>58</v>
      </c>
      <c r="T23" s="14">
        <f>IFERROR(__xludf.DUMMYFUNCTION("IF(COUNTA(P23:P147)=0,"""",IF(REGEXMATCH(P23,""_up""),VLOOKUP(P23,Upgrades!$F$3:$J$8,1+COUNTIF(P$4:P23,P23),FALSE),IF(P23="""",0,IF(REGEXMATCH(P23,""^Sell_""),-ROUNDDOWN(ROUNDUP(INDEX(Upgrades!$C$3:$C$8,MATCH(SUBSTITUTE(P23,""Sell_"",""""),Upgrades!$B$3:$"&amp;"B$8,0))*1.15^(COUNTIF(P$4:P22,SUBSTITUTE(P23,""Sell_"",""""))-COUNTIF(P$4:P22,""Sell_""&amp;SUBSTITUTE(P23,""Sell_"",""""))))/4),ROUNDUP(INDEX(Upgrades!$C$3:$C$7,MATCH(P23,Upgrades!$B$3:$B$7,0))*1.15^(COUNTIF(P$4:P22,P23)-COUNTIF(P$4:P22,""Sell_""&amp;P23)))))))"),202.0)</f>
        <v>202</v>
      </c>
      <c r="U23" s="14">
        <f t="shared" si="10"/>
        <v>202</v>
      </c>
      <c r="V23" s="75">
        <f t="shared" si="11"/>
        <v>32719.16138</v>
      </c>
      <c r="W23" s="76">
        <f t="shared" si="12"/>
        <v>83.62308789</v>
      </c>
      <c r="X23" s="71" t="str">
        <f t="shared" si="13"/>
        <v>1m 23s</v>
      </c>
      <c r="Y23" s="77">
        <f t="shared" si="14"/>
        <v>2886</v>
      </c>
      <c r="Z23" s="17"/>
      <c r="AA23" s="98" t="s">
        <v>74</v>
      </c>
      <c r="AB23" s="107"/>
      <c r="AC23" s="13"/>
      <c r="AD23" s="13"/>
      <c r="AE23" s="13"/>
      <c r="AF23" s="13"/>
      <c r="AG23" s="13"/>
    </row>
    <row r="24">
      <c r="A24" s="12"/>
      <c r="B24" s="65">
        <f t="shared" si="2"/>
        <v>1</v>
      </c>
      <c r="C24" s="69" t="s">
        <v>14</v>
      </c>
      <c r="D24" s="14" t="b">
        <f>IFERROR(__xludf.DUMMYFUNCTION("IF(COUNTA(C24:C147)=0,"""",IFERROR(IF(ISBLANK(C24),FALSE,IF(ISBLANK(G24),1,IF(NOT(COUNTIF($AA$24:$AA$34,SUBSTITUTE(C24,""Sell_"",""""))),1,IF(C24=""Plastic_up"",IF(I24&lt;1000,1),IF(C24=""Super_Up"",IF(OR(COUNTIF(C$4:C24,""Grandma"")-COUNTIF(C$4:C24,""Sell_G"&amp;"randma"")&lt;1,COUNTIF(C$4:C24,VLOOKUP(C24,Upgrades!$F$8:$N$8,7+COUNTIF(C$4:C24,C24)))-COUNTIF(C$4:C24,""Sell_""&amp;VLOOKUP(C24,Upgrades!$F$8:$N$8,7+COUNTIF(C$4:C24,C24)))&lt;15),1),IF(REGEXMATCH(C24,""_up""),IF(COUNTIF(C$4:C24,SUBSTITUTE(C24,""_up"",""""))&lt;IFERRO"&amp;"R(VLOOKUP(C24,Upgrades!$L$3:$P$6,1+COUNTIF(C$4:C24,C24),0),999),1),IF(REGEXMATCH(C24,""Sell_""),IF(COUNTIF(C$4:C24,SUBSTITUTE(C24,""Sell_"",""""))-COUNTIF(C$4:C23,C24)&lt;1,1),FALSE)))))))))"),FALSE)</f>
        <v>0</v>
      </c>
      <c r="E24" s="71">
        <f>IFERROR(__xludf.DUMMYFUNCTION("IF(REGEXMATCH(C24,""^Sell_""),E23, IF(COUNTA(C24:C147)=0,"""",(COUNTIF(C$4:C24,""Cursor"")-COUNTIF(C$4:C24,""Sell_Cursor""))*(0.1*2^SWITCH(COUNTIF(C$4:C24,""Cursor_up""),0,0,1,1,2,2,3)+SWITCH(COUNTIF(C$4:C24,""Cursor_up""),4,0.1,0)*(ROW(C24)-4-COUNTIF(C$4"&amp;":C24,""Cursor"")-COUNTIF(C$4:C24,""*""&amp;""_up"")-2*COUNTIF(C$4:C24,""Sell_""&amp;""*"")+COUNTIF(C$4:C24,""Sell_Cursor"")-COUNTIF(C$4:C24,"""")))+(COUNTIF(C$4:C24,""Grandma"")-COUNTIF(C$4:C24,""Sell_Grandma""))*(1*2^(COUNTIF(C$4:C24,""Grandma_up"")+COUNTIF(C$4:"&amp;"C24,""Super_up"")))+(COUNTIF(C$4:C24,""Farm"")-COUNTIF(C$4:C24,""Sell_Farm""))*(8*2^COUNTIF(C$4:C24,""Farm_up""))*IF(COUNTIF(C$4:C24,""Super_up"")&gt;0,1+0.01*(COUNTIF(C$4:C24,""Grandma"")-COUNTIF(C$4:C24,""Sell_Grandma"")),1)+(COUNTIF(C$4:C24,""Mine"")-COUN"&amp;"TIF(C$4:C24,""Sell_Mine""))*((47*2^COUNTIF(C$4:C24,""Mine_up""))*IF(COUNTIF(C$4:C24,""Super_up"")&gt;1,1+0.005*(COUNTIF(C$4:C24,""Grandma"")-COUNTIF(C$4:C24,""Sell_Grandma"")),1))+(COUNTIF(C$4:C24,""Factory"")-COUNTIF(C$4:C24,""Sell_Factory""))*(260*2^COUNTI"&amp;"F(C$4:C24,""Factory_up""))))"),24.0)</f>
        <v>24</v>
      </c>
      <c r="F24" s="73">
        <f>IFERROR(__xludf.DUMMYFUNCTION("IF(COUNTA(C24:C147)=0,"""",IF(REGEXMATCH(INDEX(FILTER(C$4:C24,C$4:C24&lt;&gt;""""),ROWS(FILTER(C$4:C24,C$4:C24&lt;&gt;""""))),""^Sell_""),INDEX(FILTER(F$4:F23,C$4:C23&lt;&gt;""""),ROWS(FILTER(C$4:C23,C$4:C23&lt;&gt;""""))),$AC$5*(2^SWITCH(COUNTIF(C$4:C24,""Cursor_up""),0,0,1,1,2"&amp;",2,3)+SWITCH(COUNTIF(C$4:C24,""Cursor_up""),4,0.1,0)*(ROW(C24)-4-COUNTIF(C$4:C24,""Cursor"")-COUNTIF(C$4:C24,""*""&amp;""_up"")-2*COUNTIF(C$4:C24,""Sell_""&amp;""*"")+COUNTIF(C$4:C24,""Sell_Cursor"")-COUNTIF(C$4:C24,""""))+0.01*E24*COUNTIF(C$4:C24,""Plastic_up"")"&amp;")+E24))"),64.0)</f>
        <v>64</v>
      </c>
      <c r="G24" s="14">
        <f>IFERROR(__xludf.DUMMYFUNCTION("IF(COUNTA(C24:C147)=0,"""",IF(REGEXMATCH(C24,""_up""),VLOOKUP(C24,Upgrades!$F$3:$J$8,1+COUNTIF(C$4:C24,C24),FALSE),IF(C24="""",0,IF(REGEXMATCH(C24,""^Sell_""),-ROUNDDOWN(ROUNDUP(INDEX(Upgrades!$C$3:$C$8,MATCH(SUBSTITUTE(C24,""Sell_"",""""),Upgrades!$B$3:$"&amp;"B$8,0))*1.15^(COUNTIF(C$4:C23,SUBSTITUTE(C24,""Sell_"",""""))-COUNTIF(C$4:C23,""Sell_""&amp;SUBSTITUTE(C24,""Sell_"",""""))))/4),ROUNDUP(INDEX(Upgrades!$C$3:$C$7,MATCH(C24,Upgrades!$B$3:$B$7,0))*1.15^(COUNTIF(C$4:C23,C24)-COUNTIF(C$4:C23,""Sell_""&amp;C24)))))))"),1000.0)</f>
        <v>1000</v>
      </c>
      <c r="H24" s="14">
        <f t="shared" si="3"/>
        <v>1000</v>
      </c>
      <c r="I24" s="75">
        <f t="shared" si="4"/>
        <v>36753.74007</v>
      </c>
      <c r="J24" s="76">
        <f t="shared" si="5"/>
        <v>100.8644672</v>
      </c>
      <c r="K24" s="71" t="str">
        <f t="shared" si="6"/>
        <v>1m 40s</v>
      </c>
      <c r="L24" s="77">
        <f t="shared" si="7"/>
        <v>3886</v>
      </c>
      <c r="M24" s="51">
        <f t="shared" si="8"/>
        <v>0</v>
      </c>
      <c r="N24" s="52">
        <f>IFERROR(__xludf.DUMMYFUNCTION("IFS(AND(COUNTA(C24:C147)=0,COUNTA(P24:P147)=0),"""",OR(AND(L24&gt;=1000000,OR(Y24&gt;=1000000,COUNTA(P24:P147)=0)),AND(Y24&gt;=1000000,COUNTA(C24:C147)=0),AND(COUNTA(P24:P147)=0,O$3=TRUE)),
ROUNDDOWN((AB$1-AC$1)*MAX(INDEX(S$4:S147,MATCH(LARGE(FILTER(Y$4:Y147,Y$4:Y"&amp;"147&lt;1000000),1),Y$4:Y147)),INDEX(F$4:F147,MATCH(LARGE(FILTER(L$4:L147,L$4:L147&lt;1000000),1),L$4:L147)))),AND(L24&lt;1000000,COUNTA(C24:C147)&gt;0,O$3=FALSE),
ROUNDDOWN(INDEX(Y$4:Y147,MATCH(LARGE(FILTER(W$4:W147,W$4:W147&lt;=J24),1),W$4:W147))+(J24-LARGE(FILTER(W$4:"&amp;"W147,W$4:W147&lt;=J24),1))*INDEX(S$4:S147,MATCH(LARGE(FILTER(W$4:W147,W$4:W147&lt;=J24),1),W$4:W147))-L24),1,
ROUNDDOWN(Y24-INDEX(L$4:L147,MATCH(LARGE(FILTER(J$4:J147,J$4:J147&lt;=W24),1),J$4:J147))-(W24-LARGE(FILTER(J$4:J147,J$4:J147&lt;=W24),1))*INDEX(F$4:F147,MATC"&amp;"H(LARGE(FILTER(J$4:J147,J$4:J147&lt;=W24),1),J$4:J147))))"),0.0)</f>
        <v>0</v>
      </c>
      <c r="O24" s="65">
        <f t="shared" si="9"/>
        <v>1</v>
      </c>
      <c r="P24" s="69" t="s">
        <v>14</v>
      </c>
      <c r="Q24" s="14" t="b">
        <f>IFERROR(__xludf.DUMMYFUNCTION("IF(COUNTA(P24:P147)=0,"""",IFERROR(IF(ISBLANK(P24),FALSE,IF(ISBLANK(T24),1,IF(NOT(COUNTIF($AA$24:$AA$34,SUBSTITUTE(P24,""Sell_"",""""))),1,IF(P24=""Plastic_up"",IF(V24&lt;1000,1),IF(P24=""Super_Up"",IF(OR(COUNTIF(P$4:P24,""Grandma"")-COUNTIF(P$4:P24,""Sell_G"&amp;"randma"")&lt;1,COUNTIF(P$4:P24,VLOOKUP(P24,Upgrades!$F$8:$N$8,7+COUNTIF(P$4:P24,P24)))-COUNTIF(P$4:P24,""Sell_""&amp;VLOOKUP(P24,Upgrades!$F$8:$N$8,7+COUNTIF(P$4:P24,P24)))&lt;15),1),IF(REGEXMATCH(P24,""_up""),IF(COUNTIF(P$4:P24,SUBSTITUTE(P24,""_up"",""""))&lt;IFERRO"&amp;"R(VLOOKUP(P24,Upgrades!$L$3:$P$6,1+COUNTIF(P$4:P24,P24),0),999),1),IF(REGEXMATCH(P24,""Sell_""),IF(COUNTIF(P$4:P24,SUBSTITUTE(P24,""Sell_"",""""))-COUNTIF(P$4:P23,P24)&lt;1,1),FALSE)))))))))"),FALSE)</f>
        <v>0</v>
      </c>
      <c r="R24" s="71">
        <f>IFERROR(__xludf.DUMMYFUNCTION("IF(REGEXMATCH(P24,""^Sell_""),R23, IF(COUNTA(P24:P147)=0,"""",(COUNTIF(P$4:P24,""Cursor"")-COUNTIF(P$4:P24,""Sell_Cursor""))*(0.1*2^SWITCH(COUNTIF(P$4:P24,""Cursor_up""),0,0,1,1,2,2,3)+SWITCH(COUNTIF(P$4:P24,""Cursor_up""),4,0.1,0)*(ROW(P24)-4-COUNTIF(P$4"&amp;":P24,""Cursor"")-COUNTIF(P$4:P24,""*""&amp;""_up"")-2*COUNTIF(P$4:P24,""Sell_""&amp;""*"")+COUNTIF(P$4:P24,""Sell_Cursor"")-COUNTIF(P$4:P24,"""")))+(COUNTIF(P$4:P24,""Grandma"")-COUNTIF(P$4:P24,""Sell_Grandma""))*(1*2^(COUNTIF(P$4:P24,""Grandma_up"")+COUNTIF(P$4:"&amp;"P24,""Super_up"")))+(COUNTIF(P$4:P24,""Farm"")-COUNTIF(P$4:P24,""Sell_Farm""))*(8*2^COUNTIF(P$4:P24,""Farm_up""))*IF(COUNTIF(P$4:P24,""Super_up"")&gt;0,1+0.01*(COUNTIF(P$4:P24,""Grandma"")-COUNTIF(P$4:P24,""Sell_Grandma"")),1)+(COUNTIF(P$4:P24,""Mine"")-COUN"&amp;"TIF(P$4:P24,""Sell_Mine""))*((47*2^COUNTIF(P$4:P24,""Mine_up""))*IF(COUNTIF(P$4:P24,""Super_up"")&gt;1,1+0.005*(COUNTIF(P$4:P24,""Grandma"")-COUNTIF(P$4:P24,""Sell_Grandma"")),1))+(COUNTIF(P$4:P24,""Factory"")-COUNTIF(P$4:P24,""Sell_Factory""))*(260*2^COUNTI"&amp;"F(P$4:P24,""Factory_up""))))"),24.0)</f>
        <v>24</v>
      </c>
      <c r="S24" s="73">
        <f>IFERROR(__xludf.DUMMYFUNCTION("IF(COUNTA(P24:P147)=0,"""",IF(REGEXMATCH(INDEX(FILTER(P$4:P24,P$4:P24&lt;&gt;""""),ROWS(FILTER(P$4:P24,P$4:P24&lt;&gt;""""))),""^Sell_""),INDEX(FILTER(S$4:S23,P$4:P23&lt;&gt;""""),ROWS(FILTER(P$4:P23,P$4:P23&lt;&gt;""""))),$AD$5*(2^SWITCH(COUNTIF(P$4:P24,""Cursor_up""),0,0,1,1,2"&amp;",2,3)+SWITCH(COUNTIF(P$4:P24,""Cursor_up""),4,0.1,0)*(ROW(P24)-4-COUNTIF(P$4:P24,""Cursor"")-COUNTIF(P$4:P24,""*""&amp;""_up"")-2*COUNTIF(P$4:P24,""Sell_""&amp;""*"")+COUNTIF(P$4:P24,""Sell_Cursor"")-COUNTIF(P$4:P24,""""))+0.01*R24*COUNTIF(P$4:P24,""Plastic_up"")"&amp;")+R24))"),64.0)</f>
        <v>64</v>
      </c>
      <c r="T24" s="14">
        <f>IFERROR(__xludf.DUMMYFUNCTION("IF(COUNTA(P24:P147)=0,"""",IF(REGEXMATCH(P24,""_up""),VLOOKUP(P24,Upgrades!$F$3:$J$8,1+COUNTIF(P$4:P24,P24),FALSE),IF(P24="""",0,IF(REGEXMATCH(P24,""^Sell_""),-ROUNDDOWN(ROUNDUP(INDEX(Upgrades!$C$3:$C$8,MATCH(SUBSTITUTE(P24,""Sell_"",""""),Upgrades!$B$3:$"&amp;"B$8,0))*1.15^(COUNTIF(P$4:P23,SUBSTITUTE(P24,""Sell_"",""""))-COUNTIF(P$4:P23,""Sell_""&amp;SUBSTITUTE(P24,""Sell_"",""""))))/4),ROUNDUP(INDEX(Upgrades!$C$3:$C$7,MATCH(P24,Upgrades!$B$3:$B$7,0))*1.15^(COUNTIF(P$4:P23,P24)-COUNTIF(P$4:P23,""Sell_""&amp;P24)))))))"),1000.0)</f>
        <v>1000</v>
      </c>
      <c r="U24" s="14">
        <f t="shared" si="10"/>
        <v>1000</v>
      </c>
      <c r="V24" s="75">
        <f t="shared" si="11"/>
        <v>36753.74007</v>
      </c>
      <c r="W24" s="76">
        <f t="shared" si="12"/>
        <v>100.8644672</v>
      </c>
      <c r="X24" s="71" t="str">
        <f t="shared" si="13"/>
        <v>1m 40s</v>
      </c>
      <c r="Y24" s="77">
        <f t="shared" si="14"/>
        <v>3886</v>
      </c>
      <c r="Z24" s="17"/>
      <c r="AA24" s="32" t="s">
        <v>10</v>
      </c>
      <c r="AB24" s="108" t="s">
        <v>75</v>
      </c>
      <c r="AC24" s="13"/>
      <c r="AD24" s="13"/>
      <c r="AE24" s="13"/>
      <c r="AF24" s="13"/>
      <c r="AG24" s="13"/>
    </row>
    <row r="25">
      <c r="A25" s="12"/>
      <c r="B25" s="65">
        <f t="shared" si="2"/>
        <v>7</v>
      </c>
      <c r="C25" s="69" t="s">
        <v>13</v>
      </c>
      <c r="D25" s="14" t="b">
        <f>IFERROR(__xludf.DUMMYFUNCTION("IF(COUNTA(C25:C147)=0,"""",IFERROR(IF(ISBLANK(C25),FALSE,IF(ISBLANK(G25),1,IF(NOT(COUNTIF($AA$24:$AA$34,SUBSTITUTE(C25,""Sell_"",""""))),1,IF(C25=""Plastic_up"",IF(I25&lt;1000,1),IF(C25=""Super_Up"",IF(OR(COUNTIF(C$4:C25,""Grandma"")-COUNTIF(C$4:C25,""Sell_G"&amp;"randma"")&lt;1,COUNTIF(C$4:C25,VLOOKUP(C25,Upgrades!$F$8:$N$8,7+COUNTIF(C$4:C25,C25)))-COUNTIF(C$4:C25,""Sell_""&amp;VLOOKUP(C25,Upgrades!$F$8:$N$8,7+COUNTIF(C$4:C25,C25)))&lt;15),1),IF(REGEXMATCH(C25,""_up""),IF(COUNTIF(C$4:C25,SUBSTITUTE(C25,""_up"",""""))&lt;IFERRO"&amp;"R(VLOOKUP(C25,Upgrades!$L$3:$P$6,1+COUNTIF(C$4:C25,C25),0),999),1),IF(REGEXMATCH(C25,""Sell_""),IF(COUNTIF(C$4:C25,SUBSTITUTE(C25,""Sell_"",""""))-COUNTIF(C$4:C24,C25)&lt;1,1),FALSE)))))))))"),FALSE)</f>
        <v>0</v>
      </c>
      <c r="E25" s="71">
        <f>IFERROR(__xludf.DUMMYFUNCTION("IF(REGEXMATCH(C25,""^Sell_""),E24, IF(COUNTA(C25:C147)=0,"""",(COUNTIF(C$4:C25,""Cursor"")-COUNTIF(C$4:C25,""Sell_Cursor""))*(0.1*2^SWITCH(COUNTIF(C$4:C25,""Cursor_up""),0,0,1,1,2,2,3)+SWITCH(COUNTIF(C$4:C25,""Cursor_up""),4,0.1,0)*(ROW(C25)-4-COUNTIF(C$4"&amp;":C25,""Cursor"")-COUNTIF(C$4:C25,""*""&amp;""_up"")-2*COUNTIF(C$4:C25,""Sell_""&amp;""*"")+COUNTIF(C$4:C25,""Sell_Cursor"")-COUNTIF(C$4:C25,"""")))+(COUNTIF(C$4:C25,""Grandma"")-COUNTIF(C$4:C25,""Sell_Grandma""))*(1*2^(COUNTIF(C$4:C25,""Grandma_up"")+COUNTIF(C$4:"&amp;"C25,""Super_up"")))+(COUNTIF(C$4:C25,""Farm"")-COUNTIF(C$4:C25,""Sell_Farm""))*(8*2^COUNTIF(C$4:C25,""Farm_up""))*IF(COUNTIF(C$4:C25,""Super_up"")&gt;0,1+0.01*(COUNTIF(C$4:C25,""Grandma"")-COUNTIF(C$4:C25,""Sell_Grandma"")),1)+(COUNTIF(C$4:C25,""Mine"")-COUN"&amp;"TIF(C$4:C25,""Sell_Mine""))*((47*2^COUNTIF(C$4:C25,""Mine_up""))*IF(COUNTIF(C$4:C25,""Super_up"")&gt;1,1+0.005*(COUNTIF(C$4:C25,""Grandma"")-COUNTIF(C$4:C25,""Sell_Grandma"")),1))+(COUNTIF(C$4:C25,""Factory"")-COUNTIF(C$4:C25,""Sell_Factory""))*(260*2^COUNTI"&amp;"F(C$4:C25,""Factory_up""))))"),26.0)</f>
        <v>26</v>
      </c>
      <c r="F25" s="73">
        <f>IFERROR(__xludf.DUMMYFUNCTION("IF(COUNTA(C25:C147)=0,"""",IF(REGEXMATCH(INDEX(FILTER(C$4:C25,C$4:C25&lt;&gt;""""),ROWS(FILTER(C$4:C25,C$4:C25&lt;&gt;""""))),""^Sell_""),INDEX(FILTER(F$4:F24,C$4:C24&lt;&gt;""""),ROWS(FILTER(C$4:C24,C$4:C24&lt;&gt;""""))),$AC$5*(2^SWITCH(COUNTIF(C$4:C25,""Cursor_up""),0,0,1,1,2"&amp;",2,3)+SWITCH(COUNTIF(C$4:C25,""Cursor_up""),4,0.1,0)*(ROW(C25)-4-COUNTIF(C$4:C25,""Cursor"")-COUNTIF(C$4:C25,""*""&amp;""_up"")-2*COUNTIF(C$4:C25,""Sell_""&amp;""*"")+COUNTIF(C$4:C25,""Sell_Cursor"")-COUNTIF(C$4:C25,""""))+0.01*E25*COUNTIF(C$4:C25,""Plastic_up"")"&amp;")+E25))"),66.0)</f>
        <v>66</v>
      </c>
      <c r="G25" s="14">
        <f>IFERROR(__xludf.DUMMYFUNCTION("IF(COUNTA(C25:C147)=0,"""",IF(REGEXMATCH(C25,""_up""),VLOOKUP(C25,Upgrades!$F$3:$J$8,1+COUNTIF(C$4:C25,C25),FALSE),IF(C25="""",0,IF(REGEXMATCH(C25,""^Sell_""),-ROUNDDOWN(ROUNDUP(INDEX(Upgrades!$C$3:$C$8,MATCH(SUBSTITUTE(C25,""Sell_"",""""),Upgrades!$B$3:$"&amp;"B$8,0))*1.15^(COUNTIF(C$4:C24,SUBSTITUTE(C25,""Sell_"",""""))-COUNTIF(C$4:C24,""Sell_""&amp;SUBSTITUTE(C25,""Sell_"",""""))))/4),ROUNDUP(INDEX(Upgrades!$C$3:$C$7,MATCH(C25,Upgrades!$B$3:$B$7,0))*1.15^(COUNTIF(C$4:C24,C25)-COUNTIF(C$4:C24,""Sell_""&amp;C25)))))))"),232.0)</f>
        <v>232</v>
      </c>
      <c r="H25" s="14">
        <f t="shared" si="3"/>
        <v>232</v>
      </c>
      <c r="I25" s="75">
        <f t="shared" si="4"/>
        <v>40933.31875</v>
      </c>
      <c r="J25" s="76">
        <f t="shared" si="5"/>
        <v>104.4894672</v>
      </c>
      <c r="K25" s="71" t="str">
        <f t="shared" si="6"/>
        <v>1m 44s</v>
      </c>
      <c r="L25" s="77">
        <f t="shared" si="7"/>
        <v>4118</v>
      </c>
      <c r="M25" s="51">
        <f t="shared" si="8"/>
        <v>0</v>
      </c>
      <c r="N25" s="52">
        <f>IFERROR(__xludf.DUMMYFUNCTION("IFS(AND(COUNTA(C25:C147)=0,COUNTA(P25:P147)=0),"""",OR(AND(L25&gt;=1000000,OR(Y25&gt;=1000000,COUNTA(P25:P147)=0)),AND(Y25&gt;=1000000,COUNTA(C25:C147)=0),AND(COUNTA(P25:P147)=0,O$3=TRUE)),
ROUNDDOWN((AB$1-AC$1)*MAX(INDEX(S$4:S147,MATCH(LARGE(FILTER(Y$4:Y147,Y$4:Y"&amp;"147&lt;1000000),1),Y$4:Y147)),INDEX(F$4:F147,MATCH(LARGE(FILTER(L$4:L147,L$4:L147&lt;1000000),1),L$4:L147)))),AND(L25&lt;1000000,COUNTA(C25:C147)&gt;0,O$3=FALSE),
ROUNDDOWN(INDEX(Y$4:Y147,MATCH(LARGE(FILTER(W$4:W147,W$4:W147&lt;=J25),1),W$4:W147))+(J25-LARGE(FILTER(W$4:"&amp;"W147,W$4:W147&lt;=J25),1))*INDEX(S$4:S147,MATCH(LARGE(FILTER(W$4:W147,W$4:W147&lt;=J25),1),W$4:W147))-L25),1,
ROUNDDOWN(Y25-INDEX(L$4:L147,MATCH(LARGE(FILTER(J$4:J147,J$4:J147&lt;=W25),1),J$4:J147))-(W25-LARGE(FILTER(J$4:J147,J$4:J147&lt;=W25),1))*INDEX(F$4:F147,MATC"&amp;"H(LARGE(FILTER(J$4:J147,J$4:J147&lt;=W25),1),J$4:J147))))"),0.0)</f>
        <v>0</v>
      </c>
      <c r="O25" s="65">
        <f t="shared" si="9"/>
        <v>7</v>
      </c>
      <c r="P25" s="69" t="s">
        <v>13</v>
      </c>
      <c r="Q25" s="14" t="b">
        <f>IFERROR(__xludf.DUMMYFUNCTION("IF(COUNTA(P25:P147)=0,"""",IFERROR(IF(ISBLANK(P25),FALSE,IF(ISBLANK(T25),1,IF(NOT(COUNTIF($AA$24:$AA$34,SUBSTITUTE(P25,""Sell_"",""""))),1,IF(P25=""Plastic_up"",IF(V25&lt;1000,1),IF(P25=""Super_Up"",IF(OR(COUNTIF(P$4:P25,""Grandma"")-COUNTIF(P$4:P25,""Sell_G"&amp;"randma"")&lt;1,COUNTIF(P$4:P25,VLOOKUP(P25,Upgrades!$F$8:$N$8,7+COUNTIF(P$4:P25,P25)))-COUNTIF(P$4:P25,""Sell_""&amp;VLOOKUP(P25,Upgrades!$F$8:$N$8,7+COUNTIF(P$4:P25,P25)))&lt;15),1),IF(REGEXMATCH(P25,""_up""),IF(COUNTIF(P$4:P25,SUBSTITUTE(P25,""_up"",""""))&lt;IFERRO"&amp;"R(VLOOKUP(P25,Upgrades!$L$3:$P$6,1+COUNTIF(P$4:P25,P25),0),999),1),IF(REGEXMATCH(P25,""Sell_""),IF(COUNTIF(P$4:P25,SUBSTITUTE(P25,""Sell_"",""""))-COUNTIF(P$4:P24,P25)&lt;1,1),FALSE)))))))))"),FALSE)</f>
        <v>0</v>
      </c>
      <c r="R25" s="71">
        <f>IFERROR(__xludf.DUMMYFUNCTION("IF(REGEXMATCH(P25,""^Sell_""),R24, IF(COUNTA(P25:P147)=0,"""",(COUNTIF(P$4:P25,""Cursor"")-COUNTIF(P$4:P25,""Sell_Cursor""))*(0.1*2^SWITCH(COUNTIF(P$4:P25,""Cursor_up""),0,0,1,1,2,2,3)+SWITCH(COUNTIF(P$4:P25,""Cursor_up""),4,0.1,0)*(ROW(P25)-4-COUNTIF(P$4"&amp;":P25,""Cursor"")-COUNTIF(P$4:P25,""*""&amp;""_up"")-2*COUNTIF(P$4:P25,""Sell_""&amp;""*"")+COUNTIF(P$4:P25,""Sell_Cursor"")-COUNTIF(P$4:P25,"""")))+(COUNTIF(P$4:P25,""Grandma"")-COUNTIF(P$4:P25,""Sell_Grandma""))*(1*2^(COUNTIF(P$4:P25,""Grandma_up"")+COUNTIF(P$4:"&amp;"P25,""Super_up"")))+(COUNTIF(P$4:P25,""Farm"")-COUNTIF(P$4:P25,""Sell_Farm""))*(8*2^COUNTIF(P$4:P25,""Farm_up""))*IF(COUNTIF(P$4:P25,""Super_up"")&gt;0,1+0.01*(COUNTIF(P$4:P25,""Grandma"")-COUNTIF(P$4:P25,""Sell_Grandma"")),1)+(COUNTIF(P$4:P25,""Mine"")-COUN"&amp;"TIF(P$4:P25,""Sell_Mine""))*((47*2^COUNTIF(P$4:P25,""Mine_up""))*IF(COUNTIF(P$4:P25,""Super_up"")&gt;1,1+0.005*(COUNTIF(P$4:P25,""Grandma"")-COUNTIF(P$4:P25,""Sell_Grandma"")),1))+(COUNTIF(P$4:P25,""Factory"")-COUNTIF(P$4:P25,""Sell_Factory""))*(260*2^COUNTI"&amp;"F(P$4:P25,""Factory_up""))))"),26.0)</f>
        <v>26</v>
      </c>
      <c r="S25" s="73">
        <f>IFERROR(__xludf.DUMMYFUNCTION("IF(COUNTA(P25:P147)=0,"""",IF(REGEXMATCH(INDEX(FILTER(P$4:P25,P$4:P25&lt;&gt;""""),ROWS(FILTER(P$4:P25,P$4:P25&lt;&gt;""""))),""^Sell_""),INDEX(FILTER(S$4:S24,P$4:P24&lt;&gt;""""),ROWS(FILTER(P$4:P24,P$4:P24&lt;&gt;""""))),$AD$5*(2^SWITCH(COUNTIF(P$4:P25,""Cursor_up""),0,0,1,1,2"&amp;",2,3)+SWITCH(COUNTIF(P$4:P25,""Cursor_up""),4,0.1,0)*(ROW(P25)-4-COUNTIF(P$4:P25,""Cursor"")-COUNTIF(P$4:P25,""*""&amp;""_up"")-2*COUNTIF(P$4:P25,""Sell_""&amp;""*"")+COUNTIF(P$4:P25,""Sell_Cursor"")-COUNTIF(P$4:P25,""""))+0.01*R25*COUNTIF(P$4:P25,""Plastic_up"")"&amp;")+R25))"),66.0)</f>
        <v>66</v>
      </c>
      <c r="T25" s="14">
        <f>IFERROR(__xludf.DUMMYFUNCTION("IF(COUNTA(P25:P147)=0,"""",IF(REGEXMATCH(P25,""_up""),VLOOKUP(P25,Upgrades!$F$3:$J$8,1+COUNTIF(P$4:P25,P25),FALSE),IF(P25="""",0,IF(REGEXMATCH(P25,""^Sell_""),-ROUNDDOWN(ROUNDUP(INDEX(Upgrades!$C$3:$C$8,MATCH(SUBSTITUTE(P25,""Sell_"",""""),Upgrades!$B$3:$"&amp;"B$8,0))*1.15^(COUNTIF(P$4:P24,SUBSTITUTE(P25,""Sell_"",""""))-COUNTIF(P$4:P24,""Sell_""&amp;SUBSTITUTE(P25,""Sell_"",""""))))/4),ROUNDUP(INDEX(Upgrades!$C$3:$C$7,MATCH(P25,Upgrades!$B$3:$B$7,0))*1.15^(COUNTIF(P$4:P24,P25)-COUNTIF(P$4:P24,""Sell_""&amp;P25)))))))"),232.0)</f>
        <v>232</v>
      </c>
      <c r="U25" s="14">
        <f t="shared" si="10"/>
        <v>232</v>
      </c>
      <c r="V25" s="75">
        <f t="shared" si="11"/>
        <v>40933.31875</v>
      </c>
      <c r="W25" s="76">
        <f t="shared" si="12"/>
        <v>104.4894672</v>
      </c>
      <c r="X25" s="71" t="str">
        <f t="shared" si="13"/>
        <v>1m 44s</v>
      </c>
      <c r="Y25" s="77">
        <f t="shared" si="14"/>
        <v>4118</v>
      </c>
      <c r="Z25" s="17"/>
      <c r="AA25" s="32" t="s">
        <v>13</v>
      </c>
      <c r="AB25" s="108" t="s">
        <v>75</v>
      </c>
      <c r="AC25" s="13"/>
      <c r="AD25" s="13"/>
      <c r="AE25" s="13"/>
      <c r="AF25" s="13"/>
      <c r="AG25" s="13"/>
    </row>
    <row r="26">
      <c r="A26" s="12"/>
      <c r="B26" s="65">
        <f t="shared" si="2"/>
        <v>8</v>
      </c>
      <c r="C26" s="69" t="s">
        <v>13</v>
      </c>
      <c r="D26" s="14" t="b">
        <f>IFERROR(__xludf.DUMMYFUNCTION("IF(COUNTA(C26:C147)=0,"""",IFERROR(IF(ISBLANK(C26),FALSE,IF(ISBLANK(G26),1,IF(NOT(COUNTIF($AA$24:$AA$34,SUBSTITUTE(C26,""Sell_"",""""))),1,IF(C26=""Plastic_up"",IF(I26&lt;1000,1),IF(C26=""Super_Up"",IF(OR(COUNTIF(C$4:C26,""Grandma"")-COUNTIF(C$4:C26,""Sell_G"&amp;"randma"")&lt;1,COUNTIF(C$4:C26,VLOOKUP(C26,Upgrades!$F$8:$N$8,7+COUNTIF(C$4:C26,C26)))-COUNTIF(C$4:C26,""Sell_""&amp;VLOOKUP(C26,Upgrades!$F$8:$N$8,7+COUNTIF(C$4:C26,C26)))&lt;15),1),IF(REGEXMATCH(C26,""_up""),IF(COUNTIF(C$4:C26,SUBSTITUTE(C26,""_up"",""""))&lt;IFERRO"&amp;"R(VLOOKUP(C26,Upgrades!$L$3:$P$6,1+COUNTIF(C$4:C26,C26),0),999),1),IF(REGEXMATCH(C26,""Sell_""),IF(COUNTIF(C$4:C26,SUBSTITUTE(C26,""Sell_"",""""))-COUNTIF(C$4:C25,C26)&lt;1,1),FALSE)))))))))"),FALSE)</f>
        <v>0</v>
      </c>
      <c r="E26" s="71">
        <f>IFERROR(__xludf.DUMMYFUNCTION("IF(REGEXMATCH(C26,""^Sell_""),E25, IF(COUNTA(C26:C147)=0,"""",(COUNTIF(C$4:C26,""Cursor"")-COUNTIF(C$4:C26,""Sell_Cursor""))*(0.1*2^SWITCH(COUNTIF(C$4:C26,""Cursor_up""),0,0,1,1,2,2,3)+SWITCH(COUNTIF(C$4:C26,""Cursor_up""),4,0.1,0)*(ROW(C26)-4-COUNTIF(C$4"&amp;":C26,""Cursor"")-COUNTIF(C$4:C26,""*""&amp;""_up"")-2*COUNTIF(C$4:C26,""Sell_""&amp;""*"")+COUNTIF(C$4:C26,""Sell_Cursor"")-COUNTIF(C$4:C26,"""")))+(COUNTIF(C$4:C26,""Grandma"")-COUNTIF(C$4:C26,""Sell_Grandma""))*(1*2^(COUNTIF(C$4:C26,""Grandma_up"")+COUNTIF(C$4:"&amp;"C26,""Super_up"")))+(COUNTIF(C$4:C26,""Farm"")-COUNTIF(C$4:C26,""Sell_Farm""))*(8*2^COUNTIF(C$4:C26,""Farm_up""))*IF(COUNTIF(C$4:C26,""Super_up"")&gt;0,1+0.01*(COUNTIF(C$4:C26,""Grandma"")-COUNTIF(C$4:C26,""Sell_Grandma"")),1)+(COUNTIF(C$4:C26,""Mine"")-COUN"&amp;"TIF(C$4:C26,""Sell_Mine""))*((47*2^COUNTIF(C$4:C26,""Mine_up""))*IF(COUNTIF(C$4:C26,""Super_up"")&gt;1,1+0.005*(COUNTIF(C$4:C26,""Grandma"")-COUNTIF(C$4:C26,""Sell_Grandma"")),1))+(COUNTIF(C$4:C26,""Factory"")-COUNTIF(C$4:C26,""Sell_Factory""))*(260*2^COUNTI"&amp;"F(C$4:C26,""Factory_up""))))"),28.0)</f>
        <v>28</v>
      </c>
      <c r="F26" s="73">
        <f>IFERROR(__xludf.DUMMYFUNCTION("IF(COUNTA(C26:C147)=0,"""",IF(REGEXMATCH(INDEX(FILTER(C$4:C26,C$4:C26&lt;&gt;""""),ROWS(FILTER(C$4:C26,C$4:C26&lt;&gt;""""))),""^Sell_""),INDEX(FILTER(F$4:F25,C$4:C25&lt;&gt;""""),ROWS(FILTER(C$4:C25,C$4:C25&lt;&gt;""""))),$AC$5*(2^SWITCH(COUNTIF(C$4:C26,""Cursor_up""),0,0,1,1,2"&amp;",2,3)+SWITCH(COUNTIF(C$4:C26,""Cursor_up""),4,0.1,0)*(ROW(C26)-4-COUNTIF(C$4:C26,""Cursor"")-COUNTIF(C$4:C26,""*""&amp;""_up"")-2*COUNTIF(C$4:C26,""Sell_""&amp;""*"")+COUNTIF(C$4:C26,""Sell_Cursor"")-COUNTIF(C$4:C26,""""))+0.01*E26*COUNTIF(C$4:C26,""Plastic_up"")"&amp;")+E26))"),68.0)</f>
        <v>68</v>
      </c>
      <c r="G26" s="14">
        <f>IFERROR(__xludf.DUMMYFUNCTION("IF(COUNTA(C26:C147)=0,"""",IF(REGEXMATCH(C26,""_up""),VLOOKUP(C26,Upgrades!$F$3:$J$8,1+COUNTIF(C$4:C26,C26),FALSE),IF(C26="""",0,IF(REGEXMATCH(C26,""^Sell_""),-ROUNDDOWN(ROUNDUP(INDEX(Upgrades!$C$3:$C$8,MATCH(SUBSTITUTE(C26,""Sell_"",""""),Upgrades!$B$3:$"&amp;"B$8,0))*1.15^(COUNTIF(C$4:C25,SUBSTITUTE(C26,""Sell_"",""""))-COUNTIF(C$4:C25,""Sell_""&amp;SUBSTITUTE(C26,""Sell_"",""""))))/4),ROUNDUP(INDEX(Upgrades!$C$3:$C$7,MATCH(C26,Upgrades!$B$3:$B$7,0))*1.15^(COUNTIF(C$4:C25,C26)-COUNTIF(C$4:C25,""Sell_""&amp;C26)))))))"),267.0)</f>
        <v>267</v>
      </c>
      <c r="H26" s="14">
        <f t="shared" si="3"/>
        <v>267</v>
      </c>
      <c r="I26" s="75">
        <f t="shared" si="4"/>
        <v>45274.71562</v>
      </c>
      <c r="J26" s="76">
        <f t="shared" si="5"/>
        <v>108.5349217</v>
      </c>
      <c r="K26" s="71" t="str">
        <f t="shared" si="6"/>
        <v>1m 48s</v>
      </c>
      <c r="L26" s="77">
        <f t="shared" si="7"/>
        <v>4385</v>
      </c>
      <c r="M26" s="51">
        <f t="shared" si="8"/>
        <v>0</v>
      </c>
      <c r="N26" s="52">
        <f>IFERROR(__xludf.DUMMYFUNCTION("IFS(AND(COUNTA(C26:C147)=0,COUNTA(P26:P147)=0),"""",OR(AND(L26&gt;=1000000,OR(Y26&gt;=1000000,COUNTA(P26:P147)=0)),AND(Y26&gt;=1000000,COUNTA(C26:C147)=0),AND(COUNTA(P26:P147)=0,O$3=TRUE)),
ROUNDDOWN((AB$1-AC$1)*MAX(INDEX(S$4:S147,MATCH(LARGE(FILTER(Y$4:Y147,Y$4:Y"&amp;"147&lt;1000000),1),Y$4:Y147)),INDEX(F$4:F147,MATCH(LARGE(FILTER(L$4:L147,L$4:L147&lt;1000000),1),L$4:L147)))),AND(L26&lt;1000000,COUNTA(C26:C147)&gt;0,O$3=FALSE),
ROUNDDOWN(INDEX(Y$4:Y147,MATCH(LARGE(FILTER(W$4:W147,W$4:W147&lt;=J26),1),W$4:W147))+(J26-LARGE(FILTER(W$4:"&amp;"W147,W$4:W147&lt;=J26),1))*INDEX(S$4:S147,MATCH(LARGE(FILTER(W$4:W147,W$4:W147&lt;=J26),1),W$4:W147))-L26),1,
ROUNDDOWN(Y26-INDEX(L$4:L147,MATCH(LARGE(FILTER(J$4:J147,J$4:J147&lt;=W26),1),J$4:J147))-(W26-LARGE(FILTER(J$4:J147,J$4:J147&lt;=W26),1))*INDEX(F$4:F147,MATC"&amp;"H(LARGE(FILTER(J$4:J147,J$4:J147&lt;=W26),1),J$4:J147))))"),0.0)</f>
        <v>0</v>
      </c>
      <c r="O26" s="65">
        <f t="shared" si="9"/>
        <v>8</v>
      </c>
      <c r="P26" s="69" t="s">
        <v>13</v>
      </c>
      <c r="Q26" s="14" t="b">
        <f>IFERROR(__xludf.DUMMYFUNCTION("IF(COUNTA(P26:P147)=0,"""",IFERROR(IF(ISBLANK(P26),FALSE,IF(ISBLANK(T26),1,IF(NOT(COUNTIF($AA$24:$AA$34,SUBSTITUTE(P26,""Sell_"",""""))),1,IF(P26=""Plastic_up"",IF(V26&lt;1000,1),IF(P26=""Super_Up"",IF(OR(COUNTIF(P$4:P26,""Grandma"")-COUNTIF(P$4:P26,""Sell_G"&amp;"randma"")&lt;1,COUNTIF(P$4:P26,VLOOKUP(P26,Upgrades!$F$8:$N$8,7+COUNTIF(P$4:P26,P26)))-COUNTIF(P$4:P26,""Sell_""&amp;VLOOKUP(P26,Upgrades!$F$8:$N$8,7+COUNTIF(P$4:P26,P26)))&lt;15),1),IF(REGEXMATCH(P26,""_up""),IF(COUNTIF(P$4:P26,SUBSTITUTE(P26,""_up"",""""))&lt;IFERRO"&amp;"R(VLOOKUP(P26,Upgrades!$L$3:$P$6,1+COUNTIF(P$4:P26,P26),0),999),1),IF(REGEXMATCH(P26,""Sell_""),IF(COUNTIF(P$4:P26,SUBSTITUTE(P26,""Sell_"",""""))-COUNTIF(P$4:P25,P26)&lt;1,1),FALSE)))))))))"),FALSE)</f>
        <v>0</v>
      </c>
      <c r="R26" s="71">
        <f>IFERROR(__xludf.DUMMYFUNCTION("IF(REGEXMATCH(P26,""^Sell_""),R25, IF(COUNTA(P26:P147)=0,"""",(COUNTIF(P$4:P26,""Cursor"")-COUNTIF(P$4:P26,""Sell_Cursor""))*(0.1*2^SWITCH(COUNTIF(P$4:P26,""Cursor_up""),0,0,1,1,2,2,3)+SWITCH(COUNTIF(P$4:P26,""Cursor_up""),4,0.1,0)*(ROW(P26)-4-COUNTIF(P$4"&amp;":P26,""Cursor"")-COUNTIF(P$4:P26,""*""&amp;""_up"")-2*COUNTIF(P$4:P26,""Sell_""&amp;""*"")+COUNTIF(P$4:P26,""Sell_Cursor"")-COUNTIF(P$4:P26,"""")))+(COUNTIF(P$4:P26,""Grandma"")-COUNTIF(P$4:P26,""Sell_Grandma""))*(1*2^(COUNTIF(P$4:P26,""Grandma_up"")+COUNTIF(P$4:"&amp;"P26,""Super_up"")))+(COUNTIF(P$4:P26,""Farm"")-COUNTIF(P$4:P26,""Sell_Farm""))*(8*2^COUNTIF(P$4:P26,""Farm_up""))*IF(COUNTIF(P$4:P26,""Super_up"")&gt;0,1+0.01*(COUNTIF(P$4:P26,""Grandma"")-COUNTIF(P$4:P26,""Sell_Grandma"")),1)+(COUNTIF(P$4:P26,""Mine"")-COUN"&amp;"TIF(P$4:P26,""Sell_Mine""))*((47*2^COUNTIF(P$4:P26,""Mine_up""))*IF(COUNTIF(P$4:P26,""Super_up"")&gt;1,1+0.005*(COUNTIF(P$4:P26,""Grandma"")-COUNTIF(P$4:P26,""Sell_Grandma"")),1))+(COUNTIF(P$4:P26,""Factory"")-COUNTIF(P$4:P26,""Sell_Factory""))*(260*2^COUNTI"&amp;"F(P$4:P26,""Factory_up""))))"),28.0)</f>
        <v>28</v>
      </c>
      <c r="S26" s="73">
        <f>IFERROR(__xludf.DUMMYFUNCTION("IF(COUNTA(P26:P147)=0,"""",IF(REGEXMATCH(INDEX(FILTER(P$4:P26,P$4:P26&lt;&gt;""""),ROWS(FILTER(P$4:P26,P$4:P26&lt;&gt;""""))),""^Sell_""),INDEX(FILTER(S$4:S25,P$4:P25&lt;&gt;""""),ROWS(FILTER(P$4:P25,P$4:P25&lt;&gt;""""))),$AD$5*(2^SWITCH(COUNTIF(P$4:P26,""Cursor_up""),0,0,1,1,2"&amp;",2,3)+SWITCH(COUNTIF(P$4:P26,""Cursor_up""),4,0.1,0)*(ROW(P26)-4-COUNTIF(P$4:P26,""Cursor"")-COUNTIF(P$4:P26,""*""&amp;""_up"")-2*COUNTIF(P$4:P26,""Sell_""&amp;""*"")+COUNTIF(P$4:P26,""Sell_Cursor"")-COUNTIF(P$4:P26,""""))+0.01*R26*COUNTIF(P$4:P26,""Plastic_up"")"&amp;")+R26))"),68.0)</f>
        <v>68</v>
      </c>
      <c r="T26" s="14">
        <f>IFERROR(__xludf.DUMMYFUNCTION("IF(COUNTA(P26:P147)=0,"""",IF(REGEXMATCH(P26,""_up""),VLOOKUP(P26,Upgrades!$F$3:$J$8,1+COUNTIF(P$4:P26,P26),FALSE),IF(P26="""",0,IF(REGEXMATCH(P26,""^Sell_""),-ROUNDDOWN(ROUNDUP(INDEX(Upgrades!$C$3:$C$8,MATCH(SUBSTITUTE(P26,""Sell_"",""""),Upgrades!$B$3:$"&amp;"B$8,0))*1.15^(COUNTIF(P$4:P25,SUBSTITUTE(P26,""Sell_"",""""))-COUNTIF(P$4:P25,""Sell_""&amp;SUBSTITUTE(P26,""Sell_"",""""))))/4),ROUNDUP(INDEX(Upgrades!$C$3:$C$7,MATCH(P26,Upgrades!$B$3:$B$7,0))*1.15^(COUNTIF(P$4:P25,P26)-COUNTIF(P$4:P25,""Sell_""&amp;P26)))))))"),267.0)</f>
        <v>267</v>
      </c>
      <c r="U26" s="14">
        <f t="shared" si="10"/>
        <v>267</v>
      </c>
      <c r="V26" s="75">
        <f t="shared" si="11"/>
        <v>45274.71562</v>
      </c>
      <c r="W26" s="76">
        <f t="shared" si="12"/>
        <v>108.5349217</v>
      </c>
      <c r="X26" s="71" t="str">
        <f t="shared" si="13"/>
        <v>1m 48s</v>
      </c>
      <c r="Y26" s="77">
        <f t="shared" si="14"/>
        <v>4385</v>
      </c>
      <c r="Z26" s="17"/>
      <c r="AA26" s="32" t="s">
        <v>16</v>
      </c>
      <c r="AB26" s="108" t="s">
        <v>75</v>
      </c>
      <c r="AC26" s="13"/>
      <c r="AD26" s="13"/>
      <c r="AE26" s="13"/>
      <c r="AF26" s="13"/>
      <c r="AG26" s="13"/>
    </row>
    <row r="27">
      <c r="A27" s="12"/>
      <c r="B27" s="65">
        <f t="shared" si="2"/>
        <v>11</v>
      </c>
      <c r="C27" s="69" t="s">
        <v>10</v>
      </c>
      <c r="D27" s="14" t="b">
        <f>IFERROR(__xludf.DUMMYFUNCTION("IF(COUNTA(C27:C147)=0,"""",IFERROR(IF(ISBLANK(C27),FALSE,IF(ISBLANK(G27),1,IF(NOT(COUNTIF($AA$24:$AA$34,SUBSTITUTE(C27,""Sell_"",""""))),1,IF(C27=""Plastic_up"",IF(I27&lt;1000,1),IF(C27=""Super_Up"",IF(OR(COUNTIF(C$4:C27,""Grandma"")-COUNTIF(C$4:C27,""Sell_G"&amp;"randma"")&lt;1,COUNTIF(C$4:C27,VLOOKUP(C27,Upgrades!$F$8:$N$8,7+COUNTIF(C$4:C27,C27)))-COUNTIF(C$4:C27,""Sell_""&amp;VLOOKUP(C27,Upgrades!$F$8:$N$8,7+COUNTIF(C$4:C27,C27)))&lt;15),1),IF(REGEXMATCH(C27,""_up""),IF(COUNTIF(C$4:C27,SUBSTITUTE(C27,""_up"",""""))&lt;IFERRO"&amp;"R(VLOOKUP(C27,Upgrades!$L$3:$P$6,1+COUNTIF(C$4:C27,C27),0),999),1),IF(REGEXMATCH(C27,""Sell_""),IF(COUNTIF(C$4:C27,SUBSTITUTE(C27,""Sell_"",""""))-COUNTIF(C$4:C26,C27)&lt;1,1),FALSE)))))))))"),FALSE)</f>
        <v>0</v>
      </c>
      <c r="E27" s="71">
        <f>IFERROR(__xludf.DUMMYFUNCTION("IF(REGEXMATCH(C27,""^Sell_""),E26, IF(COUNTA(C27:C147)=0,"""",(COUNTIF(C$4:C27,""Cursor"")-COUNTIF(C$4:C27,""Sell_Cursor""))*(0.1*2^SWITCH(COUNTIF(C$4:C27,""Cursor_up""),0,0,1,1,2,2,3)+SWITCH(COUNTIF(C$4:C27,""Cursor_up""),4,0.1,0)*(ROW(C27)-4-COUNTIF(C$4"&amp;":C27,""Cursor"")-COUNTIF(C$4:C27,""*""&amp;""_up"")-2*COUNTIF(C$4:C27,""Sell_""&amp;""*"")+COUNTIF(C$4:C27,""Sell_Cursor"")-COUNTIF(C$4:C27,"""")))+(COUNTIF(C$4:C27,""Grandma"")-COUNTIF(C$4:C27,""Sell_Grandma""))*(1*2^(COUNTIF(C$4:C27,""Grandma_up"")+COUNTIF(C$4:"&amp;"C27,""Super_up"")))+(COUNTIF(C$4:C27,""Farm"")-COUNTIF(C$4:C27,""Sell_Farm""))*(8*2^COUNTIF(C$4:C27,""Farm_up""))*IF(COUNTIF(C$4:C27,""Super_up"")&gt;0,1+0.01*(COUNTIF(C$4:C27,""Grandma"")-COUNTIF(C$4:C27,""Sell_Grandma"")),1)+(COUNTIF(C$4:C27,""Mine"")-COUN"&amp;"TIF(C$4:C27,""Sell_Mine""))*((47*2^COUNTIF(C$4:C27,""Mine_up""))*IF(COUNTIF(C$4:C27,""Super_up"")&gt;1,1+0.005*(COUNTIF(C$4:C27,""Grandma"")-COUNTIF(C$4:C27,""Sell_Grandma"")),1))+(COUNTIF(C$4:C27,""Factory"")-COUNTIF(C$4:C27,""Sell_Factory""))*(260*2^COUNTI"&amp;"F(C$4:C27,""Factory_up""))))"),28.4)</f>
        <v>28.4</v>
      </c>
      <c r="F27" s="73">
        <f>IFERROR(__xludf.DUMMYFUNCTION("IF(COUNTA(C27:C147)=0,"""",IF(REGEXMATCH(INDEX(FILTER(C$4:C27,C$4:C27&lt;&gt;""""),ROWS(FILTER(C$4:C27,C$4:C27&lt;&gt;""""))),""^Sell_""),INDEX(FILTER(F$4:F26,C$4:C26&lt;&gt;""""),ROWS(FILTER(C$4:C26,C$4:C26&lt;&gt;""""))),$AC$5*(2^SWITCH(COUNTIF(C$4:C27,""Cursor_up""),0,0,1,1,2"&amp;",2,3)+SWITCH(COUNTIF(C$4:C27,""Cursor_up""),4,0.1,0)*(ROW(C27)-4-COUNTIF(C$4:C27,""Cursor"")-COUNTIF(C$4:C27,""*""&amp;""_up"")-2*COUNTIF(C$4:C27,""Sell_""&amp;""*"")+COUNTIF(C$4:C27,""Sell_Cursor"")-COUNTIF(C$4:C27,""""))+0.01*E27*COUNTIF(C$4:C27,""Plastic_up"")"&amp;")+E27))"),68.4)</f>
        <v>68.4</v>
      </c>
      <c r="G27" s="14">
        <f>IFERROR(__xludf.DUMMYFUNCTION("IF(COUNTA(C27:C147)=0,"""",IF(REGEXMATCH(C27,""_up""),VLOOKUP(C27,Upgrades!$F$3:$J$8,1+COUNTIF(C$4:C27,C27),FALSE),IF(C27="""",0,IF(REGEXMATCH(C27,""^Sell_""),-ROUNDDOWN(ROUNDUP(INDEX(Upgrades!$C$3:$C$8,MATCH(SUBSTITUTE(C27,""Sell_"",""""),Upgrades!$B$3:$"&amp;"B$8,0))*1.15^(COUNTIF(C$4:C26,SUBSTITUTE(C27,""Sell_"",""""))-COUNTIF(C$4:C26,""Sell_""&amp;SUBSTITUTE(C27,""Sell_"",""""))))/4),ROUNDUP(INDEX(Upgrades!$C$3:$C$7,MATCH(C27,Upgrades!$B$3:$B$7,0))*1.15^(COUNTIF(C$4:C26,C27)-COUNTIF(C$4:C26,""Sell_""&amp;C27)))))))"),61.0)</f>
        <v>61</v>
      </c>
      <c r="H27" s="14">
        <f t="shared" si="3"/>
        <v>61</v>
      </c>
      <c r="I27" s="75">
        <f t="shared" si="4"/>
        <v>49651.99485</v>
      </c>
      <c r="J27" s="76">
        <f t="shared" si="5"/>
        <v>109.4319806</v>
      </c>
      <c r="K27" s="71" t="str">
        <f t="shared" si="6"/>
        <v>1m 49s</v>
      </c>
      <c r="L27" s="77">
        <f t="shared" si="7"/>
        <v>4446</v>
      </c>
      <c r="M27" s="51">
        <f t="shared" si="8"/>
        <v>0</v>
      </c>
      <c r="N27" s="52">
        <f>IFERROR(__xludf.DUMMYFUNCTION("IFS(AND(COUNTA(C27:C147)=0,COUNTA(P27:P147)=0),"""",OR(AND(L27&gt;=1000000,OR(Y27&gt;=1000000,COUNTA(P27:P147)=0)),AND(Y27&gt;=1000000,COUNTA(C27:C147)=0),AND(COUNTA(P27:P147)=0,O$3=TRUE)),
ROUNDDOWN((AB$1-AC$1)*MAX(INDEX(S$4:S147,MATCH(LARGE(FILTER(Y$4:Y147,Y$4:Y"&amp;"147&lt;1000000),1),Y$4:Y147)),INDEX(F$4:F147,MATCH(LARGE(FILTER(L$4:L147,L$4:L147&lt;1000000),1),L$4:L147)))),AND(L27&lt;1000000,COUNTA(C27:C147)&gt;0,O$3=FALSE),
ROUNDDOWN(INDEX(Y$4:Y147,MATCH(LARGE(FILTER(W$4:W147,W$4:W147&lt;=J27),1),W$4:W147))+(J27-LARGE(FILTER(W$4:"&amp;"W147,W$4:W147&lt;=J27),1))*INDEX(S$4:S147,MATCH(LARGE(FILTER(W$4:W147,W$4:W147&lt;=J27),1),W$4:W147))-L27),1,
ROUNDDOWN(Y27-INDEX(L$4:L147,MATCH(LARGE(FILTER(J$4:J147,J$4:J147&lt;=W27),1),J$4:J147))-(W27-LARGE(FILTER(J$4:J147,J$4:J147&lt;=W27),1))*INDEX(F$4:F147,MATC"&amp;"H(LARGE(FILTER(J$4:J147,J$4:J147&lt;=W27),1),J$4:J147))))"),0.0)</f>
        <v>0</v>
      </c>
      <c r="O27" s="65">
        <f t="shared" si="9"/>
        <v>11</v>
      </c>
      <c r="P27" s="69" t="s">
        <v>10</v>
      </c>
      <c r="Q27" s="14" t="b">
        <f>IFERROR(__xludf.DUMMYFUNCTION("IF(COUNTA(P27:P147)=0,"""",IFERROR(IF(ISBLANK(P27),FALSE,IF(ISBLANK(T27),1,IF(NOT(COUNTIF($AA$24:$AA$34,SUBSTITUTE(P27,""Sell_"",""""))),1,IF(P27=""Plastic_up"",IF(V27&lt;1000,1),IF(P27=""Super_Up"",IF(OR(COUNTIF(P$4:P27,""Grandma"")-COUNTIF(P$4:P27,""Sell_G"&amp;"randma"")&lt;1,COUNTIF(P$4:P27,VLOOKUP(P27,Upgrades!$F$8:$N$8,7+COUNTIF(P$4:P27,P27)))-COUNTIF(P$4:P27,""Sell_""&amp;VLOOKUP(P27,Upgrades!$F$8:$N$8,7+COUNTIF(P$4:P27,P27)))&lt;15),1),IF(REGEXMATCH(P27,""_up""),IF(COUNTIF(P$4:P27,SUBSTITUTE(P27,""_up"",""""))&lt;IFERRO"&amp;"R(VLOOKUP(P27,Upgrades!$L$3:$P$6,1+COUNTIF(P$4:P27,P27),0),999),1),IF(REGEXMATCH(P27,""Sell_""),IF(COUNTIF(P$4:P27,SUBSTITUTE(P27,""Sell_"",""""))-COUNTIF(P$4:P26,P27)&lt;1,1),FALSE)))))))))"),FALSE)</f>
        <v>0</v>
      </c>
      <c r="R27" s="71">
        <f>IFERROR(__xludf.DUMMYFUNCTION("IF(REGEXMATCH(P27,""^Sell_""),R26, IF(COUNTA(P27:P147)=0,"""",(COUNTIF(P$4:P27,""Cursor"")-COUNTIF(P$4:P27,""Sell_Cursor""))*(0.1*2^SWITCH(COUNTIF(P$4:P27,""Cursor_up""),0,0,1,1,2,2,3)+SWITCH(COUNTIF(P$4:P27,""Cursor_up""),4,0.1,0)*(ROW(P27)-4-COUNTIF(P$4"&amp;":P27,""Cursor"")-COUNTIF(P$4:P27,""*""&amp;""_up"")-2*COUNTIF(P$4:P27,""Sell_""&amp;""*"")+COUNTIF(P$4:P27,""Sell_Cursor"")-COUNTIF(P$4:P27,"""")))+(COUNTIF(P$4:P27,""Grandma"")-COUNTIF(P$4:P27,""Sell_Grandma""))*(1*2^(COUNTIF(P$4:P27,""Grandma_up"")+COUNTIF(P$4:"&amp;"P27,""Super_up"")))+(COUNTIF(P$4:P27,""Farm"")-COUNTIF(P$4:P27,""Sell_Farm""))*(8*2^COUNTIF(P$4:P27,""Farm_up""))*IF(COUNTIF(P$4:P27,""Super_up"")&gt;0,1+0.01*(COUNTIF(P$4:P27,""Grandma"")-COUNTIF(P$4:P27,""Sell_Grandma"")),1)+(COUNTIF(P$4:P27,""Mine"")-COUN"&amp;"TIF(P$4:P27,""Sell_Mine""))*((47*2^COUNTIF(P$4:P27,""Mine_up""))*IF(COUNTIF(P$4:P27,""Super_up"")&gt;1,1+0.005*(COUNTIF(P$4:P27,""Grandma"")-COUNTIF(P$4:P27,""Sell_Grandma"")),1))+(COUNTIF(P$4:P27,""Factory"")-COUNTIF(P$4:P27,""Sell_Factory""))*(260*2^COUNTI"&amp;"F(P$4:P27,""Factory_up""))))"),28.4)</f>
        <v>28.4</v>
      </c>
      <c r="S27" s="73">
        <f>IFERROR(__xludf.DUMMYFUNCTION("IF(COUNTA(P27:P147)=0,"""",IF(REGEXMATCH(INDEX(FILTER(P$4:P27,P$4:P27&lt;&gt;""""),ROWS(FILTER(P$4:P27,P$4:P27&lt;&gt;""""))),""^Sell_""),INDEX(FILTER(S$4:S26,P$4:P26&lt;&gt;""""),ROWS(FILTER(P$4:P26,P$4:P26&lt;&gt;""""))),$AD$5*(2^SWITCH(COUNTIF(P$4:P27,""Cursor_up""),0,0,1,1,2"&amp;",2,3)+SWITCH(COUNTIF(P$4:P27,""Cursor_up""),4,0.1,0)*(ROW(P27)-4-COUNTIF(P$4:P27,""Cursor"")-COUNTIF(P$4:P27,""*""&amp;""_up"")-2*COUNTIF(P$4:P27,""Sell_""&amp;""*"")+COUNTIF(P$4:P27,""Sell_Cursor"")-COUNTIF(P$4:P27,""""))+0.01*R27*COUNTIF(P$4:P27,""Plastic_up"")"&amp;")+R27))"),68.4)</f>
        <v>68.4</v>
      </c>
      <c r="T27" s="14">
        <f>IFERROR(__xludf.DUMMYFUNCTION("IF(COUNTA(P27:P147)=0,"""",IF(REGEXMATCH(P27,""_up""),VLOOKUP(P27,Upgrades!$F$3:$J$8,1+COUNTIF(P$4:P27,P27),FALSE),IF(P27="""",0,IF(REGEXMATCH(P27,""^Sell_""),-ROUNDDOWN(ROUNDUP(INDEX(Upgrades!$C$3:$C$8,MATCH(SUBSTITUTE(P27,""Sell_"",""""),Upgrades!$B$3:$"&amp;"B$8,0))*1.15^(COUNTIF(P$4:P26,SUBSTITUTE(P27,""Sell_"",""""))-COUNTIF(P$4:P26,""Sell_""&amp;SUBSTITUTE(P27,""Sell_"",""""))))/4),ROUNDUP(INDEX(Upgrades!$C$3:$C$7,MATCH(P27,Upgrades!$B$3:$B$7,0))*1.15^(COUNTIF(P$4:P26,P27)-COUNTIF(P$4:P26,""Sell_""&amp;P27)))))))"),61.0)</f>
        <v>61</v>
      </c>
      <c r="U27" s="14">
        <f t="shared" si="10"/>
        <v>61</v>
      </c>
      <c r="V27" s="75">
        <f t="shared" si="11"/>
        <v>49651.99485</v>
      </c>
      <c r="W27" s="76">
        <f t="shared" si="12"/>
        <v>109.4319806</v>
      </c>
      <c r="X27" s="71" t="str">
        <f t="shared" si="13"/>
        <v>1m 49s</v>
      </c>
      <c r="Y27" s="77">
        <f t="shared" si="14"/>
        <v>4446</v>
      </c>
      <c r="Z27" s="17"/>
      <c r="AA27" s="32" t="s">
        <v>18</v>
      </c>
      <c r="AB27" s="108" t="s">
        <v>75</v>
      </c>
      <c r="AC27" s="13"/>
      <c r="AD27" s="13"/>
      <c r="AE27" s="13"/>
      <c r="AF27" s="13"/>
      <c r="AG27" s="13"/>
    </row>
    <row r="28">
      <c r="A28" s="12"/>
      <c r="B28" s="65">
        <f t="shared" si="2"/>
        <v>9</v>
      </c>
      <c r="C28" s="69" t="s">
        <v>13</v>
      </c>
      <c r="D28" s="14" t="b">
        <f>IFERROR(__xludf.DUMMYFUNCTION("IF(COUNTA(C28:C147)=0,"""",IFERROR(IF(ISBLANK(C28),FALSE,IF(ISBLANK(G28),1,IF(NOT(COUNTIF($AA$24:$AA$34,SUBSTITUTE(C28,""Sell_"",""""))),1,IF(C28=""Plastic_up"",IF(I28&lt;1000,1),IF(C28=""Super_Up"",IF(OR(COUNTIF(C$4:C28,""Grandma"")-COUNTIF(C$4:C28,""Sell_G"&amp;"randma"")&lt;1,COUNTIF(C$4:C28,VLOOKUP(C28,Upgrades!$F$8:$N$8,7+COUNTIF(C$4:C28,C28)))-COUNTIF(C$4:C28,""Sell_""&amp;VLOOKUP(C28,Upgrades!$F$8:$N$8,7+COUNTIF(C$4:C28,C28)))&lt;15),1),IF(REGEXMATCH(C28,""_up""),IF(COUNTIF(C$4:C28,SUBSTITUTE(C28,""_up"",""""))&lt;IFERRO"&amp;"R(VLOOKUP(C28,Upgrades!$L$3:$P$6,1+COUNTIF(C$4:C28,C28),0),999),1),IF(REGEXMATCH(C28,""Sell_""),IF(COUNTIF(C$4:C28,SUBSTITUTE(C28,""Sell_"",""""))-COUNTIF(C$4:C27,C28)&lt;1,1),FALSE)))))))))"),FALSE)</f>
        <v>0</v>
      </c>
      <c r="E28" s="71">
        <f>IFERROR(__xludf.DUMMYFUNCTION("IF(REGEXMATCH(C28,""^Sell_""),E27, IF(COUNTA(C28:C147)=0,"""",(COUNTIF(C$4:C28,""Cursor"")-COUNTIF(C$4:C28,""Sell_Cursor""))*(0.1*2^SWITCH(COUNTIF(C$4:C28,""Cursor_up""),0,0,1,1,2,2,3)+SWITCH(COUNTIF(C$4:C28,""Cursor_up""),4,0.1,0)*(ROW(C28)-4-COUNTIF(C$4"&amp;":C28,""Cursor"")-COUNTIF(C$4:C28,""*""&amp;""_up"")-2*COUNTIF(C$4:C28,""Sell_""&amp;""*"")+COUNTIF(C$4:C28,""Sell_Cursor"")-COUNTIF(C$4:C28,"""")))+(COUNTIF(C$4:C28,""Grandma"")-COUNTIF(C$4:C28,""Sell_Grandma""))*(1*2^(COUNTIF(C$4:C28,""Grandma_up"")+COUNTIF(C$4:"&amp;"C28,""Super_up"")))+(COUNTIF(C$4:C28,""Farm"")-COUNTIF(C$4:C28,""Sell_Farm""))*(8*2^COUNTIF(C$4:C28,""Farm_up""))*IF(COUNTIF(C$4:C28,""Super_up"")&gt;0,1+0.01*(COUNTIF(C$4:C28,""Grandma"")-COUNTIF(C$4:C28,""Sell_Grandma"")),1)+(COUNTIF(C$4:C28,""Mine"")-COUN"&amp;"TIF(C$4:C28,""Sell_Mine""))*((47*2^COUNTIF(C$4:C28,""Mine_up""))*IF(COUNTIF(C$4:C28,""Super_up"")&gt;1,1+0.005*(COUNTIF(C$4:C28,""Grandma"")-COUNTIF(C$4:C28,""Sell_Grandma"")),1))+(COUNTIF(C$4:C28,""Factory"")-COUNTIF(C$4:C28,""Sell_Factory""))*(260*2^COUNTI"&amp;"F(C$4:C28,""Factory_up""))))"),30.4)</f>
        <v>30.4</v>
      </c>
      <c r="F28" s="73">
        <f>IFERROR(__xludf.DUMMYFUNCTION("IF(COUNTA(C28:C147)=0,"""",IF(REGEXMATCH(INDEX(FILTER(C$4:C28,C$4:C28&lt;&gt;""""),ROWS(FILTER(C$4:C28,C$4:C28&lt;&gt;""""))),""^Sell_""),INDEX(FILTER(F$4:F27,C$4:C27&lt;&gt;""""),ROWS(FILTER(C$4:C27,C$4:C27&lt;&gt;""""))),$AC$5*(2^SWITCH(COUNTIF(C$4:C28,""Cursor_up""),0,0,1,1,2"&amp;",2,3)+SWITCH(COUNTIF(C$4:C28,""Cursor_up""),4,0.1,0)*(ROW(C28)-4-COUNTIF(C$4:C28,""Cursor"")-COUNTIF(C$4:C28,""*""&amp;""_up"")-2*COUNTIF(C$4:C28,""Sell_""&amp;""*"")+COUNTIF(C$4:C28,""Sell_Cursor"")-COUNTIF(C$4:C28,""""))+0.01*E28*COUNTIF(C$4:C28,""Plastic_up"")"&amp;")+E28))"),70.4)</f>
        <v>70.4</v>
      </c>
      <c r="G28" s="14">
        <f>IFERROR(__xludf.DUMMYFUNCTION("IF(COUNTA(C28:C147)=0,"""",IF(REGEXMATCH(C28,""_up""),VLOOKUP(C28,Upgrades!$F$3:$J$8,1+COUNTIF(C$4:C28,C28),FALSE),IF(C28="""",0,IF(REGEXMATCH(C28,""^Sell_""),-ROUNDDOWN(ROUNDUP(INDEX(Upgrades!$C$3:$C$8,MATCH(SUBSTITUTE(C28,""Sell_"",""""),Upgrades!$B$3:$"&amp;"B$8,0))*1.15^(COUNTIF(C$4:C27,SUBSTITUTE(C28,""Sell_"",""""))-COUNTIF(C$4:C27,""Sell_""&amp;SUBSTITUTE(C28,""Sell_"",""""))))/4),ROUNDUP(INDEX(Upgrades!$C$3:$C$7,MATCH(C28,Upgrades!$B$3:$B$7,0))*1.15^(COUNTIF(C$4:C27,C28)-COUNTIF(C$4:C27,""Sell_""&amp;C28)))))))"),306.0)</f>
        <v>306</v>
      </c>
      <c r="H28" s="14">
        <f t="shared" si="3"/>
        <v>306</v>
      </c>
      <c r="I28" s="75">
        <f t="shared" si="4"/>
        <v>54208.22144</v>
      </c>
      <c r="J28" s="76">
        <f t="shared" si="5"/>
        <v>113.9056648</v>
      </c>
      <c r="K28" s="71" t="str">
        <f t="shared" si="6"/>
        <v>1m 53s</v>
      </c>
      <c r="L28" s="77">
        <f t="shared" si="7"/>
        <v>4752</v>
      </c>
      <c r="M28" s="51">
        <f t="shared" si="8"/>
        <v>0</v>
      </c>
      <c r="N28" s="52">
        <f>IFERROR(__xludf.DUMMYFUNCTION("IFS(AND(COUNTA(C28:C147)=0,COUNTA(P28:P147)=0),"""",OR(AND(L28&gt;=1000000,OR(Y28&gt;=1000000,COUNTA(P28:P147)=0)),AND(Y28&gt;=1000000,COUNTA(C28:C147)=0),AND(COUNTA(P28:P147)=0,O$3=TRUE)),
ROUNDDOWN((AB$1-AC$1)*MAX(INDEX(S$4:S147,MATCH(LARGE(FILTER(Y$4:Y147,Y$4:Y"&amp;"147&lt;1000000),1),Y$4:Y147)),INDEX(F$4:F147,MATCH(LARGE(FILTER(L$4:L147,L$4:L147&lt;1000000),1),L$4:L147)))),AND(L28&lt;1000000,COUNTA(C28:C147)&gt;0,O$3=FALSE),
ROUNDDOWN(INDEX(Y$4:Y147,MATCH(LARGE(FILTER(W$4:W147,W$4:W147&lt;=J28),1),W$4:W147))+(J28-LARGE(FILTER(W$4:"&amp;"W147,W$4:W147&lt;=J28),1))*INDEX(S$4:S147,MATCH(LARGE(FILTER(W$4:W147,W$4:W147&lt;=J28),1),W$4:W147))-L28),1,
ROUNDDOWN(Y28-INDEX(L$4:L147,MATCH(LARGE(FILTER(J$4:J147,J$4:J147&lt;=W28),1),J$4:J147))-(W28-LARGE(FILTER(J$4:J147,J$4:J147&lt;=W28),1))*INDEX(F$4:F147,MATC"&amp;"H(LARGE(FILTER(J$4:J147,J$4:J147&lt;=W28),1),J$4:J147))))"),0.0)</f>
        <v>0</v>
      </c>
      <c r="O28" s="65">
        <f t="shared" si="9"/>
        <v>9</v>
      </c>
      <c r="P28" s="69" t="s">
        <v>13</v>
      </c>
      <c r="Q28" s="14" t="b">
        <f>IFERROR(__xludf.DUMMYFUNCTION("IF(COUNTA(P28:P147)=0,"""",IFERROR(IF(ISBLANK(P28),FALSE,IF(ISBLANK(T28),1,IF(NOT(COUNTIF($AA$24:$AA$34,SUBSTITUTE(P28,""Sell_"",""""))),1,IF(P28=""Plastic_up"",IF(V28&lt;1000,1),IF(P28=""Super_Up"",IF(OR(COUNTIF(P$4:P28,""Grandma"")-COUNTIF(P$4:P28,""Sell_G"&amp;"randma"")&lt;1,COUNTIF(P$4:P28,VLOOKUP(P28,Upgrades!$F$8:$N$8,7+COUNTIF(P$4:P28,P28)))-COUNTIF(P$4:P28,""Sell_""&amp;VLOOKUP(P28,Upgrades!$F$8:$N$8,7+COUNTIF(P$4:P28,P28)))&lt;15),1),IF(REGEXMATCH(P28,""_up""),IF(COUNTIF(P$4:P28,SUBSTITUTE(P28,""_up"",""""))&lt;IFERRO"&amp;"R(VLOOKUP(P28,Upgrades!$L$3:$P$6,1+COUNTIF(P$4:P28,P28),0),999),1),IF(REGEXMATCH(P28,""Sell_""),IF(COUNTIF(P$4:P28,SUBSTITUTE(P28,""Sell_"",""""))-COUNTIF(P$4:P27,P28)&lt;1,1),FALSE)))))))))"),FALSE)</f>
        <v>0</v>
      </c>
      <c r="R28" s="71">
        <f>IFERROR(__xludf.DUMMYFUNCTION("IF(REGEXMATCH(P28,""^Sell_""),R27, IF(COUNTA(P28:P147)=0,"""",(COUNTIF(P$4:P28,""Cursor"")-COUNTIF(P$4:P28,""Sell_Cursor""))*(0.1*2^SWITCH(COUNTIF(P$4:P28,""Cursor_up""),0,0,1,1,2,2,3)+SWITCH(COUNTIF(P$4:P28,""Cursor_up""),4,0.1,0)*(ROW(P28)-4-COUNTIF(P$4"&amp;":P28,""Cursor"")-COUNTIF(P$4:P28,""*""&amp;""_up"")-2*COUNTIF(P$4:P28,""Sell_""&amp;""*"")+COUNTIF(P$4:P28,""Sell_Cursor"")-COUNTIF(P$4:P28,"""")))+(COUNTIF(P$4:P28,""Grandma"")-COUNTIF(P$4:P28,""Sell_Grandma""))*(1*2^(COUNTIF(P$4:P28,""Grandma_up"")+COUNTIF(P$4:"&amp;"P28,""Super_up"")))+(COUNTIF(P$4:P28,""Farm"")-COUNTIF(P$4:P28,""Sell_Farm""))*(8*2^COUNTIF(P$4:P28,""Farm_up""))*IF(COUNTIF(P$4:P28,""Super_up"")&gt;0,1+0.01*(COUNTIF(P$4:P28,""Grandma"")-COUNTIF(P$4:P28,""Sell_Grandma"")),1)+(COUNTIF(P$4:P28,""Mine"")-COUN"&amp;"TIF(P$4:P28,""Sell_Mine""))*((47*2^COUNTIF(P$4:P28,""Mine_up""))*IF(COUNTIF(P$4:P28,""Super_up"")&gt;1,1+0.005*(COUNTIF(P$4:P28,""Grandma"")-COUNTIF(P$4:P28,""Sell_Grandma"")),1))+(COUNTIF(P$4:P28,""Factory"")-COUNTIF(P$4:P28,""Sell_Factory""))*(260*2^COUNTI"&amp;"F(P$4:P28,""Factory_up""))))"),30.4)</f>
        <v>30.4</v>
      </c>
      <c r="S28" s="73">
        <f>IFERROR(__xludf.DUMMYFUNCTION("IF(COUNTA(P28:P147)=0,"""",IF(REGEXMATCH(INDEX(FILTER(P$4:P28,P$4:P28&lt;&gt;""""),ROWS(FILTER(P$4:P28,P$4:P28&lt;&gt;""""))),""^Sell_""),INDEX(FILTER(S$4:S27,P$4:P27&lt;&gt;""""),ROWS(FILTER(P$4:P27,P$4:P27&lt;&gt;""""))),$AD$5*(2^SWITCH(COUNTIF(P$4:P28,""Cursor_up""),0,0,1,1,2"&amp;",2,3)+SWITCH(COUNTIF(P$4:P28,""Cursor_up""),4,0.1,0)*(ROW(P28)-4-COUNTIF(P$4:P28,""Cursor"")-COUNTIF(P$4:P28,""*""&amp;""_up"")-2*COUNTIF(P$4:P28,""Sell_""&amp;""*"")+COUNTIF(P$4:P28,""Sell_Cursor"")-COUNTIF(P$4:P28,""""))+0.01*R28*COUNTIF(P$4:P28,""Plastic_up"")"&amp;")+R28))"),70.4)</f>
        <v>70.4</v>
      </c>
      <c r="T28" s="14">
        <f>IFERROR(__xludf.DUMMYFUNCTION("IF(COUNTA(P28:P147)=0,"""",IF(REGEXMATCH(P28,""_up""),VLOOKUP(P28,Upgrades!$F$3:$J$8,1+COUNTIF(P$4:P28,P28),FALSE),IF(P28="""",0,IF(REGEXMATCH(P28,""^Sell_""),-ROUNDDOWN(ROUNDUP(INDEX(Upgrades!$C$3:$C$8,MATCH(SUBSTITUTE(P28,""Sell_"",""""),Upgrades!$B$3:$"&amp;"B$8,0))*1.15^(COUNTIF(P$4:P27,SUBSTITUTE(P28,""Sell_"",""""))-COUNTIF(P$4:P27,""Sell_""&amp;SUBSTITUTE(P28,""Sell_"",""""))))/4),ROUNDUP(INDEX(Upgrades!$C$3:$C$7,MATCH(P28,Upgrades!$B$3:$B$7,0))*1.15^(COUNTIF(P$4:P27,P28)-COUNTIF(P$4:P27,""Sell_""&amp;P28)))))))"),306.0)</f>
        <v>306</v>
      </c>
      <c r="U28" s="14">
        <f t="shared" si="10"/>
        <v>306</v>
      </c>
      <c r="V28" s="75">
        <f t="shared" si="11"/>
        <v>54208.22144</v>
      </c>
      <c r="W28" s="76">
        <f t="shared" si="12"/>
        <v>113.9056648</v>
      </c>
      <c r="X28" s="71" t="str">
        <f t="shared" si="13"/>
        <v>1m 53s</v>
      </c>
      <c r="Y28" s="77">
        <f t="shared" si="14"/>
        <v>4752</v>
      </c>
      <c r="Z28" s="17"/>
      <c r="AA28" s="32" t="s">
        <v>20</v>
      </c>
      <c r="AB28" s="108" t="s">
        <v>75</v>
      </c>
      <c r="AC28" s="13"/>
      <c r="AD28" s="13"/>
      <c r="AE28" s="13"/>
      <c r="AF28" s="13"/>
      <c r="AG28" s="13"/>
    </row>
    <row r="29">
      <c r="A29" s="12"/>
      <c r="B29" s="65">
        <f t="shared" si="2"/>
        <v>2</v>
      </c>
      <c r="C29" s="69" t="s">
        <v>16</v>
      </c>
      <c r="D29" s="14" t="b">
        <f>IFERROR(__xludf.DUMMYFUNCTION("IF(COUNTA(C29:C147)=0,"""",IFERROR(IF(ISBLANK(C29),FALSE,IF(ISBLANK(G29),1,IF(NOT(COUNTIF($AA$24:$AA$34,SUBSTITUTE(C29,""Sell_"",""""))),1,IF(C29=""Plastic_up"",IF(I29&lt;1000,1),IF(C29=""Super_Up"",IF(OR(COUNTIF(C$4:C29,""Grandma"")-COUNTIF(C$4:C29,""Sell_G"&amp;"randma"")&lt;1,COUNTIF(C$4:C29,VLOOKUP(C29,Upgrades!$F$8:$N$8,7+COUNTIF(C$4:C29,C29)))-COUNTIF(C$4:C29,""Sell_""&amp;VLOOKUP(C29,Upgrades!$F$8:$N$8,7+COUNTIF(C$4:C29,C29)))&lt;15),1),IF(REGEXMATCH(C29,""_up""),IF(COUNTIF(C$4:C29,SUBSTITUTE(C29,""_up"",""""))&lt;IFERRO"&amp;"R(VLOOKUP(C29,Upgrades!$L$3:$P$6,1+COUNTIF(C$4:C29,C29),0),999),1),IF(REGEXMATCH(C29,""Sell_""),IF(COUNTIF(C$4:C29,SUBSTITUTE(C29,""Sell_"",""""))-COUNTIF(C$4:C28,C29)&lt;1,1),FALSE)))))))))"),FALSE)</f>
        <v>0</v>
      </c>
      <c r="E29" s="71">
        <f>IFERROR(__xludf.DUMMYFUNCTION("IF(REGEXMATCH(C29,""^Sell_""),E28, IF(COUNTA(C29:C147)=0,"""",(COUNTIF(C$4:C29,""Cursor"")-COUNTIF(C$4:C29,""Sell_Cursor""))*(0.1*2^SWITCH(COUNTIF(C$4:C29,""Cursor_up""),0,0,1,1,2,2,3)+SWITCH(COUNTIF(C$4:C29,""Cursor_up""),4,0.1,0)*(ROW(C29)-4-COUNTIF(C$4"&amp;":C29,""Cursor"")-COUNTIF(C$4:C29,""*""&amp;""_up"")-2*COUNTIF(C$4:C29,""Sell_""&amp;""*"")+COUNTIF(C$4:C29,""Sell_Cursor"")-COUNTIF(C$4:C29,"""")))+(COUNTIF(C$4:C29,""Grandma"")-COUNTIF(C$4:C29,""Sell_Grandma""))*(1*2^(COUNTIF(C$4:C29,""Grandma_up"")+COUNTIF(C$4:"&amp;"C29,""Super_up"")))+(COUNTIF(C$4:C29,""Farm"")-COUNTIF(C$4:C29,""Sell_Farm""))*(8*2^COUNTIF(C$4:C29,""Farm_up""))*IF(COUNTIF(C$4:C29,""Super_up"")&gt;0,1+0.01*(COUNTIF(C$4:C29,""Grandma"")-COUNTIF(C$4:C29,""Sell_Grandma"")),1)+(COUNTIF(C$4:C29,""Mine"")-COUN"&amp;"TIF(C$4:C29,""Sell_Mine""))*((47*2^COUNTIF(C$4:C29,""Mine_up""))*IF(COUNTIF(C$4:C29,""Super_up"")&gt;1,1+0.005*(COUNTIF(C$4:C29,""Grandma"")-COUNTIF(C$4:C29,""Sell_Grandma"")),1))+(COUNTIF(C$4:C29,""Factory"")-COUNTIF(C$4:C29,""Sell_Factory""))*(260*2^COUNTI"&amp;"F(C$4:C29,""Factory_up""))))"),38.4)</f>
        <v>38.4</v>
      </c>
      <c r="F29" s="73">
        <f>IFERROR(__xludf.DUMMYFUNCTION("IF(COUNTA(C29:C147)=0,"""",IF(REGEXMATCH(INDEX(FILTER(C$4:C29,C$4:C29&lt;&gt;""""),ROWS(FILTER(C$4:C29,C$4:C29&lt;&gt;""""))),""^Sell_""),INDEX(FILTER(F$4:F28,C$4:C28&lt;&gt;""""),ROWS(FILTER(C$4:C28,C$4:C28&lt;&gt;""""))),$AC$5*(2^SWITCH(COUNTIF(C$4:C29,""Cursor_up""),0,0,1,1,2"&amp;",2,3)+SWITCH(COUNTIF(C$4:C29,""Cursor_up""),4,0.1,0)*(ROW(C29)-4-COUNTIF(C$4:C29,""Cursor"")-COUNTIF(C$4:C29,""*""&amp;""_up"")-2*COUNTIF(C$4:C29,""Sell_""&amp;""*"")+COUNTIF(C$4:C29,""Sell_Cursor"")-COUNTIF(C$4:C29,""""))+0.01*E29*COUNTIF(C$4:C29,""Plastic_up"")"&amp;")+E29))"),78.4)</f>
        <v>78.4</v>
      </c>
      <c r="G29" s="14">
        <f>IFERROR(__xludf.DUMMYFUNCTION("IF(COUNTA(C29:C147)=0,"""",IF(REGEXMATCH(C29,""_up""),VLOOKUP(C29,Upgrades!$F$3:$J$8,1+COUNTIF(C$4:C29,C29),FALSE),IF(C29="""",0,IF(REGEXMATCH(C29,""^Sell_""),-ROUNDDOWN(ROUNDUP(INDEX(Upgrades!$C$3:$C$8,MATCH(SUBSTITUTE(C29,""Sell_"",""""),Upgrades!$B$3:$"&amp;"B$8,0))*1.15^(COUNTIF(C$4:C28,SUBSTITUTE(C29,""Sell_"",""""))-COUNTIF(C$4:C28,""Sell_""&amp;SUBSTITUTE(C29,""Sell_"",""""))))/4),ROUNDUP(INDEX(Upgrades!$C$3:$C$7,MATCH(C29,Upgrades!$B$3:$B$7,0))*1.15^(COUNTIF(C$4:C28,C29)-COUNTIF(C$4:C28,""Sell_""&amp;C29)))))))"),1265.0)</f>
        <v>1265</v>
      </c>
      <c r="H29" s="14">
        <f t="shared" si="3"/>
        <v>1265</v>
      </c>
      <c r="I29" s="75">
        <f t="shared" si="4"/>
        <v>59483.19803</v>
      </c>
      <c r="J29" s="76">
        <f t="shared" si="5"/>
        <v>131.8744148</v>
      </c>
      <c r="K29" s="71" t="str">
        <f t="shared" si="6"/>
        <v>2m 11s</v>
      </c>
      <c r="L29" s="77">
        <f t="shared" si="7"/>
        <v>6017</v>
      </c>
      <c r="M29" s="51">
        <f t="shared" si="8"/>
        <v>0</v>
      </c>
      <c r="N29" s="52">
        <f>IFERROR(__xludf.DUMMYFUNCTION("IFS(AND(COUNTA(C29:C147)=0,COUNTA(P29:P147)=0),"""",OR(AND(L29&gt;=1000000,OR(Y29&gt;=1000000,COUNTA(P29:P147)=0)),AND(Y29&gt;=1000000,COUNTA(C29:C147)=0),AND(COUNTA(P29:P147)=0,O$3=TRUE)),
ROUNDDOWN((AB$1-AC$1)*MAX(INDEX(S$4:S147,MATCH(LARGE(FILTER(Y$4:Y147,Y$4:Y"&amp;"147&lt;1000000),1),Y$4:Y147)),INDEX(F$4:F147,MATCH(LARGE(FILTER(L$4:L147,L$4:L147&lt;1000000),1),L$4:L147)))),AND(L29&lt;1000000,COUNTA(C29:C147)&gt;0,O$3=FALSE),
ROUNDDOWN(INDEX(Y$4:Y147,MATCH(LARGE(FILTER(W$4:W147,W$4:W147&lt;=J29),1),W$4:W147))+(J29-LARGE(FILTER(W$4:"&amp;"W147,W$4:W147&lt;=J29),1))*INDEX(S$4:S147,MATCH(LARGE(FILTER(W$4:W147,W$4:W147&lt;=J29),1),W$4:W147))-L29),1,
ROUNDDOWN(Y29-INDEX(L$4:L147,MATCH(LARGE(FILTER(J$4:J147,J$4:J147&lt;=W29),1),J$4:J147))-(W29-LARGE(FILTER(J$4:J147,J$4:J147&lt;=W29),1))*INDEX(F$4:F147,MATC"&amp;"H(LARGE(FILTER(J$4:J147,J$4:J147&lt;=W29),1),J$4:J147))))"),0.0)</f>
        <v>0</v>
      </c>
      <c r="O29" s="65">
        <f t="shared" si="9"/>
        <v>2</v>
      </c>
      <c r="P29" s="69" t="s">
        <v>16</v>
      </c>
      <c r="Q29" s="14" t="b">
        <f>IFERROR(__xludf.DUMMYFUNCTION("IF(COUNTA(P29:P147)=0,"""",IFERROR(IF(ISBLANK(P29),FALSE,IF(ISBLANK(T29),1,IF(NOT(COUNTIF($AA$24:$AA$34,SUBSTITUTE(P29,""Sell_"",""""))),1,IF(P29=""Plastic_up"",IF(V29&lt;1000,1),IF(P29=""Super_Up"",IF(OR(COUNTIF(P$4:P29,""Grandma"")-COUNTIF(P$4:P29,""Sell_G"&amp;"randma"")&lt;1,COUNTIF(P$4:P29,VLOOKUP(P29,Upgrades!$F$8:$N$8,7+COUNTIF(P$4:P29,P29)))-COUNTIF(P$4:P29,""Sell_""&amp;VLOOKUP(P29,Upgrades!$F$8:$N$8,7+COUNTIF(P$4:P29,P29)))&lt;15),1),IF(REGEXMATCH(P29,""_up""),IF(COUNTIF(P$4:P29,SUBSTITUTE(P29,""_up"",""""))&lt;IFERRO"&amp;"R(VLOOKUP(P29,Upgrades!$L$3:$P$6,1+COUNTIF(P$4:P29,P29),0),999),1),IF(REGEXMATCH(P29,""Sell_""),IF(COUNTIF(P$4:P29,SUBSTITUTE(P29,""Sell_"",""""))-COUNTIF(P$4:P28,P29)&lt;1,1),FALSE)))))))))"),FALSE)</f>
        <v>0</v>
      </c>
      <c r="R29" s="71">
        <f>IFERROR(__xludf.DUMMYFUNCTION("IF(REGEXMATCH(P29,""^Sell_""),R28, IF(COUNTA(P29:P147)=0,"""",(COUNTIF(P$4:P29,""Cursor"")-COUNTIF(P$4:P29,""Sell_Cursor""))*(0.1*2^SWITCH(COUNTIF(P$4:P29,""Cursor_up""),0,0,1,1,2,2,3)+SWITCH(COUNTIF(P$4:P29,""Cursor_up""),4,0.1,0)*(ROW(P29)-4-COUNTIF(P$4"&amp;":P29,""Cursor"")-COUNTIF(P$4:P29,""*""&amp;""_up"")-2*COUNTIF(P$4:P29,""Sell_""&amp;""*"")+COUNTIF(P$4:P29,""Sell_Cursor"")-COUNTIF(P$4:P29,"""")))+(COUNTIF(P$4:P29,""Grandma"")-COUNTIF(P$4:P29,""Sell_Grandma""))*(1*2^(COUNTIF(P$4:P29,""Grandma_up"")+COUNTIF(P$4:"&amp;"P29,""Super_up"")))+(COUNTIF(P$4:P29,""Farm"")-COUNTIF(P$4:P29,""Sell_Farm""))*(8*2^COUNTIF(P$4:P29,""Farm_up""))*IF(COUNTIF(P$4:P29,""Super_up"")&gt;0,1+0.01*(COUNTIF(P$4:P29,""Grandma"")-COUNTIF(P$4:P29,""Sell_Grandma"")),1)+(COUNTIF(P$4:P29,""Mine"")-COUN"&amp;"TIF(P$4:P29,""Sell_Mine""))*((47*2^COUNTIF(P$4:P29,""Mine_up""))*IF(COUNTIF(P$4:P29,""Super_up"")&gt;1,1+0.005*(COUNTIF(P$4:P29,""Grandma"")-COUNTIF(P$4:P29,""Sell_Grandma"")),1))+(COUNTIF(P$4:P29,""Factory"")-COUNTIF(P$4:P29,""Sell_Factory""))*(260*2^COUNTI"&amp;"F(P$4:P29,""Factory_up""))))"),38.4)</f>
        <v>38.4</v>
      </c>
      <c r="S29" s="73">
        <f>IFERROR(__xludf.DUMMYFUNCTION("IF(COUNTA(P29:P147)=0,"""",IF(REGEXMATCH(INDEX(FILTER(P$4:P29,P$4:P29&lt;&gt;""""),ROWS(FILTER(P$4:P29,P$4:P29&lt;&gt;""""))),""^Sell_""),INDEX(FILTER(S$4:S28,P$4:P28&lt;&gt;""""),ROWS(FILTER(P$4:P28,P$4:P28&lt;&gt;""""))),$AD$5*(2^SWITCH(COUNTIF(P$4:P29,""Cursor_up""),0,0,1,1,2"&amp;",2,3)+SWITCH(COUNTIF(P$4:P29,""Cursor_up""),4,0.1,0)*(ROW(P29)-4-COUNTIF(P$4:P29,""Cursor"")-COUNTIF(P$4:P29,""*""&amp;""_up"")-2*COUNTIF(P$4:P29,""Sell_""&amp;""*"")+COUNTIF(P$4:P29,""Sell_Cursor"")-COUNTIF(P$4:P29,""""))+0.01*R29*COUNTIF(P$4:P29,""Plastic_up"")"&amp;")+R29))"),78.4)</f>
        <v>78.4</v>
      </c>
      <c r="T29" s="14">
        <f>IFERROR(__xludf.DUMMYFUNCTION("IF(COUNTA(P29:P147)=0,"""",IF(REGEXMATCH(P29,""_up""),VLOOKUP(P29,Upgrades!$F$3:$J$8,1+COUNTIF(P$4:P29,P29),FALSE),IF(P29="""",0,IF(REGEXMATCH(P29,""^Sell_""),-ROUNDDOWN(ROUNDUP(INDEX(Upgrades!$C$3:$C$8,MATCH(SUBSTITUTE(P29,""Sell_"",""""),Upgrades!$B$3:$"&amp;"B$8,0))*1.15^(COUNTIF(P$4:P28,SUBSTITUTE(P29,""Sell_"",""""))-COUNTIF(P$4:P28,""Sell_""&amp;SUBSTITUTE(P29,""Sell_"",""""))))/4),ROUNDUP(INDEX(Upgrades!$C$3:$C$7,MATCH(P29,Upgrades!$B$3:$B$7,0))*1.15^(COUNTIF(P$4:P28,P29)-COUNTIF(P$4:P28,""Sell_""&amp;P29)))))))"),1265.0)</f>
        <v>1265</v>
      </c>
      <c r="U29" s="14">
        <f t="shared" si="10"/>
        <v>1265</v>
      </c>
      <c r="V29" s="75">
        <f t="shared" si="11"/>
        <v>59483.19803</v>
      </c>
      <c r="W29" s="76">
        <f t="shared" si="12"/>
        <v>131.8744148</v>
      </c>
      <c r="X29" s="71" t="str">
        <f t="shared" si="13"/>
        <v>2m 11s</v>
      </c>
      <c r="Y29" s="77">
        <f t="shared" si="14"/>
        <v>6017</v>
      </c>
      <c r="Z29" s="17"/>
      <c r="AA29" s="32" t="s">
        <v>11</v>
      </c>
      <c r="AB29" s="108" t="s">
        <v>76</v>
      </c>
      <c r="AC29" s="13"/>
      <c r="AD29" s="13"/>
      <c r="AE29" s="13"/>
      <c r="AF29" s="13"/>
      <c r="AG29" s="13"/>
    </row>
    <row r="30">
      <c r="A30" s="12"/>
      <c r="B30" s="65">
        <f t="shared" si="2"/>
        <v>12</v>
      </c>
      <c r="C30" s="69" t="s">
        <v>10</v>
      </c>
      <c r="D30" s="14" t="b">
        <f>IFERROR(__xludf.DUMMYFUNCTION("IF(COUNTA(C30:C147)=0,"""",IFERROR(IF(ISBLANK(C30),FALSE,IF(ISBLANK(G30),1,IF(NOT(COUNTIF($AA$24:$AA$34,SUBSTITUTE(C30,""Sell_"",""""))),1,IF(C30=""Plastic_up"",IF(I30&lt;1000,1),IF(C30=""Super_Up"",IF(OR(COUNTIF(C$4:C30,""Grandma"")-COUNTIF(C$4:C30,""Sell_G"&amp;"randma"")&lt;1,COUNTIF(C$4:C30,VLOOKUP(C30,Upgrades!$F$8:$N$8,7+COUNTIF(C$4:C30,C30)))-COUNTIF(C$4:C30,""Sell_""&amp;VLOOKUP(C30,Upgrades!$F$8:$N$8,7+COUNTIF(C$4:C30,C30)))&lt;15),1),IF(REGEXMATCH(C30,""_up""),IF(COUNTIF(C$4:C30,SUBSTITUTE(C30,""_up"",""""))&lt;IFERRO"&amp;"R(VLOOKUP(C30,Upgrades!$L$3:$P$6,1+COUNTIF(C$4:C30,C30),0),999),1),IF(REGEXMATCH(C30,""Sell_""),IF(COUNTIF(C$4:C30,SUBSTITUTE(C30,""Sell_"",""""))-COUNTIF(C$4:C29,C30)&lt;1,1),FALSE)))))))))"),FALSE)</f>
        <v>0</v>
      </c>
      <c r="E30" s="71">
        <f>IFERROR(__xludf.DUMMYFUNCTION("IF(REGEXMATCH(C30,""^Sell_""),E29, IF(COUNTA(C30:C147)=0,"""",(COUNTIF(C$4:C30,""Cursor"")-COUNTIF(C$4:C30,""Sell_Cursor""))*(0.1*2^SWITCH(COUNTIF(C$4:C30,""Cursor_up""),0,0,1,1,2,2,3)+SWITCH(COUNTIF(C$4:C30,""Cursor_up""),4,0.1,0)*(ROW(C30)-4-COUNTIF(C$4"&amp;":C30,""Cursor"")-COUNTIF(C$4:C30,""*""&amp;""_up"")-2*COUNTIF(C$4:C30,""Sell_""&amp;""*"")+COUNTIF(C$4:C30,""Sell_Cursor"")-COUNTIF(C$4:C30,"""")))+(COUNTIF(C$4:C30,""Grandma"")-COUNTIF(C$4:C30,""Sell_Grandma""))*(1*2^(COUNTIF(C$4:C30,""Grandma_up"")+COUNTIF(C$4:"&amp;"C30,""Super_up"")))+(COUNTIF(C$4:C30,""Farm"")-COUNTIF(C$4:C30,""Sell_Farm""))*(8*2^COUNTIF(C$4:C30,""Farm_up""))*IF(COUNTIF(C$4:C30,""Super_up"")&gt;0,1+0.01*(COUNTIF(C$4:C30,""Grandma"")-COUNTIF(C$4:C30,""Sell_Grandma"")),1)+(COUNTIF(C$4:C30,""Mine"")-COUN"&amp;"TIF(C$4:C30,""Sell_Mine""))*((47*2^COUNTIF(C$4:C30,""Mine_up""))*IF(COUNTIF(C$4:C30,""Super_up"")&gt;1,1+0.005*(COUNTIF(C$4:C30,""Grandma"")-COUNTIF(C$4:C30,""Sell_Grandma"")),1))+(COUNTIF(C$4:C30,""Factory"")-COUNTIF(C$4:C30,""Sell_Factory""))*(260*2^COUNTI"&amp;"F(C$4:C30,""Factory_up""))))"),38.8)</f>
        <v>38.8</v>
      </c>
      <c r="F30" s="73">
        <f>IFERROR(__xludf.DUMMYFUNCTION("IF(COUNTA(C30:C147)=0,"""",IF(REGEXMATCH(INDEX(FILTER(C$4:C30,C$4:C30&lt;&gt;""""),ROWS(FILTER(C$4:C30,C$4:C30&lt;&gt;""""))),""^Sell_""),INDEX(FILTER(F$4:F29,C$4:C29&lt;&gt;""""),ROWS(FILTER(C$4:C29,C$4:C29&lt;&gt;""""))),$AC$5*(2^SWITCH(COUNTIF(C$4:C30,""Cursor_up""),0,0,1,1,2"&amp;",2,3)+SWITCH(COUNTIF(C$4:C30,""Cursor_up""),4,0.1,0)*(ROW(C30)-4-COUNTIF(C$4:C30,""Cursor"")-COUNTIF(C$4:C30,""*""&amp;""_up"")-2*COUNTIF(C$4:C30,""Sell_""&amp;""*"")+COUNTIF(C$4:C30,""Sell_Cursor"")-COUNTIF(C$4:C30,""""))+0.01*E30*COUNTIF(C$4:C30,""Plastic_up"")"&amp;")+E30))"),78.8)</f>
        <v>78.8</v>
      </c>
      <c r="G30" s="14">
        <f>IFERROR(__xludf.DUMMYFUNCTION("IF(COUNTA(C30:C147)=0,"""",IF(REGEXMATCH(C30,""_up""),VLOOKUP(C30,Upgrades!$F$3:$J$8,1+COUNTIF(C$4:C30,C30),FALSE),IF(C30="""",0,IF(REGEXMATCH(C30,""^Sell_""),-ROUNDDOWN(ROUNDUP(INDEX(Upgrades!$C$3:$C$8,MATCH(SUBSTITUTE(C30,""Sell_"",""""),Upgrades!$B$3:$"&amp;"B$8,0))*1.15^(COUNTIF(C$4:C29,SUBSTITUTE(C30,""Sell_"",""""))-COUNTIF(C$4:C29,""Sell_""&amp;SUBSTITUTE(C30,""Sell_"",""""))))/4),ROUNDUP(INDEX(Upgrades!$C$3:$C$7,MATCH(C30,Upgrades!$B$3:$B$7,0))*1.15^(COUNTIF(C$4:C29,C30)-COUNTIF(C$4:C29,""Sell_""&amp;C30)))))))"),70.0)</f>
        <v>70</v>
      </c>
      <c r="H30" s="14">
        <f t="shared" si="3"/>
        <v>70</v>
      </c>
      <c r="I30" s="75">
        <f t="shared" si="4"/>
        <v>64793.88891</v>
      </c>
      <c r="J30" s="76">
        <f t="shared" si="5"/>
        <v>132.7672719</v>
      </c>
      <c r="K30" s="71" t="str">
        <f t="shared" si="6"/>
        <v>2m 12s</v>
      </c>
      <c r="L30" s="77">
        <f t="shared" si="7"/>
        <v>6087</v>
      </c>
      <c r="M30" s="51">
        <f t="shared" si="8"/>
        <v>0</v>
      </c>
      <c r="N30" s="52">
        <f>IFERROR(__xludf.DUMMYFUNCTION("IFS(AND(COUNTA(C30:C147)=0,COUNTA(P30:P147)=0),"""",OR(AND(L30&gt;=1000000,OR(Y30&gt;=1000000,COUNTA(P30:P147)=0)),AND(Y30&gt;=1000000,COUNTA(C30:C147)=0),AND(COUNTA(P30:P147)=0,O$3=TRUE)),
ROUNDDOWN((AB$1-AC$1)*MAX(INDEX(S$4:S147,MATCH(LARGE(FILTER(Y$4:Y147,Y$4:Y"&amp;"147&lt;1000000),1),Y$4:Y147)),INDEX(F$4:F147,MATCH(LARGE(FILTER(L$4:L147,L$4:L147&lt;1000000),1),L$4:L147)))),AND(L30&lt;1000000,COUNTA(C30:C147)&gt;0,O$3=FALSE),
ROUNDDOWN(INDEX(Y$4:Y147,MATCH(LARGE(FILTER(W$4:W147,W$4:W147&lt;=J30),1),W$4:W147))+(J30-LARGE(FILTER(W$4:"&amp;"W147,W$4:W147&lt;=J30),1))*INDEX(S$4:S147,MATCH(LARGE(FILTER(W$4:W147,W$4:W147&lt;=J30),1),W$4:W147))-L30),1,
ROUNDDOWN(Y30-INDEX(L$4:L147,MATCH(LARGE(FILTER(J$4:J147,J$4:J147&lt;=W30),1),J$4:J147))-(W30-LARGE(FILTER(J$4:J147,J$4:J147&lt;=W30),1))*INDEX(F$4:F147,MATC"&amp;"H(LARGE(FILTER(J$4:J147,J$4:J147&lt;=W30),1),J$4:J147))))"),0.0)</f>
        <v>0</v>
      </c>
      <c r="O30" s="65">
        <f t="shared" si="9"/>
        <v>12</v>
      </c>
      <c r="P30" s="69" t="s">
        <v>10</v>
      </c>
      <c r="Q30" s="14" t="b">
        <f>IFERROR(__xludf.DUMMYFUNCTION("IF(COUNTA(P30:P147)=0,"""",IFERROR(IF(ISBLANK(P30),FALSE,IF(ISBLANK(T30),1,IF(NOT(COUNTIF($AA$24:$AA$34,SUBSTITUTE(P30,""Sell_"",""""))),1,IF(P30=""Plastic_up"",IF(V30&lt;1000,1),IF(P30=""Super_Up"",IF(OR(COUNTIF(P$4:P30,""Grandma"")-COUNTIF(P$4:P30,""Sell_G"&amp;"randma"")&lt;1,COUNTIF(P$4:P30,VLOOKUP(P30,Upgrades!$F$8:$N$8,7+COUNTIF(P$4:P30,P30)))-COUNTIF(P$4:P30,""Sell_""&amp;VLOOKUP(P30,Upgrades!$F$8:$N$8,7+COUNTIF(P$4:P30,P30)))&lt;15),1),IF(REGEXMATCH(P30,""_up""),IF(COUNTIF(P$4:P30,SUBSTITUTE(P30,""_up"",""""))&lt;IFERRO"&amp;"R(VLOOKUP(P30,Upgrades!$L$3:$P$6,1+COUNTIF(P$4:P30,P30),0),999),1),IF(REGEXMATCH(P30,""Sell_""),IF(COUNTIF(P$4:P30,SUBSTITUTE(P30,""Sell_"",""""))-COUNTIF(P$4:P29,P30)&lt;1,1),FALSE)))))))))"),FALSE)</f>
        <v>0</v>
      </c>
      <c r="R30" s="71">
        <f>IFERROR(__xludf.DUMMYFUNCTION("IF(REGEXMATCH(P30,""^Sell_""),R29, IF(COUNTA(P30:P147)=0,"""",(COUNTIF(P$4:P30,""Cursor"")-COUNTIF(P$4:P30,""Sell_Cursor""))*(0.1*2^SWITCH(COUNTIF(P$4:P30,""Cursor_up""),0,0,1,1,2,2,3)+SWITCH(COUNTIF(P$4:P30,""Cursor_up""),4,0.1,0)*(ROW(P30)-4-COUNTIF(P$4"&amp;":P30,""Cursor"")-COUNTIF(P$4:P30,""*""&amp;""_up"")-2*COUNTIF(P$4:P30,""Sell_""&amp;""*"")+COUNTIF(P$4:P30,""Sell_Cursor"")-COUNTIF(P$4:P30,"""")))+(COUNTIF(P$4:P30,""Grandma"")-COUNTIF(P$4:P30,""Sell_Grandma""))*(1*2^(COUNTIF(P$4:P30,""Grandma_up"")+COUNTIF(P$4:"&amp;"P30,""Super_up"")))+(COUNTIF(P$4:P30,""Farm"")-COUNTIF(P$4:P30,""Sell_Farm""))*(8*2^COUNTIF(P$4:P30,""Farm_up""))*IF(COUNTIF(P$4:P30,""Super_up"")&gt;0,1+0.01*(COUNTIF(P$4:P30,""Grandma"")-COUNTIF(P$4:P30,""Sell_Grandma"")),1)+(COUNTIF(P$4:P30,""Mine"")-COUN"&amp;"TIF(P$4:P30,""Sell_Mine""))*((47*2^COUNTIF(P$4:P30,""Mine_up""))*IF(COUNTIF(P$4:P30,""Super_up"")&gt;1,1+0.005*(COUNTIF(P$4:P30,""Grandma"")-COUNTIF(P$4:P30,""Sell_Grandma"")),1))+(COUNTIF(P$4:P30,""Factory"")-COUNTIF(P$4:P30,""Sell_Factory""))*(260*2^COUNTI"&amp;"F(P$4:P30,""Factory_up""))))"),38.8)</f>
        <v>38.8</v>
      </c>
      <c r="S30" s="73">
        <f>IFERROR(__xludf.DUMMYFUNCTION("IF(COUNTA(P30:P147)=0,"""",IF(REGEXMATCH(INDEX(FILTER(P$4:P30,P$4:P30&lt;&gt;""""),ROWS(FILTER(P$4:P30,P$4:P30&lt;&gt;""""))),""^Sell_""),INDEX(FILTER(S$4:S29,P$4:P29&lt;&gt;""""),ROWS(FILTER(P$4:P29,P$4:P29&lt;&gt;""""))),$AD$5*(2^SWITCH(COUNTIF(P$4:P30,""Cursor_up""),0,0,1,1,2"&amp;",2,3)+SWITCH(COUNTIF(P$4:P30,""Cursor_up""),4,0.1,0)*(ROW(P30)-4-COUNTIF(P$4:P30,""Cursor"")-COUNTIF(P$4:P30,""*""&amp;""_up"")-2*COUNTIF(P$4:P30,""Sell_""&amp;""*"")+COUNTIF(P$4:P30,""Sell_Cursor"")-COUNTIF(P$4:P30,""""))+0.01*R30*COUNTIF(P$4:P30,""Plastic_up"")"&amp;")+R30))"),78.8)</f>
        <v>78.8</v>
      </c>
      <c r="T30" s="14">
        <f>IFERROR(__xludf.DUMMYFUNCTION("IF(COUNTA(P30:P147)=0,"""",IF(REGEXMATCH(P30,""_up""),VLOOKUP(P30,Upgrades!$F$3:$J$8,1+COUNTIF(P$4:P30,P30),FALSE),IF(P30="""",0,IF(REGEXMATCH(P30,""^Sell_""),-ROUNDDOWN(ROUNDUP(INDEX(Upgrades!$C$3:$C$8,MATCH(SUBSTITUTE(P30,""Sell_"",""""),Upgrades!$B$3:$"&amp;"B$8,0))*1.15^(COUNTIF(P$4:P29,SUBSTITUTE(P30,""Sell_"",""""))-COUNTIF(P$4:P29,""Sell_""&amp;SUBSTITUTE(P30,""Sell_"",""""))))/4),ROUNDUP(INDEX(Upgrades!$C$3:$C$7,MATCH(P30,Upgrades!$B$3:$B$7,0))*1.15^(COUNTIF(P$4:P29,P30)-COUNTIF(P$4:P29,""Sell_""&amp;P30)))))))"),70.0)</f>
        <v>70</v>
      </c>
      <c r="U30" s="14">
        <f t="shared" si="10"/>
        <v>70</v>
      </c>
      <c r="V30" s="75">
        <f t="shared" si="11"/>
        <v>64793.88891</v>
      </c>
      <c r="W30" s="76">
        <f t="shared" si="12"/>
        <v>132.7672719</v>
      </c>
      <c r="X30" s="71" t="str">
        <f t="shared" si="13"/>
        <v>2m 12s</v>
      </c>
      <c r="Y30" s="77">
        <f t="shared" si="14"/>
        <v>6087</v>
      </c>
      <c r="Z30" s="17"/>
      <c r="AA30" s="32" t="s">
        <v>14</v>
      </c>
      <c r="AB30" s="108" t="s">
        <v>77</v>
      </c>
      <c r="AC30" s="13"/>
      <c r="AD30" s="13"/>
      <c r="AE30" s="13"/>
    </row>
    <row r="31">
      <c r="A31" s="12"/>
      <c r="B31" s="65">
        <f t="shared" si="2"/>
        <v>10</v>
      </c>
      <c r="C31" s="69" t="s">
        <v>13</v>
      </c>
      <c r="D31" s="14" t="b">
        <f>IFERROR(__xludf.DUMMYFUNCTION("IF(COUNTA(C31:C147)=0,"""",IFERROR(IF(ISBLANK(C31),FALSE,IF(ISBLANK(G31),1,IF(NOT(COUNTIF($AA$24:$AA$34,SUBSTITUTE(C31,""Sell_"",""""))),1,IF(C31=""Plastic_up"",IF(I31&lt;1000,1),IF(C31=""Super_Up"",IF(OR(COUNTIF(C$4:C31,""Grandma"")-COUNTIF(C$4:C31,""Sell_G"&amp;"randma"")&lt;1,COUNTIF(C$4:C31,VLOOKUP(C31,Upgrades!$F$8:$N$8,7+COUNTIF(C$4:C31,C31)))-COUNTIF(C$4:C31,""Sell_""&amp;VLOOKUP(C31,Upgrades!$F$8:$N$8,7+COUNTIF(C$4:C31,C31)))&lt;15),1),IF(REGEXMATCH(C31,""_up""),IF(COUNTIF(C$4:C31,SUBSTITUTE(C31,""_up"",""""))&lt;IFERRO"&amp;"R(VLOOKUP(C31,Upgrades!$L$3:$P$6,1+COUNTIF(C$4:C31,C31),0),999),1),IF(REGEXMATCH(C31,""Sell_""),IF(COUNTIF(C$4:C31,SUBSTITUTE(C31,""Sell_"",""""))-COUNTIF(C$4:C30,C31)&lt;1,1),FALSE)))))))))"),FALSE)</f>
        <v>0</v>
      </c>
      <c r="E31" s="71">
        <f>IFERROR(__xludf.DUMMYFUNCTION("IF(REGEXMATCH(C31,""^Sell_""),E30, IF(COUNTA(C31:C147)=0,"""",(COUNTIF(C$4:C31,""Cursor"")-COUNTIF(C$4:C31,""Sell_Cursor""))*(0.1*2^SWITCH(COUNTIF(C$4:C31,""Cursor_up""),0,0,1,1,2,2,3)+SWITCH(COUNTIF(C$4:C31,""Cursor_up""),4,0.1,0)*(ROW(C31)-4-COUNTIF(C$4"&amp;":C31,""Cursor"")-COUNTIF(C$4:C31,""*""&amp;""_up"")-2*COUNTIF(C$4:C31,""Sell_""&amp;""*"")+COUNTIF(C$4:C31,""Sell_Cursor"")-COUNTIF(C$4:C31,"""")))+(COUNTIF(C$4:C31,""Grandma"")-COUNTIF(C$4:C31,""Sell_Grandma""))*(1*2^(COUNTIF(C$4:C31,""Grandma_up"")+COUNTIF(C$4:"&amp;"C31,""Super_up"")))+(COUNTIF(C$4:C31,""Farm"")-COUNTIF(C$4:C31,""Sell_Farm""))*(8*2^COUNTIF(C$4:C31,""Farm_up""))*IF(COUNTIF(C$4:C31,""Super_up"")&gt;0,1+0.01*(COUNTIF(C$4:C31,""Grandma"")-COUNTIF(C$4:C31,""Sell_Grandma"")),1)+(COUNTIF(C$4:C31,""Mine"")-COUN"&amp;"TIF(C$4:C31,""Sell_Mine""))*((47*2^COUNTIF(C$4:C31,""Mine_up""))*IF(COUNTIF(C$4:C31,""Super_up"")&gt;1,1+0.005*(COUNTIF(C$4:C31,""Grandma"")-COUNTIF(C$4:C31,""Sell_Grandma"")),1))+(COUNTIF(C$4:C31,""Factory"")-COUNTIF(C$4:C31,""Sell_Factory""))*(260*2^COUNTI"&amp;"F(C$4:C31,""Factory_up""))))"),40.8)</f>
        <v>40.8</v>
      </c>
      <c r="F31" s="73">
        <f>IFERROR(__xludf.DUMMYFUNCTION("IF(COUNTA(C31:C147)=0,"""",IF(REGEXMATCH(INDEX(FILTER(C$4:C31,C$4:C31&lt;&gt;""""),ROWS(FILTER(C$4:C31,C$4:C31&lt;&gt;""""))),""^Sell_""),INDEX(FILTER(F$4:F30,C$4:C30&lt;&gt;""""),ROWS(FILTER(C$4:C30,C$4:C30&lt;&gt;""""))),$AC$5*(2^SWITCH(COUNTIF(C$4:C31,""Cursor_up""),0,0,1,1,2"&amp;",2,3)+SWITCH(COUNTIF(C$4:C31,""Cursor_up""),4,0.1,0)*(ROW(C31)-4-COUNTIF(C$4:C31,""Cursor"")-COUNTIF(C$4:C31,""*""&amp;""_up"")-2*COUNTIF(C$4:C31,""Sell_""&amp;""*"")+COUNTIF(C$4:C31,""Sell_Cursor"")-COUNTIF(C$4:C31,""""))+0.01*E31*COUNTIF(C$4:C31,""Plastic_up"")"&amp;")+E31))"),80.8)</f>
        <v>80.8</v>
      </c>
      <c r="G31" s="14">
        <f>IFERROR(__xludf.DUMMYFUNCTION("IF(COUNTA(C31:C147)=0,"""",IF(REGEXMATCH(C31,""_up""),VLOOKUP(C31,Upgrades!$F$3:$J$8,1+COUNTIF(C$4:C31,C31),FALSE),IF(C31="""",0,IF(REGEXMATCH(C31,""^Sell_""),-ROUNDDOWN(ROUNDUP(INDEX(Upgrades!$C$3:$C$8,MATCH(SUBSTITUTE(C31,""Sell_"",""""),Upgrades!$B$3:$"&amp;"B$8,0))*1.15^(COUNTIF(C$4:C30,SUBSTITUTE(C31,""Sell_"",""""))-COUNTIF(C$4:C30,""Sell_""&amp;SUBSTITUTE(C31,""Sell_"",""""))))/4),ROUNDUP(INDEX(Upgrades!$C$3:$C$7,MATCH(C31,Upgrades!$B$3:$B$7,0))*1.15^(COUNTIF(C$4:C30,C31)-COUNTIF(C$4:C30,""Sell_""&amp;C31)))))))"),352.0)</f>
        <v>352</v>
      </c>
      <c r="H31" s="14">
        <f t="shared" si="3"/>
        <v>352</v>
      </c>
      <c r="I31" s="75">
        <f t="shared" si="4"/>
        <v>70283.25999</v>
      </c>
      <c r="J31" s="76">
        <f t="shared" si="5"/>
        <v>137.234277</v>
      </c>
      <c r="K31" s="71" t="str">
        <f t="shared" si="6"/>
        <v>2m 17s</v>
      </c>
      <c r="L31" s="77">
        <f t="shared" si="7"/>
        <v>6439</v>
      </c>
      <c r="M31" s="51">
        <f t="shared" si="8"/>
        <v>0</v>
      </c>
      <c r="N31" s="52">
        <f>IFERROR(__xludf.DUMMYFUNCTION("IFS(AND(COUNTA(C31:C147)=0,COUNTA(P31:P147)=0),"""",OR(AND(L31&gt;=1000000,OR(Y31&gt;=1000000,COUNTA(P31:P147)=0)),AND(Y31&gt;=1000000,COUNTA(C31:C147)=0),AND(COUNTA(P31:P147)=0,O$3=TRUE)),
ROUNDDOWN((AB$1-AC$1)*MAX(INDEX(S$4:S147,MATCH(LARGE(FILTER(Y$4:Y147,Y$4:Y"&amp;"147&lt;1000000),1),Y$4:Y147)),INDEX(F$4:F147,MATCH(LARGE(FILTER(L$4:L147,L$4:L147&lt;1000000),1),L$4:L147)))),AND(L31&lt;1000000,COUNTA(C31:C147)&gt;0,O$3=FALSE),
ROUNDDOWN(INDEX(Y$4:Y147,MATCH(LARGE(FILTER(W$4:W147,W$4:W147&lt;=J31),1),W$4:W147))+(J31-LARGE(FILTER(W$4:"&amp;"W147,W$4:W147&lt;=J31),1))*INDEX(S$4:S147,MATCH(LARGE(FILTER(W$4:W147,W$4:W147&lt;=J31),1),W$4:W147))-L31),1,
ROUNDDOWN(Y31-INDEX(L$4:L147,MATCH(LARGE(FILTER(J$4:J147,J$4:J147&lt;=W31),1),J$4:J147))-(W31-LARGE(FILTER(J$4:J147,J$4:J147&lt;=W31),1))*INDEX(F$4:F147,MATC"&amp;"H(LARGE(FILTER(J$4:J147,J$4:J147&lt;=W31),1),J$4:J147))))"),0.0)</f>
        <v>0</v>
      </c>
      <c r="O31" s="65">
        <f t="shared" si="9"/>
        <v>10</v>
      </c>
      <c r="P31" s="69" t="s">
        <v>13</v>
      </c>
      <c r="Q31" s="14" t="b">
        <f>IFERROR(__xludf.DUMMYFUNCTION("IF(COUNTA(P31:P147)=0,"""",IFERROR(IF(ISBLANK(P31),FALSE,IF(ISBLANK(T31),1,IF(NOT(COUNTIF($AA$24:$AA$34,SUBSTITUTE(P31,""Sell_"",""""))),1,IF(P31=""Plastic_up"",IF(V31&lt;1000,1),IF(P31=""Super_Up"",IF(OR(COUNTIF(P$4:P31,""Grandma"")-COUNTIF(P$4:P31,""Sell_G"&amp;"randma"")&lt;1,COUNTIF(P$4:P31,VLOOKUP(P31,Upgrades!$F$8:$N$8,7+COUNTIF(P$4:P31,P31)))-COUNTIF(P$4:P31,""Sell_""&amp;VLOOKUP(P31,Upgrades!$F$8:$N$8,7+COUNTIF(P$4:P31,P31)))&lt;15),1),IF(REGEXMATCH(P31,""_up""),IF(COUNTIF(P$4:P31,SUBSTITUTE(P31,""_up"",""""))&lt;IFERRO"&amp;"R(VLOOKUP(P31,Upgrades!$L$3:$P$6,1+COUNTIF(P$4:P31,P31),0),999),1),IF(REGEXMATCH(P31,""Sell_""),IF(COUNTIF(P$4:P31,SUBSTITUTE(P31,""Sell_"",""""))-COUNTIF(P$4:P30,P31)&lt;1,1),FALSE)))))))))"),FALSE)</f>
        <v>0</v>
      </c>
      <c r="R31" s="71">
        <f>IFERROR(__xludf.DUMMYFUNCTION("IF(REGEXMATCH(P31,""^Sell_""),R30, IF(COUNTA(P31:P147)=0,"""",(COUNTIF(P$4:P31,""Cursor"")-COUNTIF(P$4:P31,""Sell_Cursor""))*(0.1*2^SWITCH(COUNTIF(P$4:P31,""Cursor_up""),0,0,1,1,2,2,3)+SWITCH(COUNTIF(P$4:P31,""Cursor_up""),4,0.1,0)*(ROW(P31)-4-COUNTIF(P$4"&amp;":P31,""Cursor"")-COUNTIF(P$4:P31,""*""&amp;""_up"")-2*COUNTIF(P$4:P31,""Sell_""&amp;""*"")+COUNTIF(P$4:P31,""Sell_Cursor"")-COUNTIF(P$4:P31,"""")))+(COUNTIF(P$4:P31,""Grandma"")-COUNTIF(P$4:P31,""Sell_Grandma""))*(1*2^(COUNTIF(P$4:P31,""Grandma_up"")+COUNTIF(P$4:"&amp;"P31,""Super_up"")))+(COUNTIF(P$4:P31,""Farm"")-COUNTIF(P$4:P31,""Sell_Farm""))*(8*2^COUNTIF(P$4:P31,""Farm_up""))*IF(COUNTIF(P$4:P31,""Super_up"")&gt;0,1+0.01*(COUNTIF(P$4:P31,""Grandma"")-COUNTIF(P$4:P31,""Sell_Grandma"")),1)+(COUNTIF(P$4:P31,""Mine"")-COUN"&amp;"TIF(P$4:P31,""Sell_Mine""))*((47*2^COUNTIF(P$4:P31,""Mine_up""))*IF(COUNTIF(P$4:P31,""Super_up"")&gt;1,1+0.005*(COUNTIF(P$4:P31,""Grandma"")-COUNTIF(P$4:P31,""Sell_Grandma"")),1))+(COUNTIF(P$4:P31,""Factory"")-COUNTIF(P$4:P31,""Sell_Factory""))*(260*2^COUNTI"&amp;"F(P$4:P31,""Factory_up""))))"),40.8)</f>
        <v>40.8</v>
      </c>
      <c r="S31" s="73">
        <f>IFERROR(__xludf.DUMMYFUNCTION("IF(COUNTA(P31:P147)=0,"""",IF(REGEXMATCH(INDEX(FILTER(P$4:P31,P$4:P31&lt;&gt;""""),ROWS(FILTER(P$4:P31,P$4:P31&lt;&gt;""""))),""^Sell_""),INDEX(FILTER(S$4:S30,P$4:P30&lt;&gt;""""),ROWS(FILTER(P$4:P30,P$4:P30&lt;&gt;""""))),$AD$5*(2^SWITCH(COUNTIF(P$4:P31,""Cursor_up""),0,0,1,1,2"&amp;",2,3)+SWITCH(COUNTIF(P$4:P31,""Cursor_up""),4,0.1,0)*(ROW(P31)-4-COUNTIF(P$4:P31,""Cursor"")-COUNTIF(P$4:P31,""*""&amp;""_up"")-2*COUNTIF(P$4:P31,""Sell_""&amp;""*"")+COUNTIF(P$4:P31,""Sell_Cursor"")-COUNTIF(P$4:P31,""""))+0.01*R31*COUNTIF(P$4:P31,""Plastic_up"")"&amp;")+R31))"),80.8)</f>
        <v>80.8</v>
      </c>
      <c r="T31" s="14">
        <f>IFERROR(__xludf.DUMMYFUNCTION("IF(COUNTA(P31:P147)=0,"""",IF(REGEXMATCH(P31,""_up""),VLOOKUP(P31,Upgrades!$F$3:$J$8,1+COUNTIF(P$4:P31,P31),FALSE),IF(P31="""",0,IF(REGEXMATCH(P31,""^Sell_""),-ROUNDDOWN(ROUNDUP(INDEX(Upgrades!$C$3:$C$8,MATCH(SUBSTITUTE(P31,""Sell_"",""""),Upgrades!$B$3:$"&amp;"B$8,0))*1.15^(COUNTIF(P$4:P30,SUBSTITUTE(P31,""Sell_"",""""))-COUNTIF(P$4:P30,""Sell_""&amp;SUBSTITUTE(P31,""Sell_"",""""))))/4),ROUNDUP(INDEX(Upgrades!$C$3:$C$7,MATCH(P31,Upgrades!$B$3:$B$7,0))*1.15^(COUNTIF(P$4:P30,P31)-COUNTIF(P$4:P30,""Sell_""&amp;P31)))))))"),352.0)</f>
        <v>352</v>
      </c>
      <c r="U31" s="14">
        <f t="shared" si="10"/>
        <v>352</v>
      </c>
      <c r="V31" s="75">
        <f t="shared" si="11"/>
        <v>70283.25999</v>
      </c>
      <c r="W31" s="76">
        <f t="shared" si="12"/>
        <v>137.234277</v>
      </c>
      <c r="X31" s="71" t="str">
        <f t="shared" si="13"/>
        <v>2m 17s</v>
      </c>
      <c r="Y31" s="77">
        <f t="shared" si="14"/>
        <v>6439</v>
      </c>
      <c r="Z31" s="17"/>
      <c r="AA31" s="32" t="s">
        <v>17</v>
      </c>
      <c r="AB31" s="108" t="s">
        <v>77</v>
      </c>
      <c r="AC31" s="13"/>
      <c r="AD31" s="13"/>
      <c r="AE31" s="13"/>
      <c r="AF31" s="13"/>
      <c r="AG31" s="13"/>
    </row>
    <row r="32">
      <c r="A32" s="12"/>
      <c r="B32" s="65">
        <f t="shared" si="2"/>
        <v>3</v>
      </c>
      <c r="C32" s="69" t="s">
        <v>16</v>
      </c>
      <c r="D32" s="14" t="b">
        <f>IFERROR(__xludf.DUMMYFUNCTION("IF(COUNTA(C32:C147)=0,"""",IFERROR(IF(ISBLANK(C32),FALSE,IF(ISBLANK(G32),1,IF(NOT(COUNTIF($AA$24:$AA$34,SUBSTITUTE(C32,""Sell_"",""""))),1,IF(C32=""Plastic_up"",IF(I32&lt;1000,1),IF(C32=""Super_Up"",IF(OR(COUNTIF(C$4:C32,""Grandma"")-COUNTIF(C$4:C32,""Sell_G"&amp;"randma"")&lt;1,COUNTIF(C$4:C32,VLOOKUP(C32,Upgrades!$F$8:$N$8,7+COUNTIF(C$4:C32,C32)))-COUNTIF(C$4:C32,""Sell_""&amp;VLOOKUP(C32,Upgrades!$F$8:$N$8,7+COUNTIF(C$4:C32,C32)))&lt;15),1),IF(REGEXMATCH(C32,""_up""),IF(COUNTIF(C$4:C32,SUBSTITUTE(C32,""_up"",""""))&lt;IFERRO"&amp;"R(VLOOKUP(C32,Upgrades!$L$3:$P$6,1+COUNTIF(C$4:C32,C32),0),999),1),IF(REGEXMATCH(C32,""Sell_""),IF(COUNTIF(C$4:C32,SUBSTITUTE(C32,""Sell_"",""""))-COUNTIF(C$4:C31,C32)&lt;1,1),FALSE)))))))))"),FALSE)</f>
        <v>0</v>
      </c>
      <c r="E32" s="71">
        <f>IFERROR(__xludf.DUMMYFUNCTION("IF(REGEXMATCH(C32,""^Sell_""),E31, IF(COUNTA(C32:C147)=0,"""",(COUNTIF(C$4:C32,""Cursor"")-COUNTIF(C$4:C32,""Sell_Cursor""))*(0.1*2^SWITCH(COUNTIF(C$4:C32,""Cursor_up""),0,0,1,1,2,2,3)+SWITCH(COUNTIF(C$4:C32,""Cursor_up""),4,0.1,0)*(ROW(C32)-4-COUNTIF(C$4"&amp;":C32,""Cursor"")-COUNTIF(C$4:C32,""*""&amp;""_up"")-2*COUNTIF(C$4:C32,""Sell_""&amp;""*"")+COUNTIF(C$4:C32,""Sell_Cursor"")-COUNTIF(C$4:C32,"""")))+(COUNTIF(C$4:C32,""Grandma"")-COUNTIF(C$4:C32,""Sell_Grandma""))*(1*2^(COUNTIF(C$4:C32,""Grandma_up"")+COUNTIF(C$4:"&amp;"C32,""Super_up"")))+(COUNTIF(C$4:C32,""Farm"")-COUNTIF(C$4:C32,""Sell_Farm""))*(8*2^COUNTIF(C$4:C32,""Farm_up""))*IF(COUNTIF(C$4:C32,""Super_up"")&gt;0,1+0.01*(COUNTIF(C$4:C32,""Grandma"")-COUNTIF(C$4:C32,""Sell_Grandma"")),1)+(COUNTIF(C$4:C32,""Mine"")-COUN"&amp;"TIF(C$4:C32,""Sell_Mine""))*((47*2^COUNTIF(C$4:C32,""Mine_up""))*IF(COUNTIF(C$4:C32,""Super_up"")&gt;1,1+0.005*(COUNTIF(C$4:C32,""Grandma"")-COUNTIF(C$4:C32,""Sell_Grandma"")),1))+(COUNTIF(C$4:C32,""Factory"")-COUNTIF(C$4:C32,""Sell_Factory""))*(260*2^COUNTI"&amp;"F(C$4:C32,""Factory_up""))))"),48.8)</f>
        <v>48.8</v>
      </c>
      <c r="F32" s="73">
        <f>IFERROR(__xludf.DUMMYFUNCTION("IF(COUNTA(C32:C147)=0,"""",IF(REGEXMATCH(INDEX(FILTER(C$4:C32,C$4:C32&lt;&gt;""""),ROWS(FILTER(C$4:C32,C$4:C32&lt;&gt;""""))),""^Sell_""),INDEX(FILTER(F$4:F31,C$4:C31&lt;&gt;""""),ROWS(FILTER(C$4:C31,C$4:C31&lt;&gt;""""))),$AC$5*(2^SWITCH(COUNTIF(C$4:C32,""Cursor_up""),0,0,1,1,2"&amp;",2,3)+SWITCH(COUNTIF(C$4:C32,""Cursor_up""),4,0.1,0)*(ROW(C32)-4-COUNTIF(C$4:C32,""Cursor"")-COUNTIF(C$4:C32,""*""&amp;""_up"")-2*COUNTIF(C$4:C32,""Sell_""&amp;""*"")+COUNTIF(C$4:C32,""Sell_Cursor"")-COUNTIF(C$4:C32,""""))+0.01*E32*COUNTIF(C$4:C32,""Plastic_up"")"&amp;")+E32))"),88.8)</f>
        <v>88.8</v>
      </c>
      <c r="G32" s="14">
        <f>IFERROR(__xludf.DUMMYFUNCTION("IF(COUNTA(C32:C147)=0,"""",IF(REGEXMATCH(C32,""_up""),VLOOKUP(C32,Upgrades!$F$3:$J$8,1+COUNTIF(C$4:C32,C32),FALSE),IF(C32="""",0,IF(REGEXMATCH(C32,""^Sell_""),-ROUNDDOWN(ROUNDUP(INDEX(Upgrades!$C$3:$C$8,MATCH(SUBSTITUTE(C32,""Sell_"",""""),Upgrades!$B$3:$"&amp;"B$8,0))*1.15^(COUNTIF(C$4:C31,SUBSTITUTE(C32,""Sell_"",""""))-COUNTIF(C$4:C31,""Sell_""&amp;SUBSTITUTE(C32,""Sell_"",""""))))/4),ROUNDUP(INDEX(Upgrades!$C$3:$C$7,MATCH(C32,Upgrades!$B$3:$B$7,0))*1.15^(COUNTIF(C$4:C31,C32)-COUNTIF(C$4:C31,""Sell_""&amp;C32)))))))"),1455.0)</f>
        <v>1455</v>
      </c>
      <c r="H32" s="14">
        <f t="shared" si="3"/>
        <v>1455</v>
      </c>
      <c r="I32" s="75">
        <f t="shared" si="4"/>
        <v>76492.9281</v>
      </c>
      <c r="J32" s="76">
        <f t="shared" si="5"/>
        <v>155.2417027</v>
      </c>
      <c r="K32" s="71" t="str">
        <f t="shared" si="6"/>
        <v>2m 35s</v>
      </c>
      <c r="L32" s="77">
        <f t="shared" si="7"/>
        <v>7894</v>
      </c>
      <c r="M32" s="51">
        <f t="shared" si="8"/>
        <v>0</v>
      </c>
      <c r="N32" s="52">
        <f>IFERROR(__xludf.DUMMYFUNCTION("IFS(AND(COUNTA(C32:C147)=0,COUNTA(P32:P147)=0),"""",OR(AND(L32&gt;=1000000,OR(Y32&gt;=1000000,COUNTA(P32:P147)=0)),AND(Y32&gt;=1000000,COUNTA(C32:C147)=0),AND(COUNTA(P32:P147)=0,O$3=TRUE)),
ROUNDDOWN((AB$1-AC$1)*MAX(INDEX(S$4:S147,MATCH(LARGE(FILTER(Y$4:Y147,Y$4:Y"&amp;"147&lt;1000000),1),Y$4:Y147)),INDEX(F$4:F147,MATCH(LARGE(FILTER(L$4:L147,L$4:L147&lt;1000000),1),L$4:L147)))),AND(L32&lt;1000000,COUNTA(C32:C147)&gt;0,O$3=FALSE),
ROUNDDOWN(INDEX(Y$4:Y147,MATCH(LARGE(FILTER(W$4:W147,W$4:W147&lt;=J32),1),W$4:W147))+(J32-LARGE(FILTER(W$4:"&amp;"W147,W$4:W147&lt;=J32),1))*INDEX(S$4:S147,MATCH(LARGE(FILTER(W$4:W147,W$4:W147&lt;=J32),1),W$4:W147))-L32),1,
ROUNDDOWN(Y32-INDEX(L$4:L147,MATCH(LARGE(FILTER(J$4:J147,J$4:J147&lt;=W32),1),J$4:J147))-(W32-LARGE(FILTER(J$4:J147,J$4:J147&lt;=W32),1))*INDEX(F$4:F147,MATC"&amp;"H(LARGE(FILTER(J$4:J147,J$4:J147&lt;=W32),1),J$4:J147))))"),0.0)</f>
        <v>0</v>
      </c>
      <c r="O32" s="65">
        <f t="shared" si="9"/>
        <v>3</v>
      </c>
      <c r="P32" s="69" t="s">
        <v>16</v>
      </c>
      <c r="Q32" s="14" t="b">
        <f>IFERROR(__xludf.DUMMYFUNCTION("IF(COUNTA(P32:P147)=0,"""",IFERROR(IF(ISBLANK(P32),FALSE,IF(ISBLANK(T32),1,IF(NOT(COUNTIF($AA$24:$AA$34,SUBSTITUTE(P32,""Sell_"",""""))),1,IF(P32=""Plastic_up"",IF(V32&lt;1000,1),IF(P32=""Super_Up"",IF(OR(COUNTIF(P$4:P32,""Grandma"")-COUNTIF(P$4:P32,""Sell_G"&amp;"randma"")&lt;1,COUNTIF(P$4:P32,VLOOKUP(P32,Upgrades!$F$8:$N$8,7+COUNTIF(P$4:P32,P32)))-COUNTIF(P$4:P32,""Sell_""&amp;VLOOKUP(P32,Upgrades!$F$8:$N$8,7+COUNTIF(P$4:P32,P32)))&lt;15),1),IF(REGEXMATCH(P32,""_up""),IF(COUNTIF(P$4:P32,SUBSTITUTE(P32,""_up"",""""))&lt;IFERRO"&amp;"R(VLOOKUP(P32,Upgrades!$L$3:$P$6,1+COUNTIF(P$4:P32,P32),0),999),1),IF(REGEXMATCH(P32,""Sell_""),IF(COUNTIF(P$4:P32,SUBSTITUTE(P32,""Sell_"",""""))-COUNTIF(P$4:P31,P32)&lt;1,1),FALSE)))))))))"),FALSE)</f>
        <v>0</v>
      </c>
      <c r="R32" s="71">
        <f>IFERROR(__xludf.DUMMYFUNCTION("IF(REGEXMATCH(P32,""^Sell_""),R31, IF(COUNTA(P32:P147)=0,"""",(COUNTIF(P$4:P32,""Cursor"")-COUNTIF(P$4:P32,""Sell_Cursor""))*(0.1*2^SWITCH(COUNTIF(P$4:P32,""Cursor_up""),0,0,1,1,2,2,3)+SWITCH(COUNTIF(P$4:P32,""Cursor_up""),4,0.1,0)*(ROW(P32)-4-COUNTIF(P$4"&amp;":P32,""Cursor"")-COUNTIF(P$4:P32,""*""&amp;""_up"")-2*COUNTIF(P$4:P32,""Sell_""&amp;""*"")+COUNTIF(P$4:P32,""Sell_Cursor"")-COUNTIF(P$4:P32,"""")))+(COUNTIF(P$4:P32,""Grandma"")-COUNTIF(P$4:P32,""Sell_Grandma""))*(1*2^(COUNTIF(P$4:P32,""Grandma_up"")+COUNTIF(P$4:"&amp;"P32,""Super_up"")))+(COUNTIF(P$4:P32,""Farm"")-COUNTIF(P$4:P32,""Sell_Farm""))*(8*2^COUNTIF(P$4:P32,""Farm_up""))*IF(COUNTIF(P$4:P32,""Super_up"")&gt;0,1+0.01*(COUNTIF(P$4:P32,""Grandma"")-COUNTIF(P$4:P32,""Sell_Grandma"")),1)+(COUNTIF(P$4:P32,""Mine"")-COUN"&amp;"TIF(P$4:P32,""Sell_Mine""))*((47*2^COUNTIF(P$4:P32,""Mine_up""))*IF(COUNTIF(P$4:P32,""Super_up"")&gt;1,1+0.005*(COUNTIF(P$4:P32,""Grandma"")-COUNTIF(P$4:P32,""Sell_Grandma"")),1))+(COUNTIF(P$4:P32,""Factory"")-COUNTIF(P$4:P32,""Sell_Factory""))*(260*2^COUNTI"&amp;"F(P$4:P32,""Factory_up""))))"),48.8)</f>
        <v>48.8</v>
      </c>
      <c r="S32" s="73">
        <f>IFERROR(__xludf.DUMMYFUNCTION("IF(COUNTA(P32:P147)=0,"""",IF(REGEXMATCH(INDEX(FILTER(P$4:P32,P$4:P32&lt;&gt;""""),ROWS(FILTER(P$4:P32,P$4:P32&lt;&gt;""""))),""^Sell_""),INDEX(FILTER(S$4:S31,P$4:P31&lt;&gt;""""),ROWS(FILTER(P$4:P31,P$4:P31&lt;&gt;""""))),$AD$5*(2^SWITCH(COUNTIF(P$4:P32,""Cursor_up""),0,0,1,1,2"&amp;",2,3)+SWITCH(COUNTIF(P$4:P32,""Cursor_up""),4,0.1,0)*(ROW(P32)-4-COUNTIF(P$4:P32,""Cursor"")-COUNTIF(P$4:P32,""*""&amp;""_up"")-2*COUNTIF(P$4:P32,""Sell_""&amp;""*"")+COUNTIF(P$4:P32,""Sell_Cursor"")-COUNTIF(P$4:P32,""""))+0.01*R32*COUNTIF(P$4:P32,""Plastic_up"")"&amp;")+R32))"),88.8)</f>
        <v>88.8</v>
      </c>
      <c r="T32" s="14">
        <f>IFERROR(__xludf.DUMMYFUNCTION("IF(COUNTA(P32:P147)=0,"""",IF(REGEXMATCH(P32,""_up""),VLOOKUP(P32,Upgrades!$F$3:$J$8,1+COUNTIF(P$4:P32,P32),FALSE),IF(P32="""",0,IF(REGEXMATCH(P32,""^Sell_""),-ROUNDDOWN(ROUNDUP(INDEX(Upgrades!$C$3:$C$8,MATCH(SUBSTITUTE(P32,""Sell_"",""""),Upgrades!$B$3:$"&amp;"B$8,0))*1.15^(COUNTIF(P$4:P31,SUBSTITUTE(P32,""Sell_"",""""))-COUNTIF(P$4:P31,""Sell_""&amp;SUBSTITUTE(P32,""Sell_"",""""))))/4),ROUNDUP(INDEX(Upgrades!$C$3:$C$7,MATCH(P32,Upgrades!$B$3:$B$7,0))*1.15^(COUNTIF(P$4:P31,P32)-COUNTIF(P$4:P31,""Sell_""&amp;P32)))))))"),1455.0)</f>
        <v>1455</v>
      </c>
      <c r="U32" s="14">
        <f t="shared" si="10"/>
        <v>1455</v>
      </c>
      <c r="V32" s="75">
        <f t="shared" si="11"/>
        <v>76492.9281</v>
      </c>
      <c r="W32" s="76">
        <f t="shared" si="12"/>
        <v>155.2417027</v>
      </c>
      <c r="X32" s="71" t="str">
        <f t="shared" si="13"/>
        <v>2m 35s</v>
      </c>
      <c r="Y32" s="77">
        <f t="shared" si="14"/>
        <v>7894</v>
      </c>
      <c r="Z32" s="17"/>
      <c r="AA32" s="32" t="s">
        <v>19</v>
      </c>
      <c r="AB32" s="108" t="s">
        <v>78</v>
      </c>
      <c r="AC32" s="13"/>
      <c r="AD32" s="13"/>
      <c r="AE32" s="13"/>
      <c r="AF32" s="13"/>
      <c r="AG32" s="13"/>
    </row>
    <row r="33">
      <c r="A33" s="12"/>
      <c r="B33" s="65">
        <f t="shared" si="2"/>
        <v>13</v>
      </c>
      <c r="C33" s="69" t="s">
        <v>10</v>
      </c>
      <c r="D33" s="14" t="b">
        <f>IFERROR(__xludf.DUMMYFUNCTION("IF(COUNTA(C33:C147)=0,"""",IFERROR(IF(ISBLANK(C33),FALSE,IF(ISBLANK(G33),1,IF(NOT(COUNTIF($AA$24:$AA$34,SUBSTITUTE(C33,""Sell_"",""""))),1,IF(C33=""Plastic_up"",IF(I33&lt;1000,1),IF(C33=""Super_Up"",IF(OR(COUNTIF(C$4:C33,""Grandma"")-COUNTIF(C$4:C33,""Sell_G"&amp;"randma"")&lt;1,COUNTIF(C$4:C33,VLOOKUP(C33,Upgrades!$F$8:$N$8,7+COUNTIF(C$4:C33,C33)))-COUNTIF(C$4:C33,""Sell_""&amp;VLOOKUP(C33,Upgrades!$F$8:$N$8,7+COUNTIF(C$4:C33,C33)))&lt;15),1),IF(REGEXMATCH(C33,""_up""),IF(COUNTIF(C$4:C33,SUBSTITUTE(C33,""_up"",""""))&lt;IFERRO"&amp;"R(VLOOKUP(C33,Upgrades!$L$3:$P$6,1+COUNTIF(C$4:C33,C33),0),999),1),IF(REGEXMATCH(C33,""Sell_""),IF(COUNTIF(C$4:C33,SUBSTITUTE(C33,""Sell_"",""""))-COUNTIF(C$4:C32,C33)&lt;1,1),FALSE)))))))))"),FALSE)</f>
        <v>0</v>
      </c>
      <c r="E33" s="71">
        <f>IFERROR(__xludf.DUMMYFUNCTION("IF(REGEXMATCH(C33,""^Sell_""),E32, IF(COUNTA(C33:C147)=0,"""",(COUNTIF(C$4:C33,""Cursor"")-COUNTIF(C$4:C33,""Sell_Cursor""))*(0.1*2^SWITCH(COUNTIF(C$4:C33,""Cursor_up""),0,0,1,1,2,2,3)+SWITCH(COUNTIF(C$4:C33,""Cursor_up""),4,0.1,0)*(ROW(C33)-4-COUNTIF(C$4"&amp;":C33,""Cursor"")-COUNTIF(C$4:C33,""*""&amp;""_up"")-2*COUNTIF(C$4:C33,""Sell_""&amp;""*"")+COUNTIF(C$4:C33,""Sell_Cursor"")-COUNTIF(C$4:C33,"""")))+(COUNTIF(C$4:C33,""Grandma"")-COUNTIF(C$4:C33,""Sell_Grandma""))*(1*2^(COUNTIF(C$4:C33,""Grandma_up"")+COUNTIF(C$4:"&amp;"C33,""Super_up"")))+(COUNTIF(C$4:C33,""Farm"")-COUNTIF(C$4:C33,""Sell_Farm""))*(8*2^COUNTIF(C$4:C33,""Farm_up""))*IF(COUNTIF(C$4:C33,""Super_up"")&gt;0,1+0.01*(COUNTIF(C$4:C33,""Grandma"")-COUNTIF(C$4:C33,""Sell_Grandma"")),1)+(COUNTIF(C$4:C33,""Mine"")-COUN"&amp;"TIF(C$4:C33,""Sell_Mine""))*((47*2^COUNTIF(C$4:C33,""Mine_up""))*IF(COUNTIF(C$4:C33,""Super_up"")&gt;1,1+0.005*(COUNTIF(C$4:C33,""Grandma"")-COUNTIF(C$4:C33,""Sell_Grandma"")),1))+(COUNTIF(C$4:C33,""Factory"")-COUNTIF(C$4:C33,""Sell_Factory""))*(260*2^COUNTI"&amp;"F(C$4:C33,""Factory_up""))))"),49.2)</f>
        <v>49.2</v>
      </c>
      <c r="F33" s="73">
        <f>IFERROR(__xludf.DUMMYFUNCTION("IF(COUNTA(C33:C147)=0,"""",IF(REGEXMATCH(INDEX(FILTER(C$4:C33,C$4:C33&lt;&gt;""""),ROWS(FILTER(C$4:C33,C$4:C33&lt;&gt;""""))),""^Sell_""),INDEX(FILTER(F$4:F32,C$4:C32&lt;&gt;""""),ROWS(FILTER(C$4:C32,C$4:C32&lt;&gt;""""))),$AC$5*(2^SWITCH(COUNTIF(C$4:C33,""Cursor_up""),0,0,1,1,2"&amp;",2,3)+SWITCH(COUNTIF(C$4:C33,""Cursor_up""),4,0.1,0)*(ROW(C33)-4-COUNTIF(C$4:C33,""Cursor"")-COUNTIF(C$4:C33,""*""&amp;""_up"")-2*COUNTIF(C$4:C33,""Sell_""&amp;""*"")+COUNTIF(C$4:C33,""Sell_Cursor"")-COUNTIF(C$4:C33,""""))+0.01*E33*COUNTIF(C$4:C33,""Plastic_up"")"&amp;")+E33))"),89.2)</f>
        <v>89.2</v>
      </c>
      <c r="G33" s="14">
        <f>IFERROR(__xludf.DUMMYFUNCTION("IF(COUNTA(C33:C147)=0,"""",IF(REGEXMATCH(C33,""_up""),VLOOKUP(C33,Upgrades!$F$3:$J$8,1+COUNTIF(C$4:C33,C33),FALSE),IF(C33="""",0,IF(REGEXMATCH(C33,""^Sell_""),-ROUNDDOWN(ROUNDUP(INDEX(Upgrades!$C$3:$C$8,MATCH(SUBSTITUTE(C33,""Sell_"",""""),Upgrades!$B$3:$"&amp;"B$8,0))*1.15^(COUNTIF(C$4:C32,SUBSTITUTE(C33,""Sell_"",""""))-COUNTIF(C$4:C32,""Sell_""&amp;SUBSTITUTE(C33,""Sell_"",""""))))/4),ROUNDUP(INDEX(Upgrades!$C$3:$C$7,MATCH(C33,Upgrades!$B$3:$B$7,0))*1.15^(COUNTIF(C$4:C32,C33)-COUNTIF(C$4:C32,""Sell_""&amp;C33)))))))"),81.0)</f>
        <v>81</v>
      </c>
      <c r="H33" s="14">
        <f t="shared" si="3"/>
        <v>81</v>
      </c>
      <c r="I33" s="75">
        <f t="shared" si="4"/>
        <v>82739.08269</v>
      </c>
      <c r="J33" s="76">
        <f t="shared" si="5"/>
        <v>156.1538649</v>
      </c>
      <c r="K33" s="71" t="str">
        <f t="shared" si="6"/>
        <v>2m 36s</v>
      </c>
      <c r="L33" s="77">
        <f t="shared" si="7"/>
        <v>7975</v>
      </c>
      <c r="M33" s="51">
        <f t="shared" si="8"/>
        <v>0</v>
      </c>
      <c r="N33" s="52">
        <f>IFERROR(__xludf.DUMMYFUNCTION("IFS(AND(COUNTA(C33:C147)=0,COUNTA(P33:P147)=0),"""",OR(AND(L33&gt;=1000000,OR(Y33&gt;=1000000,COUNTA(P33:P147)=0)),AND(Y33&gt;=1000000,COUNTA(C33:C147)=0),AND(COUNTA(P33:P147)=0,O$3=TRUE)),
ROUNDDOWN((AB$1-AC$1)*MAX(INDEX(S$4:S147,MATCH(LARGE(FILTER(Y$4:Y147,Y$4:Y"&amp;"147&lt;1000000),1),Y$4:Y147)),INDEX(F$4:F147,MATCH(LARGE(FILTER(L$4:L147,L$4:L147&lt;1000000),1),L$4:L147)))),AND(L33&lt;1000000,COUNTA(C33:C147)&gt;0,O$3=FALSE),
ROUNDDOWN(INDEX(Y$4:Y147,MATCH(LARGE(FILTER(W$4:W147,W$4:W147&lt;=J33),1),W$4:W147))+(J33-LARGE(FILTER(W$4:"&amp;"W147,W$4:W147&lt;=J33),1))*INDEX(S$4:S147,MATCH(LARGE(FILTER(W$4:W147,W$4:W147&lt;=J33),1),W$4:W147))-L33),1,
ROUNDDOWN(Y33-INDEX(L$4:L147,MATCH(LARGE(FILTER(J$4:J147,J$4:J147&lt;=W33),1),J$4:J147))-(W33-LARGE(FILTER(J$4:J147,J$4:J147&lt;=W33),1))*INDEX(F$4:F147,MATC"&amp;"H(LARGE(FILTER(J$4:J147,J$4:J147&lt;=W33),1),J$4:J147))))"),0.0)</f>
        <v>0</v>
      </c>
      <c r="O33" s="65">
        <f t="shared" si="9"/>
        <v>13</v>
      </c>
      <c r="P33" s="69" t="s">
        <v>10</v>
      </c>
      <c r="Q33" s="14" t="b">
        <f>IFERROR(__xludf.DUMMYFUNCTION("IF(COUNTA(P33:P147)=0,"""",IFERROR(IF(ISBLANK(P33),FALSE,IF(ISBLANK(T33),1,IF(NOT(COUNTIF($AA$24:$AA$34,SUBSTITUTE(P33,""Sell_"",""""))),1,IF(P33=""Plastic_up"",IF(V33&lt;1000,1),IF(P33=""Super_Up"",IF(OR(COUNTIF(P$4:P33,""Grandma"")-COUNTIF(P$4:P33,""Sell_G"&amp;"randma"")&lt;1,COUNTIF(P$4:P33,VLOOKUP(P33,Upgrades!$F$8:$N$8,7+COUNTIF(P$4:P33,P33)))-COUNTIF(P$4:P33,""Sell_""&amp;VLOOKUP(P33,Upgrades!$F$8:$N$8,7+COUNTIF(P$4:P33,P33)))&lt;15),1),IF(REGEXMATCH(P33,""_up""),IF(COUNTIF(P$4:P33,SUBSTITUTE(P33,""_up"",""""))&lt;IFERRO"&amp;"R(VLOOKUP(P33,Upgrades!$L$3:$P$6,1+COUNTIF(P$4:P33,P33),0),999),1),IF(REGEXMATCH(P33,""Sell_""),IF(COUNTIF(P$4:P33,SUBSTITUTE(P33,""Sell_"",""""))-COUNTIF(P$4:P32,P33)&lt;1,1),FALSE)))))))))"),FALSE)</f>
        <v>0</v>
      </c>
      <c r="R33" s="71">
        <f>IFERROR(__xludf.DUMMYFUNCTION("IF(REGEXMATCH(P33,""^Sell_""),R32, IF(COUNTA(P33:P147)=0,"""",(COUNTIF(P$4:P33,""Cursor"")-COUNTIF(P$4:P33,""Sell_Cursor""))*(0.1*2^SWITCH(COUNTIF(P$4:P33,""Cursor_up""),0,0,1,1,2,2,3)+SWITCH(COUNTIF(P$4:P33,""Cursor_up""),4,0.1,0)*(ROW(P33)-4-COUNTIF(P$4"&amp;":P33,""Cursor"")-COUNTIF(P$4:P33,""*""&amp;""_up"")-2*COUNTIF(P$4:P33,""Sell_""&amp;""*"")+COUNTIF(P$4:P33,""Sell_Cursor"")-COUNTIF(P$4:P33,"""")))+(COUNTIF(P$4:P33,""Grandma"")-COUNTIF(P$4:P33,""Sell_Grandma""))*(1*2^(COUNTIF(P$4:P33,""Grandma_up"")+COUNTIF(P$4:"&amp;"P33,""Super_up"")))+(COUNTIF(P$4:P33,""Farm"")-COUNTIF(P$4:P33,""Sell_Farm""))*(8*2^COUNTIF(P$4:P33,""Farm_up""))*IF(COUNTIF(P$4:P33,""Super_up"")&gt;0,1+0.01*(COUNTIF(P$4:P33,""Grandma"")-COUNTIF(P$4:P33,""Sell_Grandma"")),1)+(COUNTIF(P$4:P33,""Mine"")-COUN"&amp;"TIF(P$4:P33,""Sell_Mine""))*((47*2^COUNTIF(P$4:P33,""Mine_up""))*IF(COUNTIF(P$4:P33,""Super_up"")&gt;1,1+0.005*(COUNTIF(P$4:P33,""Grandma"")-COUNTIF(P$4:P33,""Sell_Grandma"")),1))+(COUNTIF(P$4:P33,""Factory"")-COUNTIF(P$4:P33,""Sell_Factory""))*(260*2^COUNTI"&amp;"F(P$4:P33,""Factory_up""))))"),49.2)</f>
        <v>49.2</v>
      </c>
      <c r="S33" s="73">
        <f>IFERROR(__xludf.DUMMYFUNCTION("IF(COUNTA(P33:P147)=0,"""",IF(REGEXMATCH(INDEX(FILTER(P$4:P33,P$4:P33&lt;&gt;""""),ROWS(FILTER(P$4:P33,P$4:P33&lt;&gt;""""))),""^Sell_""),INDEX(FILTER(S$4:S32,P$4:P32&lt;&gt;""""),ROWS(FILTER(P$4:P32,P$4:P32&lt;&gt;""""))),$AD$5*(2^SWITCH(COUNTIF(P$4:P33,""Cursor_up""),0,0,1,1,2"&amp;",2,3)+SWITCH(COUNTIF(P$4:P33,""Cursor_up""),4,0.1,0)*(ROW(P33)-4-COUNTIF(P$4:P33,""Cursor"")-COUNTIF(P$4:P33,""*""&amp;""_up"")-2*COUNTIF(P$4:P33,""Sell_""&amp;""*"")+COUNTIF(P$4:P33,""Sell_Cursor"")-COUNTIF(P$4:P33,""""))+0.01*R33*COUNTIF(P$4:P33,""Plastic_up"")"&amp;")+R33))"),89.2)</f>
        <v>89.2</v>
      </c>
      <c r="T33" s="14">
        <f>IFERROR(__xludf.DUMMYFUNCTION("IF(COUNTA(P33:P147)=0,"""",IF(REGEXMATCH(P33,""_up""),VLOOKUP(P33,Upgrades!$F$3:$J$8,1+COUNTIF(P$4:P33,P33),FALSE),IF(P33="""",0,IF(REGEXMATCH(P33,""^Sell_""),-ROUNDDOWN(ROUNDUP(INDEX(Upgrades!$C$3:$C$8,MATCH(SUBSTITUTE(P33,""Sell_"",""""),Upgrades!$B$3:$"&amp;"B$8,0))*1.15^(COUNTIF(P$4:P32,SUBSTITUTE(P33,""Sell_"",""""))-COUNTIF(P$4:P32,""Sell_""&amp;SUBSTITUTE(P33,""Sell_"",""""))))/4),ROUNDUP(INDEX(Upgrades!$C$3:$C$7,MATCH(P33,Upgrades!$B$3:$B$7,0))*1.15^(COUNTIF(P$4:P32,P33)-COUNTIF(P$4:P32,""Sell_""&amp;P33)))))))"),81.0)</f>
        <v>81</v>
      </c>
      <c r="U33" s="14">
        <f t="shared" si="10"/>
        <v>81</v>
      </c>
      <c r="V33" s="75">
        <f t="shared" si="11"/>
        <v>82739.08269</v>
      </c>
      <c r="W33" s="76">
        <f t="shared" si="12"/>
        <v>156.1538649</v>
      </c>
      <c r="X33" s="71" t="str">
        <f t="shared" si="13"/>
        <v>2m 36s</v>
      </c>
      <c r="Y33" s="77">
        <f t="shared" si="14"/>
        <v>7975</v>
      </c>
      <c r="Z33" s="17"/>
      <c r="AA33" s="32" t="s">
        <v>24</v>
      </c>
      <c r="AB33" s="32" t="s">
        <v>78</v>
      </c>
      <c r="AC33" s="109" t="s">
        <v>79</v>
      </c>
      <c r="AD33" s="109"/>
      <c r="AE33" s="110"/>
      <c r="AF33" s="13"/>
      <c r="AG33" s="13"/>
    </row>
    <row r="34">
      <c r="A34" s="12"/>
      <c r="B34" s="65">
        <f t="shared" si="2"/>
        <v>11</v>
      </c>
      <c r="C34" s="69" t="s">
        <v>13</v>
      </c>
      <c r="D34" s="14" t="b">
        <f>IFERROR(__xludf.DUMMYFUNCTION("IF(COUNTA(C34:C147)=0,"""",IFERROR(IF(ISBLANK(C34),FALSE,IF(ISBLANK(G34),1,IF(NOT(COUNTIF($AA$24:$AA$34,SUBSTITUTE(C34,""Sell_"",""""))),1,IF(C34=""Plastic_up"",IF(I34&lt;1000,1),IF(C34=""Super_Up"",IF(OR(COUNTIF(C$4:C34,""Grandma"")-COUNTIF(C$4:C34,""Sell_G"&amp;"randma"")&lt;1,COUNTIF(C$4:C34,VLOOKUP(C34,Upgrades!$F$8:$N$8,7+COUNTIF(C$4:C34,C34)))-COUNTIF(C$4:C34,""Sell_""&amp;VLOOKUP(C34,Upgrades!$F$8:$N$8,7+COUNTIF(C$4:C34,C34)))&lt;15),1),IF(REGEXMATCH(C34,""_up""),IF(COUNTIF(C$4:C34,SUBSTITUTE(C34,""_up"",""""))&lt;IFERRO"&amp;"R(VLOOKUP(C34,Upgrades!$L$3:$P$6,1+COUNTIF(C$4:C34,C34),0),999),1),IF(REGEXMATCH(C34,""Sell_""),IF(COUNTIF(C$4:C34,SUBSTITUTE(C34,""Sell_"",""""))-COUNTIF(C$4:C33,C34)&lt;1,1),FALSE)))))))))"),FALSE)</f>
        <v>0</v>
      </c>
      <c r="E34" s="71">
        <f>IFERROR(__xludf.DUMMYFUNCTION("IF(REGEXMATCH(C34,""^Sell_""),E33, IF(COUNTA(C34:C147)=0,"""",(COUNTIF(C$4:C34,""Cursor"")-COUNTIF(C$4:C34,""Sell_Cursor""))*(0.1*2^SWITCH(COUNTIF(C$4:C34,""Cursor_up""),0,0,1,1,2,2,3)+SWITCH(COUNTIF(C$4:C34,""Cursor_up""),4,0.1,0)*(ROW(C34)-4-COUNTIF(C$4"&amp;":C34,""Cursor"")-COUNTIF(C$4:C34,""*""&amp;""_up"")-2*COUNTIF(C$4:C34,""Sell_""&amp;""*"")+COUNTIF(C$4:C34,""Sell_Cursor"")-COUNTIF(C$4:C34,"""")))+(COUNTIF(C$4:C34,""Grandma"")-COUNTIF(C$4:C34,""Sell_Grandma""))*(1*2^(COUNTIF(C$4:C34,""Grandma_up"")+COUNTIF(C$4:"&amp;"C34,""Super_up"")))+(COUNTIF(C$4:C34,""Farm"")-COUNTIF(C$4:C34,""Sell_Farm""))*(8*2^COUNTIF(C$4:C34,""Farm_up""))*IF(COUNTIF(C$4:C34,""Super_up"")&gt;0,1+0.01*(COUNTIF(C$4:C34,""Grandma"")-COUNTIF(C$4:C34,""Sell_Grandma"")),1)+(COUNTIF(C$4:C34,""Mine"")-COUN"&amp;"TIF(C$4:C34,""Sell_Mine""))*((47*2^COUNTIF(C$4:C34,""Mine_up""))*IF(COUNTIF(C$4:C34,""Super_up"")&gt;1,1+0.005*(COUNTIF(C$4:C34,""Grandma"")-COUNTIF(C$4:C34,""Sell_Grandma"")),1))+(COUNTIF(C$4:C34,""Factory"")-COUNTIF(C$4:C34,""Sell_Factory""))*(260*2^COUNTI"&amp;"F(C$4:C34,""Factory_up""))))"),51.2)</f>
        <v>51.2</v>
      </c>
      <c r="F34" s="73">
        <f>IFERROR(__xludf.DUMMYFUNCTION("IF(COUNTA(C34:C147)=0,"""",IF(REGEXMATCH(INDEX(FILTER(C$4:C34,C$4:C34&lt;&gt;""""),ROWS(FILTER(C$4:C34,C$4:C34&lt;&gt;""""))),""^Sell_""),INDEX(FILTER(F$4:F33,C$4:C33&lt;&gt;""""),ROWS(FILTER(C$4:C33,C$4:C33&lt;&gt;""""))),$AC$5*(2^SWITCH(COUNTIF(C$4:C34,""Cursor_up""),0,0,1,1,2"&amp;",2,3)+SWITCH(COUNTIF(C$4:C34,""Cursor_up""),4,0.1,0)*(ROW(C34)-4-COUNTIF(C$4:C34,""Cursor"")-COUNTIF(C$4:C34,""*""&amp;""_up"")-2*COUNTIF(C$4:C34,""Sell_""&amp;""*"")+COUNTIF(C$4:C34,""Sell_Cursor"")-COUNTIF(C$4:C34,""""))+0.01*E34*COUNTIF(C$4:C34,""Plastic_up"")"&amp;")+E34))"),91.2)</f>
        <v>91.2</v>
      </c>
      <c r="G34" s="14">
        <f>IFERROR(__xludf.DUMMYFUNCTION("IF(COUNTA(C34:C147)=0,"""",IF(REGEXMATCH(C34,""_up""),VLOOKUP(C34,Upgrades!$F$3:$J$8,1+COUNTIF(C$4:C34,C34),FALSE),IF(C34="""",0,IF(REGEXMATCH(C34,""^Sell_""),-ROUNDDOWN(ROUNDUP(INDEX(Upgrades!$C$3:$C$8,MATCH(SUBSTITUTE(C34,""Sell_"",""""),Upgrades!$B$3:$"&amp;"B$8,0))*1.15^(COUNTIF(C$4:C33,SUBSTITUTE(C34,""Sell_"",""""))-COUNTIF(C$4:C33,""Sell_""&amp;SUBSTITUTE(C34,""Sell_"",""""))))/4),ROUNDUP(INDEX(Upgrades!$C$3:$C$7,MATCH(C34,Upgrades!$B$3:$B$7,0))*1.15^(COUNTIF(C$4:C33,C34)-COUNTIF(C$4:C33,""Sell_""&amp;C34)))))))"),405.0)</f>
        <v>405</v>
      </c>
      <c r="H34" s="14">
        <f t="shared" si="3"/>
        <v>405</v>
      </c>
      <c r="I34" s="75">
        <f t="shared" si="4"/>
        <v>89166.85164</v>
      </c>
      <c r="J34" s="76">
        <f t="shared" si="5"/>
        <v>160.6942236</v>
      </c>
      <c r="K34" s="71" t="str">
        <f t="shared" si="6"/>
        <v>2m 40s</v>
      </c>
      <c r="L34" s="77">
        <f t="shared" si="7"/>
        <v>8380</v>
      </c>
      <c r="M34" s="51">
        <f t="shared" si="8"/>
        <v>0</v>
      </c>
      <c r="N34" s="52">
        <f>IFERROR(__xludf.DUMMYFUNCTION("IFS(AND(COUNTA(C34:C147)=0,COUNTA(P34:P147)=0),"""",OR(AND(L34&gt;=1000000,OR(Y34&gt;=1000000,COUNTA(P34:P147)=0)),AND(Y34&gt;=1000000,COUNTA(C34:C147)=0),AND(COUNTA(P34:P147)=0,O$3=TRUE)),
ROUNDDOWN((AB$1-AC$1)*MAX(INDEX(S$4:S147,MATCH(LARGE(FILTER(Y$4:Y147,Y$4:Y"&amp;"147&lt;1000000),1),Y$4:Y147)),INDEX(F$4:F147,MATCH(LARGE(FILTER(L$4:L147,L$4:L147&lt;1000000),1),L$4:L147)))),AND(L34&lt;1000000,COUNTA(C34:C147)&gt;0,O$3=FALSE),
ROUNDDOWN(INDEX(Y$4:Y147,MATCH(LARGE(FILTER(W$4:W147,W$4:W147&lt;=J34),1),W$4:W147))+(J34-LARGE(FILTER(W$4:"&amp;"W147,W$4:W147&lt;=J34),1))*INDEX(S$4:S147,MATCH(LARGE(FILTER(W$4:W147,W$4:W147&lt;=J34),1),W$4:W147))-L34),1,
ROUNDDOWN(Y34-INDEX(L$4:L147,MATCH(LARGE(FILTER(J$4:J147,J$4:J147&lt;=W34),1),J$4:J147))-(W34-LARGE(FILTER(J$4:J147,J$4:J147&lt;=W34),1))*INDEX(F$4:F147,MATC"&amp;"H(LARGE(FILTER(J$4:J147,J$4:J147&lt;=W34),1),J$4:J147))))"),0.0)</f>
        <v>0</v>
      </c>
      <c r="O34" s="65">
        <f t="shared" si="9"/>
        <v>11</v>
      </c>
      <c r="P34" s="69" t="s">
        <v>13</v>
      </c>
      <c r="Q34" s="14" t="b">
        <f>IFERROR(__xludf.DUMMYFUNCTION("IF(COUNTA(P34:P147)=0,"""",IFERROR(IF(ISBLANK(P34),FALSE,IF(ISBLANK(T34),1,IF(NOT(COUNTIF($AA$24:$AA$34,SUBSTITUTE(P34,""Sell_"",""""))),1,IF(P34=""Plastic_up"",IF(V34&lt;1000,1),IF(P34=""Super_Up"",IF(OR(COUNTIF(P$4:P34,""Grandma"")-COUNTIF(P$4:P34,""Sell_G"&amp;"randma"")&lt;1,COUNTIF(P$4:P34,VLOOKUP(P34,Upgrades!$F$8:$N$8,7+COUNTIF(P$4:P34,P34)))-COUNTIF(P$4:P34,""Sell_""&amp;VLOOKUP(P34,Upgrades!$F$8:$N$8,7+COUNTIF(P$4:P34,P34)))&lt;15),1),IF(REGEXMATCH(P34,""_up""),IF(COUNTIF(P$4:P34,SUBSTITUTE(P34,""_up"",""""))&lt;IFERRO"&amp;"R(VLOOKUP(P34,Upgrades!$L$3:$P$6,1+COUNTIF(P$4:P34,P34),0),999),1),IF(REGEXMATCH(P34,""Sell_""),IF(COUNTIF(P$4:P34,SUBSTITUTE(P34,""Sell_"",""""))-COUNTIF(P$4:P33,P34)&lt;1,1),FALSE)))))))))"),FALSE)</f>
        <v>0</v>
      </c>
      <c r="R34" s="71">
        <f>IFERROR(__xludf.DUMMYFUNCTION("IF(REGEXMATCH(P34,""^Sell_""),R33, IF(COUNTA(P34:P147)=0,"""",(COUNTIF(P$4:P34,""Cursor"")-COUNTIF(P$4:P34,""Sell_Cursor""))*(0.1*2^SWITCH(COUNTIF(P$4:P34,""Cursor_up""),0,0,1,1,2,2,3)+SWITCH(COUNTIF(P$4:P34,""Cursor_up""),4,0.1,0)*(ROW(P34)-4-COUNTIF(P$4"&amp;":P34,""Cursor"")-COUNTIF(P$4:P34,""*""&amp;""_up"")-2*COUNTIF(P$4:P34,""Sell_""&amp;""*"")+COUNTIF(P$4:P34,""Sell_Cursor"")-COUNTIF(P$4:P34,"""")))+(COUNTIF(P$4:P34,""Grandma"")-COUNTIF(P$4:P34,""Sell_Grandma""))*(1*2^(COUNTIF(P$4:P34,""Grandma_up"")+COUNTIF(P$4:"&amp;"P34,""Super_up"")))+(COUNTIF(P$4:P34,""Farm"")-COUNTIF(P$4:P34,""Sell_Farm""))*(8*2^COUNTIF(P$4:P34,""Farm_up""))*IF(COUNTIF(P$4:P34,""Super_up"")&gt;0,1+0.01*(COUNTIF(P$4:P34,""Grandma"")-COUNTIF(P$4:P34,""Sell_Grandma"")),1)+(COUNTIF(P$4:P34,""Mine"")-COUN"&amp;"TIF(P$4:P34,""Sell_Mine""))*((47*2^COUNTIF(P$4:P34,""Mine_up""))*IF(COUNTIF(P$4:P34,""Super_up"")&gt;1,1+0.005*(COUNTIF(P$4:P34,""Grandma"")-COUNTIF(P$4:P34,""Sell_Grandma"")),1))+(COUNTIF(P$4:P34,""Factory"")-COUNTIF(P$4:P34,""Sell_Factory""))*(260*2^COUNTI"&amp;"F(P$4:P34,""Factory_up""))))"),51.2)</f>
        <v>51.2</v>
      </c>
      <c r="S34" s="73">
        <f>IFERROR(__xludf.DUMMYFUNCTION("IF(COUNTA(P34:P147)=0,"""",IF(REGEXMATCH(INDEX(FILTER(P$4:P34,P$4:P34&lt;&gt;""""),ROWS(FILTER(P$4:P34,P$4:P34&lt;&gt;""""))),""^Sell_""),INDEX(FILTER(S$4:S33,P$4:P33&lt;&gt;""""),ROWS(FILTER(P$4:P33,P$4:P33&lt;&gt;""""))),$AD$5*(2^SWITCH(COUNTIF(P$4:P34,""Cursor_up""),0,0,1,1,2"&amp;",2,3)+SWITCH(COUNTIF(P$4:P34,""Cursor_up""),4,0.1,0)*(ROW(P34)-4-COUNTIF(P$4:P34,""Cursor"")-COUNTIF(P$4:P34,""*""&amp;""_up"")-2*COUNTIF(P$4:P34,""Sell_""&amp;""*"")+COUNTIF(P$4:P34,""Sell_Cursor"")-COUNTIF(P$4:P34,""""))+0.01*R34*COUNTIF(P$4:P34,""Plastic_up"")"&amp;")+R34))"),91.2)</f>
        <v>91.2</v>
      </c>
      <c r="T34" s="14">
        <f>IFERROR(__xludf.DUMMYFUNCTION("IF(COUNTA(P34:P147)=0,"""",IF(REGEXMATCH(P34,""_up""),VLOOKUP(P34,Upgrades!$F$3:$J$8,1+COUNTIF(P$4:P34,P34),FALSE),IF(P34="""",0,IF(REGEXMATCH(P34,""^Sell_""),-ROUNDDOWN(ROUNDUP(INDEX(Upgrades!$C$3:$C$8,MATCH(SUBSTITUTE(P34,""Sell_"",""""),Upgrades!$B$3:$"&amp;"B$8,0))*1.15^(COUNTIF(P$4:P33,SUBSTITUTE(P34,""Sell_"",""""))-COUNTIF(P$4:P33,""Sell_""&amp;SUBSTITUTE(P34,""Sell_"",""""))))/4),ROUNDUP(INDEX(Upgrades!$C$3:$C$7,MATCH(P34,Upgrades!$B$3:$B$7,0))*1.15^(COUNTIF(P$4:P33,P34)-COUNTIF(P$4:P33,""Sell_""&amp;P34)))))))"),405.0)</f>
        <v>405</v>
      </c>
      <c r="U34" s="14">
        <f t="shared" si="10"/>
        <v>405</v>
      </c>
      <c r="V34" s="75">
        <f t="shared" si="11"/>
        <v>89166.85164</v>
      </c>
      <c r="W34" s="76">
        <f t="shared" si="12"/>
        <v>160.6942236</v>
      </c>
      <c r="X34" s="71" t="str">
        <f t="shared" si="13"/>
        <v>2m 40s</v>
      </c>
      <c r="Y34" s="77">
        <f t="shared" si="14"/>
        <v>8380</v>
      </c>
      <c r="Z34" s="17"/>
      <c r="AA34" s="111" t="s">
        <v>21</v>
      </c>
      <c r="AB34" s="111" t="s">
        <v>80</v>
      </c>
      <c r="AC34" s="111" t="s">
        <v>81</v>
      </c>
      <c r="AD34" s="111"/>
      <c r="AE34" s="112"/>
      <c r="AF34" s="13"/>
      <c r="AG34" s="13"/>
    </row>
    <row r="35">
      <c r="A35" s="12"/>
      <c r="B35" s="65">
        <f t="shared" si="2"/>
        <v>4</v>
      </c>
      <c r="C35" s="69" t="s">
        <v>16</v>
      </c>
      <c r="D35" s="14" t="b">
        <f>IFERROR(__xludf.DUMMYFUNCTION("IF(COUNTA(C35:C147)=0,"""",IFERROR(IF(ISBLANK(C35),FALSE,IF(ISBLANK(G35),1,IF(NOT(COUNTIF($AA$24:$AA$34,SUBSTITUTE(C35,""Sell_"",""""))),1,IF(C35=""Plastic_up"",IF(I35&lt;1000,1),IF(C35=""Super_Up"",IF(OR(COUNTIF(C$4:C35,""Grandma"")-COUNTIF(C$4:C35,""Sell_G"&amp;"randma"")&lt;1,COUNTIF(C$4:C35,VLOOKUP(C35,Upgrades!$F$8:$N$8,7+COUNTIF(C$4:C35,C35)))-COUNTIF(C$4:C35,""Sell_""&amp;VLOOKUP(C35,Upgrades!$F$8:$N$8,7+COUNTIF(C$4:C35,C35)))&lt;15),1),IF(REGEXMATCH(C35,""_up""),IF(COUNTIF(C$4:C35,SUBSTITUTE(C35,""_up"",""""))&lt;IFERRO"&amp;"R(VLOOKUP(C35,Upgrades!$L$3:$P$6,1+COUNTIF(C$4:C35,C35),0),999),1),IF(REGEXMATCH(C35,""Sell_""),IF(COUNTIF(C$4:C35,SUBSTITUTE(C35,""Sell_"",""""))-COUNTIF(C$4:C34,C35)&lt;1,1),FALSE)))))))))"),FALSE)</f>
        <v>0</v>
      </c>
      <c r="E35" s="71">
        <f>IFERROR(__xludf.DUMMYFUNCTION("IF(REGEXMATCH(C35,""^Sell_""),E34, IF(COUNTA(C35:C147)=0,"""",(COUNTIF(C$4:C35,""Cursor"")-COUNTIF(C$4:C35,""Sell_Cursor""))*(0.1*2^SWITCH(COUNTIF(C$4:C35,""Cursor_up""),0,0,1,1,2,2,3)+SWITCH(COUNTIF(C$4:C35,""Cursor_up""),4,0.1,0)*(ROW(C35)-4-COUNTIF(C$4"&amp;":C35,""Cursor"")-COUNTIF(C$4:C35,""*""&amp;""_up"")-2*COUNTIF(C$4:C35,""Sell_""&amp;""*"")+COUNTIF(C$4:C35,""Sell_Cursor"")-COUNTIF(C$4:C35,"""")))+(COUNTIF(C$4:C35,""Grandma"")-COUNTIF(C$4:C35,""Sell_Grandma""))*(1*2^(COUNTIF(C$4:C35,""Grandma_up"")+COUNTIF(C$4:"&amp;"C35,""Super_up"")))+(COUNTIF(C$4:C35,""Farm"")-COUNTIF(C$4:C35,""Sell_Farm""))*(8*2^COUNTIF(C$4:C35,""Farm_up""))*IF(COUNTIF(C$4:C35,""Super_up"")&gt;0,1+0.01*(COUNTIF(C$4:C35,""Grandma"")-COUNTIF(C$4:C35,""Sell_Grandma"")),1)+(COUNTIF(C$4:C35,""Mine"")-COUN"&amp;"TIF(C$4:C35,""Sell_Mine""))*((47*2^COUNTIF(C$4:C35,""Mine_up""))*IF(COUNTIF(C$4:C35,""Super_up"")&gt;1,1+0.005*(COUNTIF(C$4:C35,""Grandma"")-COUNTIF(C$4:C35,""Sell_Grandma"")),1))+(COUNTIF(C$4:C35,""Factory"")-COUNTIF(C$4:C35,""Sell_Factory""))*(260*2^COUNTI"&amp;"F(C$4:C35,""Factory_up""))))"),59.2)</f>
        <v>59.2</v>
      </c>
      <c r="F35" s="73">
        <f>IFERROR(__xludf.DUMMYFUNCTION("IF(COUNTA(C35:C147)=0,"""",IF(REGEXMATCH(INDEX(FILTER(C$4:C35,C$4:C35&lt;&gt;""""),ROWS(FILTER(C$4:C35,C$4:C35&lt;&gt;""""))),""^Sell_""),INDEX(FILTER(F$4:F34,C$4:C34&lt;&gt;""""),ROWS(FILTER(C$4:C34,C$4:C34&lt;&gt;""""))),$AC$5*(2^SWITCH(COUNTIF(C$4:C35,""Cursor_up""),0,0,1,1,2"&amp;",2,3)+SWITCH(COUNTIF(C$4:C35,""Cursor_up""),4,0.1,0)*(ROW(C35)-4-COUNTIF(C$4:C35,""Cursor"")-COUNTIF(C$4:C35,""*""&amp;""_up"")-2*COUNTIF(C$4:C35,""Sell_""&amp;""*"")+COUNTIF(C$4:C35,""Sell_Cursor"")-COUNTIF(C$4:C35,""""))+0.01*E35*COUNTIF(C$4:C35,""Plastic_up"")"&amp;")+E35))"),99.2)</f>
        <v>99.2</v>
      </c>
      <c r="G35" s="14">
        <f>IFERROR(__xludf.DUMMYFUNCTION("IF(COUNTA(C35:C147)=0,"""",IF(REGEXMATCH(C35,""_up""),VLOOKUP(C35,Upgrades!$F$3:$J$8,1+COUNTIF(C$4:C35,C35),FALSE),IF(C35="""",0,IF(REGEXMATCH(C35,""^Sell_""),-ROUNDDOWN(ROUNDUP(INDEX(Upgrades!$C$3:$C$8,MATCH(SUBSTITUTE(C35,""Sell_"",""""),Upgrades!$B$3:$"&amp;"B$8,0))*1.15^(COUNTIF(C$4:C34,SUBSTITUTE(C35,""Sell_"",""""))-COUNTIF(C$4:C34,""Sell_""&amp;SUBSTITUTE(C35,""Sell_"",""""))))/4),ROUNDUP(INDEX(Upgrades!$C$3:$C$7,MATCH(C35,Upgrades!$B$3:$B$7,0))*1.15^(COUNTIF(C$4:C34,C35)-COUNTIF(C$4:C34,""Sell_""&amp;C35)))))))"),1673.0)</f>
        <v>1673</v>
      </c>
      <c r="H35" s="14">
        <f t="shared" si="3"/>
        <v>1673</v>
      </c>
      <c r="I35" s="75">
        <f t="shared" si="4"/>
        <v>96328.39251</v>
      </c>
      <c r="J35" s="76">
        <f t="shared" si="5"/>
        <v>179.0385219</v>
      </c>
      <c r="K35" s="71" t="str">
        <f t="shared" si="6"/>
        <v>2m 59s</v>
      </c>
      <c r="L35" s="77">
        <f t="shared" si="7"/>
        <v>10053</v>
      </c>
      <c r="M35" s="51">
        <f t="shared" si="8"/>
        <v>0</v>
      </c>
      <c r="N35" s="52">
        <f>IFERROR(__xludf.DUMMYFUNCTION("IFS(AND(COUNTA(C35:C147)=0,COUNTA(P35:P147)=0),"""",OR(AND(L35&gt;=1000000,OR(Y35&gt;=1000000,COUNTA(P35:P147)=0)),AND(Y35&gt;=1000000,COUNTA(C35:C147)=0),AND(COUNTA(P35:P147)=0,O$3=TRUE)),
ROUNDDOWN((AB$1-AC$1)*MAX(INDEX(S$4:S147,MATCH(LARGE(FILTER(Y$4:Y147,Y$4:Y"&amp;"147&lt;1000000),1),Y$4:Y147)),INDEX(F$4:F147,MATCH(LARGE(FILTER(L$4:L147,L$4:L147&lt;1000000),1),L$4:L147)))),AND(L35&lt;1000000,COUNTA(C35:C147)&gt;0,O$3=FALSE),
ROUNDDOWN(INDEX(Y$4:Y147,MATCH(LARGE(FILTER(W$4:W147,W$4:W147&lt;=J35),1),W$4:W147))+(J35-LARGE(FILTER(W$4:"&amp;"W147,W$4:W147&lt;=J35),1))*INDEX(S$4:S147,MATCH(LARGE(FILTER(W$4:W147,W$4:W147&lt;=J35),1),W$4:W147))-L35),1,
ROUNDDOWN(Y35-INDEX(L$4:L147,MATCH(LARGE(FILTER(J$4:J147,J$4:J147&lt;=W35),1),J$4:J147))-(W35-LARGE(FILTER(J$4:J147,J$4:J147&lt;=W35),1))*INDEX(F$4:F147,MATC"&amp;"H(LARGE(FILTER(J$4:J147,J$4:J147&lt;=W35),1),J$4:J147))))"),0.0)</f>
        <v>0</v>
      </c>
      <c r="O35" s="65">
        <f t="shared" si="9"/>
        <v>4</v>
      </c>
      <c r="P35" s="69" t="s">
        <v>16</v>
      </c>
      <c r="Q35" s="14" t="b">
        <f>IFERROR(__xludf.DUMMYFUNCTION("IF(COUNTA(P35:P147)=0,"""",IFERROR(IF(ISBLANK(P35),FALSE,IF(ISBLANK(T35),1,IF(NOT(COUNTIF($AA$24:$AA$34,SUBSTITUTE(P35,""Sell_"",""""))),1,IF(P35=""Plastic_up"",IF(V35&lt;1000,1),IF(P35=""Super_Up"",IF(OR(COUNTIF(P$4:P35,""Grandma"")-COUNTIF(P$4:P35,""Sell_G"&amp;"randma"")&lt;1,COUNTIF(P$4:P35,VLOOKUP(P35,Upgrades!$F$8:$N$8,7+COUNTIF(P$4:P35,P35)))-COUNTIF(P$4:P35,""Sell_""&amp;VLOOKUP(P35,Upgrades!$F$8:$N$8,7+COUNTIF(P$4:P35,P35)))&lt;15),1),IF(REGEXMATCH(P35,""_up""),IF(COUNTIF(P$4:P35,SUBSTITUTE(P35,""_up"",""""))&lt;IFERRO"&amp;"R(VLOOKUP(P35,Upgrades!$L$3:$P$6,1+COUNTIF(P$4:P35,P35),0),999),1),IF(REGEXMATCH(P35,""Sell_""),IF(COUNTIF(P$4:P35,SUBSTITUTE(P35,""Sell_"",""""))-COUNTIF(P$4:P34,P35)&lt;1,1),FALSE)))))))))"),FALSE)</f>
        <v>0</v>
      </c>
      <c r="R35" s="71">
        <f>IFERROR(__xludf.DUMMYFUNCTION("IF(REGEXMATCH(P35,""^Sell_""),R34, IF(COUNTA(P35:P147)=0,"""",(COUNTIF(P$4:P35,""Cursor"")-COUNTIF(P$4:P35,""Sell_Cursor""))*(0.1*2^SWITCH(COUNTIF(P$4:P35,""Cursor_up""),0,0,1,1,2,2,3)+SWITCH(COUNTIF(P$4:P35,""Cursor_up""),4,0.1,0)*(ROW(P35)-4-COUNTIF(P$4"&amp;":P35,""Cursor"")-COUNTIF(P$4:P35,""*""&amp;""_up"")-2*COUNTIF(P$4:P35,""Sell_""&amp;""*"")+COUNTIF(P$4:P35,""Sell_Cursor"")-COUNTIF(P$4:P35,"""")))+(COUNTIF(P$4:P35,""Grandma"")-COUNTIF(P$4:P35,""Sell_Grandma""))*(1*2^(COUNTIF(P$4:P35,""Grandma_up"")+COUNTIF(P$4:"&amp;"P35,""Super_up"")))+(COUNTIF(P$4:P35,""Farm"")-COUNTIF(P$4:P35,""Sell_Farm""))*(8*2^COUNTIF(P$4:P35,""Farm_up""))*IF(COUNTIF(P$4:P35,""Super_up"")&gt;0,1+0.01*(COUNTIF(P$4:P35,""Grandma"")-COUNTIF(P$4:P35,""Sell_Grandma"")),1)+(COUNTIF(P$4:P35,""Mine"")-COUN"&amp;"TIF(P$4:P35,""Sell_Mine""))*((47*2^COUNTIF(P$4:P35,""Mine_up""))*IF(COUNTIF(P$4:P35,""Super_up"")&gt;1,1+0.005*(COUNTIF(P$4:P35,""Grandma"")-COUNTIF(P$4:P35,""Sell_Grandma"")),1))+(COUNTIF(P$4:P35,""Factory"")-COUNTIF(P$4:P35,""Sell_Factory""))*(260*2^COUNTI"&amp;"F(P$4:P35,""Factory_up""))))"),59.2)</f>
        <v>59.2</v>
      </c>
      <c r="S35" s="73">
        <f>IFERROR(__xludf.DUMMYFUNCTION("IF(COUNTA(P35:P147)=0,"""",IF(REGEXMATCH(INDEX(FILTER(P$4:P35,P$4:P35&lt;&gt;""""),ROWS(FILTER(P$4:P35,P$4:P35&lt;&gt;""""))),""^Sell_""),INDEX(FILTER(S$4:S34,P$4:P34&lt;&gt;""""),ROWS(FILTER(P$4:P34,P$4:P34&lt;&gt;""""))),$AD$5*(2^SWITCH(COUNTIF(P$4:P35,""Cursor_up""),0,0,1,1,2"&amp;",2,3)+SWITCH(COUNTIF(P$4:P35,""Cursor_up""),4,0.1,0)*(ROW(P35)-4-COUNTIF(P$4:P35,""Cursor"")-COUNTIF(P$4:P35,""*""&amp;""_up"")-2*COUNTIF(P$4:P35,""Sell_""&amp;""*"")+COUNTIF(P$4:P35,""Sell_Cursor"")-COUNTIF(P$4:P35,""""))+0.01*R35*COUNTIF(P$4:P35,""Plastic_up"")"&amp;")+R35))"),99.2)</f>
        <v>99.2</v>
      </c>
      <c r="T35" s="14">
        <f>IFERROR(__xludf.DUMMYFUNCTION("IF(COUNTA(P35:P147)=0,"""",IF(REGEXMATCH(P35,""_up""),VLOOKUP(P35,Upgrades!$F$3:$J$8,1+COUNTIF(P$4:P35,P35),FALSE),IF(P35="""",0,IF(REGEXMATCH(P35,""^Sell_""),-ROUNDDOWN(ROUNDUP(INDEX(Upgrades!$C$3:$C$8,MATCH(SUBSTITUTE(P35,""Sell_"",""""),Upgrades!$B$3:$"&amp;"B$8,0))*1.15^(COUNTIF(P$4:P34,SUBSTITUTE(P35,""Sell_"",""""))-COUNTIF(P$4:P34,""Sell_""&amp;SUBSTITUTE(P35,""Sell_"",""""))))/4),ROUNDUP(INDEX(Upgrades!$C$3:$C$7,MATCH(P35,Upgrades!$B$3:$B$7,0))*1.15^(COUNTIF(P$4:P34,P35)-COUNTIF(P$4:P34,""Sell_""&amp;P35)))))))"),1673.0)</f>
        <v>1673</v>
      </c>
      <c r="U35" s="14">
        <f t="shared" si="10"/>
        <v>1673</v>
      </c>
      <c r="V35" s="75">
        <f t="shared" si="11"/>
        <v>96328.39251</v>
      </c>
      <c r="W35" s="76">
        <f t="shared" si="12"/>
        <v>179.0385219</v>
      </c>
      <c r="X35" s="71" t="str">
        <f t="shared" si="13"/>
        <v>2m 59s</v>
      </c>
      <c r="Y35" s="77">
        <f t="shared" si="14"/>
        <v>10053</v>
      </c>
      <c r="Z35" s="17"/>
      <c r="AF35" s="13"/>
      <c r="AG35" s="13"/>
    </row>
    <row r="36">
      <c r="A36" s="12"/>
      <c r="B36" s="65">
        <f t="shared" si="2"/>
        <v>14</v>
      </c>
      <c r="C36" s="69" t="s">
        <v>10</v>
      </c>
      <c r="D36" s="14" t="b">
        <f>IFERROR(__xludf.DUMMYFUNCTION("IF(COUNTA(C36:C147)=0,"""",IFERROR(IF(ISBLANK(C36),FALSE,IF(ISBLANK(G36),1,IF(NOT(COUNTIF($AA$24:$AA$34,SUBSTITUTE(C36,""Sell_"",""""))),1,IF(C36=""Plastic_up"",IF(I36&lt;1000,1),IF(C36=""Super_Up"",IF(OR(COUNTIF(C$4:C36,""Grandma"")-COUNTIF(C$4:C36,""Sell_G"&amp;"randma"")&lt;1,COUNTIF(C$4:C36,VLOOKUP(C36,Upgrades!$F$8:$N$8,7+COUNTIF(C$4:C36,C36)))-COUNTIF(C$4:C36,""Sell_""&amp;VLOOKUP(C36,Upgrades!$F$8:$N$8,7+COUNTIF(C$4:C36,C36)))&lt;15),1),IF(REGEXMATCH(C36,""_up""),IF(COUNTIF(C$4:C36,SUBSTITUTE(C36,""_up"",""""))&lt;IFERRO"&amp;"R(VLOOKUP(C36,Upgrades!$L$3:$P$6,1+COUNTIF(C$4:C36,C36),0),999),1),IF(REGEXMATCH(C36,""Sell_""),IF(COUNTIF(C$4:C36,SUBSTITUTE(C36,""Sell_"",""""))-COUNTIF(C$4:C35,C36)&lt;1,1),FALSE)))))))))"),FALSE)</f>
        <v>0</v>
      </c>
      <c r="E36" s="71">
        <f>IFERROR(__xludf.DUMMYFUNCTION("IF(REGEXMATCH(C36,""^Sell_""),E35, IF(COUNTA(C36:C147)=0,"""",(COUNTIF(C$4:C36,""Cursor"")-COUNTIF(C$4:C36,""Sell_Cursor""))*(0.1*2^SWITCH(COUNTIF(C$4:C36,""Cursor_up""),0,0,1,1,2,2,3)+SWITCH(COUNTIF(C$4:C36,""Cursor_up""),4,0.1,0)*(ROW(C36)-4-COUNTIF(C$4"&amp;":C36,""Cursor"")-COUNTIF(C$4:C36,""*""&amp;""_up"")-2*COUNTIF(C$4:C36,""Sell_""&amp;""*"")+COUNTIF(C$4:C36,""Sell_Cursor"")-COUNTIF(C$4:C36,"""")))+(COUNTIF(C$4:C36,""Grandma"")-COUNTIF(C$4:C36,""Sell_Grandma""))*(1*2^(COUNTIF(C$4:C36,""Grandma_up"")+COUNTIF(C$4:"&amp;"C36,""Super_up"")))+(COUNTIF(C$4:C36,""Farm"")-COUNTIF(C$4:C36,""Sell_Farm""))*(8*2^COUNTIF(C$4:C36,""Farm_up""))*IF(COUNTIF(C$4:C36,""Super_up"")&gt;0,1+0.01*(COUNTIF(C$4:C36,""Grandma"")-COUNTIF(C$4:C36,""Sell_Grandma"")),1)+(COUNTIF(C$4:C36,""Mine"")-COUN"&amp;"TIF(C$4:C36,""Sell_Mine""))*((47*2^COUNTIF(C$4:C36,""Mine_up""))*IF(COUNTIF(C$4:C36,""Super_up"")&gt;1,1+0.005*(COUNTIF(C$4:C36,""Grandma"")-COUNTIF(C$4:C36,""Sell_Grandma"")),1))+(COUNTIF(C$4:C36,""Factory"")-COUNTIF(C$4:C36,""Sell_Factory""))*(260*2^COUNTI"&amp;"F(C$4:C36,""Factory_up""))))"),59.6)</f>
        <v>59.6</v>
      </c>
      <c r="F36" s="73">
        <f>IFERROR(__xludf.DUMMYFUNCTION("IF(COUNTA(C36:C147)=0,"""",IF(REGEXMATCH(INDEX(FILTER(C$4:C36,C$4:C36&lt;&gt;""""),ROWS(FILTER(C$4:C36,C$4:C36&lt;&gt;""""))),""^Sell_""),INDEX(FILTER(F$4:F35,C$4:C35&lt;&gt;""""),ROWS(FILTER(C$4:C35,C$4:C35&lt;&gt;""""))),$AC$5*(2^SWITCH(COUNTIF(C$4:C36,""Cursor_up""),0,0,1,1,2"&amp;",2,3)+SWITCH(COUNTIF(C$4:C36,""Cursor_up""),4,0.1,0)*(ROW(C36)-4-COUNTIF(C$4:C36,""Cursor"")-COUNTIF(C$4:C36,""*""&amp;""_up"")-2*COUNTIF(C$4:C36,""Sell_""&amp;""*"")+COUNTIF(C$4:C36,""Sell_Cursor"")-COUNTIF(C$4:C36,""""))+0.01*E36*COUNTIF(C$4:C36,""Plastic_up"")"&amp;")+E36))"),99.6)</f>
        <v>99.6</v>
      </c>
      <c r="G36" s="14">
        <f>IFERROR(__xludf.DUMMYFUNCTION("IF(COUNTA(C36:C147)=0,"""",IF(REGEXMATCH(C36,""_up""),VLOOKUP(C36,Upgrades!$F$3:$J$8,1+COUNTIF(C$4:C36,C36),FALSE),IF(C36="""",0,IF(REGEXMATCH(C36,""^Sell_""),-ROUNDDOWN(ROUNDUP(INDEX(Upgrades!$C$3:$C$8,MATCH(SUBSTITUTE(C36,""Sell_"",""""),Upgrades!$B$3:$"&amp;"B$8,0))*1.15^(COUNTIF(C$4:C35,SUBSTITUTE(C36,""Sell_"",""""))-COUNTIF(C$4:C35,""Sell_""&amp;SUBSTITUTE(C36,""Sell_"",""""))))/4),ROUNDUP(INDEX(Upgrades!$C$3:$C$7,MATCH(C36,Upgrades!$B$3:$B$7,0))*1.15^(COUNTIF(C$4:C35,C36)-COUNTIF(C$4:C35,""Sell_""&amp;C36)))))))"),93.0)</f>
        <v>93</v>
      </c>
      <c r="H36" s="14">
        <f t="shared" si="3"/>
        <v>93</v>
      </c>
      <c r="I36" s="75">
        <f t="shared" si="4"/>
        <v>103527.4334</v>
      </c>
      <c r="J36" s="76">
        <f t="shared" si="5"/>
        <v>179.9760219</v>
      </c>
      <c r="K36" s="71" t="str">
        <f t="shared" si="6"/>
        <v>2m 59s</v>
      </c>
      <c r="L36" s="77">
        <f t="shared" si="7"/>
        <v>10146</v>
      </c>
      <c r="M36" s="51">
        <f t="shared" si="8"/>
        <v>0</v>
      </c>
      <c r="N36" s="52">
        <f>IFERROR(__xludf.DUMMYFUNCTION("IFS(AND(COUNTA(C36:C147)=0,COUNTA(P36:P147)=0),"""",OR(AND(L36&gt;=1000000,OR(Y36&gt;=1000000,COUNTA(P36:P147)=0)),AND(Y36&gt;=1000000,COUNTA(C36:C147)=0),AND(COUNTA(P36:P147)=0,O$3=TRUE)),
ROUNDDOWN((AB$1-AC$1)*MAX(INDEX(S$4:S147,MATCH(LARGE(FILTER(Y$4:Y147,Y$4:Y"&amp;"147&lt;1000000),1),Y$4:Y147)),INDEX(F$4:F147,MATCH(LARGE(FILTER(L$4:L147,L$4:L147&lt;1000000),1),L$4:L147)))),AND(L36&lt;1000000,COUNTA(C36:C147)&gt;0,O$3=FALSE),
ROUNDDOWN(INDEX(Y$4:Y147,MATCH(LARGE(FILTER(W$4:W147,W$4:W147&lt;=J36),1),W$4:W147))+(J36-LARGE(FILTER(W$4:"&amp;"W147,W$4:W147&lt;=J36),1))*INDEX(S$4:S147,MATCH(LARGE(FILTER(W$4:W147,W$4:W147&lt;=J36),1),W$4:W147))-L36),1,
ROUNDDOWN(Y36-INDEX(L$4:L147,MATCH(LARGE(FILTER(J$4:J147,J$4:J147&lt;=W36),1),J$4:J147))-(W36-LARGE(FILTER(J$4:J147,J$4:J147&lt;=W36),1))*INDEX(F$4:F147,MATC"&amp;"H(LARGE(FILTER(J$4:J147,J$4:J147&lt;=W36),1),J$4:J147))))"),0.0)</f>
        <v>0</v>
      </c>
      <c r="O36" s="65">
        <f t="shared" si="9"/>
        <v>14</v>
      </c>
      <c r="P36" s="69" t="s">
        <v>10</v>
      </c>
      <c r="Q36" s="14" t="b">
        <f>IFERROR(__xludf.DUMMYFUNCTION("IF(COUNTA(P36:P147)=0,"""",IFERROR(IF(ISBLANK(P36),FALSE,IF(ISBLANK(T36),1,IF(NOT(COUNTIF($AA$24:$AA$34,SUBSTITUTE(P36,""Sell_"",""""))),1,IF(P36=""Plastic_up"",IF(V36&lt;1000,1),IF(P36=""Super_Up"",IF(OR(COUNTIF(P$4:P36,""Grandma"")-COUNTIF(P$4:P36,""Sell_G"&amp;"randma"")&lt;1,COUNTIF(P$4:P36,VLOOKUP(P36,Upgrades!$F$8:$N$8,7+COUNTIF(P$4:P36,P36)))-COUNTIF(P$4:P36,""Sell_""&amp;VLOOKUP(P36,Upgrades!$F$8:$N$8,7+COUNTIF(P$4:P36,P36)))&lt;15),1),IF(REGEXMATCH(P36,""_up""),IF(COUNTIF(P$4:P36,SUBSTITUTE(P36,""_up"",""""))&lt;IFERRO"&amp;"R(VLOOKUP(P36,Upgrades!$L$3:$P$6,1+COUNTIF(P$4:P36,P36),0),999),1),IF(REGEXMATCH(P36,""Sell_""),IF(COUNTIF(P$4:P36,SUBSTITUTE(P36,""Sell_"",""""))-COUNTIF(P$4:P35,P36)&lt;1,1),FALSE)))))))))"),FALSE)</f>
        <v>0</v>
      </c>
      <c r="R36" s="71">
        <f>IFERROR(__xludf.DUMMYFUNCTION("IF(REGEXMATCH(P36,""^Sell_""),R35, IF(COUNTA(P36:P147)=0,"""",(COUNTIF(P$4:P36,""Cursor"")-COUNTIF(P$4:P36,""Sell_Cursor""))*(0.1*2^SWITCH(COUNTIF(P$4:P36,""Cursor_up""),0,0,1,1,2,2,3)+SWITCH(COUNTIF(P$4:P36,""Cursor_up""),4,0.1,0)*(ROW(P36)-4-COUNTIF(P$4"&amp;":P36,""Cursor"")-COUNTIF(P$4:P36,""*""&amp;""_up"")-2*COUNTIF(P$4:P36,""Sell_""&amp;""*"")+COUNTIF(P$4:P36,""Sell_Cursor"")-COUNTIF(P$4:P36,"""")))+(COUNTIF(P$4:P36,""Grandma"")-COUNTIF(P$4:P36,""Sell_Grandma""))*(1*2^(COUNTIF(P$4:P36,""Grandma_up"")+COUNTIF(P$4:"&amp;"P36,""Super_up"")))+(COUNTIF(P$4:P36,""Farm"")-COUNTIF(P$4:P36,""Sell_Farm""))*(8*2^COUNTIF(P$4:P36,""Farm_up""))*IF(COUNTIF(P$4:P36,""Super_up"")&gt;0,1+0.01*(COUNTIF(P$4:P36,""Grandma"")-COUNTIF(P$4:P36,""Sell_Grandma"")),1)+(COUNTIF(P$4:P36,""Mine"")-COUN"&amp;"TIF(P$4:P36,""Sell_Mine""))*((47*2^COUNTIF(P$4:P36,""Mine_up""))*IF(COUNTIF(P$4:P36,""Super_up"")&gt;1,1+0.005*(COUNTIF(P$4:P36,""Grandma"")-COUNTIF(P$4:P36,""Sell_Grandma"")),1))+(COUNTIF(P$4:P36,""Factory"")-COUNTIF(P$4:P36,""Sell_Factory""))*(260*2^COUNTI"&amp;"F(P$4:P36,""Factory_up""))))"),59.6)</f>
        <v>59.6</v>
      </c>
      <c r="S36" s="73">
        <f>IFERROR(__xludf.DUMMYFUNCTION("IF(COUNTA(P36:P147)=0,"""",IF(REGEXMATCH(INDEX(FILTER(P$4:P36,P$4:P36&lt;&gt;""""),ROWS(FILTER(P$4:P36,P$4:P36&lt;&gt;""""))),""^Sell_""),INDEX(FILTER(S$4:S35,P$4:P35&lt;&gt;""""),ROWS(FILTER(P$4:P35,P$4:P35&lt;&gt;""""))),$AD$5*(2^SWITCH(COUNTIF(P$4:P36,""Cursor_up""),0,0,1,1,2"&amp;",2,3)+SWITCH(COUNTIF(P$4:P36,""Cursor_up""),4,0.1,0)*(ROW(P36)-4-COUNTIF(P$4:P36,""Cursor"")-COUNTIF(P$4:P36,""*""&amp;""_up"")-2*COUNTIF(P$4:P36,""Sell_""&amp;""*"")+COUNTIF(P$4:P36,""Sell_Cursor"")-COUNTIF(P$4:P36,""""))+0.01*R36*COUNTIF(P$4:P36,""Plastic_up"")"&amp;")+R36))"),99.6)</f>
        <v>99.6</v>
      </c>
      <c r="T36" s="14">
        <f>IFERROR(__xludf.DUMMYFUNCTION("IF(COUNTA(P36:P147)=0,"""",IF(REGEXMATCH(P36,""_up""),VLOOKUP(P36,Upgrades!$F$3:$J$8,1+COUNTIF(P$4:P36,P36),FALSE),IF(P36="""",0,IF(REGEXMATCH(P36,""^Sell_""),-ROUNDDOWN(ROUNDUP(INDEX(Upgrades!$C$3:$C$8,MATCH(SUBSTITUTE(P36,""Sell_"",""""),Upgrades!$B$3:$"&amp;"B$8,0))*1.15^(COUNTIF(P$4:P35,SUBSTITUTE(P36,""Sell_"",""""))-COUNTIF(P$4:P35,""Sell_""&amp;SUBSTITUTE(P36,""Sell_"",""""))))/4),ROUNDUP(INDEX(Upgrades!$C$3:$C$7,MATCH(P36,Upgrades!$B$3:$B$7,0))*1.15^(COUNTIF(P$4:P35,P36)-COUNTIF(P$4:P35,""Sell_""&amp;P36)))))))"),93.0)</f>
        <v>93</v>
      </c>
      <c r="U36" s="14">
        <f t="shared" si="10"/>
        <v>93</v>
      </c>
      <c r="V36" s="75">
        <f t="shared" si="11"/>
        <v>103527.4334</v>
      </c>
      <c r="W36" s="76">
        <f t="shared" si="12"/>
        <v>179.9760219</v>
      </c>
      <c r="X36" s="71" t="str">
        <f t="shared" si="13"/>
        <v>2m 59s</v>
      </c>
      <c r="Y36" s="77">
        <f t="shared" si="14"/>
        <v>10146</v>
      </c>
      <c r="Z36" s="17"/>
      <c r="AA36" s="113" t="s">
        <v>87</v>
      </c>
      <c r="AB36" s="113"/>
      <c r="AC36" s="113"/>
      <c r="AD36" s="113"/>
      <c r="AE36" s="114"/>
      <c r="AF36" s="13"/>
      <c r="AG36" s="13"/>
    </row>
    <row r="37">
      <c r="A37" s="12"/>
      <c r="B37" s="65">
        <f t="shared" si="2"/>
        <v>12</v>
      </c>
      <c r="C37" s="69" t="s">
        <v>13</v>
      </c>
      <c r="D37" s="14" t="b">
        <f>IFERROR(__xludf.DUMMYFUNCTION("IF(COUNTA(C37:C147)=0,"""",IFERROR(IF(ISBLANK(C37),FALSE,IF(ISBLANK(G37),1,IF(NOT(COUNTIF($AA$24:$AA$34,SUBSTITUTE(C37,""Sell_"",""""))),1,IF(C37=""Plastic_up"",IF(I37&lt;1000,1),IF(C37=""Super_Up"",IF(OR(COUNTIF(C$4:C37,""Grandma"")-COUNTIF(C$4:C37,""Sell_G"&amp;"randma"")&lt;1,COUNTIF(C$4:C37,VLOOKUP(C37,Upgrades!$F$8:$N$8,7+COUNTIF(C$4:C37,C37)))-COUNTIF(C$4:C37,""Sell_""&amp;VLOOKUP(C37,Upgrades!$F$8:$N$8,7+COUNTIF(C$4:C37,C37)))&lt;15),1),IF(REGEXMATCH(C37,""_up""),IF(COUNTIF(C$4:C37,SUBSTITUTE(C37,""_up"",""""))&lt;IFERRO"&amp;"R(VLOOKUP(C37,Upgrades!$L$3:$P$6,1+COUNTIF(C$4:C37,C37),0),999),1),IF(REGEXMATCH(C37,""Sell_""),IF(COUNTIF(C$4:C37,SUBSTITUTE(C37,""Sell_"",""""))-COUNTIF(C$4:C36,C37)&lt;1,1),FALSE)))))))))"),FALSE)</f>
        <v>0</v>
      </c>
      <c r="E37" s="71">
        <f>IFERROR(__xludf.DUMMYFUNCTION("IF(REGEXMATCH(C37,""^Sell_""),E36, IF(COUNTA(C37:C147)=0,"""",(COUNTIF(C$4:C37,""Cursor"")-COUNTIF(C$4:C37,""Sell_Cursor""))*(0.1*2^SWITCH(COUNTIF(C$4:C37,""Cursor_up""),0,0,1,1,2,2,3)+SWITCH(COUNTIF(C$4:C37,""Cursor_up""),4,0.1,0)*(ROW(C37)-4-COUNTIF(C$4"&amp;":C37,""Cursor"")-COUNTIF(C$4:C37,""*""&amp;""_up"")-2*COUNTIF(C$4:C37,""Sell_""&amp;""*"")+COUNTIF(C$4:C37,""Sell_Cursor"")-COUNTIF(C$4:C37,"""")))+(COUNTIF(C$4:C37,""Grandma"")-COUNTIF(C$4:C37,""Sell_Grandma""))*(1*2^(COUNTIF(C$4:C37,""Grandma_up"")+COUNTIF(C$4:"&amp;"C37,""Super_up"")))+(COUNTIF(C$4:C37,""Farm"")-COUNTIF(C$4:C37,""Sell_Farm""))*(8*2^COUNTIF(C$4:C37,""Farm_up""))*IF(COUNTIF(C$4:C37,""Super_up"")&gt;0,1+0.01*(COUNTIF(C$4:C37,""Grandma"")-COUNTIF(C$4:C37,""Sell_Grandma"")),1)+(COUNTIF(C$4:C37,""Mine"")-COUN"&amp;"TIF(C$4:C37,""Sell_Mine""))*((47*2^COUNTIF(C$4:C37,""Mine_up""))*IF(COUNTIF(C$4:C37,""Super_up"")&gt;1,1+0.005*(COUNTIF(C$4:C37,""Grandma"")-COUNTIF(C$4:C37,""Sell_Grandma"")),1))+(COUNTIF(C$4:C37,""Factory"")-COUNTIF(C$4:C37,""Sell_Factory""))*(260*2^COUNTI"&amp;"F(C$4:C37,""Factory_up""))))"),61.6)</f>
        <v>61.6</v>
      </c>
      <c r="F37" s="73">
        <f>IFERROR(__xludf.DUMMYFUNCTION("IF(COUNTA(C37:C147)=0,"""",IF(REGEXMATCH(INDEX(FILTER(C$4:C37,C$4:C37&lt;&gt;""""),ROWS(FILTER(C$4:C37,C$4:C37&lt;&gt;""""))),""^Sell_""),INDEX(FILTER(F$4:F36,C$4:C36&lt;&gt;""""),ROWS(FILTER(C$4:C36,C$4:C36&lt;&gt;""""))),$AC$5*(2^SWITCH(COUNTIF(C$4:C37,""Cursor_up""),0,0,1,1,2"&amp;",2,3)+SWITCH(COUNTIF(C$4:C37,""Cursor_up""),4,0.1,0)*(ROW(C37)-4-COUNTIF(C$4:C37,""Cursor"")-COUNTIF(C$4:C37,""*""&amp;""_up"")-2*COUNTIF(C$4:C37,""Sell_""&amp;""*"")+COUNTIF(C$4:C37,""Sell_Cursor"")-COUNTIF(C$4:C37,""""))+0.01*E37*COUNTIF(C$4:C37,""Plastic_up"")"&amp;")+E37))"),101.6)</f>
        <v>101.6</v>
      </c>
      <c r="G37" s="14">
        <f>IFERROR(__xludf.DUMMYFUNCTION("IF(COUNTA(C37:C147)=0,"""",IF(REGEXMATCH(C37,""_up""),VLOOKUP(C37,Upgrades!$F$3:$J$8,1+COUNTIF(C$4:C37,C37),FALSE),IF(C37="""",0,IF(REGEXMATCH(C37,""^Sell_""),-ROUNDDOWN(ROUNDUP(INDEX(Upgrades!$C$3:$C$8,MATCH(SUBSTITUTE(C37,""Sell_"",""""),Upgrades!$B$3:$"&amp;"B$8,0))*1.15^(COUNTIF(C$4:C36,SUBSTITUTE(C37,""Sell_"",""""))-COUNTIF(C$4:C36,""Sell_""&amp;SUBSTITUTE(C37,""Sell_"",""""))))/4),ROUNDUP(INDEX(Upgrades!$C$3:$C$7,MATCH(C37,Upgrades!$B$3:$B$7,0))*1.15^(COUNTIF(C$4:C36,C37)-COUNTIF(C$4:C36,""Sell_""&amp;C37)))))))"),466.0)</f>
        <v>466</v>
      </c>
      <c r="H37" s="14">
        <f t="shared" si="3"/>
        <v>466</v>
      </c>
      <c r="I37" s="75">
        <f t="shared" si="4"/>
        <v>110913.6229</v>
      </c>
      <c r="J37" s="76">
        <f t="shared" si="5"/>
        <v>184.6547368</v>
      </c>
      <c r="K37" s="71" t="str">
        <f t="shared" si="6"/>
        <v>3m 04s</v>
      </c>
      <c r="L37" s="77">
        <f t="shared" si="7"/>
        <v>10612</v>
      </c>
      <c r="M37" s="51">
        <f t="shared" si="8"/>
        <v>0</v>
      </c>
      <c r="N37" s="52">
        <f>IFERROR(__xludf.DUMMYFUNCTION("IFS(AND(COUNTA(C37:C147)=0,COUNTA(P37:P147)=0),"""",OR(AND(L37&gt;=1000000,OR(Y37&gt;=1000000,COUNTA(P37:P147)=0)),AND(Y37&gt;=1000000,COUNTA(C37:C147)=0),AND(COUNTA(P37:P147)=0,O$3=TRUE)),
ROUNDDOWN((AB$1-AC$1)*MAX(INDEX(S$4:S147,MATCH(LARGE(FILTER(Y$4:Y147,Y$4:Y"&amp;"147&lt;1000000),1),Y$4:Y147)),INDEX(F$4:F147,MATCH(LARGE(FILTER(L$4:L147,L$4:L147&lt;1000000),1),L$4:L147)))),AND(L37&lt;1000000,COUNTA(C37:C147)&gt;0,O$3=FALSE),
ROUNDDOWN(INDEX(Y$4:Y147,MATCH(LARGE(FILTER(W$4:W147,W$4:W147&lt;=J37),1),W$4:W147))+(J37-LARGE(FILTER(W$4:"&amp;"W147,W$4:W147&lt;=J37),1))*INDEX(S$4:S147,MATCH(LARGE(FILTER(W$4:W147,W$4:W147&lt;=J37),1),W$4:W147))-L37),1,
ROUNDDOWN(Y37-INDEX(L$4:L147,MATCH(LARGE(FILTER(J$4:J147,J$4:J147&lt;=W37),1),J$4:J147))-(W37-LARGE(FILTER(J$4:J147,J$4:J147&lt;=W37),1))*INDEX(F$4:F147,MATC"&amp;"H(LARGE(FILTER(J$4:J147,J$4:J147&lt;=W37),1),J$4:J147))))"),0.0)</f>
        <v>0</v>
      </c>
      <c r="O37" s="65">
        <f t="shared" si="9"/>
        <v>12</v>
      </c>
      <c r="P37" s="69" t="s">
        <v>13</v>
      </c>
      <c r="Q37" s="14" t="b">
        <f>IFERROR(__xludf.DUMMYFUNCTION("IF(COUNTA(P37:P147)=0,"""",IFERROR(IF(ISBLANK(P37),FALSE,IF(ISBLANK(T37),1,IF(NOT(COUNTIF($AA$24:$AA$34,SUBSTITUTE(P37,""Sell_"",""""))),1,IF(P37=""Plastic_up"",IF(V37&lt;1000,1),IF(P37=""Super_Up"",IF(OR(COUNTIF(P$4:P37,""Grandma"")-COUNTIF(P$4:P37,""Sell_G"&amp;"randma"")&lt;1,COUNTIF(P$4:P37,VLOOKUP(P37,Upgrades!$F$8:$N$8,7+COUNTIF(P$4:P37,P37)))-COUNTIF(P$4:P37,""Sell_""&amp;VLOOKUP(P37,Upgrades!$F$8:$N$8,7+COUNTIF(P$4:P37,P37)))&lt;15),1),IF(REGEXMATCH(P37,""_up""),IF(COUNTIF(P$4:P37,SUBSTITUTE(P37,""_up"",""""))&lt;IFERRO"&amp;"R(VLOOKUP(P37,Upgrades!$L$3:$P$6,1+COUNTIF(P$4:P37,P37),0),999),1),IF(REGEXMATCH(P37,""Sell_""),IF(COUNTIF(P$4:P37,SUBSTITUTE(P37,""Sell_"",""""))-COUNTIF(P$4:P36,P37)&lt;1,1),FALSE)))))))))"),FALSE)</f>
        <v>0</v>
      </c>
      <c r="R37" s="71">
        <f>IFERROR(__xludf.DUMMYFUNCTION("IF(REGEXMATCH(P37,""^Sell_""),R36, IF(COUNTA(P37:P147)=0,"""",(COUNTIF(P$4:P37,""Cursor"")-COUNTIF(P$4:P37,""Sell_Cursor""))*(0.1*2^SWITCH(COUNTIF(P$4:P37,""Cursor_up""),0,0,1,1,2,2,3)+SWITCH(COUNTIF(P$4:P37,""Cursor_up""),4,0.1,0)*(ROW(P37)-4-COUNTIF(P$4"&amp;":P37,""Cursor"")-COUNTIF(P$4:P37,""*""&amp;""_up"")-2*COUNTIF(P$4:P37,""Sell_""&amp;""*"")+COUNTIF(P$4:P37,""Sell_Cursor"")-COUNTIF(P$4:P37,"""")))+(COUNTIF(P$4:P37,""Grandma"")-COUNTIF(P$4:P37,""Sell_Grandma""))*(1*2^(COUNTIF(P$4:P37,""Grandma_up"")+COUNTIF(P$4:"&amp;"P37,""Super_up"")))+(COUNTIF(P$4:P37,""Farm"")-COUNTIF(P$4:P37,""Sell_Farm""))*(8*2^COUNTIF(P$4:P37,""Farm_up""))*IF(COUNTIF(P$4:P37,""Super_up"")&gt;0,1+0.01*(COUNTIF(P$4:P37,""Grandma"")-COUNTIF(P$4:P37,""Sell_Grandma"")),1)+(COUNTIF(P$4:P37,""Mine"")-COUN"&amp;"TIF(P$4:P37,""Sell_Mine""))*((47*2^COUNTIF(P$4:P37,""Mine_up""))*IF(COUNTIF(P$4:P37,""Super_up"")&gt;1,1+0.005*(COUNTIF(P$4:P37,""Grandma"")-COUNTIF(P$4:P37,""Sell_Grandma"")),1))+(COUNTIF(P$4:P37,""Factory"")-COUNTIF(P$4:P37,""Sell_Factory""))*(260*2^COUNTI"&amp;"F(P$4:P37,""Factory_up""))))"),61.6)</f>
        <v>61.6</v>
      </c>
      <c r="S37" s="73">
        <f>IFERROR(__xludf.DUMMYFUNCTION("IF(COUNTA(P37:P147)=0,"""",IF(REGEXMATCH(INDEX(FILTER(P$4:P37,P$4:P37&lt;&gt;""""),ROWS(FILTER(P$4:P37,P$4:P37&lt;&gt;""""))),""^Sell_""),INDEX(FILTER(S$4:S36,P$4:P36&lt;&gt;""""),ROWS(FILTER(P$4:P36,P$4:P36&lt;&gt;""""))),$AD$5*(2^SWITCH(COUNTIF(P$4:P37,""Cursor_up""),0,0,1,1,2"&amp;",2,3)+SWITCH(COUNTIF(P$4:P37,""Cursor_up""),4,0.1,0)*(ROW(P37)-4-COUNTIF(P$4:P37,""Cursor"")-COUNTIF(P$4:P37,""*""&amp;""_up"")-2*COUNTIF(P$4:P37,""Sell_""&amp;""*"")+COUNTIF(P$4:P37,""Sell_Cursor"")-COUNTIF(P$4:P37,""""))+0.01*R37*COUNTIF(P$4:P37,""Plastic_up"")"&amp;")+R37))"),101.6)</f>
        <v>101.6</v>
      </c>
      <c r="T37" s="14">
        <f>IFERROR(__xludf.DUMMYFUNCTION("IF(COUNTA(P37:P147)=0,"""",IF(REGEXMATCH(P37,""_up""),VLOOKUP(P37,Upgrades!$F$3:$J$8,1+COUNTIF(P$4:P37,P37),FALSE),IF(P37="""",0,IF(REGEXMATCH(P37,""^Sell_""),-ROUNDDOWN(ROUNDUP(INDEX(Upgrades!$C$3:$C$8,MATCH(SUBSTITUTE(P37,""Sell_"",""""),Upgrades!$B$3:$"&amp;"B$8,0))*1.15^(COUNTIF(P$4:P36,SUBSTITUTE(P37,""Sell_"",""""))-COUNTIF(P$4:P36,""Sell_""&amp;SUBSTITUTE(P37,""Sell_"",""""))))/4),ROUNDUP(INDEX(Upgrades!$C$3:$C$7,MATCH(P37,Upgrades!$B$3:$B$7,0))*1.15^(COUNTIF(P$4:P36,P37)-COUNTIF(P$4:P36,""Sell_""&amp;P37)))))))"),466.0)</f>
        <v>466</v>
      </c>
      <c r="U37" s="14">
        <f t="shared" si="10"/>
        <v>466</v>
      </c>
      <c r="V37" s="75">
        <f t="shared" si="11"/>
        <v>110913.6229</v>
      </c>
      <c r="W37" s="76">
        <f t="shared" si="12"/>
        <v>184.6547368</v>
      </c>
      <c r="X37" s="71" t="str">
        <f t="shared" si="13"/>
        <v>3m 04s</v>
      </c>
      <c r="Y37" s="77">
        <f t="shared" si="14"/>
        <v>10612</v>
      </c>
      <c r="Z37" s="17"/>
      <c r="AA37" s="115" t="s">
        <v>88</v>
      </c>
      <c r="AB37" s="115"/>
      <c r="AC37" s="115"/>
      <c r="AD37" s="115"/>
      <c r="AE37" s="116"/>
      <c r="AF37" s="13"/>
      <c r="AG37" s="13"/>
    </row>
    <row r="38">
      <c r="A38" s="12"/>
      <c r="B38" s="65">
        <f t="shared" si="2"/>
        <v>2</v>
      </c>
      <c r="C38" s="69" t="s">
        <v>14</v>
      </c>
      <c r="D38" s="14" t="b">
        <f>IFERROR(__xludf.DUMMYFUNCTION("IF(COUNTA(C38:C147)=0,"""",IFERROR(IF(ISBLANK(C38),FALSE,IF(ISBLANK(G38),1,IF(NOT(COUNTIF($AA$24:$AA$34,SUBSTITUTE(C38,""Sell_"",""""))),1,IF(C38=""Plastic_up"",IF(I38&lt;1000,1),IF(C38=""Super_Up"",IF(OR(COUNTIF(C$4:C38,""Grandma"")-COUNTIF(C$4:C38,""Sell_G"&amp;"randma"")&lt;1,COUNTIF(C$4:C38,VLOOKUP(C38,Upgrades!$F$8:$N$8,7+COUNTIF(C$4:C38,C38)))-COUNTIF(C$4:C38,""Sell_""&amp;VLOOKUP(C38,Upgrades!$F$8:$N$8,7+COUNTIF(C$4:C38,C38)))&lt;15),1),IF(REGEXMATCH(C38,""_up""),IF(COUNTIF(C$4:C38,SUBSTITUTE(C38,""_up"",""""))&lt;IFERRO"&amp;"R(VLOOKUP(C38,Upgrades!$L$3:$P$6,1+COUNTIF(C$4:C38,C38),0),999),1),IF(REGEXMATCH(C38,""Sell_""),IF(COUNTIF(C$4:C38,SUBSTITUTE(C38,""Sell_"",""""))-COUNTIF(C$4:C37,C38)&lt;1,1),FALSE)))))))))"),FALSE)</f>
        <v>0</v>
      </c>
      <c r="E38" s="71">
        <f>IFERROR(__xludf.DUMMYFUNCTION("IF(REGEXMATCH(C38,""^Sell_""),E37, IF(COUNTA(C38:C147)=0,"""",(COUNTIF(C$4:C38,""Cursor"")-COUNTIF(C$4:C38,""Sell_Cursor""))*(0.1*2^SWITCH(COUNTIF(C$4:C38,""Cursor_up""),0,0,1,1,2,2,3)+SWITCH(COUNTIF(C$4:C38,""Cursor_up""),4,0.1,0)*(ROW(C38)-4-COUNTIF(C$4"&amp;":C38,""Cursor"")-COUNTIF(C$4:C38,""*""&amp;""_up"")-2*COUNTIF(C$4:C38,""Sell_""&amp;""*"")+COUNTIF(C$4:C38,""Sell_Cursor"")-COUNTIF(C$4:C38,"""")))+(COUNTIF(C$4:C38,""Grandma"")-COUNTIF(C$4:C38,""Sell_Grandma""))*(1*2^(COUNTIF(C$4:C38,""Grandma_up"")+COUNTIF(C$4:"&amp;"C38,""Super_up"")))+(COUNTIF(C$4:C38,""Farm"")-COUNTIF(C$4:C38,""Sell_Farm""))*(8*2^COUNTIF(C$4:C38,""Farm_up""))*IF(COUNTIF(C$4:C38,""Super_up"")&gt;0,1+0.01*(COUNTIF(C$4:C38,""Grandma"")-COUNTIF(C$4:C38,""Sell_Grandma"")),1)+(COUNTIF(C$4:C38,""Mine"")-COUN"&amp;"TIF(C$4:C38,""Sell_Mine""))*((47*2^COUNTIF(C$4:C38,""Mine_up""))*IF(COUNTIF(C$4:C38,""Super_up"")&gt;1,1+0.005*(COUNTIF(C$4:C38,""Grandma"")-COUNTIF(C$4:C38,""Sell_Grandma"")),1))+(COUNTIF(C$4:C38,""Factory"")-COUNTIF(C$4:C38,""Sell_Factory""))*(260*2^COUNTI"&amp;"F(C$4:C38,""Factory_up""))))"),85.6)</f>
        <v>85.6</v>
      </c>
      <c r="F38" s="73">
        <f>IFERROR(__xludf.DUMMYFUNCTION("IF(COUNTA(C38:C147)=0,"""",IF(REGEXMATCH(INDEX(FILTER(C$4:C38,C$4:C38&lt;&gt;""""),ROWS(FILTER(C$4:C38,C$4:C38&lt;&gt;""""))),""^Sell_""),INDEX(FILTER(F$4:F37,C$4:C37&lt;&gt;""""),ROWS(FILTER(C$4:C37,C$4:C37&lt;&gt;""""))),$AC$5*(2^SWITCH(COUNTIF(C$4:C38,""Cursor_up""),0,0,1,1,2"&amp;",2,3)+SWITCH(COUNTIF(C$4:C38,""Cursor_up""),4,0.1,0)*(ROW(C38)-4-COUNTIF(C$4:C38,""Cursor"")-COUNTIF(C$4:C38,""*""&amp;""_up"")-2*COUNTIF(C$4:C38,""Sell_""&amp;""*"")+COUNTIF(C$4:C38,""Sell_Cursor"")-COUNTIF(C$4:C38,""""))+0.01*E38*COUNTIF(C$4:C38,""Plastic_up"")"&amp;")+E38))"),125.6)</f>
        <v>125.6</v>
      </c>
      <c r="G38" s="14">
        <f>IFERROR(__xludf.DUMMYFUNCTION("IF(COUNTA(C38:C147)=0,"""",IF(REGEXMATCH(C38,""_up""),VLOOKUP(C38,Upgrades!$F$3:$J$8,1+COUNTIF(C$4:C38,C38),FALSE),IF(C38="""",0,IF(REGEXMATCH(C38,""^Sell_""),-ROUNDDOWN(ROUNDUP(INDEX(Upgrades!$C$3:$C$8,MATCH(SUBSTITUTE(C38,""Sell_"",""""),Upgrades!$B$3:$"&amp;"B$8,0))*1.15^(COUNTIF(C$4:C37,SUBSTITUTE(C38,""Sell_"",""""))-COUNTIF(C$4:C37,""Sell_""&amp;SUBSTITUTE(C38,""Sell_"",""""))))/4),ROUNDUP(INDEX(Upgrades!$C$3:$C$7,MATCH(C38,Upgrades!$B$3:$B$7,0))*1.15^(COUNTIF(C$4:C37,C38)-COUNTIF(C$4:C37,""Sell_""&amp;C38)))))))"),5000.0)</f>
        <v>5000</v>
      </c>
      <c r="H38" s="14">
        <f t="shared" si="3"/>
        <v>5000</v>
      </c>
      <c r="I38" s="75">
        <f t="shared" si="4"/>
        <v>120268.3163</v>
      </c>
      <c r="J38" s="76">
        <f t="shared" si="5"/>
        <v>233.8673352</v>
      </c>
      <c r="K38" s="71" t="str">
        <f t="shared" si="6"/>
        <v>3m 53s</v>
      </c>
      <c r="L38" s="77">
        <f t="shared" si="7"/>
        <v>15612</v>
      </c>
      <c r="M38" s="51">
        <f t="shared" si="8"/>
        <v>0</v>
      </c>
      <c r="N38" s="52">
        <f>IFERROR(__xludf.DUMMYFUNCTION("IFS(AND(COUNTA(C38:C147)=0,COUNTA(P38:P147)=0),"""",OR(AND(L38&gt;=1000000,OR(Y38&gt;=1000000,COUNTA(P38:P147)=0)),AND(Y38&gt;=1000000,COUNTA(C38:C147)=0),AND(COUNTA(P38:P147)=0,O$3=TRUE)),
ROUNDDOWN((AB$1-AC$1)*MAX(INDEX(S$4:S147,MATCH(LARGE(FILTER(Y$4:Y147,Y$4:Y"&amp;"147&lt;1000000),1),Y$4:Y147)),INDEX(F$4:F147,MATCH(LARGE(FILTER(L$4:L147,L$4:L147&lt;1000000),1),L$4:L147)))),AND(L38&lt;1000000,COUNTA(C38:C147)&gt;0,O$3=FALSE),
ROUNDDOWN(INDEX(Y$4:Y147,MATCH(LARGE(FILTER(W$4:W147,W$4:W147&lt;=J38),1),W$4:W147))+(J38-LARGE(FILTER(W$4:"&amp;"W147,W$4:W147&lt;=J38),1))*INDEX(S$4:S147,MATCH(LARGE(FILTER(W$4:W147,W$4:W147&lt;=J38),1),W$4:W147))-L38),1,
ROUNDDOWN(Y38-INDEX(L$4:L147,MATCH(LARGE(FILTER(J$4:J147,J$4:J147&lt;=W38),1),J$4:J147))-(W38-LARGE(FILTER(J$4:J147,J$4:J147&lt;=W38),1))*INDEX(F$4:F147,MATC"&amp;"H(LARGE(FILTER(J$4:J147,J$4:J147&lt;=W38),1),J$4:J147))))"),0.0)</f>
        <v>0</v>
      </c>
      <c r="O38" s="65">
        <f t="shared" si="9"/>
        <v>2</v>
      </c>
      <c r="P38" s="69" t="s">
        <v>14</v>
      </c>
      <c r="Q38" s="14" t="b">
        <f>IFERROR(__xludf.DUMMYFUNCTION("IF(COUNTA(P38:P147)=0,"""",IFERROR(IF(ISBLANK(P38),FALSE,IF(ISBLANK(T38),1,IF(NOT(COUNTIF($AA$24:$AA$34,SUBSTITUTE(P38,""Sell_"",""""))),1,IF(P38=""Plastic_up"",IF(V38&lt;1000,1),IF(P38=""Super_Up"",IF(OR(COUNTIF(P$4:P38,""Grandma"")-COUNTIF(P$4:P38,""Sell_G"&amp;"randma"")&lt;1,COUNTIF(P$4:P38,VLOOKUP(P38,Upgrades!$F$8:$N$8,7+COUNTIF(P$4:P38,P38)))-COUNTIF(P$4:P38,""Sell_""&amp;VLOOKUP(P38,Upgrades!$F$8:$N$8,7+COUNTIF(P$4:P38,P38)))&lt;15),1),IF(REGEXMATCH(P38,""_up""),IF(COUNTIF(P$4:P38,SUBSTITUTE(P38,""_up"",""""))&lt;IFERRO"&amp;"R(VLOOKUP(P38,Upgrades!$L$3:$P$6,1+COUNTIF(P$4:P38,P38),0),999),1),IF(REGEXMATCH(P38,""Sell_""),IF(COUNTIF(P$4:P38,SUBSTITUTE(P38,""Sell_"",""""))-COUNTIF(P$4:P37,P38)&lt;1,1),FALSE)))))))))"),FALSE)</f>
        <v>0</v>
      </c>
      <c r="R38" s="71">
        <f>IFERROR(__xludf.DUMMYFUNCTION("IF(REGEXMATCH(P38,""^Sell_""),R37, IF(COUNTA(P38:P147)=0,"""",(COUNTIF(P$4:P38,""Cursor"")-COUNTIF(P$4:P38,""Sell_Cursor""))*(0.1*2^SWITCH(COUNTIF(P$4:P38,""Cursor_up""),0,0,1,1,2,2,3)+SWITCH(COUNTIF(P$4:P38,""Cursor_up""),4,0.1,0)*(ROW(P38)-4-COUNTIF(P$4"&amp;":P38,""Cursor"")-COUNTIF(P$4:P38,""*""&amp;""_up"")-2*COUNTIF(P$4:P38,""Sell_""&amp;""*"")+COUNTIF(P$4:P38,""Sell_Cursor"")-COUNTIF(P$4:P38,"""")))+(COUNTIF(P$4:P38,""Grandma"")-COUNTIF(P$4:P38,""Sell_Grandma""))*(1*2^(COUNTIF(P$4:P38,""Grandma_up"")+COUNTIF(P$4:"&amp;"P38,""Super_up"")))+(COUNTIF(P$4:P38,""Farm"")-COUNTIF(P$4:P38,""Sell_Farm""))*(8*2^COUNTIF(P$4:P38,""Farm_up""))*IF(COUNTIF(P$4:P38,""Super_up"")&gt;0,1+0.01*(COUNTIF(P$4:P38,""Grandma"")-COUNTIF(P$4:P38,""Sell_Grandma"")),1)+(COUNTIF(P$4:P38,""Mine"")-COUN"&amp;"TIF(P$4:P38,""Sell_Mine""))*((47*2^COUNTIF(P$4:P38,""Mine_up""))*IF(COUNTIF(P$4:P38,""Super_up"")&gt;1,1+0.005*(COUNTIF(P$4:P38,""Grandma"")-COUNTIF(P$4:P38,""Sell_Grandma"")),1))+(COUNTIF(P$4:P38,""Factory"")-COUNTIF(P$4:P38,""Sell_Factory""))*(260*2^COUNTI"&amp;"F(P$4:P38,""Factory_up""))))"),85.6)</f>
        <v>85.6</v>
      </c>
      <c r="S38" s="73">
        <f>IFERROR(__xludf.DUMMYFUNCTION("IF(COUNTA(P38:P147)=0,"""",IF(REGEXMATCH(INDEX(FILTER(P$4:P38,P$4:P38&lt;&gt;""""),ROWS(FILTER(P$4:P38,P$4:P38&lt;&gt;""""))),""^Sell_""),INDEX(FILTER(S$4:S37,P$4:P37&lt;&gt;""""),ROWS(FILTER(P$4:P37,P$4:P37&lt;&gt;""""))),$AD$5*(2^SWITCH(COUNTIF(P$4:P38,""Cursor_up""),0,0,1,1,2"&amp;",2,3)+SWITCH(COUNTIF(P$4:P38,""Cursor_up""),4,0.1,0)*(ROW(P38)-4-COUNTIF(P$4:P38,""Cursor"")-COUNTIF(P$4:P38,""*""&amp;""_up"")-2*COUNTIF(P$4:P38,""Sell_""&amp;""*"")+COUNTIF(P$4:P38,""Sell_Cursor"")-COUNTIF(P$4:P38,""""))+0.01*R38*COUNTIF(P$4:P38,""Plastic_up"")"&amp;")+R38))"),125.6)</f>
        <v>125.6</v>
      </c>
      <c r="T38" s="14">
        <f>IFERROR(__xludf.DUMMYFUNCTION("IF(COUNTA(P38:P147)=0,"""",IF(REGEXMATCH(P38,""_up""),VLOOKUP(P38,Upgrades!$F$3:$J$8,1+COUNTIF(P$4:P38,P38),FALSE),IF(P38="""",0,IF(REGEXMATCH(P38,""^Sell_""),-ROUNDDOWN(ROUNDUP(INDEX(Upgrades!$C$3:$C$8,MATCH(SUBSTITUTE(P38,""Sell_"",""""),Upgrades!$B$3:$"&amp;"B$8,0))*1.15^(COUNTIF(P$4:P37,SUBSTITUTE(P38,""Sell_"",""""))-COUNTIF(P$4:P37,""Sell_""&amp;SUBSTITUTE(P38,""Sell_"",""""))))/4),ROUNDUP(INDEX(Upgrades!$C$3:$C$7,MATCH(P38,Upgrades!$B$3:$B$7,0))*1.15^(COUNTIF(P$4:P37,P38)-COUNTIF(P$4:P37,""Sell_""&amp;P38)))))))"),5000.0)</f>
        <v>5000</v>
      </c>
      <c r="U38" s="14">
        <f t="shared" si="10"/>
        <v>5000</v>
      </c>
      <c r="V38" s="75">
        <f t="shared" si="11"/>
        <v>120268.3163</v>
      </c>
      <c r="W38" s="76">
        <f t="shared" si="12"/>
        <v>233.8673352</v>
      </c>
      <c r="X38" s="71" t="str">
        <f t="shared" si="13"/>
        <v>3m 53s</v>
      </c>
      <c r="Y38" s="77">
        <f t="shared" si="14"/>
        <v>15612</v>
      </c>
      <c r="Z38" s="17"/>
      <c r="AF38" s="13"/>
      <c r="AG38" s="13"/>
    </row>
    <row r="39">
      <c r="A39" s="12"/>
      <c r="B39" s="65">
        <f t="shared" si="2"/>
        <v>13</v>
      </c>
      <c r="C39" s="69" t="s">
        <v>13</v>
      </c>
      <c r="D39" s="14" t="b">
        <f>IFERROR(__xludf.DUMMYFUNCTION("IF(COUNTA(C39:C147)=0,"""",IFERROR(IF(ISBLANK(C39),FALSE,IF(ISBLANK(G39),1,IF(NOT(COUNTIF($AA$24:$AA$34,SUBSTITUTE(C39,""Sell_"",""""))),1,IF(C39=""Plastic_up"",IF(I39&lt;1000,1),IF(C39=""Super_Up"",IF(OR(COUNTIF(C$4:C39,""Grandma"")-COUNTIF(C$4:C39,""Sell_G"&amp;"randma"")&lt;1,COUNTIF(C$4:C39,VLOOKUP(C39,Upgrades!$F$8:$N$8,7+COUNTIF(C$4:C39,C39)))-COUNTIF(C$4:C39,""Sell_""&amp;VLOOKUP(C39,Upgrades!$F$8:$N$8,7+COUNTIF(C$4:C39,C39)))&lt;15),1),IF(REGEXMATCH(C39,""_up""),IF(COUNTIF(C$4:C39,SUBSTITUTE(C39,""_up"",""""))&lt;IFERRO"&amp;"R(VLOOKUP(C39,Upgrades!$L$3:$P$6,1+COUNTIF(C$4:C39,C39),0),999),1),IF(REGEXMATCH(C39,""Sell_""),IF(COUNTIF(C$4:C39,SUBSTITUTE(C39,""Sell_"",""""))-COUNTIF(C$4:C38,C39)&lt;1,1),FALSE)))))))))"),FALSE)</f>
        <v>0</v>
      </c>
      <c r="E39" s="71">
        <f>IFERROR(__xludf.DUMMYFUNCTION("IF(REGEXMATCH(C39,""^Sell_""),E38, IF(COUNTA(C39:C147)=0,"""",(COUNTIF(C$4:C39,""Cursor"")-COUNTIF(C$4:C39,""Sell_Cursor""))*(0.1*2^SWITCH(COUNTIF(C$4:C39,""Cursor_up""),0,0,1,1,2,2,3)+SWITCH(COUNTIF(C$4:C39,""Cursor_up""),4,0.1,0)*(ROW(C39)-4-COUNTIF(C$4"&amp;":C39,""Cursor"")-COUNTIF(C$4:C39,""*""&amp;""_up"")-2*COUNTIF(C$4:C39,""Sell_""&amp;""*"")+COUNTIF(C$4:C39,""Sell_Cursor"")-COUNTIF(C$4:C39,"""")))+(COUNTIF(C$4:C39,""Grandma"")-COUNTIF(C$4:C39,""Sell_Grandma""))*(1*2^(COUNTIF(C$4:C39,""Grandma_up"")+COUNTIF(C$4:"&amp;"C39,""Super_up"")))+(COUNTIF(C$4:C39,""Farm"")-COUNTIF(C$4:C39,""Sell_Farm""))*(8*2^COUNTIF(C$4:C39,""Farm_up""))*IF(COUNTIF(C$4:C39,""Super_up"")&gt;0,1+0.01*(COUNTIF(C$4:C39,""Grandma"")-COUNTIF(C$4:C39,""Sell_Grandma"")),1)+(COUNTIF(C$4:C39,""Mine"")-COUN"&amp;"TIF(C$4:C39,""Sell_Mine""))*((47*2^COUNTIF(C$4:C39,""Mine_up""))*IF(COUNTIF(C$4:C39,""Super_up"")&gt;1,1+0.005*(COUNTIF(C$4:C39,""Grandma"")-COUNTIF(C$4:C39,""Sell_Grandma"")),1))+(COUNTIF(C$4:C39,""Factory"")-COUNTIF(C$4:C39,""Sell_Factory""))*(260*2^COUNTI"&amp;"F(C$4:C39,""Factory_up""))))"),89.6)</f>
        <v>89.6</v>
      </c>
      <c r="F39" s="73">
        <f>IFERROR(__xludf.DUMMYFUNCTION("IF(COUNTA(C39:C147)=0,"""",IF(REGEXMATCH(INDEX(FILTER(C$4:C39,C$4:C39&lt;&gt;""""),ROWS(FILTER(C$4:C39,C$4:C39&lt;&gt;""""))),""^Sell_""),INDEX(FILTER(F$4:F38,C$4:C38&lt;&gt;""""),ROWS(FILTER(C$4:C38,C$4:C38&lt;&gt;""""))),$AC$5*(2^SWITCH(COUNTIF(C$4:C39,""Cursor_up""),0,0,1,1,2"&amp;",2,3)+SWITCH(COUNTIF(C$4:C39,""Cursor_up""),4,0.1,0)*(ROW(C39)-4-COUNTIF(C$4:C39,""Cursor"")-COUNTIF(C$4:C39,""*""&amp;""_up"")-2*COUNTIF(C$4:C39,""Sell_""&amp;""*"")+COUNTIF(C$4:C39,""Sell_Cursor"")-COUNTIF(C$4:C39,""""))+0.01*E39*COUNTIF(C$4:C39,""Plastic_up"")"&amp;")+E39))"),129.6)</f>
        <v>129.6</v>
      </c>
      <c r="G39" s="14">
        <f>IFERROR(__xludf.DUMMYFUNCTION("IF(COUNTA(C39:C147)=0,"""",IF(REGEXMATCH(C39,""_up""),VLOOKUP(C39,Upgrades!$F$3:$J$8,1+COUNTIF(C$4:C39,C39),FALSE),IF(C39="""",0,IF(REGEXMATCH(C39,""^Sell_""),-ROUNDDOWN(ROUNDUP(INDEX(Upgrades!$C$3:$C$8,MATCH(SUBSTITUTE(C39,""Sell_"",""""),Upgrades!$B$3:$"&amp;"B$8,0))*1.15^(COUNTIF(C$4:C38,SUBSTITUTE(C39,""Sell_"",""""))-COUNTIF(C$4:C38,""Sell_""&amp;SUBSTITUTE(C39,""Sell_"",""""))))/4),ROUNDUP(INDEX(Upgrades!$C$3:$C$7,MATCH(C39,Upgrades!$B$3:$B$7,0))*1.15^(COUNTIF(C$4:C38,C39)-COUNTIF(C$4:C38,""Sell_""&amp;C39)))))))"),536.0)</f>
        <v>536</v>
      </c>
      <c r="H39" s="14">
        <f t="shared" si="3"/>
        <v>536</v>
      </c>
      <c r="I39" s="75">
        <f t="shared" si="4"/>
        <v>129793.7103</v>
      </c>
      <c r="J39" s="76">
        <f t="shared" si="5"/>
        <v>238.1348511</v>
      </c>
      <c r="K39" s="71" t="str">
        <f t="shared" si="6"/>
        <v>3m 58s</v>
      </c>
      <c r="L39" s="77">
        <f t="shared" si="7"/>
        <v>16148</v>
      </c>
      <c r="M39" s="51">
        <f t="shared" si="8"/>
        <v>0</v>
      </c>
      <c r="N39" s="52">
        <f>IFERROR(__xludf.DUMMYFUNCTION("IFS(AND(COUNTA(C39:C147)=0,COUNTA(P39:P147)=0),"""",OR(AND(L39&gt;=1000000,OR(Y39&gt;=1000000,COUNTA(P39:P147)=0)),AND(Y39&gt;=1000000,COUNTA(C39:C147)=0),AND(COUNTA(P39:P147)=0,O$3=TRUE)),
ROUNDDOWN((AB$1-AC$1)*MAX(INDEX(S$4:S147,MATCH(LARGE(FILTER(Y$4:Y147,Y$4:Y"&amp;"147&lt;1000000),1),Y$4:Y147)),INDEX(F$4:F147,MATCH(LARGE(FILTER(L$4:L147,L$4:L147&lt;1000000),1),L$4:L147)))),AND(L39&lt;1000000,COUNTA(C39:C147)&gt;0,O$3=FALSE),
ROUNDDOWN(INDEX(Y$4:Y147,MATCH(LARGE(FILTER(W$4:W147,W$4:W147&lt;=J39),1),W$4:W147))+(J39-LARGE(FILTER(W$4:"&amp;"W147,W$4:W147&lt;=J39),1))*INDEX(S$4:S147,MATCH(LARGE(FILTER(W$4:W147,W$4:W147&lt;=J39),1),W$4:W147))-L39),1,
ROUNDDOWN(Y39-INDEX(L$4:L147,MATCH(LARGE(FILTER(J$4:J147,J$4:J147&lt;=W39),1),J$4:J147))-(W39-LARGE(FILTER(J$4:J147,J$4:J147&lt;=W39),1))*INDEX(F$4:F147,MATC"&amp;"H(LARGE(FILTER(J$4:J147,J$4:J147&lt;=W39),1),J$4:J147))))"),0.0)</f>
        <v>0</v>
      </c>
      <c r="O39" s="65">
        <f t="shared" si="9"/>
        <v>13</v>
      </c>
      <c r="P39" s="69" t="s">
        <v>13</v>
      </c>
      <c r="Q39" s="14" t="b">
        <f>IFERROR(__xludf.DUMMYFUNCTION("IF(COUNTA(P39:P147)=0,"""",IFERROR(IF(ISBLANK(P39),FALSE,IF(ISBLANK(T39),1,IF(NOT(COUNTIF($AA$24:$AA$34,SUBSTITUTE(P39,""Sell_"",""""))),1,IF(P39=""Plastic_up"",IF(V39&lt;1000,1),IF(P39=""Super_Up"",IF(OR(COUNTIF(P$4:P39,""Grandma"")-COUNTIF(P$4:P39,""Sell_G"&amp;"randma"")&lt;1,COUNTIF(P$4:P39,VLOOKUP(P39,Upgrades!$F$8:$N$8,7+COUNTIF(P$4:P39,P39)))-COUNTIF(P$4:P39,""Sell_""&amp;VLOOKUP(P39,Upgrades!$F$8:$N$8,7+COUNTIF(P$4:P39,P39)))&lt;15),1),IF(REGEXMATCH(P39,""_up""),IF(COUNTIF(P$4:P39,SUBSTITUTE(P39,""_up"",""""))&lt;IFERRO"&amp;"R(VLOOKUP(P39,Upgrades!$L$3:$P$6,1+COUNTIF(P$4:P39,P39),0),999),1),IF(REGEXMATCH(P39,""Sell_""),IF(COUNTIF(P$4:P39,SUBSTITUTE(P39,""Sell_"",""""))-COUNTIF(P$4:P38,P39)&lt;1,1),FALSE)))))))))"),FALSE)</f>
        <v>0</v>
      </c>
      <c r="R39" s="71">
        <f>IFERROR(__xludf.DUMMYFUNCTION("IF(REGEXMATCH(P39,""^Sell_""),R38, IF(COUNTA(P39:P147)=0,"""",(COUNTIF(P$4:P39,""Cursor"")-COUNTIF(P$4:P39,""Sell_Cursor""))*(0.1*2^SWITCH(COUNTIF(P$4:P39,""Cursor_up""),0,0,1,1,2,2,3)+SWITCH(COUNTIF(P$4:P39,""Cursor_up""),4,0.1,0)*(ROW(P39)-4-COUNTIF(P$4"&amp;":P39,""Cursor"")-COUNTIF(P$4:P39,""*""&amp;""_up"")-2*COUNTIF(P$4:P39,""Sell_""&amp;""*"")+COUNTIF(P$4:P39,""Sell_Cursor"")-COUNTIF(P$4:P39,"""")))+(COUNTIF(P$4:P39,""Grandma"")-COUNTIF(P$4:P39,""Sell_Grandma""))*(1*2^(COUNTIF(P$4:P39,""Grandma_up"")+COUNTIF(P$4:"&amp;"P39,""Super_up"")))+(COUNTIF(P$4:P39,""Farm"")-COUNTIF(P$4:P39,""Sell_Farm""))*(8*2^COUNTIF(P$4:P39,""Farm_up""))*IF(COUNTIF(P$4:P39,""Super_up"")&gt;0,1+0.01*(COUNTIF(P$4:P39,""Grandma"")-COUNTIF(P$4:P39,""Sell_Grandma"")),1)+(COUNTIF(P$4:P39,""Mine"")-COUN"&amp;"TIF(P$4:P39,""Sell_Mine""))*((47*2^COUNTIF(P$4:P39,""Mine_up""))*IF(COUNTIF(P$4:P39,""Super_up"")&gt;1,1+0.005*(COUNTIF(P$4:P39,""Grandma"")-COUNTIF(P$4:P39,""Sell_Grandma"")),1))+(COUNTIF(P$4:P39,""Factory"")-COUNTIF(P$4:P39,""Sell_Factory""))*(260*2^COUNTI"&amp;"F(P$4:P39,""Factory_up""))))"),89.6)</f>
        <v>89.6</v>
      </c>
      <c r="S39" s="73">
        <f>IFERROR(__xludf.DUMMYFUNCTION("IF(COUNTA(P39:P147)=0,"""",IF(REGEXMATCH(INDEX(FILTER(P$4:P39,P$4:P39&lt;&gt;""""),ROWS(FILTER(P$4:P39,P$4:P39&lt;&gt;""""))),""^Sell_""),INDEX(FILTER(S$4:S38,P$4:P38&lt;&gt;""""),ROWS(FILTER(P$4:P38,P$4:P38&lt;&gt;""""))),$AD$5*(2^SWITCH(COUNTIF(P$4:P39,""Cursor_up""),0,0,1,1,2"&amp;",2,3)+SWITCH(COUNTIF(P$4:P39,""Cursor_up""),4,0.1,0)*(ROW(P39)-4-COUNTIF(P$4:P39,""Cursor"")-COUNTIF(P$4:P39,""*""&amp;""_up"")-2*COUNTIF(P$4:P39,""Sell_""&amp;""*"")+COUNTIF(P$4:P39,""Sell_Cursor"")-COUNTIF(P$4:P39,""""))+0.01*R39*COUNTIF(P$4:P39,""Plastic_up"")"&amp;")+R39))"),129.6)</f>
        <v>129.6</v>
      </c>
      <c r="T39" s="14">
        <f>IFERROR(__xludf.DUMMYFUNCTION("IF(COUNTA(P39:P147)=0,"""",IF(REGEXMATCH(P39,""_up""),VLOOKUP(P39,Upgrades!$F$3:$J$8,1+COUNTIF(P$4:P39,P39),FALSE),IF(P39="""",0,IF(REGEXMATCH(P39,""^Sell_""),-ROUNDDOWN(ROUNDUP(INDEX(Upgrades!$C$3:$C$8,MATCH(SUBSTITUTE(P39,""Sell_"",""""),Upgrades!$B$3:$"&amp;"B$8,0))*1.15^(COUNTIF(P$4:P38,SUBSTITUTE(P39,""Sell_"",""""))-COUNTIF(P$4:P38,""Sell_""&amp;SUBSTITUTE(P39,""Sell_"",""""))))/4),ROUNDUP(INDEX(Upgrades!$C$3:$C$7,MATCH(P39,Upgrades!$B$3:$B$7,0))*1.15^(COUNTIF(P$4:P38,P39)-COUNTIF(P$4:P38,""Sell_""&amp;P39)))))))"),536.0)</f>
        <v>536</v>
      </c>
      <c r="U39" s="14">
        <f t="shared" si="10"/>
        <v>536</v>
      </c>
      <c r="V39" s="75">
        <f t="shared" si="11"/>
        <v>129793.7103</v>
      </c>
      <c r="W39" s="76">
        <f t="shared" si="12"/>
        <v>238.1348511</v>
      </c>
      <c r="X39" s="71" t="str">
        <f t="shared" si="13"/>
        <v>3m 58s</v>
      </c>
      <c r="Y39" s="77">
        <f t="shared" si="14"/>
        <v>16148</v>
      </c>
      <c r="Z39" s="17"/>
      <c r="AA39" s="87" t="s">
        <v>63</v>
      </c>
      <c r="AB39" s="88"/>
      <c r="AC39" s="81" t="str">
        <f>IF(AF2&lt;0,"YES","NO")</f>
        <v>YES</v>
      </c>
      <c r="AD39" s="117" t="s">
        <v>86</v>
      </c>
      <c r="AE39" s="79"/>
    </row>
    <row r="40">
      <c r="A40" s="12"/>
      <c r="B40" s="65">
        <f t="shared" si="2"/>
        <v>14</v>
      </c>
      <c r="C40" s="69" t="s">
        <v>13</v>
      </c>
      <c r="D40" s="14" t="b">
        <f>IFERROR(__xludf.DUMMYFUNCTION("IF(COUNTA(C40:C147)=0,"""",IFERROR(IF(ISBLANK(C40),FALSE,IF(ISBLANK(G40),1,IF(NOT(COUNTIF($AA$24:$AA$34,SUBSTITUTE(C40,""Sell_"",""""))),1,IF(C40=""Plastic_up"",IF(I40&lt;1000,1),IF(C40=""Super_Up"",IF(OR(COUNTIF(C$4:C40,""Grandma"")-COUNTIF(C$4:C40,""Sell_G"&amp;"randma"")&lt;1,COUNTIF(C$4:C40,VLOOKUP(C40,Upgrades!$F$8:$N$8,7+COUNTIF(C$4:C40,C40)))-COUNTIF(C$4:C40,""Sell_""&amp;VLOOKUP(C40,Upgrades!$F$8:$N$8,7+COUNTIF(C$4:C40,C40)))&lt;15),1),IF(REGEXMATCH(C40,""_up""),IF(COUNTIF(C$4:C40,SUBSTITUTE(C40,""_up"",""""))&lt;IFERRO"&amp;"R(VLOOKUP(C40,Upgrades!$L$3:$P$6,1+COUNTIF(C$4:C40,C40),0),999),1),IF(REGEXMATCH(C40,""Sell_""),IF(COUNTIF(C$4:C40,SUBSTITUTE(C40,""Sell_"",""""))-COUNTIF(C$4:C39,C40)&lt;1,1),FALSE)))))))))"),FALSE)</f>
        <v>0</v>
      </c>
      <c r="E40" s="71">
        <f>IFERROR(__xludf.DUMMYFUNCTION("IF(REGEXMATCH(C40,""^Sell_""),E39, IF(COUNTA(C40:C147)=0,"""",(COUNTIF(C$4:C40,""Cursor"")-COUNTIF(C$4:C40,""Sell_Cursor""))*(0.1*2^SWITCH(COUNTIF(C$4:C40,""Cursor_up""),0,0,1,1,2,2,3)+SWITCH(COUNTIF(C$4:C40,""Cursor_up""),4,0.1,0)*(ROW(C40)-4-COUNTIF(C$4"&amp;":C40,""Cursor"")-COUNTIF(C$4:C40,""*""&amp;""_up"")-2*COUNTIF(C$4:C40,""Sell_""&amp;""*"")+COUNTIF(C$4:C40,""Sell_Cursor"")-COUNTIF(C$4:C40,"""")))+(COUNTIF(C$4:C40,""Grandma"")-COUNTIF(C$4:C40,""Sell_Grandma""))*(1*2^(COUNTIF(C$4:C40,""Grandma_up"")+COUNTIF(C$4:"&amp;"C40,""Super_up"")))+(COUNTIF(C$4:C40,""Farm"")-COUNTIF(C$4:C40,""Sell_Farm""))*(8*2^COUNTIF(C$4:C40,""Farm_up""))*IF(COUNTIF(C$4:C40,""Super_up"")&gt;0,1+0.01*(COUNTIF(C$4:C40,""Grandma"")-COUNTIF(C$4:C40,""Sell_Grandma"")),1)+(COUNTIF(C$4:C40,""Mine"")-COUN"&amp;"TIF(C$4:C40,""Sell_Mine""))*((47*2^COUNTIF(C$4:C40,""Mine_up""))*IF(COUNTIF(C$4:C40,""Super_up"")&gt;1,1+0.005*(COUNTIF(C$4:C40,""Grandma"")-COUNTIF(C$4:C40,""Sell_Grandma"")),1))+(COUNTIF(C$4:C40,""Factory"")-COUNTIF(C$4:C40,""Sell_Factory""))*(260*2^COUNTI"&amp;"F(C$4:C40,""Factory_up""))))"),93.6)</f>
        <v>93.6</v>
      </c>
      <c r="F40" s="73">
        <f>IFERROR(__xludf.DUMMYFUNCTION("IF(COUNTA(C40:C147)=0,"""",IF(REGEXMATCH(INDEX(FILTER(C$4:C40,C$4:C40&lt;&gt;""""),ROWS(FILTER(C$4:C40,C$4:C40&lt;&gt;""""))),""^Sell_""),INDEX(FILTER(F$4:F39,C$4:C39&lt;&gt;""""),ROWS(FILTER(C$4:C39,C$4:C39&lt;&gt;""""))),$AC$5*(2^SWITCH(COUNTIF(C$4:C40,""Cursor_up""),0,0,1,1,2"&amp;",2,3)+SWITCH(COUNTIF(C$4:C40,""Cursor_up""),4,0.1,0)*(ROW(C40)-4-COUNTIF(C$4:C40,""Cursor"")-COUNTIF(C$4:C40,""*""&amp;""_up"")-2*COUNTIF(C$4:C40,""Sell_""&amp;""*"")+COUNTIF(C$4:C40,""Sell_Cursor"")-COUNTIF(C$4:C40,""""))+0.01*E40*COUNTIF(C$4:C40,""Plastic_up"")"&amp;")+E40))"),133.6)</f>
        <v>133.6</v>
      </c>
      <c r="G40" s="14">
        <f>IFERROR(__xludf.DUMMYFUNCTION("IF(COUNTA(C40:C147)=0,"""",IF(REGEXMATCH(C40,""_up""),VLOOKUP(C40,Upgrades!$F$3:$J$8,1+COUNTIF(C$4:C40,C40),FALSE),IF(C40="""",0,IF(REGEXMATCH(C40,""^Sell_""),-ROUNDDOWN(ROUNDUP(INDEX(Upgrades!$C$3:$C$8,MATCH(SUBSTITUTE(C40,""Sell_"",""""),Upgrades!$B$3:$"&amp;"B$8,0))*1.15^(COUNTIF(C$4:C39,SUBSTITUTE(C40,""Sell_"",""""))-COUNTIF(C$4:C39,""Sell_""&amp;SUBSTITUTE(C40,""Sell_"",""""))))/4),ROUNDUP(INDEX(Upgrades!$C$3:$C$7,MATCH(C40,Upgrades!$B$3:$B$7,0))*1.15^(COUNTIF(C$4:C39,C40)-COUNTIF(C$4:C39,""Sell_""&amp;C40)))))))"),616.0)</f>
        <v>616</v>
      </c>
      <c r="H40" s="14">
        <f t="shared" si="3"/>
        <v>616</v>
      </c>
      <c r="I40" s="75">
        <f t="shared" si="4"/>
        <v>139509.2278</v>
      </c>
      <c r="J40" s="76">
        <f t="shared" si="5"/>
        <v>242.8879375</v>
      </c>
      <c r="K40" s="71" t="str">
        <f t="shared" si="6"/>
        <v>4m 02s</v>
      </c>
      <c r="L40" s="77">
        <f t="shared" si="7"/>
        <v>16764</v>
      </c>
      <c r="M40" s="51">
        <f t="shared" si="8"/>
        <v>0</v>
      </c>
      <c r="N40" s="52">
        <f>IFERROR(__xludf.DUMMYFUNCTION("IFS(AND(COUNTA(C40:C147)=0,COUNTA(P40:P147)=0),"""",OR(AND(L40&gt;=1000000,OR(Y40&gt;=1000000,COUNTA(P40:P147)=0)),AND(Y40&gt;=1000000,COUNTA(C40:C147)=0),AND(COUNTA(P40:P147)=0,O$3=TRUE)),
ROUNDDOWN((AB$1-AC$1)*MAX(INDEX(S$4:S147,MATCH(LARGE(FILTER(Y$4:Y147,Y$4:Y"&amp;"147&lt;1000000),1),Y$4:Y147)),INDEX(F$4:F147,MATCH(LARGE(FILTER(L$4:L147,L$4:L147&lt;1000000),1),L$4:L147)))),AND(L40&lt;1000000,COUNTA(C40:C147)&gt;0,O$3=FALSE),
ROUNDDOWN(INDEX(Y$4:Y147,MATCH(LARGE(FILTER(W$4:W147,W$4:W147&lt;=J40),1),W$4:W147))+(J40-LARGE(FILTER(W$4:"&amp;"W147,W$4:W147&lt;=J40),1))*INDEX(S$4:S147,MATCH(LARGE(FILTER(W$4:W147,W$4:W147&lt;=J40),1),W$4:W147))-L40),1,
ROUNDDOWN(Y40-INDEX(L$4:L147,MATCH(LARGE(FILTER(J$4:J147,J$4:J147&lt;=W40),1),J$4:J147))-(W40-LARGE(FILTER(J$4:J147,J$4:J147&lt;=W40),1))*INDEX(F$4:F147,MATC"&amp;"H(LARGE(FILTER(J$4:J147,J$4:J147&lt;=W40),1),J$4:J147))))"),0.0)</f>
        <v>0</v>
      </c>
      <c r="O40" s="65">
        <f t="shared" si="9"/>
        <v>14</v>
      </c>
      <c r="P40" s="69" t="s">
        <v>13</v>
      </c>
      <c r="Q40" s="14" t="b">
        <f>IFERROR(__xludf.DUMMYFUNCTION("IF(COUNTA(P40:P147)=0,"""",IFERROR(IF(ISBLANK(P40),FALSE,IF(ISBLANK(T40),1,IF(NOT(COUNTIF($AA$24:$AA$34,SUBSTITUTE(P40,""Sell_"",""""))),1,IF(P40=""Plastic_up"",IF(V40&lt;1000,1),IF(P40=""Super_Up"",IF(OR(COUNTIF(P$4:P40,""Grandma"")-COUNTIF(P$4:P40,""Sell_G"&amp;"randma"")&lt;1,COUNTIF(P$4:P40,VLOOKUP(P40,Upgrades!$F$8:$N$8,7+COUNTIF(P$4:P40,P40)))-COUNTIF(P$4:P40,""Sell_""&amp;VLOOKUP(P40,Upgrades!$F$8:$N$8,7+COUNTIF(P$4:P40,P40)))&lt;15),1),IF(REGEXMATCH(P40,""_up""),IF(COUNTIF(P$4:P40,SUBSTITUTE(P40,""_up"",""""))&lt;IFERRO"&amp;"R(VLOOKUP(P40,Upgrades!$L$3:$P$6,1+COUNTIF(P$4:P40,P40),0),999),1),IF(REGEXMATCH(P40,""Sell_""),IF(COUNTIF(P$4:P40,SUBSTITUTE(P40,""Sell_"",""""))-COUNTIF(P$4:P39,P40)&lt;1,1),FALSE)))))))))"),FALSE)</f>
        <v>0</v>
      </c>
      <c r="R40" s="71">
        <f>IFERROR(__xludf.DUMMYFUNCTION("IF(REGEXMATCH(P40,""^Sell_""),R39, IF(COUNTA(P40:P147)=0,"""",(COUNTIF(P$4:P40,""Cursor"")-COUNTIF(P$4:P40,""Sell_Cursor""))*(0.1*2^SWITCH(COUNTIF(P$4:P40,""Cursor_up""),0,0,1,1,2,2,3)+SWITCH(COUNTIF(P$4:P40,""Cursor_up""),4,0.1,0)*(ROW(P40)-4-COUNTIF(P$4"&amp;":P40,""Cursor"")-COUNTIF(P$4:P40,""*""&amp;""_up"")-2*COUNTIF(P$4:P40,""Sell_""&amp;""*"")+COUNTIF(P$4:P40,""Sell_Cursor"")-COUNTIF(P$4:P40,"""")))+(COUNTIF(P$4:P40,""Grandma"")-COUNTIF(P$4:P40,""Sell_Grandma""))*(1*2^(COUNTIF(P$4:P40,""Grandma_up"")+COUNTIF(P$4:"&amp;"P40,""Super_up"")))+(COUNTIF(P$4:P40,""Farm"")-COUNTIF(P$4:P40,""Sell_Farm""))*(8*2^COUNTIF(P$4:P40,""Farm_up""))*IF(COUNTIF(P$4:P40,""Super_up"")&gt;0,1+0.01*(COUNTIF(P$4:P40,""Grandma"")-COUNTIF(P$4:P40,""Sell_Grandma"")),1)+(COUNTIF(P$4:P40,""Mine"")-COUN"&amp;"TIF(P$4:P40,""Sell_Mine""))*((47*2^COUNTIF(P$4:P40,""Mine_up""))*IF(COUNTIF(P$4:P40,""Super_up"")&gt;1,1+0.005*(COUNTIF(P$4:P40,""Grandma"")-COUNTIF(P$4:P40,""Sell_Grandma"")),1))+(COUNTIF(P$4:P40,""Factory"")-COUNTIF(P$4:P40,""Sell_Factory""))*(260*2^COUNTI"&amp;"F(P$4:P40,""Factory_up""))))"),93.6)</f>
        <v>93.6</v>
      </c>
      <c r="S40" s="73">
        <f>IFERROR(__xludf.DUMMYFUNCTION("IF(COUNTA(P40:P147)=0,"""",IF(REGEXMATCH(INDEX(FILTER(P$4:P40,P$4:P40&lt;&gt;""""),ROWS(FILTER(P$4:P40,P$4:P40&lt;&gt;""""))),""^Sell_""),INDEX(FILTER(S$4:S39,P$4:P39&lt;&gt;""""),ROWS(FILTER(P$4:P39,P$4:P39&lt;&gt;""""))),$AD$5*(2^SWITCH(COUNTIF(P$4:P40,""Cursor_up""),0,0,1,1,2"&amp;",2,3)+SWITCH(COUNTIF(P$4:P40,""Cursor_up""),4,0.1,0)*(ROW(P40)-4-COUNTIF(P$4:P40,""Cursor"")-COUNTIF(P$4:P40,""*""&amp;""_up"")-2*COUNTIF(P$4:P40,""Sell_""&amp;""*"")+COUNTIF(P$4:P40,""Sell_Cursor"")-COUNTIF(P$4:P40,""""))+0.01*R40*COUNTIF(P$4:P40,""Plastic_up"")"&amp;")+R40))"),133.6)</f>
        <v>133.6</v>
      </c>
      <c r="T40" s="14">
        <f>IFERROR(__xludf.DUMMYFUNCTION("IF(COUNTA(P40:P147)=0,"""",IF(REGEXMATCH(P40,""_up""),VLOOKUP(P40,Upgrades!$F$3:$J$8,1+COUNTIF(P$4:P40,P40),FALSE),IF(P40="""",0,IF(REGEXMATCH(P40,""^Sell_""),-ROUNDDOWN(ROUNDUP(INDEX(Upgrades!$C$3:$C$8,MATCH(SUBSTITUTE(P40,""Sell_"",""""),Upgrades!$B$3:$"&amp;"B$8,0))*1.15^(COUNTIF(P$4:P39,SUBSTITUTE(P40,""Sell_"",""""))-COUNTIF(P$4:P39,""Sell_""&amp;SUBSTITUTE(P40,""Sell_"",""""))))/4),ROUNDUP(INDEX(Upgrades!$C$3:$C$7,MATCH(P40,Upgrades!$B$3:$B$7,0))*1.15^(COUNTIF(P$4:P39,P40)-COUNTIF(P$4:P39,""Sell_""&amp;P40)))))))"),616.0)</f>
        <v>616</v>
      </c>
      <c r="U40" s="14">
        <f t="shared" si="10"/>
        <v>616</v>
      </c>
      <c r="V40" s="75">
        <f t="shared" si="11"/>
        <v>139509.2278</v>
      </c>
      <c r="W40" s="76">
        <f t="shared" si="12"/>
        <v>242.8879375</v>
      </c>
      <c r="X40" s="71" t="str">
        <f t="shared" si="13"/>
        <v>4m 02s</v>
      </c>
      <c r="Y40" s="77">
        <f t="shared" si="14"/>
        <v>16764</v>
      </c>
      <c r="Z40" s="17"/>
    </row>
    <row r="41">
      <c r="A41" s="12"/>
      <c r="B41" s="65">
        <f t="shared" si="2"/>
        <v>15</v>
      </c>
      <c r="C41" s="69" t="s">
        <v>13</v>
      </c>
      <c r="D41" s="14" t="b">
        <f>IFERROR(__xludf.DUMMYFUNCTION("IF(COUNTA(C41:C147)=0,"""",IFERROR(IF(ISBLANK(C41),FALSE,IF(ISBLANK(G41),1,IF(NOT(COUNTIF($AA$24:$AA$34,SUBSTITUTE(C41,""Sell_"",""""))),1,IF(C41=""Plastic_up"",IF(I41&lt;1000,1),IF(C41=""Super_Up"",IF(OR(COUNTIF(C$4:C41,""Grandma"")-COUNTIF(C$4:C41,""Sell_G"&amp;"randma"")&lt;1,COUNTIF(C$4:C41,VLOOKUP(C41,Upgrades!$F$8:$N$8,7+COUNTIF(C$4:C41,C41)))-COUNTIF(C$4:C41,""Sell_""&amp;VLOOKUP(C41,Upgrades!$F$8:$N$8,7+COUNTIF(C$4:C41,C41)))&lt;15),1),IF(REGEXMATCH(C41,""_up""),IF(COUNTIF(C$4:C41,SUBSTITUTE(C41,""_up"",""""))&lt;IFERRO"&amp;"R(VLOOKUP(C41,Upgrades!$L$3:$P$6,1+COUNTIF(C$4:C41,C41),0),999),1),IF(REGEXMATCH(C41,""Sell_""),IF(COUNTIF(C$4:C41,SUBSTITUTE(C41,""Sell_"",""""))-COUNTIF(C$4:C40,C41)&lt;1,1),FALSE)))))))))"),FALSE)</f>
        <v>0</v>
      </c>
      <c r="E41" s="71">
        <f>IFERROR(__xludf.DUMMYFUNCTION("IF(REGEXMATCH(C41,""^Sell_""),E40, IF(COUNTA(C41:C147)=0,"""",(COUNTIF(C$4:C41,""Cursor"")-COUNTIF(C$4:C41,""Sell_Cursor""))*(0.1*2^SWITCH(COUNTIF(C$4:C41,""Cursor_up""),0,0,1,1,2,2,3)+SWITCH(COUNTIF(C$4:C41,""Cursor_up""),4,0.1,0)*(ROW(C41)-4-COUNTIF(C$4"&amp;":C41,""Cursor"")-COUNTIF(C$4:C41,""*""&amp;""_up"")-2*COUNTIF(C$4:C41,""Sell_""&amp;""*"")+COUNTIF(C$4:C41,""Sell_Cursor"")-COUNTIF(C$4:C41,"""")))+(COUNTIF(C$4:C41,""Grandma"")-COUNTIF(C$4:C41,""Sell_Grandma""))*(1*2^(COUNTIF(C$4:C41,""Grandma_up"")+COUNTIF(C$4:"&amp;"C41,""Super_up"")))+(COUNTIF(C$4:C41,""Farm"")-COUNTIF(C$4:C41,""Sell_Farm""))*(8*2^COUNTIF(C$4:C41,""Farm_up""))*IF(COUNTIF(C$4:C41,""Super_up"")&gt;0,1+0.01*(COUNTIF(C$4:C41,""Grandma"")-COUNTIF(C$4:C41,""Sell_Grandma"")),1)+(COUNTIF(C$4:C41,""Mine"")-COUN"&amp;"TIF(C$4:C41,""Sell_Mine""))*((47*2^COUNTIF(C$4:C41,""Mine_up""))*IF(COUNTIF(C$4:C41,""Super_up"")&gt;1,1+0.005*(COUNTIF(C$4:C41,""Grandma"")-COUNTIF(C$4:C41,""Sell_Grandma"")),1))+(COUNTIF(C$4:C41,""Factory"")-COUNTIF(C$4:C41,""Sell_Factory""))*(260*2^COUNTI"&amp;"F(C$4:C41,""Factory_up""))))"),97.6)</f>
        <v>97.6</v>
      </c>
      <c r="F41" s="73">
        <f>IFERROR(__xludf.DUMMYFUNCTION("IF(COUNTA(C41:C147)=0,"""",IF(REGEXMATCH(INDEX(FILTER(C$4:C41,C$4:C41&lt;&gt;""""),ROWS(FILTER(C$4:C41,C$4:C41&lt;&gt;""""))),""^Sell_""),INDEX(FILTER(F$4:F40,C$4:C40&lt;&gt;""""),ROWS(FILTER(C$4:C40,C$4:C40&lt;&gt;""""))),$AC$5*(2^SWITCH(COUNTIF(C$4:C41,""Cursor_up""),0,0,1,1,2"&amp;",2,3)+SWITCH(COUNTIF(C$4:C41,""Cursor_up""),4,0.1,0)*(ROW(C41)-4-COUNTIF(C$4:C41,""Cursor"")-COUNTIF(C$4:C41,""*""&amp;""_up"")-2*COUNTIF(C$4:C41,""Sell_""&amp;""*"")+COUNTIF(C$4:C41,""Sell_Cursor"")-COUNTIF(C$4:C41,""""))+0.01*E41*COUNTIF(C$4:C41,""Plastic_up"")"&amp;")+E41))"),137.6)</f>
        <v>137.6</v>
      </c>
      <c r="G41" s="14">
        <f>IFERROR(__xludf.DUMMYFUNCTION("IF(COUNTA(C41:C147)=0,"""",IF(REGEXMATCH(C41,""_up""),VLOOKUP(C41,Upgrades!$F$3:$J$8,1+COUNTIF(C$4:C41,C41),FALSE),IF(C41="""",0,IF(REGEXMATCH(C41,""^Sell_""),-ROUNDDOWN(ROUNDUP(INDEX(Upgrades!$C$3:$C$8,MATCH(SUBSTITUTE(C41,""Sell_"",""""),Upgrades!$B$3:$"&amp;"B$8,0))*1.15^(COUNTIF(C$4:C40,SUBSTITUTE(C41,""Sell_"",""""))-COUNTIF(C$4:C40,""Sell_""&amp;SUBSTITUTE(C41,""Sell_"",""""))))/4),ROUNDUP(INDEX(Upgrades!$C$3:$C$7,MATCH(C41,Upgrades!$B$3:$B$7,0))*1.15^(COUNTIF(C$4:C40,C41)-COUNTIF(C$4:C40,""Sell_""&amp;C41)))))))"),708.0)</f>
        <v>708</v>
      </c>
      <c r="H41" s="14">
        <f t="shared" si="3"/>
        <v>708</v>
      </c>
      <c r="I41" s="75">
        <f t="shared" si="4"/>
        <v>149436.7214</v>
      </c>
      <c r="J41" s="76">
        <f t="shared" si="5"/>
        <v>248.1873387</v>
      </c>
      <c r="K41" s="71" t="str">
        <f t="shared" si="6"/>
        <v>4m 08s</v>
      </c>
      <c r="L41" s="77">
        <f t="shared" si="7"/>
        <v>17472</v>
      </c>
      <c r="M41" s="51">
        <f t="shared" si="8"/>
        <v>0</v>
      </c>
      <c r="N41" s="52">
        <f>IFERROR(__xludf.DUMMYFUNCTION("IFS(AND(COUNTA(C41:C147)=0,COUNTA(P41:P147)=0),"""",OR(AND(L41&gt;=1000000,OR(Y41&gt;=1000000,COUNTA(P41:P147)=0)),AND(Y41&gt;=1000000,COUNTA(C41:C147)=0),AND(COUNTA(P41:P147)=0,O$3=TRUE)),
ROUNDDOWN((AB$1-AC$1)*MAX(INDEX(S$4:S147,MATCH(LARGE(FILTER(Y$4:Y147,Y$4:Y"&amp;"147&lt;1000000),1),Y$4:Y147)),INDEX(F$4:F147,MATCH(LARGE(FILTER(L$4:L147,L$4:L147&lt;1000000),1),L$4:L147)))),AND(L41&lt;1000000,COUNTA(C41:C147)&gt;0,O$3=FALSE),
ROUNDDOWN(INDEX(Y$4:Y147,MATCH(LARGE(FILTER(W$4:W147,W$4:W147&lt;=J41),1),W$4:W147))+(J41-LARGE(FILTER(W$4:"&amp;"W147,W$4:W147&lt;=J41),1))*INDEX(S$4:S147,MATCH(LARGE(FILTER(W$4:W147,W$4:W147&lt;=J41),1),W$4:W147))-L41),1,
ROUNDDOWN(Y41-INDEX(L$4:L147,MATCH(LARGE(FILTER(J$4:J147,J$4:J147&lt;=W41),1),J$4:J147))-(W41-LARGE(FILTER(J$4:J147,J$4:J147&lt;=W41),1))*INDEX(F$4:F147,MATC"&amp;"H(LARGE(FILTER(J$4:J147,J$4:J147&lt;=W41),1),J$4:J147))))"),0.0)</f>
        <v>0</v>
      </c>
      <c r="O41" s="65">
        <f t="shared" si="9"/>
        <v>15</v>
      </c>
      <c r="P41" s="69" t="s">
        <v>13</v>
      </c>
      <c r="Q41" s="14" t="b">
        <f>IFERROR(__xludf.DUMMYFUNCTION("IF(COUNTA(P41:P147)=0,"""",IFERROR(IF(ISBLANK(P41),FALSE,IF(ISBLANK(T41),1,IF(NOT(COUNTIF($AA$24:$AA$34,SUBSTITUTE(P41,""Sell_"",""""))),1,IF(P41=""Plastic_up"",IF(V41&lt;1000,1),IF(P41=""Super_Up"",IF(OR(COUNTIF(P$4:P41,""Grandma"")-COUNTIF(P$4:P41,""Sell_G"&amp;"randma"")&lt;1,COUNTIF(P$4:P41,VLOOKUP(P41,Upgrades!$F$8:$N$8,7+COUNTIF(P$4:P41,P41)))-COUNTIF(P$4:P41,""Sell_""&amp;VLOOKUP(P41,Upgrades!$F$8:$N$8,7+COUNTIF(P$4:P41,P41)))&lt;15),1),IF(REGEXMATCH(P41,""_up""),IF(COUNTIF(P$4:P41,SUBSTITUTE(P41,""_up"",""""))&lt;IFERRO"&amp;"R(VLOOKUP(P41,Upgrades!$L$3:$P$6,1+COUNTIF(P$4:P41,P41),0),999),1),IF(REGEXMATCH(P41,""Sell_""),IF(COUNTIF(P$4:P41,SUBSTITUTE(P41,""Sell_"",""""))-COUNTIF(P$4:P40,P41)&lt;1,1),FALSE)))))))))"),FALSE)</f>
        <v>0</v>
      </c>
      <c r="R41" s="71">
        <f>IFERROR(__xludf.DUMMYFUNCTION("IF(REGEXMATCH(P41,""^Sell_""),R40, IF(COUNTA(P41:P147)=0,"""",(COUNTIF(P$4:P41,""Cursor"")-COUNTIF(P$4:P41,""Sell_Cursor""))*(0.1*2^SWITCH(COUNTIF(P$4:P41,""Cursor_up""),0,0,1,1,2,2,3)+SWITCH(COUNTIF(P$4:P41,""Cursor_up""),4,0.1,0)*(ROW(P41)-4-COUNTIF(P$4"&amp;":P41,""Cursor"")-COUNTIF(P$4:P41,""*""&amp;""_up"")-2*COUNTIF(P$4:P41,""Sell_""&amp;""*"")+COUNTIF(P$4:P41,""Sell_Cursor"")-COUNTIF(P$4:P41,"""")))+(COUNTIF(P$4:P41,""Grandma"")-COUNTIF(P$4:P41,""Sell_Grandma""))*(1*2^(COUNTIF(P$4:P41,""Grandma_up"")+COUNTIF(P$4:"&amp;"P41,""Super_up"")))+(COUNTIF(P$4:P41,""Farm"")-COUNTIF(P$4:P41,""Sell_Farm""))*(8*2^COUNTIF(P$4:P41,""Farm_up""))*IF(COUNTIF(P$4:P41,""Super_up"")&gt;0,1+0.01*(COUNTIF(P$4:P41,""Grandma"")-COUNTIF(P$4:P41,""Sell_Grandma"")),1)+(COUNTIF(P$4:P41,""Mine"")-COUN"&amp;"TIF(P$4:P41,""Sell_Mine""))*((47*2^COUNTIF(P$4:P41,""Mine_up""))*IF(COUNTIF(P$4:P41,""Super_up"")&gt;1,1+0.005*(COUNTIF(P$4:P41,""Grandma"")-COUNTIF(P$4:P41,""Sell_Grandma"")),1))+(COUNTIF(P$4:P41,""Factory"")-COUNTIF(P$4:P41,""Sell_Factory""))*(260*2^COUNTI"&amp;"F(P$4:P41,""Factory_up""))))"),97.6)</f>
        <v>97.6</v>
      </c>
      <c r="S41" s="73">
        <f>IFERROR(__xludf.DUMMYFUNCTION("IF(COUNTA(P41:P147)=0,"""",IF(REGEXMATCH(INDEX(FILTER(P$4:P41,P$4:P41&lt;&gt;""""),ROWS(FILTER(P$4:P41,P$4:P41&lt;&gt;""""))),""^Sell_""),INDEX(FILTER(S$4:S40,P$4:P40&lt;&gt;""""),ROWS(FILTER(P$4:P40,P$4:P40&lt;&gt;""""))),$AD$5*(2^SWITCH(COUNTIF(P$4:P41,""Cursor_up""),0,0,1,1,2"&amp;",2,3)+SWITCH(COUNTIF(P$4:P41,""Cursor_up""),4,0.1,0)*(ROW(P41)-4-COUNTIF(P$4:P41,""Cursor"")-COUNTIF(P$4:P41,""*""&amp;""_up"")-2*COUNTIF(P$4:P41,""Sell_""&amp;""*"")+COUNTIF(P$4:P41,""Sell_Cursor"")-COUNTIF(P$4:P41,""""))+0.01*R41*COUNTIF(P$4:P41,""Plastic_up"")"&amp;")+R41))"),137.6)</f>
        <v>137.6</v>
      </c>
      <c r="T41" s="14">
        <f>IFERROR(__xludf.DUMMYFUNCTION("IF(COUNTA(P41:P147)=0,"""",IF(REGEXMATCH(P41,""_up""),VLOOKUP(P41,Upgrades!$F$3:$J$8,1+COUNTIF(P$4:P41,P41),FALSE),IF(P41="""",0,IF(REGEXMATCH(P41,""^Sell_""),-ROUNDDOWN(ROUNDUP(INDEX(Upgrades!$C$3:$C$8,MATCH(SUBSTITUTE(P41,""Sell_"",""""),Upgrades!$B$3:$"&amp;"B$8,0))*1.15^(COUNTIF(P$4:P40,SUBSTITUTE(P41,""Sell_"",""""))-COUNTIF(P$4:P40,""Sell_""&amp;SUBSTITUTE(P41,""Sell_"",""""))))/4),ROUNDUP(INDEX(Upgrades!$C$3:$C$7,MATCH(P41,Upgrades!$B$3:$B$7,0))*1.15^(COUNTIF(P$4:P40,P41)-COUNTIF(P$4:P40,""Sell_""&amp;P41)))))))"),708.0)</f>
        <v>708</v>
      </c>
      <c r="U41" s="14">
        <f t="shared" si="10"/>
        <v>708</v>
      </c>
      <c r="V41" s="75">
        <f t="shared" si="11"/>
        <v>149436.7214</v>
      </c>
      <c r="W41" s="76">
        <f t="shared" si="12"/>
        <v>248.1873387</v>
      </c>
      <c r="X41" s="71" t="str">
        <f t="shared" si="13"/>
        <v>4m 08s</v>
      </c>
      <c r="Y41" s="77">
        <f t="shared" si="14"/>
        <v>17472</v>
      </c>
      <c r="Z41" s="17"/>
    </row>
    <row r="42">
      <c r="A42" s="12"/>
      <c r="B42" s="65">
        <f t="shared" si="2"/>
        <v>16</v>
      </c>
      <c r="C42" s="69" t="s">
        <v>13</v>
      </c>
      <c r="D42" s="14" t="b">
        <f>IFERROR(__xludf.DUMMYFUNCTION("IF(COUNTA(C42:C147)=0,"""",IFERROR(IF(ISBLANK(C42),FALSE,IF(ISBLANK(G42),1,IF(NOT(COUNTIF($AA$24:$AA$34,SUBSTITUTE(C42,""Sell_"",""""))),1,IF(C42=""Plastic_up"",IF(I42&lt;1000,1),IF(C42=""Super_Up"",IF(OR(COUNTIF(C$4:C42,""Grandma"")-COUNTIF(C$4:C42,""Sell_G"&amp;"randma"")&lt;1,COUNTIF(C$4:C42,VLOOKUP(C42,Upgrades!$F$8:$N$8,7+COUNTIF(C$4:C42,C42)))-COUNTIF(C$4:C42,""Sell_""&amp;VLOOKUP(C42,Upgrades!$F$8:$N$8,7+COUNTIF(C$4:C42,C42)))&lt;15),1),IF(REGEXMATCH(C42,""_up""),IF(COUNTIF(C$4:C42,SUBSTITUTE(C42,""_up"",""""))&lt;IFERRO"&amp;"R(VLOOKUP(C42,Upgrades!$L$3:$P$6,1+COUNTIF(C$4:C42,C42),0),999),1),IF(REGEXMATCH(C42,""Sell_""),IF(COUNTIF(C$4:C42,SUBSTITUTE(C42,""Sell_"",""""))-COUNTIF(C$4:C41,C42)&lt;1,1),FALSE)))))))))"),FALSE)</f>
        <v>0</v>
      </c>
      <c r="E42" s="71">
        <f>IFERROR(__xludf.DUMMYFUNCTION("IF(REGEXMATCH(C42,""^Sell_""),E41, IF(COUNTA(C42:C147)=0,"""",(COUNTIF(C$4:C42,""Cursor"")-COUNTIF(C$4:C42,""Sell_Cursor""))*(0.1*2^SWITCH(COUNTIF(C$4:C42,""Cursor_up""),0,0,1,1,2,2,3)+SWITCH(COUNTIF(C$4:C42,""Cursor_up""),4,0.1,0)*(ROW(C42)-4-COUNTIF(C$4"&amp;":C42,""Cursor"")-COUNTIF(C$4:C42,""*""&amp;""_up"")-2*COUNTIF(C$4:C42,""Sell_""&amp;""*"")+COUNTIF(C$4:C42,""Sell_Cursor"")-COUNTIF(C$4:C42,"""")))+(COUNTIF(C$4:C42,""Grandma"")-COUNTIF(C$4:C42,""Sell_Grandma""))*(1*2^(COUNTIF(C$4:C42,""Grandma_up"")+COUNTIF(C$4:"&amp;"C42,""Super_up"")))+(COUNTIF(C$4:C42,""Farm"")-COUNTIF(C$4:C42,""Sell_Farm""))*(8*2^COUNTIF(C$4:C42,""Farm_up""))*IF(COUNTIF(C$4:C42,""Super_up"")&gt;0,1+0.01*(COUNTIF(C$4:C42,""Grandma"")-COUNTIF(C$4:C42,""Sell_Grandma"")),1)+(COUNTIF(C$4:C42,""Mine"")-COUN"&amp;"TIF(C$4:C42,""Sell_Mine""))*((47*2^COUNTIF(C$4:C42,""Mine_up""))*IF(COUNTIF(C$4:C42,""Super_up"")&gt;1,1+0.005*(COUNTIF(C$4:C42,""Grandma"")-COUNTIF(C$4:C42,""Sell_Grandma"")),1))+(COUNTIF(C$4:C42,""Factory"")-COUNTIF(C$4:C42,""Sell_Factory""))*(260*2^COUNTI"&amp;"F(C$4:C42,""Factory_up""))))"),101.6)</f>
        <v>101.6</v>
      </c>
      <c r="F42" s="73">
        <f>IFERROR(__xludf.DUMMYFUNCTION("IF(COUNTA(C42:C147)=0,"""",IF(REGEXMATCH(INDEX(FILTER(C$4:C42,C$4:C42&lt;&gt;""""),ROWS(FILTER(C$4:C42,C$4:C42&lt;&gt;""""))),""^Sell_""),INDEX(FILTER(F$4:F41,C$4:C41&lt;&gt;""""),ROWS(FILTER(C$4:C41,C$4:C41&lt;&gt;""""))),$AC$5*(2^SWITCH(COUNTIF(C$4:C42,""Cursor_up""),0,0,1,1,2"&amp;",2,3)+SWITCH(COUNTIF(C$4:C42,""Cursor_up""),4,0.1,0)*(ROW(C42)-4-COUNTIF(C$4:C42,""Cursor"")-COUNTIF(C$4:C42,""*""&amp;""_up"")-2*COUNTIF(C$4:C42,""Sell_""&amp;""*"")+COUNTIF(C$4:C42,""Sell_Cursor"")-COUNTIF(C$4:C42,""""))+0.01*E42*COUNTIF(C$4:C42,""Plastic_up"")"&amp;")+E42))"),141.6)</f>
        <v>141.6</v>
      </c>
      <c r="G42" s="14">
        <f>IFERROR(__xludf.DUMMYFUNCTION("IF(COUNTA(C42:C147)=0,"""",IF(REGEXMATCH(C42,""_up""),VLOOKUP(C42,Upgrades!$F$3:$J$8,1+COUNTIF(C$4:C42,C42),FALSE),IF(C42="""",0,IF(REGEXMATCH(C42,""^Sell_""),-ROUNDDOWN(ROUNDUP(INDEX(Upgrades!$C$3:$C$8,MATCH(SUBSTITUTE(C42,""Sell_"",""""),Upgrades!$B$3:$"&amp;"B$8,0))*1.15^(COUNTIF(C$4:C41,SUBSTITUTE(C42,""Sell_"",""""))-COUNTIF(C$4:C41,""Sell_""&amp;SUBSTITUTE(C42,""Sell_"",""""))))/4),ROUNDUP(INDEX(Upgrades!$C$3:$C$7,MATCH(C42,Upgrades!$B$3:$B$7,0))*1.15^(COUNTIF(C$4:C41,C42)-COUNTIF(C$4:C41,""Sell_""&amp;C42)))))))"),814.0)</f>
        <v>814</v>
      </c>
      <c r="H42" s="14">
        <f t="shared" si="3"/>
        <v>814</v>
      </c>
      <c r="I42" s="75">
        <f t="shared" si="4"/>
        <v>159600.8428</v>
      </c>
      <c r="J42" s="76">
        <f t="shared" si="5"/>
        <v>254.1030364</v>
      </c>
      <c r="K42" s="71" t="str">
        <f t="shared" si="6"/>
        <v>4m 14s</v>
      </c>
      <c r="L42" s="77">
        <f t="shared" si="7"/>
        <v>18286</v>
      </c>
      <c r="M42" s="51">
        <f t="shared" si="8"/>
        <v>0</v>
      </c>
      <c r="N42" s="52">
        <f>IFERROR(__xludf.DUMMYFUNCTION("IFS(AND(COUNTA(C42:C147)=0,COUNTA(P42:P147)=0),"""",OR(AND(L42&gt;=1000000,OR(Y42&gt;=1000000,COUNTA(P42:P147)=0)),AND(Y42&gt;=1000000,COUNTA(C42:C147)=0),AND(COUNTA(P42:P147)=0,O$3=TRUE)),
ROUNDDOWN((AB$1-AC$1)*MAX(INDEX(S$4:S147,MATCH(LARGE(FILTER(Y$4:Y147,Y$4:Y"&amp;"147&lt;1000000),1),Y$4:Y147)),INDEX(F$4:F147,MATCH(LARGE(FILTER(L$4:L147,L$4:L147&lt;1000000),1),L$4:L147)))),AND(L42&lt;1000000,COUNTA(C42:C147)&gt;0,O$3=FALSE),
ROUNDDOWN(INDEX(Y$4:Y147,MATCH(LARGE(FILTER(W$4:W147,W$4:W147&lt;=J42),1),W$4:W147))+(J42-LARGE(FILTER(W$4:"&amp;"W147,W$4:W147&lt;=J42),1))*INDEX(S$4:S147,MATCH(LARGE(FILTER(W$4:W147,W$4:W147&lt;=J42),1),W$4:W147))-L42),1,
ROUNDDOWN(Y42-INDEX(L$4:L147,MATCH(LARGE(FILTER(J$4:J147,J$4:J147&lt;=W42),1),J$4:J147))-(W42-LARGE(FILTER(J$4:J147,J$4:J147&lt;=W42),1))*INDEX(F$4:F147,MATC"&amp;"H(LARGE(FILTER(J$4:J147,J$4:J147&lt;=W42),1),J$4:J147))))"),0.0)</f>
        <v>0</v>
      </c>
      <c r="O42" s="65">
        <f t="shared" si="9"/>
        <v>16</v>
      </c>
      <c r="P42" s="69" t="s">
        <v>13</v>
      </c>
      <c r="Q42" s="14" t="b">
        <f>IFERROR(__xludf.DUMMYFUNCTION("IF(COUNTA(P42:P147)=0,"""",IFERROR(IF(ISBLANK(P42),FALSE,IF(ISBLANK(T42),1,IF(NOT(COUNTIF($AA$24:$AA$34,SUBSTITUTE(P42,""Sell_"",""""))),1,IF(P42=""Plastic_up"",IF(V42&lt;1000,1),IF(P42=""Super_Up"",IF(OR(COUNTIF(P$4:P42,""Grandma"")-COUNTIF(P$4:P42,""Sell_G"&amp;"randma"")&lt;1,COUNTIF(P$4:P42,VLOOKUP(P42,Upgrades!$F$8:$N$8,7+COUNTIF(P$4:P42,P42)))-COUNTIF(P$4:P42,""Sell_""&amp;VLOOKUP(P42,Upgrades!$F$8:$N$8,7+COUNTIF(P$4:P42,P42)))&lt;15),1),IF(REGEXMATCH(P42,""_up""),IF(COUNTIF(P$4:P42,SUBSTITUTE(P42,""_up"",""""))&lt;IFERRO"&amp;"R(VLOOKUP(P42,Upgrades!$L$3:$P$6,1+COUNTIF(P$4:P42,P42),0),999),1),IF(REGEXMATCH(P42,""Sell_""),IF(COUNTIF(P$4:P42,SUBSTITUTE(P42,""Sell_"",""""))-COUNTIF(P$4:P41,P42)&lt;1,1),FALSE)))))))))"),FALSE)</f>
        <v>0</v>
      </c>
      <c r="R42" s="71">
        <f>IFERROR(__xludf.DUMMYFUNCTION("IF(REGEXMATCH(P42,""^Sell_""),R41, IF(COUNTA(P42:P147)=0,"""",(COUNTIF(P$4:P42,""Cursor"")-COUNTIF(P$4:P42,""Sell_Cursor""))*(0.1*2^SWITCH(COUNTIF(P$4:P42,""Cursor_up""),0,0,1,1,2,2,3)+SWITCH(COUNTIF(P$4:P42,""Cursor_up""),4,0.1,0)*(ROW(P42)-4-COUNTIF(P$4"&amp;":P42,""Cursor"")-COUNTIF(P$4:P42,""*""&amp;""_up"")-2*COUNTIF(P$4:P42,""Sell_""&amp;""*"")+COUNTIF(P$4:P42,""Sell_Cursor"")-COUNTIF(P$4:P42,"""")))+(COUNTIF(P$4:P42,""Grandma"")-COUNTIF(P$4:P42,""Sell_Grandma""))*(1*2^(COUNTIF(P$4:P42,""Grandma_up"")+COUNTIF(P$4:"&amp;"P42,""Super_up"")))+(COUNTIF(P$4:P42,""Farm"")-COUNTIF(P$4:P42,""Sell_Farm""))*(8*2^COUNTIF(P$4:P42,""Farm_up""))*IF(COUNTIF(P$4:P42,""Super_up"")&gt;0,1+0.01*(COUNTIF(P$4:P42,""Grandma"")-COUNTIF(P$4:P42,""Sell_Grandma"")),1)+(COUNTIF(P$4:P42,""Mine"")-COUN"&amp;"TIF(P$4:P42,""Sell_Mine""))*((47*2^COUNTIF(P$4:P42,""Mine_up""))*IF(COUNTIF(P$4:P42,""Super_up"")&gt;1,1+0.005*(COUNTIF(P$4:P42,""Grandma"")-COUNTIF(P$4:P42,""Sell_Grandma"")),1))+(COUNTIF(P$4:P42,""Factory"")-COUNTIF(P$4:P42,""Sell_Factory""))*(260*2^COUNTI"&amp;"F(P$4:P42,""Factory_up""))))"),101.6)</f>
        <v>101.6</v>
      </c>
      <c r="S42" s="73">
        <f>IFERROR(__xludf.DUMMYFUNCTION("IF(COUNTA(P42:P147)=0,"""",IF(REGEXMATCH(INDEX(FILTER(P$4:P42,P$4:P42&lt;&gt;""""),ROWS(FILTER(P$4:P42,P$4:P42&lt;&gt;""""))),""^Sell_""),INDEX(FILTER(S$4:S41,P$4:P41&lt;&gt;""""),ROWS(FILTER(P$4:P41,P$4:P41&lt;&gt;""""))),$AD$5*(2^SWITCH(COUNTIF(P$4:P42,""Cursor_up""),0,0,1,1,2"&amp;",2,3)+SWITCH(COUNTIF(P$4:P42,""Cursor_up""),4,0.1,0)*(ROW(P42)-4-COUNTIF(P$4:P42,""Cursor"")-COUNTIF(P$4:P42,""*""&amp;""_up"")-2*COUNTIF(P$4:P42,""Sell_""&amp;""*"")+COUNTIF(P$4:P42,""Sell_Cursor"")-COUNTIF(P$4:P42,""""))+0.01*R42*COUNTIF(P$4:P42,""Plastic_up"")"&amp;")+R42))"),141.6)</f>
        <v>141.6</v>
      </c>
      <c r="T42" s="14">
        <f>IFERROR(__xludf.DUMMYFUNCTION("IF(COUNTA(P42:P147)=0,"""",IF(REGEXMATCH(P42,""_up""),VLOOKUP(P42,Upgrades!$F$3:$J$8,1+COUNTIF(P$4:P42,P42),FALSE),IF(P42="""",0,IF(REGEXMATCH(P42,""^Sell_""),-ROUNDDOWN(ROUNDUP(INDEX(Upgrades!$C$3:$C$8,MATCH(SUBSTITUTE(P42,""Sell_"",""""),Upgrades!$B$3:$"&amp;"B$8,0))*1.15^(COUNTIF(P$4:P41,SUBSTITUTE(P42,""Sell_"",""""))-COUNTIF(P$4:P41,""Sell_""&amp;SUBSTITUTE(P42,""Sell_"",""""))))/4),ROUNDUP(INDEX(Upgrades!$C$3:$C$7,MATCH(P42,Upgrades!$B$3:$B$7,0))*1.15^(COUNTIF(P$4:P41,P42)-COUNTIF(P$4:P41,""Sell_""&amp;P42)))))))"),814.0)</f>
        <v>814</v>
      </c>
      <c r="U42" s="14">
        <f t="shared" si="10"/>
        <v>814</v>
      </c>
      <c r="V42" s="75">
        <f t="shared" si="11"/>
        <v>159600.8428</v>
      </c>
      <c r="W42" s="76">
        <f t="shared" si="12"/>
        <v>254.1030364</v>
      </c>
      <c r="X42" s="71" t="str">
        <f t="shared" si="13"/>
        <v>4m 14s</v>
      </c>
      <c r="Y42" s="77">
        <f t="shared" si="14"/>
        <v>18286</v>
      </c>
      <c r="Z42" s="17"/>
      <c r="AA42" s="13"/>
      <c r="AB42" s="13"/>
      <c r="AC42" s="13"/>
      <c r="AD42" s="13"/>
      <c r="AE42" s="13"/>
      <c r="AF42" s="13"/>
      <c r="AG42" s="13"/>
    </row>
    <row r="43">
      <c r="A43" s="12"/>
      <c r="B43" s="65">
        <f t="shared" si="2"/>
        <v>17</v>
      </c>
      <c r="C43" s="69" t="s">
        <v>13</v>
      </c>
      <c r="D43" s="14" t="b">
        <f>IFERROR(__xludf.DUMMYFUNCTION("IF(COUNTA(C43:C147)=0,"""",IFERROR(IF(ISBLANK(C43),FALSE,IF(ISBLANK(G43),1,IF(NOT(COUNTIF($AA$24:$AA$34,SUBSTITUTE(C43,""Sell_"",""""))),1,IF(C43=""Plastic_up"",IF(I43&lt;1000,1),IF(C43=""Super_Up"",IF(OR(COUNTIF(C$4:C43,""Grandma"")-COUNTIF(C$4:C43,""Sell_G"&amp;"randma"")&lt;1,COUNTIF(C$4:C43,VLOOKUP(C43,Upgrades!$F$8:$N$8,7+COUNTIF(C$4:C43,C43)))-COUNTIF(C$4:C43,""Sell_""&amp;VLOOKUP(C43,Upgrades!$F$8:$N$8,7+COUNTIF(C$4:C43,C43)))&lt;15),1),IF(REGEXMATCH(C43,""_up""),IF(COUNTIF(C$4:C43,SUBSTITUTE(C43,""_up"",""""))&lt;IFERRO"&amp;"R(VLOOKUP(C43,Upgrades!$L$3:$P$6,1+COUNTIF(C$4:C43,C43),0),999),1),IF(REGEXMATCH(C43,""Sell_""),IF(COUNTIF(C$4:C43,SUBSTITUTE(C43,""Sell_"",""""))-COUNTIF(C$4:C42,C43)&lt;1,1),FALSE)))))))))"),FALSE)</f>
        <v>0</v>
      </c>
      <c r="E43" s="71">
        <f>IFERROR(__xludf.DUMMYFUNCTION("IF(REGEXMATCH(C43,""^Sell_""),E42, IF(COUNTA(C43:C147)=0,"""",(COUNTIF(C$4:C43,""Cursor"")-COUNTIF(C$4:C43,""Sell_Cursor""))*(0.1*2^SWITCH(COUNTIF(C$4:C43,""Cursor_up""),0,0,1,1,2,2,3)+SWITCH(COUNTIF(C$4:C43,""Cursor_up""),4,0.1,0)*(ROW(C43)-4-COUNTIF(C$4"&amp;":C43,""Cursor"")-COUNTIF(C$4:C43,""*""&amp;""_up"")-2*COUNTIF(C$4:C43,""Sell_""&amp;""*"")+COUNTIF(C$4:C43,""Sell_Cursor"")-COUNTIF(C$4:C43,"""")))+(COUNTIF(C$4:C43,""Grandma"")-COUNTIF(C$4:C43,""Sell_Grandma""))*(1*2^(COUNTIF(C$4:C43,""Grandma_up"")+COUNTIF(C$4:"&amp;"C43,""Super_up"")))+(COUNTIF(C$4:C43,""Farm"")-COUNTIF(C$4:C43,""Sell_Farm""))*(8*2^COUNTIF(C$4:C43,""Farm_up""))*IF(COUNTIF(C$4:C43,""Super_up"")&gt;0,1+0.01*(COUNTIF(C$4:C43,""Grandma"")-COUNTIF(C$4:C43,""Sell_Grandma"")),1)+(COUNTIF(C$4:C43,""Mine"")-COUN"&amp;"TIF(C$4:C43,""Sell_Mine""))*((47*2^COUNTIF(C$4:C43,""Mine_up""))*IF(COUNTIF(C$4:C43,""Super_up"")&gt;1,1+0.005*(COUNTIF(C$4:C43,""Grandma"")-COUNTIF(C$4:C43,""Sell_Grandma"")),1))+(COUNTIF(C$4:C43,""Factory"")-COUNTIF(C$4:C43,""Sell_Factory""))*(260*2^COUNTI"&amp;"F(C$4:C43,""Factory_up""))))"),105.6)</f>
        <v>105.6</v>
      </c>
      <c r="F43" s="73">
        <f>IFERROR(__xludf.DUMMYFUNCTION("IF(COUNTA(C43:C147)=0,"""",IF(REGEXMATCH(INDEX(FILTER(C$4:C43,C$4:C43&lt;&gt;""""),ROWS(FILTER(C$4:C43,C$4:C43&lt;&gt;""""))),""^Sell_""),INDEX(FILTER(F$4:F42,C$4:C42&lt;&gt;""""),ROWS(FILTER(C$4:C42,C$4:C42&lt;&gt;""""))),$AC$5*(2^SWITCH(COUNTIF(C$4:C43,""Cursor_up""),0,0,1,1,2"&amp;",2,3)+SWITCH(COUNTIF(C$4:C43,""Cursor_up""),4,0.1,0)*(ROW(C43)-4-COUNTIF(C$4:C43,""Cursor"")-COUNTIF(C$4:C43,""*""&amp;""_up"")-2*COUNTIF(C$4:C43,""Sell_""&amp;""*"")+COUNTIF(C$4:C43,""Sell_Cursor"")-COUNTIF(C$4:C43,""""))+0.01*E43*COUNTIF(C$4:C43,""Plastic_up"")"&amp;")+E43))"),145.6)</f>
        <v>145.6</v>
      </c>
      <c r="G43" s="14">
        <f>IFERROR(__xludf.DUMMYFUNCTION("IF(COUNTA(C43:C147)=0,"""",IF(REGEXMATCH(C43,""_up""),VLOOKUP(C43,Upgrades!$F$3:$J$8,1+COUNTIF(C$4:C43,C43),FALSE),IF(C43="""",0,IF(REGEXMATCH(C43,""^Sell_""),-ROUNDDOWN(ROUNDUP(INDEX(Upgrades!$C$3:$C$8,MATCH(SUBSTITUTE(C43,""Sell_"",""""),Upgrades!$B$3:$"&amp;"B$8,0))*1.15^(COUNTIF(C$4:C42,SUBSTITUTE(C43,""Sell_"",""""))-COUNTIF(C$4:C42,""Sell_""&amp;SUBSTITUTE(C43,""Sell_"",""""))))/4),ROUNDUP(INDEX(Upgrades!$C$3:$C$7,MATCH(C43,Upgrades!$B$3:$B$7,0))*1.15^(COUNTIF(C$4:C42,C43)-COUNTIF(C$4:C42,""Sell_""&amp;C43)))))))"),936.0)</f>
        <v>936</v>
      </c>
      <c r="H43" s="14">
        <f t="shared" si="3"/>
        <v>936</v>
      </c>
      <c r="I43" s="75">
        <f t="shared" si="4"/>
        <v>170029.3711</v>
      </c>
      <c r="J43" s="76">
        <f t="shared" si="5"/>
        <v>260.7132059</v>
      </c>
      <c r="K43" s="71" t="str">
        <f t="shared" si="6"/>
        <v>4m 20s</v>
      </c>
      <c r="L43" s="77">
        <f t="shared" si="7"/>
        <v>19222</v>
      </c>
      <c r="M43" s="51">
        <f t="shared" si="8"/>
        <v>0</v>
      </c>
      <c r="N43" s="52">
        <f>IFERROR(__xludf.DUMMYFUNCTION("IFS(AND(COUNTA(C43:C147)=0,COUNTA(P43:P147)=0),"""",OR(AND(L43&gt;=1000000,OR(Y43&gt;=1000000,COUNTA(P43:P147)=0)),AND(Y43&gt;=1000000,COUNTA(C43:C147)=0),AND(COUNTA(P43:P147)=0,O$3=TRUE)),
ROUNDDOWN((AB$1-AC$1)*MAX(INDEX(S$4:S147,MATCH(LARGE(FILTER(Y$4:Y147,Y$4:Y"&amp;"147&lt;1000000),1),Y$4:Y147)),INDEX(F$4:F147,MATCH(LARGE(FILTER(L$4:L147,L$4:L147&lt;1000000),1),L$4:L147)))),AND(L43&lt;1000000,COUNTA(C43:C147)&gt;0,O$3=FALSE),
ROUNDDOWN(INDEX(Y$4:Y147,MATCH(LARGE(FILTER(W$4:W147,W$4:W147&lt;=J43),1),W$4:W147))+(J43-LARGE(FILTER(W$4:"&amp;"W147,W$4:W147&lt;=J43),1))*INDEX(S$4:S147,MATCH(LARGE(FILTER(W$4:W147,W$4:W147&lt;=J43),1),W$4:W147))-L43),1,
ROUNDDOWN(Y43-INDEX(L$4:L147,MATCH(LARGE(FILTER(J$4:J147,J$4:J147&lt;=W43),1),J$4:J147))-(W43-LARGE(FILTER(J$4:J147,J$4:J147&lt;=W43),1))*INDEX(F$4:F147,MATC"&amp;"H(LARGE(FILTER(J$4:J147,J$4:J147&lt;=W43),1),J$4:J147))))"),0.0)</f>
        <v>0</v>
      </c>
      <c r="O43" s="65">
        <f t="shared" si="9"/>
        <v>17</v>
      </c>
      <c r="P43" s="69" t="s">
        <v>13</v>
      </c>
      <c r="Q43" s="14" t="b">
        <f>IFERROR(__xludf.DUMMYFUNCTION("IF(COUNTA(P43:P147)=0,"""",IFERROR(IF(ISBLANK(P43),FALSE,IF(ISBLANK(T43),1,IF(NOT(COUNTIF($AA$24:$AA$34,SUBSTITUTE(P43,""Sell_"",""""))),1,IF(P43=""Plastic_up"",IF(V43&lt;1000,1),IF(P43=""Super_Up"",IF(OR(COUNTIF(P$4:P43,""Grandma"")-COUNTIF(P$4:P43,""Sell_G"&amp;"randma"")&lt;1,COUNTIF(P$4:P43,VLOOKUP(P43,Upgrades!$F$8:$N$8,7+COUNTIF(P$4:P43,P43)))-COUNTIF(P$4:P43,""Sell_""&amp;VLOOKUP(P43,Upgrades!$F$8:$N$8,7+COUNTIF(P$4:P43,P43)))&lt;15),1),IF(REGEXMATCH(P43,""_up""),IF(COUNTIF(P$4:P43,SUBSTITUTE(P43,""_up"",""""))&lt;IFERRO"&amp;"R(VLOOKUP(P43,Upgrades!$L$3:$P$6,1+COUNTIF(P$4:P43,P43),0),999),1),IF(REGEXMATCH(P43,""Sell_""),IF(COUNTIF(P$4:P43,SUBSTITUTE(P43,""Sell_"",""""))-COUNTIF(P$4:P42,P43)&lt;1,1),FALSE)))))))))"),FALSE)</f>
        <v>0</v>
      </c>
      <c r="R43" s="71">
        <f>IFERROR(__xludf.DUMMYFUNCTION("IF(REGEXMATCH(P43,""^Sell_""),R42, IF(COUNTA(P43:P147)=0,"""",(COUNTIF(P$4:P43,""Cursor"")-COUNTIF(P$4:P43,""Sell_Cursor""))*(0.1*2^SWITCH(COUNTIF(P$4:P43,""Cursor_up""),0,0,1,1,2,2,3)+SWITCH(COUNTIF(P$4:P43,""Cursor_up""),4,0.1,0)*(ROW(P43)-4-COUNTIF(P$4"&amp;":P43,""Cursor"")-COUNTIF(P$4:P43,""*""&amp;""_up"")-2*COUNTIF(P$4:P43,""Sell_""&amp;""*"")+COUNTIF(P$4:P43,""Sell_Cursor"")-COUNTIF(P$4:P43,"""")))+(COUNTIF(P$4:P43,""Grandma"")-COUNTIF(P$4:P43,""Sell_Grandma""))*(1*2^(COUNTIF(P$4:P43,""Grandma_up"")+COUNTIF(P$4:"&amp;"P43,""Super_up"")))+(COUNTIF(P$4:P43,""Farm"")-COUNTIF(P$4:P43,""Sell_Farm""))*(8*2^COUNTIF(P$4:P43,""Farm_up""))*IF(COUNTIF(P$4:P43,""Super_up"")&gt;0,1+0.01*(COUNTIF(P$4:P43,""Grandma"")-COUNTIF(P$4:P43,""Sell_Grandma"")),1)+(COUNTIF(P$4:P43,""Mine"")-COUN"&amp;"TIF(P$4:P43,""Sell_Mine""))*((47*2^COUNTIF(P$4:P43,""Mine_up""))*IF(COUNTIF(P$4:P43,""Super_up"")&gt;1,1+0.005*(COUNTIF(P$4:P43,""Grandma"")-COUNTIF(P$4:P43,""Sell_Grandma"")),1))+(COUNTIF(P$4:P43,""Factory"")-COUNTIF(P$4:P43,""Sell_Factory""))*(260*2^COUNTI"&amp;"F(P$4:P43,""Factory_up""))))"),105.6)</f>
        <v>105.6</v>
      </c>
      <c r="S43" s="73">
        <f>IFERROR(__xludf.DUMMYFUNCTION("IF(COUNTA(P43:P147)=0,"""",IF(REGEXMATCH(INDEX(FILTER(P$4:P43,P$4:P43&lt;&gt;""""),ROWS(FILTER(P$4:P43,P$4:P43&lt;&gt;""""))),""^Sell_""),INDEX(FILTER(S$4:S42,P$4:P42&lt;&gt;""""),ROWS(FILTER(P$4:P42,P$4:P42&lt;&gt;""""))),$AD$5*(2^SWITCH(COUNTIF(P$4:P43,""Cursor_up""),0,0,1,1,2"&amp;",2,3)+SWITCH(COUNTIF(P$4:P43,""Cursor_up""),4,0.1,0)*(ROW(P43)-4-COUNTIF(P$4:P43,""Cursor"")-COUNTIF(P$4:P43,""*""&amp;""_up"")-2*COUNTIF(P$4:P43,""Sell_""&amp;""*"")+COUNTIF(P$4:P43,""Sell_Cursor"")-COUNTIF(P$4:P43,""""))+0.01*R43*COUNTIF(P$4:P43,""Plastic_up"")"&amp;")+R43))"),145.6)</f>
        <v>145.6</v>
      </c>
      <c r="T43" s="14">
        <f>IFERROR(__xludf.DUMMYFUNCTION("IF(COUNTA(P43:P147)=0,"""",IF(REGEXMATCH(P43,""_up""),VLOOKUP(P43,Upgrades!$F$3:$J$8,1+COUNTIF(P$4:P43,P43),FALSE),IF(P43="""",0,IF(REGEXMATCH(P43,""^Sell_""),-ROUNDDOWN(ROUNDUP(INDEX(Upgrades!$C$3:$C$8,MATCH(SUBSTITUTE(P43,""Sell_"",""""),Upgrades!$B$3:$"&amp;"B$8,0))*1.15^(COUNTIF(P$4:P42,SUBSTITUTE(P43,""Sell_"",""""))-COUNTIF(P$4:P42,""Sell_""&amp;SUBSTITUTE(P43,""Sell_"",""""))))/4),ROUNDUP(INDEX(Upgrades!$C$3:$C$7,MATCH(P43,Upgrades!$B$3:$B$7,0))*1.15^(COUNTIF(P$4:P42,P43)-COUNTIF(P$4:P42,""Sell_""&amp;P43)))))))"),936.0)</f>
        <v>936</v>
      </c>
      <c r="U43" s="14">
        <f t="shared" si="10"/>
        <v>936</v>
      </c>
      <c r="V43" s="75">
        <f t="shared" si="11"/>
        <v>170029.3711</v>
      </c>
      <c r="W43" s="76">
        <f t="shared" si="12"/>
        <v>260.7132059</v>
      </c>
      <c r="X43" s="71" t="str">
        <f t="shared" si="13"/>
        <v>4m 20s</v>
      </c>
      <c r="Y43" s="77">
        <f t="shared" si="14"/>
        <v>19222</v>
      </c>
      <c r="Z43" s="17"/>
      <c r="AA43" s="13"/>
      <c r="AB43" s="13"/>
      <c r="AC43" s="13"/>
      <c r="AD43" s="13"/>
      <c r="AE43" s="13"/>
      <c r="AF43" s="13"/>
      <c r="AG43" s="13"/>
    </row>
    <row r="44">
      <c r="A44" s="12"/>
      <c r="B44" s="65">
        <f t="shared" si="2"/>
        <v>5</v>
      </c>
      <c r="C44" s="69" t="s">
        <v>16</v>
      </c>
      <c r="D44" s="14" t="b">
        <f>IFERROR(__xludf.DUMMYFUNCTION("IF(COUNTA(C44:C147)=0,"""",IFERROR(IF(ISBLANK(C44),FALSE,IF(ISBLANK(G44),1,IF(NOT(COUNTIF($AA$24:$AA$34,SUBSTITUTE(C44,""Sell_"",""""))),1,IF(C44=""Plastic_up"",IF(I44&lt;1000,1),IF(C44=""Super_Up"",IF(OR(COUNTIF(C$4:C44,""Grandma"")-COUNTIF(C$4:C44,""Sell_G"&amp;"randma"")&lt;1,COUNTIF(C$4:C44,VLOOKUP(C44,Upgrades!$F$8:$N$8,7+COUNTIF(C$4:C44,C44)))-COUNTIF(C$4:C44,""Sell_""&amp;VLOOKUP(C44,Upgrades!$F$8:$N$8,7+COUNTIF(C$4:C44,C44)))&lt;15),1),IF(REGEXMATCH(C44,""_up""),IF(COUNTIF(C$4:C44,SUBSTITUTE(C44,""_up"",""""))&lt;IFERRO"&amp;"R(VLOOKUP(C44,Upgrades!$L$3:$P$6,1+COUNTIF(C$4:C44,C44),0),999),1),IF(REGEXMATCH(C44,""Sell_""),IF(COUNTIF(C$4:C44,SUBSTITUTE(C44,""Sell_"",""""))-COUNTIF(C$4:C43,C44)&lt;1,1),FALSE)))))))))"),FALSE)</f>
        <v>0</v>
      </c>
      <c r="E44" s="71">
        <f>IFERROR(__xludf.DUMMYFUNCTION("IF(REGEXMATCH(C44,""^Sell_""),E43, IF(COUNTA(C44:C147)=0,"""",(COUNTIF(C$4:C44,""Cursor"")-COUNTIF(C$4:C44,""Sell_Cursor""))*(0.1*2^SWITCH(COUNTIF(C$4:C44,""Cursor_up""),0,0,1,1,2,2,3)+SWITCH(COUNTIF(C$4:C44,""Cursor_up""),4,0.1,0)*(ROW(C44)-4-COUNTIF(C$4"&amp;":C44,""Cursor"")-COUNTIF(C$4:C44,""*""&amp;""_up"")-2*COUNTIF(C$4:C44,""Sell_""&amp;""*"")+COUNTIF(C$4:C44,""Sell_Cursor"")-COUNTIF(C$4:C44,"""")))+(COUNTIF(C$4:C44,""Grandma"")-COUNTIF(C$4:C44,""Sell_Grandma""))*(1*2^(COUNTIF(C$4:C44,""Grandma_up"")+COUNTIF(C$4:"&amp;"C44,""Super_up"")))+(COUNTIF(C$4:C44,""Farm"")-COUNTIF(C$4:C44,""Sell_Farm""))*(8*2^COUNTIF(C$4:C44,""Farm_up""))*IF(COUNTIF(C$4:C44,""Super_up"")&gt;0,1+0.01*(COUNTIF(C$4:C44,""Grandma"")-COUNTIF(C$4:C44,""Sell_Grandma"")),1)+(COUNTIF(C$4:C44,""Mine"")-COUN"&amp;"TIF(C$4:C44,""Sell_Mine""))*((47*2^COUNTIF(C$4:C44,""Mine_up""))*IF(COUNTIF(C$4:C44,""Super_up"")&gt;1,1+0.005*(COUNTIF(C$4:C44,""Grandma"")-COUNTIF(C$4:C44,""Sell_Grandma"")),1))+(COUNTIF(C$4:C44,""Factory"")-COUNTIF(C$4:C44,""Sell_Factory""))*(260*2^COUNTI"&amp;"F(C$4:C44,""Factory_up""))))"),113.6)</f>
        <v>113.6</v>
      </c>
      <c r="F44" s="73">
        <f>IFERROR(__xludf.DUMMYFUNCTION("IF(COUNTA(C44:C147)=0,"""",IF(REGEXMATCH(INDEX(FILTER(C$4:C44,C$4:C44&lt;&gt;""""),ROWS(FILTER(C$4:C44,C$4:C44&lt;&gt;""""))),""^Sell_""),INDEX(FILTER(F$4:F43,C$4:C43&lt;&gt;""""),ROWS(FILTER(C$4:C43,C$4:C43&lt;&gt;""""))),$AC$5*(2^SWITCH(COUNTIF(C$4:C44,""Cursor_up""),0,0,1,1,2"&amp;",2,3)+SWITCH(COUNTIF(C$4:C44,""Cursor_up""),4,0.1,0)*(ROW(C44)-4-COUNTIF(C$4:C44,""Cursor"")-COUNTIF(C$4:C44,""*""&amp;""_up"")-2*COUNTIF(C$4:C44,""Sell_""&amp;""*"")+COUNTIF(C$4:C44,""Sell_Cursor"")-COUNTIF(C$4:C44,""""))+0.01*E44*COUNTIF(C$4:C44,""Plastic_up"")"&amp;")+E44))"),153.6)</f>
        <v>153.6</v>
      </c>
      <c r="G44" s="14">
        <f>IFERROR(__xludf.DUMMYFUNCTION("IF(COUNTA(C44:C147)=0,"""",IF(REGEXMATCH(C44,""_up""),VLOOKUP(C44,Upgrades!$F$3:$J$8,1+COUNTIF(C$4:C44,C44),FALSE),IF(C44="""",0,IF(REGEXMATCH(C44,""^Sell_""),-ROUNDDOWN(ROUNDUP(INDEX(Upgrades!$C$3:$C$8,MATCH(SUBSTITUTE(C44,""Sell_"",""""),Upgrades!$B$3:$"&amp;"B$8,0))*1.15^(COUNTIF(C$4:C43,SUBSTITUTE(C44,""Sell_"",""""))-COUNTIF(C$4:C43,""Sell_""&amp;SUBSTITUTE(C44,""Sell_"",""""))))/4),ROUNDUP(INDEX(Upgrades!$C$3:$C$7,MATCH(C44,Upgrades!$B$3:$B$7,0))*1.15^(COUNTIF(C$4:C43,C44)-COUNTIF(C$4:C43,""Sell_""&amp;C44)))))))"),1924.0)</f>
        <v>1924</v>
      </c>
      <c r="H44" s="14">
        <f t="shared" si="3"/>
        <v>1924</v>
      </c>
      <c r="I44" s="75">
        <f t="shared" si="4"/>
        <v>180986.4707</v>
      </c>
      <c r="J44" s="76">
        <f t="shared" si="5"/>
        <v>273.9274916</v>
      </c>
      <c r="K44" s="71" t="str">
        <f t="shared" si="6"/>
        <v>4m 33s</v>
      </c>
      <c r="L44" s="77">
        <f t="shared" si="7"/>
        <v>21146</v>
      </c>
      <c r="M44" s="51">
        <f t="shared" si="8"/>
        <v>0</v>
      </c>
      <c r="N44" s="52">
        <f>IFERROR(__xludf.DUMMYFUNCTION("IFS(AND(COUNTA(C44:C147)=0,COUNTA(P44:P147)=0),"""",OR(AND(L44&gt;=1000000,OR(Y44&gt;=1000000,COUNTA(P44:P147)=0)),AND(Y44&gt;=1000000,COUNTA(C44:C147)=0),AND(COUNTA(P44:P147)=0,O$3=TRUE)),
ROUNDDOWN((AB$1-AC$1)*MAX(INDEX(S$4:S147,MATCH(LARGE(FILTER(Y$4:Y147,Y$4:Y"&amp;"147&lt;1000000),1),Y$4:Y147)),INDEX(F$4:F147,MATCH(LARGE(FILTER(L$4:L147,L$4:L147&lt;1000000),1),L$4:L147)))),AND(L44&lt;1000000,COUNTA(C44:C147)&gt;0,O$3=FALSE),
ROUNDDOWN(INDEX(Y$4:Y147,MATCH(LARGE(FILTER(W$4:W147,W$4:W147&lt;=J44),1),W$4:W147))+(J44-LARGE(FILTER(W$4:"&amp;"W147,W$4:W147&lt;=J44),1))*INDEX(S$4:S147,MATCH(LARGE(FILTER(W$4:W147,W$4:W147&lt;=J44),1),W$4:W147))-L44),1,
ROUNDDOWN(Y44-INDEX(L$4:L147,MATCH(LARGE(FILTER(J$4:J147,J$4:J147&lt;=W44),1),J$4:J147))-(W44-LARGE(FILTER(J$4:J147,J$4:J147&lt;=W44),1))*INDEX(F$4:F147,MATC"&amp;"H(LARGE(FILTER(J$4:J147,J$4:J147&lt;=W44),1),J$4:J147))))"),0.0)</f>
        <v>0</v>
      </c>
      <c r="O44" s="65">
        <f t="shared" si="9"/>
        <v>5</v>
      </c>
      <c r="P44" s="69" t="s">
        <v>16</v>
      </c>
      <c r="Q44" s="14" t="b">
        <f>IFERROR(__xludf.DUMMYFUNCTION("IF(COUNTA(P44:P147)=0,"""",IFERROR(IF(ISBLANK(P44),FALSE,IF(ISBLANK(T44),1,IF(NOT(COUNTIF($AA$24:$AA$34,SUBSTITUTE(P44,""Sell_"",""""))),1,IF(P44=""Plastic_up"",IF(V44&lt;1000,1),IF(P44=""Super_Up"",IF(OR(COUNTIF(P$4:P44,""Grandma"")-COUNTIF(P$4:P44,""Sell_G"&amp;"randma"")&lt;1,COUNTIF(P$4:P44,VLOOKUP(P44,Upgrades!$F$8:$N$8,7+COUNTIF(P$4:P44,P44)))-COUNTIF(P$4:P44,""Sell_""&amp;VLOOKUP(P44,Upgrades!$F$8:$N$8,7+COUNTIF(P$4:P44,P44)))&lt;15),1),IF(REGEXMATCH(P44,""_up""),IF(COUNTIF(P$4:P44,SUBSTITUTE(P44,""_up"",""""))&lt;IFERRO"&amp;"R(VLOOKUP(P44,Upgrades!$L$3:$P$6,1+COUNTIF(P$4:P44,P44),0),999),1),IF(REGEXMATCH(P44,""Sell_""),IF(COUNTIF(P$4:P44,SUBSTITUTE(P44,""Sell_"",""""))-COUNTIF(P$4:P43,P44)&lt;1,1),FALSE)))))))))"),FALSE)</f>
        <v>0</v>
      </c>
      <c r="R44" s="71">
        <f>IFERROR(__xludf.DUMMYFUNCTION("IF(REGEXMATCH(P44,""^Sell_""),R43, IF(COUNTA(P44:P147)=0,"""",(COUNTIF(P$4:P44,""Cursor"")-COUNTIF(P$4:P44,""Sell_Cursor""))*(0.1*2^SWITCH(COUNTIF(P$4:P44,""Cursor_up""),0,0,1,1,2,2,3)+SWITCH(COUNTIF(P$4:P44,""Cursor_up""),4,0.1,0)*(ROW(P44)-4-COUNTIF(P$4"&amp;":P44,""Cursor"")-COUNTIF(P$4:P44,""*""&amp;""_up"")-2*COUNTIF(P$4:P44,""Sell_""&amp;""*"")+COUNTIF(P$4:P44,""Sell_Cursor"")-COUNTIF(P$4:P44,"""")))+(COUNTIF(P$4:P44,""Grandma"")-COUNTIF(P$4:P44,""Sell_Grandma""))*(1*2^(COUNTIF(P$4:P44,""Grandma_up"")+COUNTIF(P$4:"&amp;"P44,""Super_up"")))+(COUNTIF(P$4:P44,""Farm"")-COUNTIF(P$4:P44,""Sell_Farm""))*(8*2^COUNTIF(P$4:P44,""Farm_up""))*IF(COUNTIF(P$4:P44,""Super_up"")&gt;0,1+0.01*(COUNTIF(P$4:P44,""Grandma"")-COUNTIF(P$4:P44,""Sell_Grandma"")),1)+(COUNTIF(P$4:P44,""Mine"")-COUN"&amp;"TIF(P$4:P44,""Sell_Mine""))*((47*2^COUNTIF(P$4:P44,""Mine_up""))*IF(COUNTIF(P$4:P44,""Super_up"")&gt;1,1+0.005*(COUNTIF(P$4:P44,""Grandma"")-COUNTIF(P$4:P44,""Sell_Grandma"")),1))+(COUNTIF(P$4:P44,""Factory"")-COUNTIF(P$4:P44,""Sell_Factory""))*(260*2^COUNTI"&amp;"F(P$4:P44,""Factory_up""))))"),113.6)</f>
        <v>113.6</v>
      </c>
      <c r="S44" s="73">
        <f>IFERROR(__xludf.DUMMYFUNCTION("IF(COUNTA(P44:P147)=0,"""",IF(REGEXMATCH(INDEX(FILTER(P$4:P44,P$4:P44&lt;&gt;""""),ROWS(FILTER(P$4:P44,P$4:P44&lt;&gt;""""))),""^Sell_""),INDEX(FILTER(S$4:S43,P$4:P43&lt;&gt;""""),ROWS(FILTER(P$4:P43,P$4:P43&lt;&gt;""""))),$AD$5*(2^SWITCH(COUNTIF(P$4:P44,""Cursor_up""),0,0,1,1,2"&amp;",2,3)+SWITCH(COUNTIF(P$4:P44,""Cursor_up""),4,0.1,0)*(ROW(P44)-4-COUNTIF(P$4:P44,""Cursor"")-COUNTIF(P$4:P44,""*""&amp;""_up"")-2*COUNTIF(P$4:P44,""Sell_""&amp;""*"")+COUNTIF(P$4:P44,""Sell_Cursor"")-COUNTIF(P$4:P44,""""))+0.01*R44*COUNTIF(P$4:P44,""Plastic_up"")"&amp;")+R44))"),153.6)</f>
        <v>153.6</v>
      </c>
      <c r="T44" s="14">
        <f>IFERROR(__xludf.DUMMYFUNCTION("IF(COUNTA(P44:P147)=0,"""",IF(REGEXMATCH(P44,""_up""),VLOOKUP(P44,Upgrades!$F$3:$J$8,1+COUNTIF(P$4:P44,P44),FALSE),IF(P44="""",0,IF(REGEXMATCH(P44,""^Sell_""),-ROUNDDOWN(ROUNDUP(INDEX(Upgrades!$C$3:$C$8,MATCH(SUBSTITUTE(P44,""Sell_"",""""),Upgrades!$B$3:$"&amp;"B$8,0))*1.15^(COUNTIF(P$4:P43,SUBSTITUTE(P44,""Sell_"",""""))-COUNTIF(P$4:P43,""Sell_""&amp;SUBSTITUTE(P44,""Sell_"",""""))))/4),ROUNDUP(INDEX(Upgrades!$C$3:$C$7,MATCH(P44,Upgrades!$B$3:$B$7,0))*1.15^(COUNTIF(P$4:P43,P44)-COUNTIF(P$4:P43,""Sell_""&amp;P44)))))))"),1924.0)</f>
        <v>1924</v>
      </c>
      <c r="U44" s="14">
        <f t="shared" si="10"/>
        <v>1924</v>
      </c>
      <c r="V44" s="75">
        <f t="shared" si="11"/>
        <v>180986.4707</v>
      </c>
      <c r="W44" s="76">
        <f t="shared" si="12"/>
        <v>273.9274916</v>
      </c>
      <c r="X44" s="71" t="str">
        <f t="shared" si="13"/>
        <v>4m 33s</v>
      </c>
      <c r="Y44" s="77">
        <f t="shared" si="14"/>
        <v>21146</v>
      </c>
      <c r="Z44" s="17"/>
      <c r="AA44" s="13"/>
      <c r="AB44" s="13"/>
      <c r="AC44" s="13"/>
      <c r="AD44" s="13"/>
      <c r="AE44" s="13"/>
      <c r="AF44" s="13"/>
      <c r="AG44" s="13"/>
    </row>
    <row r="45">
      <c r="A45" s="12"/>
      <c r="B45" s="65">
        <f t="shared" si="2"/>
        <v>15</v>
      </c>
      <c r="C45" s="69" t="s">
        <v>10</v>
      </c>
      <c r="D45" s="14" t="b">
        <f>IFERROR(__xludf.DUMMYFUNCTION("IF(COUNTA(C45:C147)=0,"""",IFERROR(IF(ISBLANK(C45),FALSE,IF(ISBLANK(G45),1,IF(NOT(COUNTIF($AA$24:$AA$34,SUBSTITUTE(C45,""Sell_"",""""))),1,IF(C45=""Plastic_up"",IF(I45&lt;1000,1),IF(C45=""Super_Up"",IF(OR(COUNTIF(C$4:C45,""Grandma"")-COUNTIF(C$4:C45,""Sell_G"&amp;"randma"")&lt;1,COUNTIF(C$4:C45,VLOOKUP(C45,Upgrades!$F$8:$N$8,7+COUNTIF(C$4:C45,C45)))-COUNTIF(C$4:C45,""Sell_""&amp;VLOOKUP(C45,Upgrades!$F$8:$N$8,7+COUNTIF(C$4:C45,C45)))&lt;15),1),IF(REGEXMATCH(C45,""_up""),IF(COUNTIF(C$4:C45,SUBSTITUTE(C45,""_up"",""""))&lt;IFERRO"&amp;"R(VLOOKUP(C45,Upgrades!$L$3:$P$6,1+COUNTIF(C$4:C45,C45),0),999),1),IF(REGEXMATCH(C45,""Sell_""),IF(COUNTIF(C$4:C45,SUBSTITUTE(C45,""Sell_"",""""))-COUNTIF(C$4:C44,C45)&lt;1,1),FALSE)))))))))"),FALSE)</f>
        <v>0</v>
      </c>
      <c r="E45" s="71">
        <f>IFERROR(__xludf.DUMMYFUNCTION("IF(REGEXMATCH(C45,""^Sell_""),E44, IF(COUNTA(C45:C147)=0,"""",(COUNTIF(C$4:C45,""Cursor"")-COUNTIF(C$4:C45,""Sell_Cursor""))*(0.1*2^SWITCH(COUNTIF(C$4:C45,""Cursor_up""),0,0,1,1,2,2,3)+SWITCH(COUNTIF(C$4:C45,""Cursor_up""),4,0.1,0)*(ROW(C45)-4-COUNTIF(C$4"&amp;":C45,""Cursor"")-COUNTIF(C$4:C45,""*""&amp;""_up"")-2*COUNTIF(C$4:C45,""Sell_""&amp;""*"")+COUNTIF(C$4:C45,""Sell_Cursor"")-COUNTIF(C$4:C45,"""")))+(COUNTIF(C$4:C45,""Grandma"")-COUNTIF(C$4:C45,""Sell_Grandma""))*(1*2^(COUNTIF(C$4:C45,""Grandma_up"")+COUNTIF(C$4:"&amp;"C45,""Super_up"")))+(COUNTIF(C$4:C45,""Farm"")-COUNTIF(C$4:C45,""Sell_Farm""))*(8*2^COUNTIF(C$4:C45,""Farm_up""))*IF(COUNTIF(C$4:C45,""Super_up"")&gt;0,1+0.01*(COUNTIF(C$4:C45,""Grandma"")-COUNTIF(C$4:C45,""Sell_Grandma"")),1)+(COUNTIF(C$4:C45,""Mine"")-COUN"&amp;"TIF(C$4:C45,""Sell_Mine""))*((47*2^COUNTIF(C$4:C45,""Mine_up""))*IF(COUNTIF(C$4:C45,""Super_up"")&gt;1,1+0.005*(COUNTIF(C$4:C45,""Grandma"")-COUNTIF(C$4:C45,""Sell_Grandma"")),1))+(COUNTIF(C$4:C45,""Factory"")-COUNTIF(C$4:C45,""Sell_Factory""))*(260*2^COUNTI"&amp;"F(C$4:C45,""Factory_up""))))"),114.0)</f>
        <v>114</v>
      </c>
      <c r="F45" s="73">
        <f>IFERROR(__xludf.DUMMYFUNCTION("IF(COUNTA(C45:C147)=0,"""",IF(REGEXMATCH(INDEX(FILTER(C$4:C45,C$4:C45&lt;&gt;""""),ROWS(FILTER(C$4:C45,C$4:C45&lt;&gt;""""))),""^Sell_""),INDEX(FILTER(F$4:F44,C$4:C44&lt;&gt;""""),ROWS(FILTER(C$4:C44,C$4:C44&lt;&gt;""""))),$AC$5*(2^SWITCH(COUNTIF(C$4:C45,""Cursor_up""),0,0,1,1,2"&amp;",2,3)+SWITCH(COUNTIF(C$4:C45,""Cursor_up""),4,0.1,0)*(ROW(C45)-4-COUNTIF(C$4:C45,""Cursor"")-COUNTIF(C$4:C45,""*""&amp;""_up"")-2*COUNTIF(C$4:C45,""Sell_""&amp;""*"")+COUNTIF(C$4:C45,""Sell_Cursor"")-COUNTIF(C$4:C45,""""))+0.01*E45*COUNTIF(C$4:C45,""Plastic_up"")"&amp;")+E45))"),154.0)</f>
        <v>154</v>
      </c>
      <c r="G45" s="14">
        <f>IFERROR(__xludf.DUMMYFUNCTION("IF(COUNTA(C45:C147)=0,"""",IF(REGEXMATCH(C45,""_up""),VLOOKUP(C45,Upgrades!$F$3:$J$8,1+COUNTIF(C$4:C45,C45),FALSE),IF(C45="""",0,IF(REGEXMATCH(C45,""^Sell_""),-ROUNDDOWN(ROUNDUP(INDEX(Upgrades!$C$3:$C$8,MATCH(SUBSTITUTE(C45,""Sell_"",""""),Upgrades!$B$3:$"&amp;"B$8,0))*1.15^(COUNTIF(C$4:C44,SUBSTITUTE(C45,""Sell_"",""""))-COUNTIF(C$4:C44,""Sell_""&amp;SUBSTITUTE(C45,""Sell_"",""""))))/4),ROUNDUP(INDEX(Upgrades!$C$3:$C$7,MATCH(C45,Upgrades!$B$3:$B$7,0))*1.15^(COUNTIF(C$4:C44,C45)-COUNTIF(C$4:C44,""Sell_""&amp;C45)))))))"),107.0)</f>
        <v>107</v>
      </c>
      <c r="H45" s="14">
        <f t="shared" si="3"/>
        <v>107</v>
      </c>
      <c r="I45" s="75">
        <f t="shared" si="4"/>
        <v>191971.435</v>
      </c>
      <c r="J45" s="76">
        <f t="shared" si="5"/>
        <v>274.6241062</v>
      </c>
      <c r="K45" s="71" t="str">
        <f t="shared" si="6"/>
        <v>4m 34s</v>
      </c>
      <c r="L45" s="77">
        <f t="shared" si="7"/>
        <v>21253</v>
      </c>
      <c r="M45" s="51">
        <f t="shared" si="8"/>
        <v>0.03561</v>
      </c>
      <c r="N45" s="52">
        <f>IFERROR(__xludf.DUMMYFUNCTION("IFS(AND(COUNTA(C45:C147)=0,COUNTA(P45:P147)=0),"""",OR(AND(L45&gt;=1000000,OR(Y45&gt;=1000000,COUNTA(P45:P147)=0)),AND(Y45&gt;=1000000,COUNTA(C45:C147)=0),AND(COUNTA(P45:P147)=0,O$3=TRUE)),
ROUNDDOWN((AB$1-AC$1)*MAX(INDEX(S$4:S147,MATCH(LARGE(FILTER(Y$4:Y147,Y$4:Y"&amp;"147&lt;1000000),1),Y$4:Y147)),INDEX(F$4:F147,MATCH(LARGE(FILTER(L$4:L147,L$4:L147&lt;1000000),1),L$4:L147)))),AND(L45&lt;1000000,COUNTA(C45:C147)&gt;0,O$3=FALSE),
ROUNDDOWN(INDEX(Y$4:Y147,MATCH(LARGE(FILTER(W$4:W147,W$4:W147&lt;=J45),1),W$4:W147))+(J45-LARGE(FILTER(W$4:"&amp;"W147,W$4:W147&lt;=J45),1))*INDEX(S$4:S147,MATCH(LARGE(FILTER(W$4:W147,W$4:W147&lt;=J45),1),W$4:W147))-L45),1,
ROUNDDOWN(Y45-INDEX(L$4:L147,MATCH(LARGE(FILTER(J$4:J147,J$4:J147&lt;=W45),1),J$4:J147))-(W45-LARGE(FILTER(J$4:J147,J$4:J147&lt;=W45),1))*INDEX(F$4:F147,MATC"&amp;"H(LARGE(FILTER(J$4:J147,J$4:J147&lt;=W45),1),J$4:J147))))"),-5.0)</f>
        <v>-5</v>
      </c>
      <c r="O45" s="65">
        <f t="shared" si="9"/>
        <v>6</v>
      </c>
      <c r="P45" s="69" t="s">
        <v>16</v>
      </c>
      <c r="Q45" s="14" t="b">
        <f>IFERROR(__xludf.DUMMYFUNCTION("IF(COUNTA(P45:P147)=0,"""",IFERROR(IF(ISBLANK(P45),FALSE,IF(ISBLANK(T45),1,IF(NOT(COUNTIF($AA$24:$AA$34,SUBSTITUTE(P45,""Sell_"",""""))),1,IF(P45=""Plastic_up"",IF(V45&lt;1000,1),IF(P45=""Super_Up"",IF(OR(COUNTIF(P$4:P45,""Grandma"")-COUNTIF(P$4:P45,""Sell_G"&amp;"randma"")&lt;1,COUNTIF(P$4:P45,VLOOKUP(P45,Upgrades!$F$8:$N$8,7+COUNTIF(P$4:P45,P45)))-COUNTIF(P$4:P45,""Sell_""&amp;VLOOKUP(P45,Upgrades!$F$8:$N$8,7+COUNTIF(P$4:P45,P45)))&lt;15),1),IF(REGEXMATCH(P45,""_up""),IF(COUNTIF(P$4:P45,SUBSTITUTE(P45,""_up"",""""))&lt;IFERRO"&amp;"R(VLOOKUP(P45,Upgrades!$L$3:$P$6,1+COUNTIF(P$4:P45,P45),0),999),1),IF(REGEXMATCH(P45,""Sell_""),IF(COUNTIF(P$4:P45,SUBSTITUTE(P45,""Sell_"",""""))-COUNTIF(P$4:P44,P45)&lt;1,1),FALSE)))))))))"),FALSE)</f>
        <v>0</v>
      </c>
      <c r="R45" s="71">
        <f>IFERROR(__xludf.DUMMYFUNCTION("IF(REGEXMATCH(P45,""^Sell_""),R44, IF(COUNTA(P45:P147)=0,"""",(COUNTIF(P$4:P45,""Cursor"")-COUNTIF(P$4:P45,""Sell_Cursor""))*(0.1*2^SWITCH(COUNTIF(P$4:P45,""Cursor_up""),0,0,1,1,2,2,3)+SWITCH(COUNTIF(P$4:P45,""Cursor_up""),4,0.1,0)*(ROW(P45)-4-COUNTIF(P$4"&amp;":P45,""Cursor"")-COUNTIF(P$4:P45,""*""&amp;""_up"")-2*COUNTIF(P$4:P45,""Sell_""&amp;""*"")+COUNTIF(P$4:P45,""Sell_Cursor"")-COUNTIF(P$4:P45,"""")))+(COUNTIF(P$4:P45,""Grandma"")-COUNTIF(P$4:P45,""Sell_Grandma""))*(1*2^(COUNTIF(P$4:P45,""Grandma_up"")+COUNTIF(P$4:"&amp;"P45,""Super_up"")))+(COUNTIF(P$4:P45,""Farm"")-COUNTIF(P$4:P45,""Sell_Farm""))*(8*2^COUNTIF(P$4:P45,""Farm_up""))*IF(COUNTIF(P$4:P45,""Super_up"")&gt;0,1+0.01*(COUNTIF(P$4:P45,""Grandma"")-COUNTIF(P$4:P45,""Sell_Grandma"")),1)+(COUNTIF(P$4:P45,""Mine"")-COUN"&amp;"TIF(P$4:P45,""Sell_Mine""))*((47*2^COUNTIF(P$4:P45,""Mine_up""))*IF(COUNTIF(P$4:P45,""Super_up"")&gt;1,1+0.005*(COUNTIF(P$4:P45,""Grandma"")-COUNTIF(P$4:P45,""Sell_Grandma"")),1))+(COUNTIF(P$4:P45,""Factory"")-COUNTIF(P$4:P45,""Sell_Factory""))*(260*2^COUNTI"&amp;"F(P$4:P45,""Factory_up""))))"),121.6)</f>
        <v>121.6</v>
      </c>
      <c r="S45" s="73">
        <f>IFERROR(__xludf.DUMMYFUNCTION("IF(COUNTA(P45:P147)=0,"""",IF(REGEXMATCH(INDEX(FILTER(P$4:P45,P$4:P45&lt;&gt;""""),ROWS(FILTER(P$4:P45,P$4:P45&lt;&gt;""""))),""^Sell_""),INDEX(FILTER(S$4:S44,P$4:P44&lt;&gt;""""),ROWS(FILTER(P$4:P44,P$4:P44&lt;&gt;""""))),$AD$5*(2^SWITCH(COUNTIF(P$4:P45,""Cursor_up""),0,0,1,1,2"&amp;",2,3)+SWITCH(COUNTIF(P$4:P45,""Cursor_up""),4,0.1,0)*(ROW(P45)-4-COUNTIF(P$4:P45,""Cursor"")-COUNTIF(P$4:P45,""*""&amp;""_up"")-2*COUNTIF(P$4:P45,""Sell_""&amp;""*"")+COUNTIF(P$4:P45,""Sell_Cursor"")-COUNTIF(P$4:P45,""""))+0.01*R45*COUNTIF(P$4:P45,""Plastic_up"")"&amp;")+R45))"),161.6)</f>
        <v>161.6</v>
      </c>
      <c r="T45" s="14">
        <f>IFERROR(__xludf.DUMMYFUNCTION("IF(COUNTA(P45:P147)=0,"""",IF(REGEXMATCH(P45,""_up""),VLOOKUP(P45,Upgrades!$F$3:$J$8,1+COUNTIF(P$4:P45,P45),FALSE),IF(P45="""",0,IF(REGEXMATCH(P45,""^Sell_""),-ROUNDDOWN(ROUNDUP(INDEX(Upgrades!$C$3:$C$8,MATCH(SUBSTITUTE(P45,""Sell_"",""""),Upgrades!$B$3:$"&amp;"B$8,0))*1.15^(COUNTIF(P$4:P44,SUBSTITUTE(P45,""Sell_"",""""))-COUNTIF(P$4:P44,""Sell_""&amp;SUBSTITUTE(P45,""Sell_"",""""))))/4),ROUNDUP(INDEX(Upgrades!$C$3:$C$7,MATCH(P45,Upgrades!$B$3:$B$7,0))*1.15^(COUNTIF(P$4:P44,P45)-COUNTIF(P$4:P44,""Sell_""&amp;P45)))))))"),2213.0)</f>
        <v>2213</v>
      </c>
      <c r="U45" s="14">
        <f t="shared" si="10"/>
        <v>2213</v>
      </c>
      <c r="V45" s="75">
        <f t="shared" si="11"/>
        <v>192519.8725</v>
      </c>
      <c r="W45" s="76">
        <f t="shared" si="12"/>
        <v>288.3350437</v>
      </c>
      <c r="X45" s="71" t="str">
        <f t="shared" si="13"/>
        <v>4m 48s</v>
      </c>
      <c r="Y45" s="77">
        <f t="shared" si="14"/>
        <v>23359</v>
      </c>
      <c r="Z45" s="17"/>
      <c r="AA45" s="13"/>
      <c r="AB45" s="13"/>
      <c r="AC45" s="118"/>
      <c r="AD45" s="118"/>
      <c r="AE45" s="13"/>
      <c r="AF45" s="13"/>
      <c r="AG45" s="13"/>
    </row>
    <row r="46">
      <c r="A46" s="12"/>
      <c r="B46" s="65">
        <f t="shared" si="2"/>
        <v>3</v>
      </c>
      <c r="C46" s="69" t="s">
        <v>11</v>
      </c>
      <c r="D46" s="14" t="b">
        <f>IFERROR(__xludf.DUMMYFUNCTION("IF(COUNTA(C46:C147)=0,"""",IFERROR(IF(ISBLANK(C46),FALSE,IF(ISBLANK(G46),1,IF(NOT(COUNTIF($AA$24:$AA$34,SUBSTITUTE(C46,""Sell_"",""""))),1,IF(C46=""Plastic_up"",IF(I46&lt;1000,1),IF(C46=""Super_Up"",IF(OR(COUNTIF(C$4:C46,""Grandma"")-COUNTIF(C$4:C46,""Sell_G"&amp;"randma"")&lt;1,COUNTIF(C$4:C46,VLOOKUP(C46,Upgrades!$F$8:$N$8,7+COUNTIF(C$4:C46,C46)))-COUNTIF(C$4:C46,""Sell_""&amp;VLOOKUP(C46,Upgrades!$F$8:$N$8,7+COUNTIF(C$4:C46,C46)))&lt;15),1),IF(REGEXMATCH(C46,""_up""),IF(COUNTIF(C$4:C46,SUBSTITUTE(C46,""_up"",""""))&lt;IFERRO"&amp;"R(VLOOKUP(C46,Upgrades!$L$3:$P$6,1+COUNTIF(C$4:C46,C46),0),999),1),IF(REGEXMATCH(C46,""Sell_""),IF(COUNTIF(C$4:C46,SUBSTITUTE(C46,""Sell_"",""""))-COUNTIF(C$4:C45,C46)&lt;1,1),FALSE)))))))))"),FALSE)</f>
        <v>0</v>
      </c>
      <c r="E46" s="71">
        <f>IFERROR(__xludf.DUMMYFUNCTION("IF(REGEXMATCH(C46,""^Sell_""),E45, IF(COUNTA(C46:C147)=0,"""",(COUNTIF(C$4:C46,""Cursor"")-COUNTIF(C$4:C46,""Sell_Cursor""))*(0.1*2^SWITCH(COUNTIF(C$4:C46,""Cursor_up""),0,0,1,1,2,2,3)+SWITCH(COUNTIF(C$4:C46,""Cursor_up""),4,0.1,0)*(ROW(C46)-4-COUNTIF(C$4"&amp;":C46,""Cursor"")-COUNTIF(C$4:C46,""*""&amp;""_up"")-2*COUNTIF(C$4:C46,""Sell_""&amp;""*"")+COUNTIF(C$4:C46,""Sell_Cursor"")-COUNTIF(C$4:C46,"""")))+(COUNTIF(C$4:C46,""Grandma"")-COUNTIF(C$4:C46,""Sell_Grandma""))*(1*2^(COUNTIF(C$4:C46,""Grandma_up"")+COUNTIF(C$4:"&amp;"C46,""Super_up"")))+(COUNTIF(C$4:C46,""Farm"")-COUNTIF(C$4:C46,""Sell_Farm""))*(8*2^COUNTIF(C$4:C46,""Farm_up""))*IF(COUNTIF(C$4:C46,""Super_up"")&gt;0,1+0.01*(COUNTIF(C$4:C46,""Grandma"")-COUNTIF(C$4:C46,""Sell_Grandma"")),1)+(COUNTIF(C$4:C46,""Mine"")-COUN"&amp;"TIF(C$4:C46,""Sell_Mine""))*((47*2^COUNTIF(C$4:C46,""Mine_up""))*IF(COUNTIF(C$4:C46,""Super_up"")&gt;1,1+0.005*(COUNTIF(C$4:C46,""Grandma"")-COUNTIF(C$4:C46,""Sell_Grandma"")),1))+(COUNTIF(C$4:C46,""Factory"")-COUNTIF(C$4:C46,""Sell_Factory""))*(260*2^COUNTI"&amp;"F(C$4:C46,""Factory_up""))))"),120.0)</f>
        <v>120</v>
      </c>
      <c r="F46" s="73">
        <f>IFERROR(__xludf.DUMMYFUNCTION("IF(COUNTA(C46:C147)=0,"""",IF(REGEXMATCH(INDEX(FILTER(C$4:C46,C$4:C46&lt;&gt;""""),ROWS(FILTER(C$4:C46,C$4:C46&lt;&gt;""""))),""^Sell_""),INDEX(FILTER(F$4:F45,C$4:C45&lt;&gt;""""),ROWS(FILTER(C$4:C45,C$4:C45&lt;&gt;""""))),$AC$5*(2^SWITCH(COUNTIF(C$4:C46,""Cursor_up""),0,0,1,1,2"&amp;",2,3)+SWITCH(COUNTIF(C$4:C46,""Cursor_up""),4,0.1,0)*(ROW(C46)-4-COUNTIF(C$4:C46,""Cursor"")-COUNTIF(C$4:C46,""*""&amp;""_up"")-2*COUNTIF(C$4:C46,""Sell_""&amp;""*"")+COUNTIF(C$4:C46,""Sell_Cursor"")-COUNTIF(C$4:C46,""""))+0.01*E46*COUNTIF(C$4:C46,""Plastic_up"")"&amp;")+E46))"),200.0)</f>
        <v>200</v>
      </c>
      <c r="G46" s="14">
        <f>IFERROR(__xludf.DUMMYFUNCTION("IF(COUNTA(C46:C147)=0,"""",IF(REGEXMATCH(C46,""_up""),VLOOKUP(C46,Upgrades!$F$3:$J$8,1+COUNTIF(C$4:C46,C46),FALSE),IF(C46="""",0,IF(REGEXMATCH(C46,""^Sell_""),-ROUNDDOWN(ROUNDUP(INDEX(Upgrades!$C$3:$C$8,MATCH(SUBSTITUTE(C46,""Sell_"",""""),Upgrades!$B$3:$"&amp;"B$8,0))*1.15^(COUNTIF(C$4:C45,SUBSTITUTE(C46,""Sell_"",""""))-COUNTIF(C$4:C45,""Sell_""&amp;SUBSTITUTE(C46,""Sell_"",""""))))/4),ROUNDUP(INDEX(Upgrades!$C$3:$C$7,MATCH(C46,Upgrades!$B$3:$B$7,0))*1.15^(COUNTIF(C$4:C45,C46)-COUNTIF(C$4:C45,""Sell_""&amp;C46)))))))"),10000.0)</f>
        <v>10000</v>
      </c>
      <c r="H46" s="14">
        <f t="shared" si="3"/>
        <v>10000</v>
      </c>
      <c r="I46" s="75">
        <f t="shared" si="4"/>
        <v>205553.8018</v>
      </c>
      <c r="J46" s="76">
        <f t="shared" si="5"/>
        <v>339.5591711</v>
      </c>
      <c r="K46" s="71" t="str">
        <f t="shared" si="6"/>
        <v>5m 39s</v>
      </c>
      <c r="L46" s="77">
        <f t="shared" si="7"/>
        <v>31253</v>
      </c>
      <c r="M46" s="51">
        <f t="shared" si="8"/>
        <v>1.66644</v>
      </c>
      <c r="N46" s="52">
        <f>IFERROR(__xludf.DUMMYFUNCTION("IFS(AND(COUNTA(C46:C147)=0,COUNTA(P46:P147)=0),"""",OR(AND(L46&gt;=1000000,OR(Y46&gt;=1000000,COUNTA(P46:P147)=0)),AND(Y46&gt;=1000000,COUNTA(C46:C147)=0),AND(COUNTA(P46:P147)=0,O$3=TRUE)),
ROUNDDOWN((AB$1-AC$1)*MAX(INDEX(S$4:S147,MATCH(LARGE(FILTER(Y$4:Y147,Y$4:Y"&amp;"147&lt;1000000),1),Y$4:Y147)),INDEX(F$4:F147,MATCH(LARGE(FILTER(L$4:L147,L$4:L147&lt;1000000),1),L$4:L147)))),AND(L46&lt;1000000,COUNTA(C46:C147)&gt;0,O$3=FALSE),
ROUNDDOWN(INDEX(Y$4:Y147,MATCH(LARGE(FILTER(W$4:W147,W$4:W147&lt;=J46),1),W$4:W147))+(J46-LARGE(FILTER(W$4:"&amp;"W147,W$4:W147&lt;=J46),1))*INDEX(S$4:S147,MATCH(LARGE(FILTER(W$4:W147,W$4:W147&lt;=J46),1),W$4:W147))-L46),1,
ROUNDDOWN(Y46-INDEX(L$4:L147,MATCH(LARGE(FILTER(J$4:J147,J$4:J147&lt;=W46),1),J$4:J147))-(W46-LARGE(FILTER(J$4:J147,J$4:J147&lt;=W46),1))*INDEX(F$4:F147,MATC"&amp;"H(LARGE(FILTER(J$4:J147,J$4:J147&lt;=W46),1),J$4:J147))))"),-345.0)</f>
        <v>-345</v>
      </c>
      <c r="O46" s="65">
        <f t="shared" si="9"/>
        <v>1</v>
      </c>
      <c r="P46" s="69" t="s">
        <v>17</v>
      </c>
      <c r="Q46" s="14" t="b">
        <f>IFERROR(__xludf.DUMMYFUNCTION("IF(COUNTA(P46:P147)=0,"""",IFERROR(IF(ISBLANK(P46),FALSE,IF(ISBLANK(T46),1,IF(NOT(COUNTIF($AA$24:$AA$34,SUBSTITUTE(P46,""Sell_"",""""))),1,IF(P46=""Plastic_up"",IF(V46&lt;1000,1),IF(P46=""Super_Up"",IF(OR(COUNTIF(P$4:P46,""Grandma"")-COUNTIF(P$4:P46,""Sell_G"&amp;"randma"")&lt;1,COUNTIF(P$4:P46,VLOOKUP(P46,Upgrades!$F$8:$N$8,7+COUNTIF(P$4:P46,P46)))-COUNTIF(P$4:P46,""Sell_""&amp;VLOOKUP(P46,Upgrades!$F$8:$N$8,7+COUNTIF(P$4:P46,P46)))&lt;15),1),IF(REGEXMATCH(P46,""_up""),IF(COUNTIF(P$4:P46,SUBSTITUTE(P46,""_up"",""""))&lt;IFERRO"&amp;"R(VLOOKUP(P46,Upgrades!$L$3:$P$6,1+COUNTIF(P$4:P46,P46),0),999),1),IF(REGEXMATCH(P46,""Sell_""),IF(COUNTIF(P$4:P46,SUBSTITUTE(P46,""Sell_"",""""))-COUNTIF(P$4:P45,P46)&lt;1,1),FALSE)))))))))"),FALSE)</f>
        <v>0</v>
      </c>
      <c r="R46" s="71">
        <f>IFERROR(__xludf.DUMMYFUNCTION("IF(REGEXMATCH(P46,""^Sell_""),R45, IF(COUNTA(P46:P147)=0,"""",(COUNTIF(P$4:P46,""Cursor"")-COUNTIF(P$4:P46,""Sell_Cursor""))*(0.1*2^SWITCH(COUNTIF(P$4:P46,""Cursor_up""),0,0,1,1,2,2,3)+SWITCH(COUNTIF(P$4:P46,""Cursor_up""),4,0.1,0)*(ROW(P46)-4-COUNTIF(P$4"&amp;":P46,""Cursor"")-COUNTIF(P$4:P46,""*""&amp;""_up"")-2*COUNTIF(P$4:P46,""Sell_""&amp;""*"")+COUNTIF(P$4:P46,""Sell_Cursor"")-COUNTIF(P$4:P46,"""")))+(COUNTIF(P$4:P46,""Grandma"")-COUNTIF(P$4:P46,""Sell_Grandma""))*(1*2^(COUNTIF(P$4:P46,""Grandma_up"")+COUNTIF(P$4:"&amp;"P46,""Super_up"")))+(COUNTIF(P$4:P46,""Farm"")-COUNTIF(P$4:P46,""Sell_Farm""))*(8*2^COUNTIF(P$4:P46,""Farm_up""))*IF(COUNTIF(P$4:P46,""Super_up"")&gt;0,1+0.01*(COUNTIF(P$4:P46,""Grandma"")-COUNTIF(P$4:P46,""Sell_Grandma"")),1)+(COUNTIF(P$4:P46,""Mine"")-COUN"&amp;"TIF(P$4:P46,""Sell_Mine""))*((47*2^COUNTIF(P$4:P46,""Mine_up""))*IF(COUNTIF(P$4:P46,""Super_up"")&gt;1,1+0.005*(COUNTIF(P$4:P46,""Grandma"")-COUNTIF(P$4:P46,""Sell_Grandma"")),1))+(COUNTIF(P$4:P46,""Factory"")-COUNTIF(P$4:P46,""Sell_Factory""))*(260*2^COUNTI"&amp;"F(P$4:P46,""Factory_up""))))"),169.6)</f>
        <v>169.6</v>
      </c>
      <c r="S46" s="73">
        <f>IFERROR(__xludf.DUMMYFUNCTION("IF(COUNTA(P46:P147)=0,"""",IF(REGEXMATCH(INDEX(FILTER(P$4:P46,P$4:P46&lt;&gt;""""),ROWS(FILTER(P$4:P46,P$4:P46&lt;&gt;""""))),""^Sell_""),INDEX(FILTER(S$4:S45,P$4:P45&lt;&gt;""""),ROWS(FILTER(P$4:P45,P$4:P45&lt;&gt;""""))),$AD$5*(2^SWITCH(COUNTIF(P$4:P46,""Cursor_up""),0,0,1,1,2"&amp;",2,3)+SWITCH(COUNTIF(P$4:P46,""Cursor_up""),4,0.1,0)*(ROW(P46)-4-COUNTIF(P$4:P46,""Cursor"")-COUNTIF(P$4:P46,""*""&amp;""_up"")-2*COUNTIF(P$4:P46,""Sell_""&amp;""*"")+COUNTIF(P$4:P46,""Sell_Cursor"")-COUNTIF(P$4:P46,""""))+0.01*R46*COUNTIF(P$4:P46,""Plastic_up"")"&amp;")+R46))"),209.6)</f>
        <v>209.6</v>
      </c>
      <c r="T46" s="14">
        <f>IFERROR(__xludf.DUMMYFUNCTION("IF(COUNTA(P46:P147)=0,"""",IF(REGEXMATCH(P46,""_up""),VLOOKUP(P46,Upgrades!$F$3:$J$8,1+COUNTIF(P$4:P46,P46),FALSE),IF(P46="""",0,IF(REGEXMATCH(P46,""^Sell_""),-ROUNDDOWN(ROUNDUP(INDEX(Upgrades!$C$3:$C$8,MATCH(SUBSTITUTE(P46,""Sell_"",""""),Upgrades!$B$3:$"&amp;"B$8,0))*1.15^(COUNTIF(P$4:P45,SUBSTITUTE(P46,""Sell_"",""""))-COUNTIF(P$4:P45,""Sell_""&amp;SUBSTITUTE(P46,""Sell_"",""""))))/4),ROUNDUP(INDEX(Upgrades!$C$3:$C$7,MATCH(P46,Upgrades!$B$3:$B$7,0))*1.15^(COUNTIF(P$4:P45,P46)-COUNTIF(P$4:P45,""Sell_""&amp;P46)))))))"),11000.0)</f>
        <v>11000</v>
      </c>
      <c r="U46" s="14">
        <f t="shared" si="10"/>
        <v>11000</v>
      </c>
      <c r="V46" s="75">
        <f t="shared" si="11"/>
        <v>206776.0465</v>
      </c>
      <c r="W46" s="76">
        <f t="shared" si="12"/>
        <v>356.4043506</v>
      </c>
      <c r="X46" s="71" t="str">
        <f t="shared" si="13"/>
        <v>5m 56s</v>
      </c>
      <c r="Y46" s="77">
        <f t="shared" si="14"/>
        <v>34359</v>
      </c>
      <c r="Z46" s="17"/>
      <c r="AA46" s="13"/>
      <c r="AB46" s="13"/>
      <c r="AC46" s="13"/>
      <c r="AD46" s="13"/>
      <c r="AE46" s="13"/>
      <c r="AF46" s="13"/>
      <c r="AG46" s="13"/>
    </row>
    <row r="47">
      <c r="A47" s="12"/>
      <c r="B47" s="65">
        <f t="shared" si="2"/>
        <v>16</v>
      </c>
      <c r="C47" s="69" t="s">
        <v>10</v>
      </c>
      <c r="D47" s="14" t="b">
        <f>IFERROR(__xludf.DUMMYFUNCTION("IF(COUNTA(C47:C147)=0,"""",IFERROR(IF(ISBLANK(C47),FALSE,IF(ISBLANK(G47),1,IF(NOT(COUNTIF($AA$24:$AA$34,SUBSTITUTE(C47,""Sell_"",""""))),1,IF(C47=""Plastic_up"",IF(I47&lt;1000,1),IF(C47=""Super_Up"",IF(OR(COUNTIF(C$4:C47,""Grandma"")-COUNTIF(C$4:C47,""Sell_G"&amp;"randma"")&lt;1,COUNTIF(C$4:C47,VLOOKUP(C47,Upgrades!$F$8:$N$8,7+COUNTIF(C$4:C47,C47)))-COUNTIF(C$4:C47,""Sell_""&amp;VLOOKUP(C47,Upgrades!$F$8:$N$8,7+COUNTIF(C$4:C47,C47)))&lt;15),1),IF(REGEXMATCH(C47,""_up""),IF(COUNTIF(C$4:C47,SUBSTITUTE(C47,""_up"",""""))&lt;IFERRO"&amp;"R(VLOOKUP(C47,Upgrades!$L$3:$P$6,1+COUNTIF(C$4:C47,C47),0),999),1),IF(REGEXMATCH(C47,""Sell_""),IF(COUNTIF(C$4:C47,SUBSTITUTE(C47,""Sell_"",""""))-COUNTIF(C$4:C46,C47)&lt;1,1),FALSE)))))))))"),FALSE)</f>
        <v>0</v>
      </c>
      <c r="E47" s="71">
        <f>IFERROR(__xludf.DUMMYFUNCTION("IF(REGEXMATCH(C47,""^Sell_""),E46, IF(COUNTA(C47:C147)=0,"""",(COUNTIF(C$4:C47,""Cursor"")-COUNTIF(C$4:C47,""Sell_Cursor""))*(0.1*2^SWITCH(COUNTIF(C$4:C47,""Cursor_up""),0,0,1,1,2,2,3)+SWITCH(COUNTIF(C$4:C47,""Cursor_up""),4,0.1,0)*(ROW(C47)-4-COUNTIF(C$4"&amp;":C47,""Cursor"")-COUNTIF(C$4:C47,""*""&amp;""_up"")-2*COUNTIF(C$4:C47,""Sell_""&amp;""*"")+COUNTIF(C$4:C47,""Sell_Cursor"")-COUNTIF(C$4:C47,"""")))+(COUNTIF(C$4:C47,""Grandma"")-COUNTIF(C$4:C47,""Sell_Grandma""))*(1*2^(COUNTIF(C$4:C47,""Grandma_up"")+COUNTIF(C$4:"&amp;"C47,""Super_up"")))+(COUNTIF(C$4:C47,""Farm"")-COUNTIF(C$4:C47,""Sell_Farm""))*(8*2^COUNTIF(C$4:C47,""Farm_up""))*IF(COUNTIF(C$4:C47,""Super_up"")&gt;0,1+0.01*(COUNTIF(C$4:C47,""Grandma"")-COUNTIF(C$4:C47,""Sell_Grandma"")),1)+(COUNTIF(C$4:C47,""Mine"")-COUN"&amp;"TIF(C$4:C47,""Sell_Mine""))*((47*2^COUNTIF(C$4:C47,""Mine_up""))*IF(COUNTIF(C$4:C47,""Super_up"")&gt;1,1+0.005*(COUNTIF(C$4:C47,""Grandma"")-COUNTIF(C$4:C47,""Sell_Grandma"")),1))+(COUNTIF(C$4:C47,""Factory"")-COUNTIF(C$4:C47,""Sell_Factory""))*(260*2^COUNTI"&amp;"F(C$4:C47,""Factory_up""))))"),120.8)</f>
        <v>120.8</v>
      </c>
      <c r="F47" s="73">
        <f>IFERROR(__xludf.DUMMYFUNCTION("IF(COUNTA(C47:C147)=0,"""",IF(REGEXMATCH(INDEX(FILTER(C$4:C47,C$4:C47&lt;&gt;""""),ROWS(FILTER(C$4:C47,C$4:C47&lt;&gt;""""))),""^Sell_""),INDEX(FILTER(F$4:F46,C$4:C46&lt;&gt;""""),ROWS(FILTER(C$4:C46,C$4:C46&lt;&gt;""""))),$AC$5*(2^SWITCH(COUNTIF(C$4:C47,""Cursor_up""),0,0,1,1,2"&amp;",2,3)+SWITCH(COUNTIF(C$4:C47,""Cursor_up""),4,0.1,0)*(ROW(C47)-4-COUNTIF(C$4:C47,""Cursor"")-COUNTIF(C$4:C47,""*""&amp;""_up"")-2*COUNTIF(C$4:C47,""Sell_""&amp;""*"")+COUNTIF(C$4:C47,""Sell_Cursor"")-COUNTIF(C$4:C47,""""))+0.01*E47*COUNTIF(C$4:C47,""Plastic_up"")"&amp;")+E47))"),200.8)</f>
        <v>200.8</v>
      </c>
      <c r="G47" s="14">
        <f>IFERROR(__xludf.DUMMYFUNCTION("IF(COUNTA(C47:C147)=0,"""",IF(REGEXMATCH(C47,""_up""),VLOOKUP(C47,Upgrades!$F$3:$J$8,1+COUNTIF(C$4:C47,C47),FALSE),IF(C47="""",0,IF(REGEXMATCH(C47,""^Sell_""),-ROUNDDOWN(ROUNDUP(INDEX(Upgrades!$C$3:$C$8,MATCH(SUBSTITUTE(C47,""Sell_"",""""),Upgrades!$B$3:$"&amp;"B$8,0))*1.15^(COUNTIF(C$4:C46,SUBSTITUTE(C47,""Sell_"",""""))-COUNTIF(C$4:C46,""Sell_""&amp;SUBSTITUTE(C47,""Sell_"",""""))))/4),ROUNDUP(INDEX(Upgrades!$C$3:$C$7,MATCH(C47,Upgrades!$B$3:$B$7,0))*1.15^(COUNTIF(C$4:C46,C47)-COUNTIF(C$4:C46,""Sell_""&amp;C47)))))))"),123.0)</f>
        <v>123</v>
      </c>
      <c r="H47" s="14">
        <f t="shared" si="3"/>
        <v>123</v>
      </c>
      <c r="I47" s="75">
        <f t="shared" si="4"/>
        <v>232767.7355</v>
      </c>
      <c r="J47" s="76">
        <f t="shared" si="5"/>
        <v>340.1741711</v>
      </c>
      <c r="K47" s="71" t="str">
        <f t="shared" si="6"/>
        <v>5m 40s</v>
      </c>
      <c r="L47" s="77">
        <f t="shared" si="7"/>
        <v>31376</v>
      </c>
      <c r="M47" s="51">
        <f t="shared" si="8"/>
        <v>1.83959</v>
      </c>
      <c r="N47" s="52">
        <f>IFERROR(__xludf.DUMMYFUNCTION("IFS(AND(COUNTA(C47:C147)=0,COUNTA(P47:P147)=0),"""",OR(AND(L47&gt;=1000000,OR(Y47&gt;=1000000,COUNTA(P47:P147)=0)),AND(Y47&gt;=1000000,COUNTA(C47:C147)=0),AND(COUNTA(P47:P147)=0,O$3=TRUE)),
ROUNDDOWN((AB$1-AC$1)*MAX(INDEX(S$4:S147,MATCH(LARGE(FILTER(Y$4:Y147,Y$4:Y"&amp;"147&lt;1000000),1),Y$4:Y147)),INDEX(F$4:F147,MATCH(LARGE(FILTER(L$4:L147,L$4:L147&lt;1000000),1),L$4:L147)))),AND(L47&lt;1000000,COUNTA(C47:C147)&gt;0,O$3=FALSE),
ROUNDDOWN(INDEX(Y$4:Y147,MATCH(LARGE(FILTER(W$4:W147,W$4:W147&lt;=J47),1),W$4:W147))+(J47-LARGE(FILTER(W$4:"&amp;"W147,W$4:W147&lt;=J47),1))*INDEX(S$4:S147,MATCH(LARGE(FILTER(W$4:W147,W$4:W147&lt;=J47),1),W$4:W147))-L47),1,
ROUNDDOWN(Y47-INDEX(L$4:L147,MATCH(LARGE(FILTER(J$4:J147,J$4:J147&lt;=W47),1),J$4:J147))-(W47-LARGE(FILTER(J$4:J147,J$4:J147&lt;=W47),1))*INDEX(F$4:F147,MATC"&amp;"H(LARGE(FILTER(J$4:J147,J$4:J147&lt;=W47),1),J$4:J147))))"),-395.0)</f>
        <v>-395</v>
      </c>
      <c r="O47" s="65">
        <f t="shared" si="9"/>
        <v>7</v>
      </c>
      <c r="P47" s="69" t="s">
        <v>16</v>
      </c>
      <c r="Q47" s="14" t="b">
        <f>IFERROR(__xludf.DUMMYFUNCTION("IF(COUNTA(P47:P147)=0,"""",IFERROR(IF(ISBLANK(P47),FALSE,IF(ISBLANK(T47),1,IF(NOT(COUNTIF($AA$24:$AA$34,SUBSTITUTE(P47,""Sell_"",""""))),1,IF(P47=""Plastic_up"",IF(V47&lt;1000,1),IF(P47=""Super_Up"",IF(OR(COUNTIF(P$4:P47,""Grandma"")-COUNTIF(P$4:P47,""Sell_G"&amp;"randma"")&lt;1,COUNTIF(P$4:P47,VLOOKUP(P47,Upgrades!$F$8:$N$8,7+COUNTIF(P$4:P47,P47)))-COUNTIF(P$4:P47,""Sell_""&amp;VLOOKUP(P47,Upgrades!$F$8:$N$8,7+COUNTIF(P$4:P47,P47)))&lt;15),1),IF(REGEXMATCH(P47,""_up""),IF(COUNTIF(P$4:P47,SUBSTITUTE(P47,""_up"",""""))&lt;IFERRO"&amp;"R(VLOOKUP(P47,Upgrades!$L$3:$P$6,1+COUNTIF(P$4:P47,P47),0),999),1),IF(REGEXMATCH(P47,""Sell_""),IF(COUNTIF(P$4:P47,SUBSTITUTE(P47,""Sell_"",""""))-COUNTIF(P$4:P46,P47)&lt;1,1),FALSE)))))))))"),FALSE)</f>
        <v>0</v>
      </c>
      <c r="R47" s="71">
        <f>IFERROR(__xludf.DUMMYFUNCTION("IF(REGEXMATCH(P47,""^Sell_""),R46, IF(COUNTA(P47:P147)=0,"""",(COUNTIF(P$4:P47,""Cursor"")-COUNTIF(P$4:P47,""Sell_Cursor""))*(0.1*2^SWITCH(COUNTIF(P$4:P47,""Cursor_up""),0,0,1,1,2,2,3)+SWITCH(COUNTIF(P$4:P47,""Cursor_up""),4,0.1,0)*(ROW(P47)-4-COUNTIF(P$4"&amp;":P47,""Cursor"")-COUNTIF(P$4:P47,""*""&amp;""_up"")-2*COUNTIF(P$4:P47,""Sell_""&amp;""*"")+COUNTIF(P$4:P47,""Sell_Cursor"")-COUNTIF(P$4:P47,"""")))+(COUNTIF(P$4:P47,""Grandma"")-COUNTIF(P$4:P47,""Sell_Grandma""))*(1*2^(COUNTIF(P$4:P47,""Grandma_up"")+COUNTIF(P$4:"&amp;"P47,""Super_up"")))+(COUNTIF(P$4:P47,""Farm"")-COUNTIF(P$4:P47,""Sell_Farm""))*(8*2^COUNTIF(P$4:P47,""Farm_up""))*IF(COUNTIF(P$4:P47,""Super_up"")&gt;0,1+0.01*(COUNTIF(P$4:P47,""Grandma"")-COUNTIF(P$4:P47,""Sell_Grandma"")),1)+(COUNTIF(P$4:P47,""Mine"")-COUN"&amp;"TIF(P$4:P47,""Sell_Mine""))*((47*2^COUNTIF(P$4:P47,""Mine_up""))*IF(COUNTIF(P$4:P47,""Super_up"")&gt;1,1+0.005*(COUNTIF(P$4:P47,""Grandma"")-COUNTIF(P$4:P47,""Sell_Grandma"")),1))+(COUNTIF(P$4:P47,""Factory"")-COUNTIF(P$4:P47,""Sell_Factory""))*(260*2^COUNTI"&amp;"F(P$4:P47,""Factory_up""))))"),185.6)</f>
        <v>185.6</v>
      </c>
      <c r="S47" s="73">
        <f>IFERROR(__xludf.DUMMYFUNCTION("IF(COUNTA(P47:P147)=0,"""",IF(REGEXMATCH(INDEX(FILTER(P$4:P47,P$4:P47&lt;&gt;""""),ROWS(FILTER(P$4:P47,P$4:P47&lt;&gt;""""))),""^Sell_""),INDEX(FILTER(S$4:S46,P$4:P46&lt;&gt;""""),ROWS(FILTER(P$4:P46,P$4:P46&lt;&gt;""""))),$AD$5*(2^SWITCH(COUNTIF(P$4:P47,""Cursor_up""),0,0,1,1,2"&amp;",2,3)+SWITCH(COUNTIF(P$4:P47,""Cursor_up""),4,0.1,0)*(ROW(P47)-4-COUNTIF(P$4:P47,""Cursor"")-COUNTIF(P$4:P47,""*""&amp;""_up"")-2*COUNTIF(P$4:P47,""Sell_""&amp;""*"")+COUNTIF(P$4:P47,""Sell_Cursor"")-COUNTIF(P$4:P47,""""))+0.01*R47*COUNTIF(P$4:P47,""Plastic_up"")"&amp;")+R47))"),225.6)</f>
        <v>225.6</v>
      </c>
      <c r="T47" s="14">
        <f>IFERROR(__xludf.DUMMYFUNCTION("IF(COUNTA(P47:P147)=0,"""",IF(REGEXMATCH(P47,""_up""),VLOOKUP(P47,Upgrades!$F$3:$J$8,1+COUNTIF(P$4:P47,P47),FALSE),IF(P47="""",0,IF(REGEXMATCH(P47,""^Sell_""),-ROUNDDOWN(ROUNDUP(INDEX(Upgrades!$C$3:$C$8,MATCH(SUBSTITUTE(P47,""Sell_"",""""),Upgrades!$B$3:$"&amp;"B$8,0))*1.15^(COUNTIF(P$4:P46,SUBSTITUTE(P47,""Sell_"",""""))-COUNTIF(P$4:P46,""Sell_""&amp;SUBSTITUTE(P47,""Sell_"",""""))))/4),ROUNDUP(INDEX(Upgrades!$C$3:$C$7,MATCH(P47,Upgrades!$B$3:$B$7,0))*1.15^(COUNTIF(P$4:P46,P47)-COUNTIF(P$4:P46,""Sell_""&amp;P47)))))))"),2545.0)</f>
        <v>2545</v>
      </c>
      <c r="U47" s="14">
        <f t="shared" si="10"/>
        <v>2545</v>
      </c>
      <c r="V47" s="75">
        <f t="shared" si="11"/>
        <v>221517.9075</v>
      </c>
      <c r="W47" s="76">
        <f t="shared" si="12"/>
        <v>368.5465262</v>
      </c>
      <c r="X47" s="71" t="str">
        <f t="shared" si="13"/>
        <v>6m 08s</v>
      </c>
      <c r="Y47" s="77">
        <f t="shared" si="14"/>
        <v>36904</v>
      </c>
      <c r="Z47" s="17"/>
      <c r="AA47" s="13"/>
      <c r="AB47" s="13"/>
      <c r="AC47" s="13"/>
      <c r="AD47" s="13"/>
      <c r="AE47" s="13"/>
      <c r="AF47" s="13"/>
      <c r="AG47" s="13"/>
    </row>
    <row r="48">
      <c r="A48" s="12"/>
      <c r="B48" s="65">
        <f t="shared" si="2"/>
        <v>17</v>
      </c>
      <c r="C48" s="69" t="s">
        <v>10</v>
      </c>
      <c r="D48" s="14" t="b">
        <f>IFERROR(__xludf.DUMMYFUNCTION("IF(COUNTA(C48:C147)=0,"""",IFERROR(IF(ISBLANK(C48),FALSE,IF(ISBLANK(G48),1,IF(NOT(COUNTIF($AA$24:$AA$34,SUBSTITUTE(C48,""Sell_"",""""))),1,IF(C48=""Plastic_up"",IF(I48&lt;1000,1),IF(C48=""Super_Up"",IF(OR(COUNTIF(C$4:C48,""Grandma"")-COUNTIF(C$4:C48,""Sell_G"&amp;"randma"")&lt;1,COUNTIF(C$4:C48,VLOOKUP(C48,Upgrades!$F$8:$N$8,7+COUNTIF(C$4:C48,C48)))-COUNTIF(C$4:C48,""Sell_""&amp;VLOOKUP(C48,Upgrades!$F$8:$N$8,7+COUNTIF(C$4:C48,C48)))&lt;15),1),IF(REGEXMATCH(C48,""_up""),IF(COUNTIF(C$4:C48,SUBSTITUTE(C48,""_up"",""""))&lt;IFERRO"&amp;"R(VLOOKUP(C48,Upgrades!$L$3:$P$6,1+COUNTIF(C$4:C48,C48),0),999),1),IF(REGEXMATCH(C48,""Sell_""),IF(COUNTIF(C$4:C48,SUBSTITUTE(C48,""Sell_"",""""))-COUNTIF(C$4:C47,C48)&lt;1,1),FALSE)))))))))"),FALSE)</f>
        <v>0</v>
      </c>
      <c r="E48" s="71">
        <f>IFERROR(__xludf.DUMMYFUNCTION("IF(REGEXMATCH(C48,""^Sell_""),E47, IF(COUNTA(C48:C147)=0,"""",(COUNTIF(C$4:C48,""Cursor"")-COUNTIF(C$4:C48,""Sell_Cursor""))*(0.1*2^SWITCH(COUNTIF(C$4:C48,""Cursor_up""),0,0,1,1,2,2,3)+SWITCH(COUNTIF(C$4:C48,""Cursor_up""),4,0.1,0)*(ROW(C48)-4-COUNTIF(C$4"&amp;":C48,""Cursor"")-COUNTIF(C$4:C48,""*""&amp;""_up"")-2*COUNTIF(C$4:C48,""Sell_""&amp;""*"")+COUNTIF(C$4:C48,""Sell_Cursor"")-COUNTIF(C$4:C48,"""")))+(COUNTIF(C$4:C48,""Grandma"")-COUNTIF(C$4:C48,""Sell_Grandma""))*(1*2^(COUNTIF(C$4:C48,""Grandma_up"")+COUNTIF(C$4:"&amp;"C48,""Super_up"")))+(COUNTIF(C$4:C48,""Farm"")-COUNTIF(C$4:C48,""Sell_Farm""))*(8*2^COUNTIF(C$4:C48,""Farm_up""))*IF(COUNTIF(C$4:C48,""Super_up"")&gt;0,1+0.01*(COUNTIF(C$4:C48,""Grandma"")-COUNTIF(C$4:C48,""Sell_Grandma"")),1)+(COUNTIF(C$4:C48,""Mine"")-COUN"&amp;"TIF(C$4:C48,""Sell_Mine""))*((47*2^COUNTIF(C$4:C48,""Mine_up""))*IF(COUNTIF(C$4:C48,""Super_up"")&gt;1,1+0.005*(COUNTIF(C$4:C48,""Grandma"")-COUNTIF(C$4:C48,""Sell_Grandma"")),1))+(COUNTIF(C$4:C48,""Factory"")-COUNTIF(C$4:C48,""Sell_Factory""))*(260*2^COUNTI"&amp;"F(C$4:C48,""Factory_up""))))"),121.6)</f>
        <v>121.6</v>
      </c>
      <c r="F48" s="73">
        <f>IFERROR(__xludf.DUMMYFUNCTION("IF(COUNTA(C48:C147)=0,"""",IF(REGEXMATCH(INDEX(FILTER(C$4:C48,C$4:C48&lt;&gt;""""),ROWS(FILTER(C$4:C48,C$4:C48&lt;&gt;""""))),""^Sell_""),INDEX(FILTER(F$4:F47,C$4:C47&lt;&gt;""""),ROWS(FILTER(C$4:C47,C$4:C47&lt;&gt;""""))),$AC$5*(2^SWITCH(COUNTIF(C$4:C48,""Cursor_up""),0,0,1,1,2"&amp;",2,3)+SWITCH(COUNTIF(C$4:C48,""Cursor_up""),4,0.1,0)*(ROW(C48)-4-COUNTIF(C$4:C48,""Cursor"")-COUNTIF(C$4:C48,""*""&amp;""_up"")-2*COUNTIF(C$4:C48,""Sell_""&amp;""*"")+COUNTIF(C$4:C48,""Sell_Cursor"")-COUNTIF(C$4:C48,""""))+0.01*E48*COUNTIF(C$4:C48,""Plastic_up"")"&amp;")+E48))"),201.6)</f>
        <v>201.6</v>
      </c>
      <c r="G48" s="14">
        <f>IFERROR(__xludf.DUMMYFUNCTION("IF(COUNTA(C48:C147)=0,"""",IF(REGEXMATCH(C48,""_up""),VLOOKUP(C48,Upgrades!$F$3:$J$8,1+COUNTIF(C$4:C48,C48),FALSE),IF(C48="""",0,IF(REGEXMATCH(C48,""^Sell_""),-ROUNDDOWN(ROUNDUP(INDEX(Upgrades!$C$3:$C$8,MATCH(SUBSTITUTE(C48,""Sell_"",""""),Upgrades!$B$3:$"&amp;"B$8,0))*1.15^(COUNTIF(C$4:C47,SUBSTITUTE(C48,""Sell_"",""""))-COUNTIF(C$4:C47,""Sell_""&amp;SUBSTITUTE(C48,""Sell_"",""""))))/4),ROUNDUP(INDEX(Upgrades!$C$3:$C$7,MATCH(C48,Upgrades!$B$3:$B$7,0))*1.15^(COUNTIF(C$4:C47,C48)-COUNTIF(C$4:C47,""Sell_""&amp;C48)))))))"),141.0)</f>
        <v>141</v>
      </c>
      <c r="H48" s="14">
        <f t="shared" si="3"/>
        <v>141</v>
      </c>
      <c r="I48" s="75">
        <f t="shared" si="4"/>
        <v>260037.8445</v>
      </c>
      <c r="J48" s="76">
        <f t="shared" si="5"/>
        <v>340.8763624</v>
      </c>
      <c r="K48" s="71" t="str">
        <f t="shared" si="6"/>
        <v>5m 40s</v>
      </c>
      <c r="L48" s="77">
        <f t="shared" si="7"/>
        <v>31517</v>
      </c>
      <c r="M48" s="51">
        <f t="shared" si="8"/>
        <v>1.21258</v>
      </c>
      <c r="N48" s="52">
        <f>IFERROR(__xludf.DUMMYFUNCTION("IFS(AND(COUNTA(C48:C147)=0,COUNTA(P48:P147)=0),"""",OR(AND(L48&gt;=1000000,OR(Y48&gt;=1000000,COUNTA(P48:P147)=0)),AND(Y48&gt;=1000000,COUNTA(C48:C147)=0),AND(COUNTA(P48:P147)=0,O$3=TRUE)),
ROUNDDOWN((AB$1-AC$1)*MAX(INDEX(S$4:S147,MATCH(LARGE(FILTER(Y$4:Y147,Y$4:Y"&amp;"147&lt;1000000),1),Y$4:Y147)),INDEX(F$4:F147,MATCH(LARGE(FILTER(L$4:L147,L$4:L147&lt;1000000),1),L$4:L147)))),AND(L48&lt;1000000,COUNTA(C48:C147)&gt;0,O$3=FALSE),
ROUNDDOWN(INDEX(Y$4:Y147,MATCH(LARGE(FILTER(W$4:W147,W$4:W147&lt;=J48),1),W$4:W147))+(J48-LARGE(FILTER(W$4:"&amp;"W147,W$4:W147&lt;=J48),1))*INDEX(S$4:S147,MATCH(LARGE(FILTER(W$4:W147,W$4:W147&lt;=J48),1),W$4:W147))-L48),1,
ROUNDDOWN(Y48-INDEX(L$4:L147,MATCH(LARGE(FILTER(J$4:J147,J$4:J147&lt;=W48),1),J$4:J147))-(W48-LARGE(FILTER(J$4:J147,J$4:J147&lt;=W48),1))*INDEX(F$4:F147,MATC"&amp;"H(LARGE(FILTER(J$4:J147,J$4:J147&lt;=W48),1),J$4:J147))))"),-260.0)</f>
        <v>-260</v>
      </c>
      <c r="O48" s="65">
        <f t="shared" si="9"/>
        <v>8</v>
      </c>
      <c r="P48" s="69" t="s">
        <v>16</v>
      </c>
      <c r="Q48" s="14" t="b">
        <f>IFERROR(__xludf.DUMMYFUNCTION("IF(COUNTA(P48:P147)=0,"""",IFERROR(IF(ISBLANK(P48),FALSE,IF(ISBLANK(T48),1,IF(NOT(COUNTIF($AA$24:$AA$34,SUBSTITUTE(P48,""Sell_"",""""))),1,IF(P48=""Plastic_up"",IF(V48&lt;1000,1),IF(P48=""Super_Up"",IF(OR(COUNTIF(P$4:P48,""Grandma"")-COUNTIF(P$4:P48,""Sell_G"&amp;"randma"")&lt;1,COUNTIF(P$4:P48,VLOOKUP(P48,Upgrades!$F$8:$N$8,7+COUNTIF(P$4:P48,P48)))-COUNTIF(P$4:P48,""Sell_""&amp;VLOOKUP(P48,Upgrades!$F$8:$N$8,7+COUNTIF(P$4:P48,P48)))&lt;15),1),IF(REGEXMATCH(P48,""_up""),IF(COUNTIF(P$4:P48,SUBSTITUTE(P48,""_up"",""""))&lt;IFERRO"&amp;"R(VLOOKUP(P48,Upgrades!$L$3:$P$6,1+COUNTIF(P$4:P48,P48),0),999),1),IF(REGEXMATCH(P48,""Sell_""),IF(COUNTIF(P$4:P48,SUBSTITUTE(P48,""Sell_"",""""))-COUNTIF(P$4:P47,P48)&lt;1,1),FALSE)))))))))"),FALSE)</f>
        <v>0</v>
      </c>
      <c r="R48" s="71">
        <f>IFERROR(__xludf.DUMMYFUNCTION("IF(REGEXMATCH(P48,""^Sell_""),R47, IF(COUNTA(P48:P147)=0,"""",(COUNTIF(P$4:P48,""Cursor"")-COUNTIF(P$4:P48,""Sell_Cursor""))*(0.1*2^SWITCH(COUNTIF(P$4:P48,""Cursor_up""),0,0,1,1,2,2,3)+SWITCH(COUNTIF(P$4:P48,""Cursor_up""),4,0.1,0)*(ROW(P48)-4-COUNTIF(P$4"&amp;":P48,""Cursor"")-COUNTIF(P$4:P48,""*""&amp;""_up"")-2*COUNTIF(P$4:P48,""Sell_""&amp;""*"")+COUNTIF(P$4:P48,""Sell_Cursor"")-COUNTIF(P$4:P48,"""")))+(COUNTIF(P$4:P48,""Grandma"")-COUNTIF(P$4:P48,""Sell_Grandma""))*(1*2^(COUNTIF(P$4:P48,""Grandma_up"")+COUNTIF(P$4:"&amp;"P48,""Super_up"")))+(COUNTIF(P$4:P48,""Farm"")-COUNTIF(P$4:P48,""Sell_Farm""))*(8*2^COUNTIF(P$4:P48,""Farm_up""))*IF(COUNTIF(P$4:P48,""Super_up"")&gt;0,1+0.01*(COUNTIF(P$4:P48,""Grandma"")-COUNTIF(P$4:P48,""Sell_Grandma"")),1)+(COUNTIF(P$4:P48,""Mine"")-COUN"&amp;"TIF(P$4:P48,""Sell_Mine""))*((47*2^COUNTIF(P$4:P48,""Mine_up""))*IF(COUNTIF(P$4:P48,""Super_up"")&gt;1,1+0.005*(COUNTIF(P$4:P48,""Grandma"")-COUNTIF(P$4:P48,""Sell_Grandma"")),1))+(COUNTIF(P$4:P48,""Factory"")-COUNTIF(P$4:P48,""Sell_Factory""))*(260*2^COUNTI"&amp;"F(P$4:P48,""Factory_up""))))"),201.6)</f>
        <v>201.6</v>
      </c>
      <c r="S48" s="73">
        <f>IFERROR(__xludf.DUMMYFUNCTION("IF(COUNTA(P48:P147)=0,"""",IF(REGEXMATCH(INDEX(FILTER(P$4:P48,P$4:P48&lt;&gt;""""),ROWS(FILTER(P$4:P48,P$4:P48&lt;&gt;""""))),""^Sell_""),INDEX(FILTER(S$4:S47,P$4:P47&lt;&gt;""""),ROWS(FILTER(P$4:P47,P$4:P47&lt;&gt;""""))),$AD$5*(2^SWITCH(COUNTIF(P$4:P48,""Cursor_up""),0,0,1,1,2"&amp;",2,3)+SWITCH(COUNTIF(P$4:P48,""Cursor_up""),4,0.1,0)*(ROW(P48)-4-COUNTIF(P$4:P48,""Cursor"")-COUNTIF(P$4:P48,""*""&amp;""_up"")-2*COUNTIF(P$4:P48,""Sell_""&amp;""*"")+COUNTIF(P$4:P48,""Sell_Cursor"")-COUNTIF(P$4:P48,""""))+0.01*R48*COUNTIF(P$4:P48,""Plastic_up"")"&amp;")+R48))"),241.6)</f>
        <v>241.6</v>
      </c>
      <c r="T48" s="14">
        <f>IFERROR(__xludf.DUMMYFUNCTION("IF(COUNTA(P48:P147)=0,"""",IF(REGEXMATCH(P48,""_up""),VLOOKUP(P48,Upgrades!$F$3:$J$8,1+COUNTIF(P$4:P48,P48),FALSE),IF(P48="""",0,IF(REGEXMATCH(P48,""^Sell_""),-ROUNDDOWN(ROUNDUP(INDEX(Upgrades!$C$3:$C$8,MATCH(SUBSTITUTE(P48,""Sell_"",""""),Upgrades!$B$3:$"&amp;"B$8,0))*1.15^(COUNTIF(P$4:P47,SUBSTITUTE(P48,""Sell_"",""""))-COUNTIF(P$4:P47,""Sell_""&amp;SUBSTITUTE(P48,""Sell_"",""""))))/4),ROUNDUP(INDEX(Upgrades!$C$3:$C$7,MATCH(P48,Upgrades!$B$3:$B$7,0))*1.15^(COUNTIF(P$4:P47,P48)-COUNTIF(P$4:P47,""Sell_""&amp;P48)))))))"),2927.0)</f>
        <v>2927</v>
      </c>
      <c r="U48" s="14">
        <f t="shared" si="10"/>
        <v>2927</v>
      </c>
      <c r="V48" s="75">
        <f t="shared" si="11"/>
        <v>236778.7402</v>
      </c>
      <c r="W48" s="76">
        <f t="shared" si="12"/>
        <v>381.520817</v>
      </c>
      <c r="X48" s="71" t="str">
        <f t="shared" si="13"/>
        <v>6m 21s</v>
      </c>
      <c r="Y48" s="77">
        <f t="shared" si="14"/>
        <v>39831</v>
      </c>
      <c r="Z48" s="17"/>
      <c r="AA48" s="13"/>
      <c r="AB48" s="13"/>
      <c r="AC48" s="13"/>
      <c r="AD48" s="13"/>
      <c r="AE48" s="13"/>
      <c r="AF48" s="13"/>
      <c r="AG48" s="13"/>
    </row>
    <row r="49">
      <c r="A49" s="12"/>
      <c r="B49" s="65">
        <f t="shared" si="2"/>
        <v>18</v>
      </c>
      <c r="C49" s="69" t="s">
        <v>10</v>
      </c>
      <c r="D49" s="14" t="b">
        <f>IFERROR(__xludf.DUMMYFUNCTION("IF(COUNTA(C49:C147)=0,"""",IFERROR(IF(ISBLANK(C49),FALSE,IF(ISBLANK(G49),1,IF(NOT(COUNTIF($AA$24:$AA$34,SUBSTITUTE(C49,""Sell_"",""""))),1,IF(C49=""Plastic_up"",IF(I49&lt;1000,1),IF(C49=""Super_Up"",IF(OR(COUNTIF(C$4:C49,""Grandma"")-COUNTIF(C$4:C49,""Sell_G"&amp;"randma"")&lt;1,COUNTIF(C$4:C49,VLOOKUP(C49,Upgrades!$F$8:$N$8,7+COUNTIF(C$4:C49,C49)))-COUNTIF(C$4:C49,""Sell_""&amp;VLOOKUP(C49,Upgrades!$F$8:$N$8,7+COUNTIF(C$4:C49,C49)))&lt;15),1),IF(REGEXMATCH(C49,""_up""),IF(COUNTIF(C$4:C49,SUBSTITUTE(C49,""_up"",""""))&lt;IFERRO"&amp;"R(VLOOKUP(C49,Upgrades!$L$3:$P$6,1+COUNTIF(C$4:C49,C49),0),999),1),IF(REGEXMATCH(C49,""Sell_""),IF(COUNTIF(C$4:C49,SUBSTITUTE(C49,""Sell_"",""""))-COUNTIF(C$4:C48,C49)&lt;1,1),FALSE)))))))))"),FALSE)</f>
        <v>0</v>
      </c>
      <c r="E49" s="71">
        <f>IFERROR(__xludf.DUMMYFUNCTION("IF(REGEXMATCH(C49,""^Sell_""),E48, IF(COUNTA(C49:C147)=0,"""",(COUNTIF(C$4:C49,""Cursor"")-COUNTIF(C$4:C49,""Sell_Cursor""))*(0.1*2^SWITCH(COUNTIF(C$4:C49,""Cursor_up""),0,0,1,1,2,2,3)+SWITCH(COUNTIF(C$4:C49,""Cursor_up""),4,0.1,0)*(ROW(C49)-4-COUNTIF(C$4"&amp;":C49,""Cursor"")-COUNTIF(C$4:C49,""*""&amp;""_up"")-2*COUNTIF(C$4:C49,""Sell_""&amp;""*"")+COUNTIF(C$4:C49,""Sell_Cursor"")-COUNTIF(C$4:C49,"""")))+(COUNTIF(C$4:C49,""Grandma"")-COUNTIF(C$4:C49,""Sell_Grandma""))*(1*2^(COUNTIF(C$4:C49,""Grandma_up"")+COUNTIF(C$4:"&amp;"C49,""Super_up"")))+(COUNTIF(C$4:C49,""Farm"")-COUNTIF(C$4:C49,""Sell_Farm""))*(8*2^COUNTIF(C$4:C49,""Farm_up""))*IF(COUNTIF(C$4:C49,""Super_up"")&gt;0,1+0.01*(COUNTIF(C$4:C49,""Grandma"")-COUNTIF(C$4:C49,""Sell_Grandma"")),1)+(COUNTIF(C$4:C49,""Mine"")-COUN"&amp;"TIF(C$4:C49,""Sell_Mine""))*((47*2^COUNTIF(C$4:C49,""Mine_up""))*IF(COUNTIF(C$4:C49,""Super_up"")&gt;1,1+0.005*(COUNTIF(C$4:C49,""Grandma"")-COUNTIF(C$4:C49,""Sell_Grandma"")),1))+(COUNTIF(C$4:C49,""Factory"")-COUNTIF(C$4:C49,""Sell_Factory""))*(260*2^COUNTI"&amp;"F(C$4:C49,""Factory_up""))))"),122.4)</f>
        <v>122.4</v>
      </c>
      <c r="F49" s="73">
        <f>IFERROR(__xludf.DUMMYFUNCTION("IF(COUNTA(C49:C147)=0,"""",IF(REGEXMATCH(INDEX(FILTER(C$4:C49,C$4:C49&lt;&gt;""""),ROWS(FILTER(C$4:C49,C$4:C49&lt;&gt;""""))),""^Sell_""),INDEX(FILTER(F$4:F48,C$4:C48&lt;&gt;""""),ROWS(FILTER(C$4:C48,C$4:C48&lt;&gt;""""))),$AC$5*(2^SWITCH(COUNTIF(C$4:C49,""Cursor_up""),0,0,1,1,2"&amp;",2,3)+SWITCH(COUNTIF(C$4:C49,""Cursor_up""),4,0.1,0)*(ROW(C49)-4-COUNTIF(C$4:C49,""Cursor"")-COUNTIF(C$4:C49,""*""&amp;""_up"")-2*COUNTIF(C$4:C49,""Sell_""&amp;""*"")+COUNTIF(C$4:C49,""Sell_Cursor"")-COUNTIF(C$4:C49,""""))+0.01*E49*COUNTIF(C$4:C49,""Plastic_up"")"&amp;")+E49))"),202.4)</f>
        <v>202.4</v>
      </c>
      <c r="G49" s="14">
        <f>IFERROR(__xludf.DUMMYFUNCTION("IF(COUNTA(C49:C147)=0,"""",IF(REGEXMATCH(C49,""_up""),VLOOKUP(C49,Upgrades!$F$3:$J$8,1+COUNTIF(C$4:C49,C49),FALSE),IF(C49="""",0,IF(REGEXMATCH(C49,""^Sell_""),-ROUNDDOWN(ROUNDUP(INDEX(Upgrades!$C$3:$C$8,MATCH(SUBSTITUTE(C49,""Sell_"",""""),Upgrades!$B$3:$"&amp;"B$8,0))*1.15^(COUNTIF(C$4:C48,SUBSTITUTE(C49,""Sell_"",""""))-COUNTIF(C$4:C48,""Sell_""&amp;SUBSTITUTE(C49,""Sell_"",""""))))/4),ROUNDUP(INDEX(Upgrades!$C$3:$C$7,MATCH(C49,Upgrades!$B$3:$B$7,0))*1.15^(COUNTIF(C$4:C48,C49)-COUNTIF(C$4:C48,""Sell_""&amp;C49)))))))"),162.0)</f>
        <v>162</v>
      </c>
      <c r="H49" s="14">
        <f t="shared" si="3"/>
        <v>162</v>
      </c>
      <c r="I49" s="75">
        <f t="shared" si="4"/>
        <v>287372.2392</v>
      </c>
      <c r="J49" s="76">
        <f t="shared" si="5"/>
        <v>341.6799338</v>
      </c>
      <c r="K49" s="71" t="str">
        <f t="shared" si="6"/>
        <v>5m 41s</v>
      </c>
      <c r="L49" s="77">
        <f t="shared" si="7"/>
        <v>31679</v>
      </c>
      <c r="M49" s="51">
        <f t="shared" si="8"/>
        <v>-0.49604</v>
      </c>
      <c r="N49" s="52">
        <f>IFERROR(__xludf.DUMMYFUNCTION("IFS(AND(COUNTA(C49:C147)=0,COUNTA(P49:P147)=0),"""",OR(AND(L49&gt;=1000000,OR(Y49&gt;=1000000,COUNTA(P49:P147)=0)),AND(Y49&gt;=1000000,COUNTA(C49:C147)=0),AND(COUNTA(P49:P147)=0,O$3=TRUE)),
ROUNDDOWN((AB$1-AC$1)*MAX(INDEX(S$4:S147,MATCH(LARGE(FILTER(Y$4:Y147,Y$4:Y"&amp;"147&lt;1000000),1),Y$4:Y147)),INDEX(F$4:F147,MATCH(LARGE(FILTER(L$4:L147,L$4:L147&lt;1000000),1),L$4:L147)))),AND(L49&lt;1000000,COUNTA(C49:C147)&gt;0,O$3=FALSE),
ROUNDDOWN(INDEX(Y$4:Y147,MATCH(LARGE(FILTER(W$4:W147,W$4:W147&lt;=J49),1),W$4:W147))+(J49-LARGE(FILTER(W$4:"&amp;"W147,W$4:W147&lt;=J49),1))*INDEX(S$4:S147,MATCH(LARGE(FILTER(W$4:W147,W$4:W147&lt;=J49),1),W$4:W147))-L49),1,
ROUNDDOWN(Y49-INDEX(L$4:L147,MATCH(LARGE(FILTER(J$4:J147,J$4:J147&lt;=W49),1),J$4:J147))-(W49-LARGE(FILTER(J$4:J147,J$4:J147&lt;=W49),1))*INDEX(F$4:F147,MATC"&amp;"H(LARGE(FILTER(J$4:J147,J$4:J147&lt;=W49),1),J$4:J147))))"),106.0)</f>
        <v>106</v>
      </c>
      <c r="O49" s="65">
        <f t="shared" si="9"/>
        <v>9</v>
      </c>
      <c r="P49" s="69" t="s">
        <v>16</v>
      </c>
      <c r="Q49" s="14" t="b">
        <f>IFERROR(__xludf.DUMMYFUNCTION("IF(COUNTA(P49:P147)=0,"""",IFERROR(IF(ISBLANK(P49),FALSE,IF(ISBLANK(T49),1,IF(NOT(COUNTIF($AA$24:$AA$34,SUBSTITUTE(P49,""Sell_"",""""))),1,IF(P49=""Plastic_up"",IF(V49&lt;1000,1),IF(P49=""Super_Up"",IF(OR(COUNTIF(P$4:P49,""Grandma"")-COUNTIF(P$4:P49,""Sell_G"&amp;"randma"")&lt;1,COUNTIF(P$4:P49,VLOOKUP(P49,Upgrades!$F$8:$N$8,7+COUNTIF(P$4:P49,P49)))-COUNTIF(P$4:P49,""Sell_""&amp;VLOOKUP(P49,Upgrades!$F$8:$N$8,7+COUNTIF(P$4:P49,P49)))&lt;15),1),IF(REGEXMATCH(P49,""_up""),IF(COUNTIF(P$4:P49,SUBSTITUTE(P49,""_up"",""""))&lt;IFERRO"&amp;"R(VLOOKUP(P49,Upgrades!$L$3:$P$6,1+COUNTIF(P$4:P49,P49),0),999),1),IF(REGEXMATCH(P49,""Sell_""),IF(COUNTIF(P$4:P49,SUBSTITUTE(P49,""Sell_"",""""))-COUNTIF(P$4:P48,P49)&lt;1,1),FALSE)))))))))"),FALSE)</f>
        <v>0</v>
      </c>
      <c r="R49" s="71">
        <f>IFERROR(__xludf.DUMMYFUNCTION("IF(REGEXMATCH(P49,""^Sell_""),R48, IF(COUNTA(P49:P147)=0,"""",(COUNTIF(P$4:P49,""Cursor"")-COUNTIF(P$4:P49,""Sell_Cursor""))*(0.1*2^SWITCH(COUNTIF(P$4:P49,""Cursor_up""),0,0,1,1,2,2,3)+SWITCH(COUNTIF(P$4:P49,""Cursor_up""),4,0.1,0)*(ROW(P49)-4-COUNTIF(P$4"&amp;":P49,""Cursor"")-COUNTIF(P$4:P49,""*""&amp;""_up"")-2*COUNTIF(P$4:P49,""Sell_""&amp;""*"")+COUNTIF(P$4:P49,""Sell_Cursor"")-COUNTIF(P$4:P49,"""")))+(COUNTIF(P$4:P49,""Grandma"")-COUNTIF(P$4:P49,""Sell_Grandma""))*(1*2^(COUNTIF(P$4:P49,""Grandma_up"")+COUNTIF(P$4:"&amp;"P49,""Super_up"")))+(COUNTIF(P$4:P49,""Farm"")-COUNTIF(P$4:P49,""Sell_Farm""))*(8*2^COUNTIF(P$4:P49,""Farm_up""))*IF(COUNTIF(P$4:P49,""Super_up"")&gt;0,1+0.01*(COUNTIF(P$4:P49,""Grandma"")-COUNTIF(P$4:P49,""Sell_Grandma"")),1)+(COUNTIF(P$4:P49,""Mine"")-COUN"&amp;"TIF(P$4:P49,""Sell_Mine""))*((47*2^COUNTIF(P$4:P49,""Mine_up""))*IF(COUNTIF(P$4:P49,""Super_up"")&gt;1,1+0.005*(COUNTIF(P$4:P49,""Grandma"")-COUNTIF(P$4:P49,""Sell_Grandma"")),1))+(COUNTIF(P$4:P49,""Factory"")-COUNTIF(P$4:P49,""Sell_Factory""))*(260*2^COUNTI"&amp;"F(P$4:P49,""Factory_up""))))"),217.6)</f>
        <v>217.6</v>
      </c>
      <c r="S49" s="73">
        <f>IFERROR(__xludf.DUMMYFUNCTION("IF(COUNTA(P49:P147)=0,"""",IF(REGEXMATCH(INDEX(FILTER(P$4:P49,P$4:P49&lt;&gt;""""),ROWS(FILTER(P$4:P49,P$4:P49&lt;&gt;""""))),""^Sell_""),INDEX(FILTER(S$4:S48,P$4:P48&lt;&gt;""""),ROWS(FILTER(P$4:P48,P$4:P48&lt;&gt;""""))),$AD$5*(2^SWITCH(COUNTIF(P$4:P49,""Cursor_up""),0,0,1,1,2"&amp;",2,3)+SWITCH(COUNTIF(P$4:P49,""Cursor_up""),4,0.1,0)*(ROW(P49)-4-COUNTIF(P$4:P49,""Cursor"")-COUNTIF(P$4:P49,""*""&amp;""_up"")-2*COUNTIF(P$4:P49,""Sell_""&amp;""*"")+COUNTIF(P$4:P49,""Sell_Cursor"")-COUNTIF(P$4:P49,""""))+0.01*R49*COUNTIF(P$4:P49,""Plastic_up"")"&amp;")+R49))"),257.6)</f>
        <v>257.6</v>
      </c>
      <c r="T49" s="14">
        <f>IFERROR(__xludf.DUMMYFUNCTION("IF(COUNTA(P49:P147)=0,"""",IF(REGEXMATCH(P49,""_up""),VLOOKUP(P49,Upgrades!$F$3:$J$8,1+COUNTIF(P$4:P49,P49),FALSE),IF(P49="""",0,IF(REGEXMATCH(P49,""^Sell_""),-ROUNDDOWN(ROUNDUP(INDEX(Upgrades!$C$3:$C$8,MATCH(SUBSTITUTE(P49,""Sell_"",""""),Upgrades!$B$3:$"&amp;"B$8,0))*1.15^(COUNTIF(P$4:P48,SUBSTITUTE(P49,""Sell_"",""""))-COUNTIF(P$4:P48,""Sell_""&amp;SUBSTITUTE(P49,""Sell_"",""""))))/4),ROUNDUP(INDEX(Upgrades!$C$3:$C$7,MATCH(P49,Upgrades!$B$3:$B$7,0))*1.15^(COUNTIF(P$4:P48,P49)-COUNTIF(P$4:P48,""Sell_""&amp;P49)))))))"),3365.0)</f>
        <v>3365</v>
      </c>
      <c r="U49" s="14">
        <f t="shared" si="10"/>
        <v>3365</v>
      </c>
      <c r="V49" s="75">
        <f t="shared" si="11"/>
        <v>252596.6921</v>
      </c>
      <c r="W49" s="76">
        <f t="shared" si="12"/>
        <v>395.4487971</v>
      </c>
      <c r="X49" s="71" t="str">
        <f t="shared" si="13"/>
        <v>6m 35s</v>
      </c>
      <c r="Y49" s="77">
        <f t="shared" si="14"/>
        <v>43196</v>
      </c>
      <c r="Z49" s="17"/>
      <c r="AA49" s="13"/>
      <c r="AB49" s="13"/>
      <c r="AC49" s="13"/>
      <c r="AD49" s="13"/>
      <c r="AE49" s="13"/>
      <c r="AF49" s="13"/>
      <c r="AG49" s="13"/>
    </row>
    <row r="50">
      <c r="A50" s="12"/>
      <c r="B50" s="65">
        <f t="shared" si="2"/>
        <v>19</v>
      </c>
      <c r="C50" s="69" t="s">
        <v>10</v>
      </c>
      <c r="D50" s="14" t="b">
        <f>IFERROR(__xludf.DUMMYFUNCTION("IF(COUNTA(C50:C147)=0,"""",IFERROR(IF(ISBLANK(C50),FALSE,IF(ISBLANK(G50),1,IF(NOT(COUNTIF($AA$24:$AA$34,SUBSTITUTE(C50,""Sell_"",""""))),1,IF(C50=""Plastic_up"",IF(I50&lt;1000,1),IF(C50=""Super_Up"",IF(OR(COUNTIF(C$4:C50,""Grandma"")-COUNTIF(C$4:C50,""Sell_G"&amp;"randma"")&lt;1,COUNTIF(C$4:C50,VLOOKUP(C50,Upgrades!$F$8:$N$8,7+COUNTIF(C$4:C50,C50)))-COUNTIF(C$4:C50,""Sell_""&amp;VLOOKUP(C50,Upgrades!$F$8:$N$8,7+COUNTIF(C$4:C50,C50)))&lt;15),1),IF(REGEXMATCH(C50,""_up""),IF(COUNTIF(C$4:C50,SUBSTITUTE(C50,""_up"",""""))&lt;IFERRO"&amp;"R(VLOOKUP(C50,Upgrades!$L$3:$P$6,1+COUNTIF(C$4:C50,C50),0),999),1),IF(REGEXMATCH(C50,""Sell_""),IF(COUNTIF(C$4:C50,SUBSTITUTE(C50,""Sell_"",""""))-COUNTIF(C$4:C49,C50)&lt;1,1),FALSE)))))))))"),FALSE)</f>
        <v>0</v>
      </c>
      <c r="E50" s="71">
        <f>IFERROR(__xludf.DUMMYFUNCTION("IF(REGEXMATCH(C50,""^Sell_""),E49, IF(COUNTA(C50:C147)=0,"""",(COUNTIF(C$4:C50,""Cursor"")-COUNTIF(C$4:C50,""Sell_Cursor""))*(0.1*2^SWITCH(COUNTIF(C$4:C50,""Cursor_up""),0,0,1,1,2,2,3)+SWITCH(COUNTIF(C$4:C50,""Cursor_up""),4,0.1,0)*(ROW(C50)-4-COUNTIF(C$4"&amp;":C50,""Cursor"")-COUNTIF(C$4:C50,""*""&amp;""_up"")-2*COUNTIF(C$4:C50,""Sell_""&amp;""*"")+COUNTIF(C$4:C50,""Sell_Cursor"")-COUNTIF(C$4:C50,"""")))+(COUNTIF(C$4:C50,""Grandma"")-COUNTIF(C$4:C50,""Sell_Grandma""))*(1*2^(COUNTIF(C$4:C50,""Grandma_up"")+COUNTIF(C$4:"&amp;"C50,""Super_up"")))+(COUNTIF(C$4:C50,""Farm"")-COUNTIF(C$4:C50,""Sell_Farm""))*(8*2^COUNTIF(C$4:C50,""Farm_up""))*IF(COUNTIF(C$4:C50,""Super_up"")&gt;0,1+0.01*(COUNTIF(C$4:C50,""Grandma"")-COUNTIF(C$4:C50,""Sell_Grandma"")),1)+(COUNTIF(C$4:C50,""Mine"")-COUN"&amp;"TIF(C$4:C50,""Sell_Mine""))*((47*2^COUNTIF(C$4:C50,""Mine_up""))*IF(COUNTIF(C$4:C50,""Super_up"")&gt;1,1+0.005*(COUNTIF(C$4:C50,""Grandma"")-COUNTIF(C$4:C50,""Sell_Grandma"")),1))+(COUNTIF(C$4:C50,""Factory"")-COUNTIF(C$4:C50,""Sell_Factory""))*(260*2^COUNTI"&amp;"F(C$4:C50,""Factory_up""))))"),123.2)</f>
        <v>123.2</v>
      </c>
      <c r="F50" s="73">
        <f>IFERROR(__xludf.DUMMYFUNCTION("IF(COUNTA(C50:C147)=0,"""",IF(REGEXMATCH(INDEX(FILTER(C$4:C50,C$4:C50&lt;&gt;""""),ROWS(FILTER(C$4:C50,C$4:C50&lt;&gt;""""))),""^Sell_""),INDEX(FILTER(F$4:F49,C$4:C49&lt;&gt;""""),ROWS(FILTER(C$4:C49,C$4:C49&lt;&gt;""""))),$AC$5*(2^SWITCH(COUNTIF(C$4:C50,""Cursor_up""),0,0,1,1,2"&amp;",2,3)+SWITCH(COUNTIF(C$4:C50,""Cursor_up""),4,0.1,0)*(ROW(C50)-4-COUNTIF(C$4:C50,""Cursor"")-COUNTIF(C$4:C50,""*""&amp;""_up"")-2*COUNTIF(C$4:C50,""Sell_""&amp;""*"")+COUNTIF(C$4:C50,""Sell_Cursor"")-COUNTIF(C$4:C50,""""))+0.01*E50*COUNTIF(C$4:C50,""Plastic_up"")"&amp;")+E50))"),203.2)</f>
        <v>203.2</v>
      </c>
      <c r="G50" s="14">
        <f>IFERROR(__xludf.DUMMYFUNCTION("IF(COUNTA(C50:C147)=0,"""",IF(REGEXMATCH(C50,""_up""),VLOOKUP(C50,Upgrades!$F$3:$J$8,1+COUNTIF(C$4:C50,C50),FALSE),IF(C50="""",0,IF(REGEXMATCH(C50,""^Sell_""),-ROUNDDOWN(ROUNDUP(INDEX(Upgrades!$C$3:$C$8,MATCH(SUBSTITUTE(C50,""Sell_"",""""),Upgrades!$B$3:$"&amp;"B$8,0))*1.15^(COUNTIF(C$4:C49,SUBSTITUTE(C50,""Sell_"",""""))-COUNTIF(C$4:C49,""Sell_""&amp;SUBSTITUTE(C50,""Sell_"",""""))))/4),ROUNDUP(INDEX(Upgrades!$C$3:$C$7,MATCH(C50,Upgrades!$B$3:$B$7,0))*1.15^(COUNTIF(C$4:C49,C50)-COUNTIF(C$4:C49,""Sell_""&amp;C50)))))))"),186.0)</f>
        <v>186</v>
      </c>
      <c r="H50" s="14">
        <f t="shared" si="3"/>
        <v>186</v>
      </c>
      <c r="I50" s="75">
        <f t="shared" si="4"/>
        <v>314780.1517</v>
      </c>
      <c r="J50" s="76">
        <f t="shared" si="5"/>
        <v>342.5989061</v>
      </c>
      <c r="K50" s="71" t="str">
        <f t="shared" si="6"/>
        <v>5m 42s</v>
      </c>
      <c r="L50" s="77">
        <f t="shared" si="7"/>
        <v>31865</v>
      </c>
      <c r="M50" s="51">
        <f t="shared" si="8"/>
        <v>-0.57788</v>
      </c>
      <c r="N50" s="52">
        <f>IFERROR(__xludf.DUMMYFUNCTION("IFS(AND(COUNTA(C50:C147)=0,COUNTA(P50:P147)=0),"""",OR(AND(L50&gt;=1000000,OR(Y50&gt;=1000000,COUNTA(P50:P147)=0)),AND(Y50&gt;=1000000,COUNTA(C50:C147)=0),AND(COUNTA(P50:P147)=0,O$3=TRUE)),
ROUNDDOWN((AB$1-AC$1)*MAX(INDEX(S$4:S147,MATCH(LARGE(FILTER(Y$4:Y147,Y$4:Y"&amp;"147&lt;1000000),1),Y$4:Y147)),INDEX(F$4:F147,MATCH(LARGE(FILTER(L$4:L147,L$4:L147&lt;1000000),1),L$4:L147)))),AND(L50&lt;1000000,COUNTA(C50:C147)&gt;0,O$3=FALSE),
ROUNDDOWN(INDEX(Y$4:Y147,MATCH(LARGE(FILTER(W$4:W147,W$4:W147&lt;=J50),1),W$4:W147))+(J50-LARGE(FILTER(W$4:"&amp;"W147,W$4:W147&lt;=J50),1))*INDEX(S$4:S147,MATCH(LARGE(FILTER(W$4:W147,W$4:W147&lt;=J50),1),W$4:W147))-L50),1,
ROUNDDOWN(Y50-INDEX(L$4:L147,MATCH(LARGE(FILTER(J$4:J147,J$4:J147&lt;=W50),1),J$4:J147))-(W50-LARGE(FILTER(J$4:J147,J$4:J147&lt;=W50),1))*INDEX(F$4:F147,MATC"&amp;"H(LARGE(FILTER(J$4:J147,J$4:J147&lt;=W50),1),J$4:J147))))"),124.0)</f>
        <v>124</v>
      </c>
      <c r="O50" s="65">
        <f t="shared" si="9"/>
        <v>15</v>
      </c>
      <c r="P50" s="69" t="s">
        <v>10</v>
      </c>
      <c r="Q50" s="14" t="b">
        <f>IFERROR(__xludf.DUMMYFUNCTION("IF(COUNTA(P50:P147)=0,"""",IFERROR(IF(ISBLANK(P50),FALSE,IF(ISBLANK(T50),1,IF(NOT(COUNTIF($AA$24:$AA$34,SUBSTITUTE(P50,""Sell_"",""""))),1,IF(P50=""Plastic_up"",IF(V50&lt;1000,1),IF(P50=""Super_Up"",IF(OR(COUNTIF(P$4:P50,""Grandma"")-COUNTIF(P$4:P50,""Sell_G"&amp;"randma"")&lt;1,COUNTIF(P$4:P50,VLOOKUP(P50,Upgrades!$F$8:$N$8,7+COUNTIF(P$4:P50,P50)))-COUNTIF(P$4:P50,""Sell_""&amp;VLOOKUP(P50,Upgrades!$F$8:$N$8,7+COUNTIF(P$4:P50,P50)))&lt;15),1),IF(REGEXMATCH(P50,""_up""),IF(COUNTIF(P$4:P50,SUBSTITUTE(P50,""_up"",""""))&lt;IFERRO"&amp;"R(VLOOKUP(P50,Upgrades!$L$3:$P$6,1+COUNTIF(P$4:P50,P50),0),999),1),IF(REGEXMATCH(P50,""Sell_""),IF(COUNTIF(P$4:P50,SUBSTITUTE(P50,""Sell_"",""""))-COUNTIF(P$4:P49,P50)&lt;1,1),FALSE)))))))))"),FALSE)</f>
        <v>0</v>
      </c>
      <c r="R50" s="71">
        <f>IFERROR(__xludf.DUMMYFUNCTION("IF(REGEXMATCH(P50,""^Sell_""),R49, IF(COUNTA(P50:P147)=0,"""",(COUNTIF(P$4:P50,""Cursor"")-COUNTIF(P$4:P50,""Sell_Cursor""))*(0.1*2^SWITCH(COUNTIF(P$4:P50,""Cursor_up""),0,0,1,1,2,2,3)+SWITCH(COUNTIF(P$4:P50,""Cursor_up""),4,0.1,0)*(ROW(P50)-4-COUNTIF(P$4"&amp;":P50,""Cursor"")-COUNTIF(P$4:P50,""*""&amp;""_up"")-2*COUNTIF(P$4:P50,""Sell_""&amp;""*"")+COUNTIF(P$4:P50,""Sell_Cursor"")-COUNTIF(P$4:P50,"""")))+(COUNTIF(P$4:P50,""Grandma"")-COUNTIF(P$4:P50,""Sell_Grandma""))*(1*2^(COUNTIF(P$4:P50,""Grandma_up"")+COUNTIF(P$4:"&amp;"P50,""Super_up"")))+(COUNTIF(P$4:P50,""Farm"")-COUNTIF(P$4:P50,""Sell_Farm""))*(8*2^COUNTIF(P$4:P50,""Farm_up""))*IF(COUNTIF(P$4:P50,""Super_up"")&gt;0,1+0.01*(COUNTIF(P$4:P50,""Grandma"")-COUNTIF(P$4:P50,""Sell_Grandma"")),1)+(COUNTIF(P$4:P50,""Mine"")-COUN"&amp;"TIF(P$4:P50,""Sell_Mine""))*((47*2^COUNTIF(P$4:P50,""Mine_up""))*IF(COUNTIF(P$4:P50,""Super_up"")&gt;1,1+0.005*(COUNTIF(P$4:P50,""Grandma"")-COUNTIF(P$4:P50,""Sell_Grandma"")),1))+(COUNTIF(P$4:P50,""Factory"")-COUNTIF(P$4:P50,""Sell_Factory""))*(260*2^COUNTI"&amp;"F(P$4:P50,""Factory_up""))))"),218.0)</f>
        <v>218</v>
      </c>
      <c r="S50" s="73">
        <f>IFERROR(__xludf.DUMMYFUNCTION("IF(COUNTA(P50:P147)=0,"""",IF(REGEXMATCH(INDEX(FILTER(P$4:P50,P$4:P50&lt;&gt;""""),ROWS(FILTER(P$4:P50,P$4:P50&lt;&gt;""""))),""^Sell_""),INDEX(FILTER(S$4:S49,P$4:P49&lt;&gt;""""),ROWS(FILTER(P$4:P49,P$4:P49&lt;&gt;""""))),$AD$5*(2^SWITCH(COUNTIF(P$4:P50,""Cursor_up""),0,0,1,1,2"&amp;",2,3)+SWITCH(COUNTIF(P$4:P50,""Cursor_up""),4,0.1,0)*(ROW(P50)-4-COUNTIF(P$4:P50,""Cursor"")-COUNTIF(P$4:P50,""*""&amp;""_up"")-2*COUNTIF(P$4:P50,""Sell_""&amp;""*"")+COUNTIF(P$4:P50,""Sell_Cursor"")-COUNTIF(P$4:P50,""""))+0.01*R50*COUNTIF(P$4:P50,""Plastic_up"")"&amp;")+R50))"),258.0)</f>
        <v>258</v>
      </c>
      <c r="T50" s="14">
        <f>IFERROR(__xludf.DUMMYFUNCTION("IF(COUNTA(P50:P147)=0,"""",IF(REGEXMATCH(P50,""_up""),VLOOKUP(P50,Upgrades!$F$3:$J$8,1+COUNTIF(P$4:P50,P50),FALSE),IF(P50="""",0,IF(REGEXMATCH(P50,""^Sell_""),-ROUNDDOWN(ROUNDUP(INDEX(Upgrades!$C$3:$C$8,MATCH(SUBSTITUTE(P50,""Sell_"",""""),Upgrades!$B$3:$"&amp;"B$8,0))*1.15^(COUNTIF(P$4:P49,SUBSTITUTE(P50,""Sell_"",""""))-COUNTIF(P$4:P49,""Sell_""&amp;SUBSTITUTE(P50,""Sell_"",""""))))/4),ROUNDUP(INDEX(Upgrades!$C$3:$C$7,MATCH(P50,Upgrades!$B$3:$B$7,0))*1.15^(COUNTIF(P$4:P49,P50)-COUNTIF(P$4:P49,""Sell_""&amp;P50)))))))"),107.0)</f>
        <v>107</v>
      </c>
      <c r="U50" s="14">
        <f t="shared" si="10"/>
        <v>107</v>
      </c>
      <c r="V50" s="75">
        <f t="shared" si="11"/>
        <v>268431.2589</v>
      </c>
      <c r="W50" s="76">
        <f t="shared" si="12"/>
        <v>395.8641698</v>
      </c>
      <c r="X50" s="71" t="str">
        <f t="shared" si="13"/>
        <v>6m 35s</v>
      </c>
      <c r="Y50" s="77">
        <f t="shared" si="14"/>
        <v>43303</v>
      </c>
      <c r="Z50" s="17"/>
      <c r="AA50" s="13"/>
      <c r="AB50" s="13"/>
      <c r="AC50" s="13"/>
      <c r="AD50" s="13"/>
      <c r="AE50" s="13"/>
      <c r="AF50" s="13"/>
      <c r="AG50" s="13"/>
    </row>
    <row r="51">
      <c r="A51" s="12"/>
      <c r="B51" s="65">
        <f t="shared" si="2"/>
        <v>18</v>
      </c>
      <c r="C51" s="69" t="s">
        <v>13</v>
      </c>
      <c r="D51" s="14" t="b">
        <f>IFERROR(__xludf.DUMMYFUNCTION("IF(COUNTA(C51:C147)=0,"""",IFERROR(IF(ISBLANK(C51),FALSE,IF(ISBLANK(G51),1,IF(NOT(COUNTIF($AA$24:$AA$34,SUBSTITUTE(C51,""Sell_"",""""))),1,IF(C51=""Plastic_up"",IF(I51&lt;1000,1),IF(C51=""Super_Up"",IF(OR(COUNTIF(C$4:C51,""Grandma"")-COUNTIF(C$4:C51,""Sell_G"&amp;"randma"")&lt;1,COUNTIF(C$4:C51,VLOOKUP(C51,Upgrades!$F$8:$N$8,7+COUNTIF(C$4:C51,C51)))-COUNTIF(C$4:C51,""Sell_""&amp;VLOOKUP(C51,Upgrades!$F$8:$N$8,7+COUNTIF(C$4:C51,C51)))&lt;15),1),IF(REGEXMATCH(C51,""_up""),IF(COUNTIF(C$4:C51,SUBSTITUTE(C51,""_up"",""""))&lt;IFERRO"&amp;"R(VLOOKUP(C51,Upgrades!$L$3:$P$6,1+COUNTIF(C$4:C51,C51),0),999),1),IF(REGEXMATCH(C51,""Sell_""),IF(COUNTIF(C$4:C51,SUBSTITUTE(C51,""Sell_"",""""))-COUNTIF(C$4:C50,C51)&lt;1,1),FALSE)))))))))"),FALSE)</f>
        <v>0</v>
      </c>
      <c r="E51" s="71">
        <f>IFERROR(__xludf.DUMMYFUNCTION("IF(REGEXMATCH(C51,""^Sell_""),E50, IF(COUNTA(C51:C147)=0,"""",(COUNTIF(C$4:C51,""Cursor"")-COUNTIF(C$4:C51,""Sell_Cursor""))*(0.1*2^SWITCH(COUNTIF(C$4:C51,""Cursor_up""),0,0,1,1,2,2,3)+SWITCH(COUNTIF(C$4:C51,""Cursor_up""),4,0.1,0)*(ROW(C51)-4-COUNTIF(C$4"&amp;":C51,""Cursor"")-COUNTIF(C$4:C51,""*""&amp;""_up"")-2*COUNTIF(C$4:C51,""Sell_""&amp;""*"")+COUNTIF(C$4:C51,""Sell_Cursor"")-COUNTIF(C$4:C51,"""")))+(COUNTIF(C$4:C51,""Grandma"")-COUNTIF(C$4:C51,""Sell_Grandma""))*(1*2^(COUNTIF(C$4:C51,""Grandma_up"")+COUNTIF(C$4:"&amp;"C51,""Super_up"")))+(COUNTIF(C$4:C51,""Farm"")-COUNTIF(C$4:C51,""Sell_Farm""))*(8*2^COUNTIF(C$4:C51,""Farm_up""))*IF(COUNTIF(C$4:C51,""Super_up"")&gt;0,1+0.01*(COUNTIF(C$4:C51,""Grandma"")-COUNTIF(C$4:C51,""Sell_Grandma"")),1)+(COUNTIF(C$4:C51,""Mine"")-COUN"&amp;"TIF(C$4:C51,""Sell_Mine""))*((47*2^COUNTIF(C$4:C51,""Mine_up""))*IF(COUNTIF(C$4:C51,""Super_up"")&gt;1,1+0.005*(COUNTIF(C$4:C51,""Grandma"")-COUNTIF(C$4:C51,""Sell_Grandma"")),1))+(COUNTIF(C$4:C51,""Factory"")-COUNTIF(C$4:C51,""Sell_Factory""))*(260*2^COUNTI"&amp;"F(C$4:C51,""Factory_up""))))"),127.2)</f>
        <v>127.2</v>
      </c>
      <c r="F51" s="73">
        <f>IFERROR(__xludf.DUMMYFUNCTION("IF(COUNTA(C51:C147)=0,"""",IF(REGEXMATCH(INDEX(FILTER(C$4:C51,C$4:C51&lt;&gt;""""),ROWS(FILTER(C$4:C51,C$4:C51&lt;&gt;""""))),""^Sell_""),INDEX(FILTER(F$4:F50,C$4:C50&lt;&gt;""""),ROWS(FILTER(C$4:C50,C$4:C50&lt;&gt;""""))),$AC$5*(2^SWITCH(COUNTIF(C$4:C51,""Cursor_up""),0,0,1,1,2"&amp;",2,3)+SWITCH(COUNTIF(C$4:C51,""Cursor_up""),4,0.1,0)*(ROW(C51)-4-COUNTIF(C$4:C51,""Cursor"")-COUNTIF(C$4:C51,""*""&amp;""_up"")-2*COUNTIF(C$4:C51,""Sell_""&amp;""*"")+COUNTIF(C$4:C51,""Sell_Cursor"")-COUNTIF(C$4:C51,""""))+0.01*E51*COUNTIF(C$4:C51,""Plastic_up"")"&amp;")+E51))"),207.2)</f>
        <v>207.2</v>
      </c>
      <c r="G51" s="14">
        <f>IFERROR(__xludf.DUMMYFUNCTION("IF(COUNTA(C51:C147)=0,"""",IF(REGEXMATCH(C51,""_up""),VLOOKUP(C51,Upgrades!$F$3:$J$8,1+COUNTIF(C$4:C51,C51),FALSE),IF(C51="""",0,IF(REGEXMATCH(C51,""^Sell_""),-ROUNDDOWN(ROUNDUP(INDEX(Upgrades!$C$3:$C$8,MATCH(SUBSTITUTE(C51,""Sell_"",""""),Upgrades!$B$3:$"&amp;"B$8,0))*1.15^(COUNTIF(C$4:C50,SUBSTITUTE(C51,""Sell_"",""""))-COUNTIF(C$4:C50,""Sell_""&amp;SUBSTITUTE(C51,""Sell_"",""""))))/4),ROUNDUP(INDEX(Upgrades!$C$3:$C$7,MATCH(C51,Upgrades!$B$3:$B$7,0))*1.15^(COUNTIF(C$4:C50,C51)-COUNTIF(C$4:C50,""Sell_""&amp;C51)))))))"),1077.0)</f>
        <v>1077</v>
      </c>
      <c r="H51" s="14">
        <f t="shared" si="3"/>
        <v>1077</v>
      </c>
      <c r="I51" s="75">
        <f t="shared" si="4"/>
        <v>342612.0799</v>
      </c>
      <c r="J51" s="76">
        <f t="shared" si="5"/>
        <v>347.899103</v>
      </c>
      <c r="K51" s="71" t="str">
        <f t="shared" si="6"/>
        <v>5m 47s</v>
      </c>
      <c r="L51" s="77">
        <f t="shared" si="7"/>
        <v>32942</v>
      </c>
      <c r="M51" s="51">
        <f t="shared" si="8"/>
        <v>-1.40811</v>
      </c>
      <c r="N51" s="52">
        <f>IFERROR(__xludf.DUMMYFUNCTION("IFS(AND(COUNTA(C51:C147)=0,COUNTA(P51:P147)=0),"""",OR(AND(L51&gt;=1000000,OR(Y51&gt;=1000000,COUNTA(P51:P147)=0)),AND(Y51&gt;=1000000,COUNTA(C51:C147)=0),AND(COUNTA(P51:P147)=0,O$3=TRUE)),
ROUNDDOWN((AB$1-AC$1)*MAX(INDEX(S$4:S147,MATCH(LARGE(FILTER(Y$4:Y147,Y$4:Y"&amp;"147&lt;1000000),1),Y$4:Y147)),INDEX(F$4:F147,MATCH(LARGE(FILTER(L$4:L147,L$4:L147&lt;1000000),1),L$4:L147)))),AND(L51&lt;1000000,COUNTA(C51:C147)&gt;0,O$3=FALSE),
ROUNDDOWN(INDEX(Y$4:Y147,MATCH(LARGE(FILTER(W$4:W147,W$4:W147&lt;=J51),1),W$4:W147))+(J51-LARGE(FILTER(W$4:"&amp;"W147,W$4:W147&lt;=J51),1))*INDEX(S$4:S147,MATCH(LARGE(FILTER(W$4:W147,W$4:W147&lt;=J51),1),W$4:W147))-L51),1,
ROUNDDOWN(Y51-INDEX(L$4:L147,MATCH(LARGE(FILTER(J$4:J147,J$4:J147&lt;=W51),1),J$4:J147))-(W51-LARGE(FILTER(J$4:J147,J$4:J147&lt;=W51),1))*INDEX(F$4:F147,MATC"&amp;"H(LARGE(FILTER(J$4:J147,J$4:J147&lt;=W51),1),J$4:J147))))"),303.0)</f>
        <v>303</v>
      </c>
      <c r="O51" s="65">
        <f t="shared" si="9"/>
        <v>18</v>
      </c>
      <c r="P51" s="69" t="s">
        <v>13</v>
      </c>
      <c r="Q51" s="14" t="b">
        <f>IFERROR(__xludf.DUMMYFUNCTION("IF(COUNTA(P51:P147)=0,"""",IFERROR(IF(ISBLANK(P51),FALSE,IF(ISBLANK(T51),1,IF(NOT(COUNTIF($AA$24:$AA$34,SUBSTITUTE(P51,""Sell_"",""""))),1,IF(P51=""Plastic_up"",IF(V51&lt;1000,1),IF(P51=""Super_Up"",IF(OR(COUNTIF(P$4:P51,""Grandma"")-COUNTIF(P$4:P51,""Sell_G"&amp;"randma"")&lt;1,COUNTIF(P$4:P51,VLOOKUP(P51,Upgrades!$F$8:$N$8,7+COUNTIF(P$4:P51,P51)))-COUNTIF(P$4:P51,""Sell_""&amp;VLOOKUP(P51,Upgrades!$F$8:$N$8,7+COUNTIF(P$4:P51,P51)))&lt;15),1),IF(REGEXMATCH(P51,""_up""),IF(COUNTIF(P$4:P51,SUBSTITUTE(P51,""_up"",""""))&lt;IFERRO"&amp;"R(VLOOKUP(P51,Upgrades!$L$3:$P$6,1+COUNTIF(P$4:P51,P51),0),999),1),IF(REGEXMATCH(P51,""Sell_""),IF(COUNTIF(P$4:P51,SUBSTITUTE(P51,""Sell_"",""""))-COUNTIF(P$4:P50,P51)&lt;1,1),FALSE)))))))))"),FALSE)</f>
        <v>0</v>
      </c>
      <c r="R51" s="71">
        <f>IFERROR(__xludf.DUMMYFUNCTION("IF(REGEXMATCH(P51,""^Sell_""),R50, IF(COUNTA(P51:P147)=0,"""",(COUNTIF(P$4:P51,""Cursor"")-COUNTIF(P$4:P51,""Sell_Cursor""))*(0.1*2^SWITCH(COUNTIF(P$4:P51,""Cursor_up""),0,0,1,1,2,2,3)+SWITCH(COUNTIF(P$4:P51,""Cursor_up""),4,0.1,0)*(ROW(P51)-4-COUNTIF(P$4"&amp;":P51,""Cursor"")-COUNTIF(P$4:P51,""*""&amp;""_up"")-2*COUNTIF(P$4:P51,""Sell_""&amp;""*"")+COUNTIF(P$4:P51,""Sell_Cursor"")-COUNTIF(P$4:P51,"""")))+(COUNTIF(P$4:P51,""Grandma"")-COUNTIF(P$4:P51,""Sell_Grandma""))*(1*2^(COUNTIF(P$4:P51,""Grandma_up"")+COUNTIF(P$4:"&amp;"P51,""Super_up"")))+(COUNTIF(P$4:P51,""Farm"")-COUNTIF(P$4:P51,""Sell_Farm""))*(8*2^COUNTIF(P$4:P51,""Farm_up""))*IF(COUNTIF(P$4:P51,""Super_up"")&gt;0,1+0.01*(COUNTIF(P$4:P51,""Grandma"")-COUNTIF(P$4:P51,""Sell_Grandma"")),1)+(COUNTIF(P$4:P51,""Mine"")-COUN"&amp;"TIF(P$4:P51,""Sell_Mine""))*((47*2^COUNTIF(P$4:P51,""Mine_up""))*IF(COUNTIF(P$4:P51,""Super_up"")&gt;1,1+0.005*(COUNTIF(P$4:P51,""Grandma"")-COUNTIF(P$4:P51,""Sell_Grandma"")),1))+(COUNTIF(P$4:P51,""Factory"")-COUNTIF(P$4:P51,""Sell_Factory""))*(260*2^COUNTI"&amp;"F(P$4:P51,""Factory_up""))))"),222.0)</f>
        <v>222</v>
      </c>
      <c r="S51" s="73">
        <f>IFERROR(__xludf.DUMMYFUNCTION("IF(COUNTA(P51:P147)=0,"""",IF(REGEXMATCH(INDEX(FILTER(P$4:P51,P$4:P51&lt;&gt;""""),ROWS(FILTER(P$4:P51,P$4:P51&lt;&gt;""""))),""^Sell_""),INDEX(FILTER(S$4:S50,P$4:P50&lt;&gt;""""),ROWS(FILTER(P$4:P50,P$4:P50&lt;&gt;""""))),$AD$5*(2^SWITCH(COUNTIF(P$4:P51,""Cursor_up""),0,0,1,1,2"&amp;",2,3)+SWITCH(COUNTIF(P$4:P51,""Cursor_up""),4,0.1,0)*(ROW(P51)-4-COUNTIF(P$4:P51,""Cursor"")-COUNTIF(P$4:P51,""*""&amp;""_up"")-2*COUNTIF(P$4:P51,""Sell_""&amp;""*"")+COUNTIF(P$4:P51,""Sell_Cursor"")-COUNTIF(P$4:P51,""""))+0.01*R51*COUNTIF(P$4:P51,""Plastic_up"")"&amp;")+R51))"),262.0)</f>
        <v>262</v>
      </c>
      <c r="T51" s="14">
        <f>IFERROR(__xludf.DUMMYFUNCTION("IF(COUNTA(P51:P147)=0,"""",IF(REGEXMATCH(P51,""_up""),VLOOKUP(P51,Upgrades!$F$3:$J$8,1+COUNTIF(P$4:P51,P51),FALSE),IF(P51="""",0,IF(REGEXMATCH(P51,""^Sell_""),-ROUNDDOWN(ROUNDUP(INDEX(Upgrades!$C$3:$C$8,MATCH(SUBSTITUTE(P51,""Sell_"",""""),Upgrades!$B$3:$"&amp;"B$8,0))*1.15^(COUNTIF(P$4:P50,SUBSTITUTE(P51,""Sell_"",""""))-COUNTIF(P$4:P50,""Sell_""&amp;SUBSTITUTE(P51,""Sell_"",""""))))/4),ROUNDUP(INDEX(Upgrades!$C$3:$C$7,MATCH(P51,Upgrades!$B$3:$B$7,0))*1.15^(COUNTIF(P$4:P50,P51)-COUNTIF(P$4:P50,""Sell_""&amp;P51)))))))"),1077.0)</f>
        <v>1077</v>
      </c>
      <c r="U51" s="14">
        <f t="shared" si="10"/>
        <v>1077</v>
      </c>
      <c r="V51" s="75">
        <f t="shared" si="11"/>
        <v>284432.8024</v>
      </c>
      <c r="W51" s="76">
        <f t="shared" si="12"/>
        <v>400.0385884</v>
      </c>
      <c r="X51" s="71" t="str">
        <f t="shared" si="13"/>
        <v>6m 40s</v>
      </c>
      <c r="Y51" s="77">
        <f t="shared" si="14"/>
        <v>44380</v>
      </c>
      <c r="Z51" s="17"/>
      <c r="AA51" s="13"/>
      <c r="AB51" s="13"/>
      <c r="AC51" s="13"/>
      <c r="AD51" s="13"/>
      <c r="AE51" s="13"/>
      <c r="AF51" s="13"/>
      <c r="AG51" s="13"/>
    </row>
    <row r="52">
      <c r="A52" s="12"/>
      <c r="B52" s="65">
        <f t="shared" si="2"/>
        <v>6</v>
      </c>
      <c r="C52" s="69" t="s">
        <v>16</v>
      </c>
      <c r="D52" s="14" t="b">
        <f>IFERROR(__xludf.DUMMYFUNCTION("IF(COUNTA(C52:C147)=0,"""",IFERROR(IF(ISBLANK(C52),FALSE,IF(ISBLANK(G52),1,IF(NOT(COUNTIF($AA$24:$AA$34,SUBSTITUTE(C52,""Sell_"",""""))),1,IF(C52=""Plastic_up"",IF(I52&lt;1000,1),IF(C52=""Super_Up"",IF(OR(COUNTIF(C$4:C52,""Grandma"")-COUNTIF(C$4:C52,""Sell_G"&amp;"randma"")&lt;1,COUNTIF(C$4:C52,VLOOKUP(C52,Upgrades!$F$8:$N$8,7+COUNTIF(C$4:C52,C52)))-COUNTIF(C$4:C52,""Sell_""&amp;VLOOKUP(C52,Upgrades!$F$8:$N$8,7+COUNTIF(C$4:C52,C52)))&lt;15),1),IF(REGEXMATCH(C52,""_up""),IF(COUNTIF(C$4:C52,SUBSTITUTE(C52,""_up"",""""))&lt;IFERRO"&amp;"R(VLOOKUP(C52,Upgrades!$L$3:$P$6,1+COUNTIF(C$4:C52,C52),0),999),1),IF(REGEXMATCH(C52,""Sell_""),IF(COUNTIF(C$4:C52,SUBSTITUTE(C52,""Sell_"",""""))-COUNTIF(C$4:C51,C52)&lt;1,1),FALSE)))))))))"),FALSE)</f>
        <v>0</v>
      </c>
      <c r="E52" s="71">
        <f>IFERROR(__xludf.DUMMYFUNCTION("IF(REGEXMATCH(C52,""^Sell_""),E51, IF(COUNTA(C52:C147)=0,"""",(COUNTIF(C$4:C52,""Cursor"")-COUNTIF(C$4:C52,""Sell_Cursor""))*(0.1*2^SWITCH(COUNTIF(C$4:C52,""Cursor_up""),0,0,1,1,2,2,3)+SWITCH(COUNTIF(C$4:C52,""Cursor_up""),4,0.1,0)*(ROW(C52)-4-COUNTIF(C$4"&amp;":C52,""Cursor"")-COUNTIF(C$4:C52,""*""&amp;""_up"")-2*COUNTIF(C$4:C52,""Sell_""&amp;""*"")+COUNTIF(C$4:C52,""Sell_Cursor"")-COUNTIF(C$4:C52,"""")))+(COUNTIF(C$4:C52,""Grandma"")-COUNTIF(C$4:C52,""Sell_Grandma""))*(1*2^(COUNTIF(C$4:C52,""Grandma_up"")+COUNTIF(C$4:"&amp;"C52,""Super_up"")))+(COUNTIF(C$4:C52,""Farm"")-COUNTIF(C$4:C52,""Sell_Farm""))*(8*2^COUNTIF(C$4:C52,""Farm_up""))*IF(COUNTIF(C$4:C52,""Super_up"")&gt;0,1+0.01*(COUNTIF(C$4:C52,""Grandma"")-COUNTIF(C$4:C52,""Sell_Grandma"")),1)+(COUNTIF(C$4:C52,""Mine"")-COUN"&amp;"TIF(C$4:C52,""Sell_Mine""))*((47*2^COUNTIF(C$4:C52,""Mine_up""))*IF(COUNTIF(C$4:C52,""Super_up"")&gt;1,1+0.005*(COUNTIF(C$4:C52,""Grandma"")-COUNTIF(C$4:C52,""Sell_Grandma"")),1))+(COUNTIF(C$4:C52,""Factory"")-COUNTIF(C$4:C52,""Sell_Factory""))*(260*2^COUNTI"&amp;"F(C$4:C52,""Factory_up""))))"),135.2)</f>
        <v>135.2</v>
      </c>
      <c r="F52" s="73">
        <f>IFERROR(__xludf.DUMMYFUNCTION("IF(COUNTA(C52:C147)=0,"""",IF(REGEXMATCH(INDEX(FILTER(C$4:C52,C$4:C52&lt;&gt;""""),ROWS(FILTER(C$4:C52,C$4:C52&lt;&gt;""""))),""^Sell_""),INDEX(FILTER(F$4:F51,C$4:C51&lt;&gt;""""),ROWS(FILTER(C$4:C51,C$4:C51&lt;&gt;""""))),$AC$5*(2^SWITCH(COUNTIF(C$4:C52,""Cursor_up""),0,0,1,1,2"&amp;",2,3)+SWITCH(COUNTIF(C$4:C52,""Cursor_up""),4,0.1,0)*(ROW(C52)-4-COUNTIF(C$4:C52,""Cursor"")-COUNTIF(C$4:C52,""*""&amp;""_up"")-2*COUNTIF(C$4:C52,""Sell_""&amp;""*"")+COUNTIF(C$4:C52,""Sell_Cursor"")-COUNTIF(C$4:C52,""""))+0.01*E52*COUNTIF(C$4:C52,""Plastic_up"")"&amp;")+E52))"),215.2)</f>
        <v>215.2</v>
      </c>
      <c r="G52" s="14">
        <f>IFERROR(__xludf.DUMMYFUNCTION("IF(COUNTA(C52:C147)=0,"""",IF(REGEXMATCH(C52,""_up""),VLOOKUP(C52,Upgrades!$F$3:$J$8,1+COUNTIF(C$4:C52,C52),FALSE),IF(C52="""",0,IF(REGEXMATCH(C52,""^Sell_""),-ROUNDDOWN(ROUNDUP(INDEX(Upgrades!$C$3:$C$8,MATCH(SUBSTITUTE(C52,""Sell_"",""""),Upgrades!$B$3:$"&amp;"B$8,0))*1.15^(COUNTIF(C$4:C51,SUBSTITUTE(C52,""Sell_"",""""))-COUNTIF(C$4:C51,""Sell_""&amp;SUBSTITUTE(C52,""Sell_"",""""))))/4),ROUNDUP(INDEX(Upgrades!$C$3:$C$7,MATCH(C52,Upgrades!$B$3:$B$7,0))*1.15^(COUNTIF(C$4:C51,C52)-COUNTIF(C$4:C51,""Sell_""&amp;C52)))))))"),2213.0)</f>
        <v>2213</v>
      </c>
      <c r="H52" s="14">
        <f t="shared" si="3"/>
        <v>2213</v>
      </c>
      <c r="I52" s="75">
        <f t="shared" si="4"/>
        <v>371298.4483</v>
      </c>
      <c r="J52" s="76">
        <f t="shared" si="5"/>
        <v>358.5796049</v>
      </c>
      <c r="K52" s="71" t="str">
        <f t="shared" si="6"/>
        <v>5m 58s</v>
      </c>
      <c r="L52" s="77">
        <f t="shared" si="7"/>
        <v>35155</v>
      </c>
      <c r="M52" s="51">
        <f t="shared" si="8"/>
        <v>-1.51021</v>
      </c>
      <c r="N52" s="52">
        <f>IFERROR(__xludf.DUMMYFUNCTION("IFS(AND(COUNTA(C52:C147)=0,COUNTA(P52:P147)=0),"""",OR(AND(L52&gt;=1000000,OR(Y52&gt;=1000000,COUNTA(P52:P147)=0)),AND(Y52&gt;=1000000,COUNTA(C52:C147)=0),AND(COUNTA(P52:P147)=0,O$3=TRUE)),
ROUNDDOWN((AB$1-AC$1)*MAX(INDEX(S$4:S147,MATCH(LARGE(FILTER(Y$4:Y147,Y$4:Y"&amp;"147&lt;1000000),1),Y$4:Y147)),INDEX(F$4:F147,MATCH(LARGE(FILTER(L$4:L147,L$4:L147&lt;1000000),1),L$4:L147)))),AND(L52&lt;1000000,COUNTA(C52:C147)&gt;0,O$3=FALSE),
ROUNDDOWN(INDEX(Y$4:Y147,MATCH(LARGE(FILTER(W$4:W147,W$4:W147&lt;=J52),1),W$4:W147))+(J52-LARGE(FILTER(W$4:"&amp;"W147,W$4:W147&lt;=J52),1))*INDEX(S$4:S147,MATCH(LARGE(FILTER(W$4:W147,W$4:W147&lt;=J52),1),W$4:W147))-L52),1,
ROUNDDOWN(Y52-INDEX(L$4:L147,MATCH(LARGE(FILTER(J$4:J147,J$4:J147&lt;=W52),1),J$4:J147))-(W52-LARGE(FILTER(J$4:J147,J$4:J147&lt;=W52),1))*INDEX(F$4:F147,MATC"&amp;"H(LARGE(FILTER(J$4:J147,J$4:J147&lt;=W52),1),J$4:J147))))"),324.0)</f>
        <v>324</v>
      </c>
      <c r="O52" s="65">
        <f t="shared" si="9"/>
        <v>16</v>
      </c>
      <c r="P52" s="69" t="s">
        <v>10</v>
      </c>
      <c r="Q52" s="14" t="b">
        <f>IFERROR(__xludf.DUMMYFUNCTION("IF(COUNTA(P52:P147)=0,"""",IFERROR(IF(ISBLANK(P52),FALSE,IF(ISBLANK(T52),1,IF(NOT(COUNTIF($AA$24:$AA$34,SUBSTITUTE(P52,""Sell_"",""""))),1,IF(P52=""Plastic_up"",IF(V52&lt;1000,1),IF(P52=""Super_Up"",IF(OR(COUNTIF(P$4:P52,""Grandma"")-COUNTIF(P$4:P52,""Sell_G"&amp;"randma"")&lt;1,COUNTIF(P$4:P52,VLOOKUP(P52,Upgrades!$F$8:$N$8,7+COUNTIF(P$4:P52,P52)))-COUNTIF(P$4:P52,""Sell_""&amp;VLOOKUP(P52,Upgrades!$F$8:$N$8,7+COUNTIF(P$4:P52,P52)))&lt;15),1),IF(REGEXMATCH(P52,""_up""),IF(COUNTIF(P$4:P52,SUBSTITUTE(P52,""_up"",""""))&lt;IFERRO"&amp;"R(VLOOKUP(P52,Upgrades!$L$3:$P$6,1+COUNTIF(P$4:P52,P52),0),999),1),IF(REGEXMATCH(P52,""Sell_""),IF(COUNTIF(P$4:P52,SUBSTITUTE(P52,""Sell_"",""""))-COUNTIF(P$4:P51,P52)&lt;1,1),FALSE)))))))))"),FALSE)</f>
        <v>0</v>
      </c>
      <c r="R52" s="71">
        <f>IFERROR(__xludf.DUMMYFUNCTION("IF(REGEXMATCH(P52,""^Sell_""),R51, IF(COUNTA(P52:P147)=0,"""",(COUNTIF(P$4:P52,""Cursor"")-COUNTIF(P$4:P52,""Sell_Cursor""))*(0.1*2^SWITCH(COUNTIF(P$4:P52,""Cursor_up""),0,0,1,1,2,2,3)+SWITCH(COUNTIF(P$4:P52,""Cursor_up""),4,0.1,0)*(ROW(P52)-4-COUNTIF(P$4"&amp;":P52,""Cursor"")-COUNTIF(P$4:P52,""*""&amp;""_up"")-2*COUNTIF(P$4:P52,""Sell_""&amp;""*"")+COUNTIF(P$4:P52,""Sell_Cursor"")-COUNTIF(P$4:P52,"""")))+(COUNTIF(P$4:P52,""Grandma"")-COUNTIF(P$4:P52,""Sell_Grandma""))*(1*2^(COUNTIF(P$4:P52,""Grandma_up"")+COUNTIF(P$4:"&amp;"P52,""Super_up"")))+(COUNTIF(P$4:P52,""Farm"")-COUNTIF(P$4:P52,""Sell_Farm""))*(8*2^COUNTIF(P$4:P52,""Farm_up""))*IF(COUNTIF(P$4:P52,""Super_up"")&gt;0,1+0.01*(COUNTIF(P$4:P52,""Grandma"")-COUNTIF(P$4:P52,""Sell_Grandma"")),1)+(COUNTIF(P$4:P52,""Mine"")-COUN"&amp;"TIF(P$4:P52,""Sell_Mine""))*((47*2^COUNTIF(P$4:P52,""Mine_up""))*IF(COUNTIF(P$4:P52,""Super_up"")&gt;1,1+0.005*(COUNTIF(P$4:P52,""Grandma"")-COUNTIF(P$4:P52,""Sell_Grandma"")),1))+(COUNTIF(P$4:P52,""Factory"")-COUNTIF(P$4:P52,""Sell_Factory""))*(260*2^COUNTI"&amp;"F(P$4:P52,""Factory_up""))))"),222.4)</f>
        <v>222.4</v>
      </c>
      <c r="S52" s="73">
        <f>IFERROR(__xludf.DUMMYFUNCTION("IF(COUNTA(P52:P147)=0,"""",IF(REGEXMATCH(INDEX(FILTER(P$4:P52,P$4:P52&lt;&gt;""""),ROWS(FILTER(P$4:P52,P$4:P52&lt;&gt;""""))),""^Sell_""),INDEX(FILTER(S$4:S51,P$4:P51&lt;&gt;""""),ROWS(FILTER(P$4:P51,P$4:P51&lt;&gt;""""))),$AD$5*(2^SWITCH(COUNTIF(P$4:P52,""Cursor_up""),0,0,1,1,2"&amp;",2,3)+SWITCH(COUNTIF(P$4:P52,""Cursor_up""),4,0.1,0)*(ROW(P52)-4-COUNTIF(P$4:P52,""Cursor"")-COUNTIF(P$4:P52,""*""&amp;""_up"")-2*COUNTIF(P$4:P52,""Sell_""&amp;""*"")+COUNTIF(P$4:P52,""Sell_Cursor"")-COUNTIF(P$4:P52,""""))+0.01*R52*COUNTIF(P$4:P52,""Plastic_up"")"&amp;")+R52))"),262.4)</f>
        <v>262.4</v>
      </c>
      <c r="T52" s="14">
        <f>IFERROR(__xludf.DUMMYFUNCTION("IF(COUNTA(P52:P147)=0,"""",IF(REGEXMATCH(P52,""_up""),VLOOKUP(P52,Upgrades!$F$3:$J$8,1+COUNTIF(P$4:P52,P52),FALSE),IF(P52="""",0,IF(REGEXMATCH(P52,""^Sell_""),-ROUNDDOWN(ROUNDUP(INDEX(Upgrades!$C$3:$C$8,MATCH(SUBSTITUTE(P52,""Sell_"",""""),Upgrades!$B$3:$"&amp;"B$8,0))*1.15^(COUNTIF(P$4:P51,SUBSTITUTE(P52,""Sell_"",""""))-COUNTIF(P$4:P51,""Sell_""&amp;SUBSTITUTE(P52,""Sell_"",""""))))/4),ROUNDUP(INDEX(Upgrades!$C$3:$C$7,MATCH(P52,Upgrades!$B$3:$B$7,0))*1.15^(COUNTIF(P$4:P51,P52)-COUNTIF(P$4:P51,""Sell_""&amp;P52)))))))"),123.0)</f>
        <v>123</v>
      </c>
      <c r="U52" s="14">
        <f t="shared" si="10"/>
        <v>123</v>
      </c>
      <c r="V52" s="75">
        <f t="shared" si="11"/>
        <v>300453.1246</v>
      </c>
      <c r="W52" s="76">
        <f t="shared" si="12"/>
        <v>400.508054</v>
      </c>
      <c r="X52" s="71" t="str">
        <f t="shared" si="13"/>
        <v>6m 40s</v>
      </c>
      <c r="Y52" s="77">
        <f t="shared" si="14"/>
        <v>44503</v>
      </c>
      <c r="Z52" s="17"/>
      <c r="AA52" s="13"/>
      <c r="AB52" s="13"/>
      <c r="AC52" s="13"/>
      <c r="AD52" s="13"/>
      <c r="AE52" s="13"/>
      <c r="AF52" s="13"/>
      <c r="AG52" s="13"/>
    </row>
    <row r="53">
      <c r="A53" s="12"/>
      <c r="B53" s="65">
        <f t="shared" si="2"/>
        <v>1</v>
      </c>
      <c r="C53" s="69" t="s">
        <v>17</v>
      </c>
      <c r="D53" s="14" t="b">
        <f>IFERROR(__xludf.DUMMYFUNCTION("IF(COUNTA(C53:C147)=0,"""",IFERROR(IF(ISBLANK(C53),FALSE,IF(ISBLANK(G53),1,IF(NOT(COUNTIF($AA$24:$AA$34,SUBSTITUTE(C53,""Sell_"",""""))),1,IF(C53=""Plastic_up"",IF(I53&lt;1000,1),IF(C53=""Super_Up"",IF(OR(COUNTIF(C$4:C53,""Grandma"")-COUNTIF(C$4:C53,""Sell_G"&amp;"randma"")&lt;1,COUNTIF(C$4:C53,VLOOKUP(C53,Upgrades!$F$8:$N$8,7+COUNTIF(C$4:C53,C53)))-COUNTIF(C$4:C53,""Sell_""&amp;VLOOKUP(C53,Upgrades!$F$8:$N$8,7+COUNTIF(C$4:C53,C53)))&lt;15),1),IF(REGEXMATCH(C53,""_up""),IF(COUNTIF(C$4:C53,SUBSTITUTE(C53,""_up"",""""))&lt;IFERRO"&amp;"R(VLOOKUP(C53,Upgrades!$L$3:$P$6,1+COUNTIF(C$4:C53,C53),0),999),1),IF(REGEXMATCH(C53,""Sell_""),IF(COUNTIF(C$4:C53,SUBSTITUTE(C53,""Sell_"",""""))-COUNTIF(C$4:C52,C53)&lt;1,1),FALSE)))))))))"),FALSE)</f>
        <v>0</v>
      </c>
      <c r="E53" s="71">
        <f>IFERROR(__xludf.DUMMYFUNCTION("IF(REGEXMATCH(C53,""^Sell_""),E52, IF(COUNTA(C53:C147)=0,"""",(COUNTIF(C$4:C53,""Cursor"")-COUNTIF(C$4:C53,""Sell_Cursor""))*(0.1*2^SWITCH(COUNTIF(C$4:C53,""Cursor_up""),0,0,1,1,2,2,3)+SWITCH(COUNTIF(C$4:C53,""Cursor_up""),4,0.1,0)*(ROW(C53)-4-COUNTIF(C$4"&amp;":C53,""Cursor"")-COUNTIF(C$4:C53,""*""&amp;""_up"")-2*COUNTIF(C$4:C53,""Sell_""&amp;""*"")+COUNTIF(C$4:C53,""Sell_Cursor"")-COUNTIF(C$4:C53,"""")))+(COUNTIF(C$4:C53,""Grandma"")-COUNTIF(C$4:C53,""Sell_Grandma""))*(1*2^(COUNTIF(C$4:C53,""Grandma_up"")+COUNTIF(C$4:"&amp;"C53,""Super_up"")))+(COUNTIF(C$4:C53,""Farm"")-COUNTIF(C$4:C53,""Sell_Farm""))*(8*2^COUNTIF(C$4:C53,""Farm_up""))*IF(COUNTIF(C$4:C53,""Super_up"")&gt;0,1+0.01*(COUNTIF(C$4:C53,""Grandma"")-COUNTIF(C$4:C53,""Sell_Grandma"")),1)+(COUNTIF(C$4:C53,""Mine"")-COUN"&amp;"TIF(C$4:C53,""Sell_Mine""))*((47*2^COUNTIF(C$4:C53,""Mine_up""))*IF(COUNTIF(C$4:C53,""Super_up"")&gt;1,1+0.005*(COUNTIF(C$4:C53,""Grandma"")-COUNTIF(C$4:C53,""Sell_Grandma"")),1))+(COUNTIF(C$4:C53,""Factory"")-COUNTIF(C$4:C53,""Sell_Factory""))*(260*2^COUNTI"&amp;"F(C$4:C53,""Factory_up""))))"),183.2)</f>
        <v>183.2</v>
      </c>
      <c r="F53" s="73">
        <f>IFERROR(__xludf.DUMMYFUNCTION("IF(COUNTA(C53:C147)=0,"""",IF(REGEXMATCH(INDEX(FILTER(C$4:C53,C$4:C53&lt;&gt;""""),ROWS(FILTER(C$4:C53,C$4:C53&lt;&gt;""""))),""^Sell_""),INDEX(FILTER(F$4:F52,C$4:C52&lt;&gt;""""),ROWS(FILTER(C$4:C52,C$4:C52&lt;&gt;""""))),$AC$5*(2^SWITCH(COUNTIF(C$4:C53,""Cursor_up""),0,0,1,1,2"&amp;",2,3)+SWITCH(COUNTIF(C$4:C53,""Cursor_up""),4,0.1,0)*(ROW(C53)-4-COUNTIF(C$4:C53,""Cursor"")-COUNTIF(C$4:C53,""*""&amp;""_up"")-2*COUNTIF(C$4:C53,""Sell_""&amp;""*"")+COUNTIF(C$4:C53,""Sell_Cursor"")-COUNTIF(C$4:C53,""""))+0.01*E53*COUNTIF(C$4:C53,""Plastic_up"")"&amp;")+E53))"),263.2)</f>
        <v>263.2</v>
      </c>
      <c r="G53" s="14">
        <f>IFERROR(__xludf.DUMMYFUNCTION("IF(COUNTA(C53:C147)=0,"""",IF(REGEXMATCH(C53,""_up""),VLOOKUP(C53,Upgrades!$F$3:$J$8,1+COUNTIF(C$4:C53,C53),FALSE),IF(C53="""",0,IF(REGEXMATCH(C53,""^Sell_""),-ROUNDDOWN(ROUNDUP(INDEX(Upgrades!$C$3:$C$8,MATCH(SUBSTITUTE(C53,""Sell_"",""""),Upgrades!$B$3:$"&amp;"B$8,0))*1.15^(COUNTIF(C$4:C52,SUBSTITUTE(C53,""Sell_"",""""))-COUNTIF(C$4:C52,""Sell_""&amp;SUBSTITUTE(C53,""Sell_"",""""))))/4),ROUNDUP(INDEX(Upgrades!$C$3:$C$7,MATCH(C53,Upgrades!$B$3:$B$7,0))*1.15^(COUNTIF(C$4:C52,C53)-COUNTIF(C$4:C52,""Sell_""&amp;C53)))))))"),11000.0)</f>
        <v>11000</v>
      </c>
      <c r="H53" s="14">
        <f t="shared" si="3"/>
        <v>11000</v>
      </c>
      <c r="I53" s="75">
        <f t="shared" si="4"/>
        <v>404074.036</v>
      </c>
      <c r="J53" s="76">
        <f t="shared" si="5"/>
        <v>409.6948465</v>
      </c>
      <c r="K53" s="71" t="str">
        <f t="shared" si="6"/>
        <v>6m 49s</v>
      </c>
      <c r="L53" s="77">
        <f t="shared" si="7"/>
        <v>46155</v>
      </c>
      <c r="M53" s="51">
        <f t="shared" si="8"/>
        <v>-0.97256</v>
      </c>
      <c r="N53" s="52">
        <f>IFERROR(__xludf.DUMMYFUNCTION("IFS(AND(COUNTA(C53:C147)=0,COUNTA(P53:P147)=0),"""",OR(AND(L53&gt;=1000000,OR(Y53&gt;=1000000,COUNTA(P53:P147)=0)),AND(Y53&gt;=1000000,COUNTA(C53:C147)=0),AND(COUNTA(P53:P147)=0,O$3=TRUE)),
ROUNDDOWN((AB$1-AC$1)*MAX(INDEX(S$4:S147,MATCH(LARGE(FILTER(Y$4:Y147,Y$4:Y"&amp;"147&lt;1000000),1),Y$4:Y147)),INDEX(F$4:F147,MATCH(LARGE(FILTER(L$4:L147,L$4:L147&lt;1000000),1),L$4:L147)))),AND(L53&lt;1000000,COUNTA(C53:C147)&gt;0,O$3=FALSE),
ROUNDDOWN(INDEX(Y$4:Y147,MATCH(LARGE(FILTER(W$4:W147,W$4:W147&lt;=J53),1),W$4:W147))+(J53-LARGE(FILTER(W$4:"&amp;"W147,W$4:W147&lt;=J53),1))*INDEX(S$4:S147,MATCH(LARGE(FILTER(W$4:W147,W$4:W147&lt;=J53),1),W$4:W147))-L53),1,
ROUNDDOWN(Y53-INDEX(L$4:L147,MATCH(LARGE(FILTER(J$4:J147,J$4:J147&lt;=W53),1),J$4:J147))-(W53-LARGE(FILTER(J$4:J147,J$4:J147&lt;=W53),1))*INDEX(F$4:F147,MATC"&amp;"H(LARGE(FILTER(J$4:J147,J$4:J147&lt;=W53),1),J$4:J147))))"),287.0)</f>
        <v>287</v>
      </c>
      <c r="O53" s="65">
        <f t="shared" si="9"/>
        <v>3</v>
      </c>
      <c r="P53" s="69" t="s">
        <v>11</v>
      </c>
      <c r="Q53" s="14" t="b">
        <f>IFERROR(__xludf.DUMMYFUNCTION("IF(COUNTA(P53:P147)=0,"""",IFERROR(IF(ISBLANK(P53),FALSE,IF(ISBLANK(T53),1,IF(NOT(COUNTIF($AA$24:$AA$34,SUBSTITUTE(P53,""Sell_"",""""))),1,IF(P53=""Plastic_up"",IF(V53&lt;1000,1),IF(P53=""Super_Up"",IF(OR(COUNTIF(P$4:P53,""Grandma"")-COUNTIF(P$4:P53,""Sell_G"&amp;"randma"")&lt;1,COUNTIF(P$4:P53,VLOOKUP(P53,Upgrades!$F$8:$N$8,7+COUNTIF(P$4:P53,P53)))-COUNTIF(P$4:P53,""Sell_""&amp;VLOOKUP(P53,Upgrades!$F$8:$N$8,7+COUNTIF(P$4:P53,P53)))&lt;15),1),IF(REGEXMATCH(P53,""_up""),IF(COUNTIF(P$4:P53,SUBSTITUTE(P53,""_up"",""""))&lt;IFERRO"&amp;"R(VLOOKUP(P53,Upgrades!$L$3:$P$6,1+COUNTIF(P$4:P53,P53),0),999),1),IF(REGEXMATCH(P53,""Sell_""),IF(COUNTIF(P$4:P53,SUBSTITUTE(P53,""Sell_"",""""))-COUNTIF(P$4:P52,P53)&lt;1,1),FALSE)))))))))"),FALSE)</f>
        <v>0</v>
      </c>
      <c r="R53" s="71">
        <f>IFERROR(__xludf.DUMMYFUNCTION("IF(REGEXMATCH(P53,""^Sell_""),R52, IF(COUNTA(P53:P147)=0,"""",(COUNTIF(P$4:P53,""Cursor"")-COUNTIF(P$4:P53,""Sell_Cursor""))*(0.1*2^SWITCH(COUNTIF(P$4:P53,""Cursor_up""),0,0,1,1,2,2,3)+SWITCH(COUNTIF(P$4:P53,""Cursor_up""),4,0.1,0)*(ROW(P53)-4-COUNTIF(P$4"&amp;":P53,""Cursor"")-COUNTIF(P$4:P53,""*""&amp;""_up"")-2*COUNTIF(P$4:P53,""Sell_""&amp;""*"")+COUNTIF(P$4:P53,""Sell_Cursor"")-COUNTIF(P$4:P53,"""")))+(COUNTIF(P$4:P53,""Grandma"")-COUNTIF(P$4:P53,""Sell_Grandma""))*(1*2^(COUNTIF(P$4:P53,""Grandma_up"")+COUNTIF(P$4:"&amp;"P53,""Super_up"")))+(COUNTIF(P$4:P53,""Farm"")-COUNTIF(P$4:P53,""Sell_Farm""))*(8*2^COUNTIF(P$4:P53,""Farm_up""))*IF(COUNTIF(P$4:P53,""Super_up"")&gt;0,1+0.01*(COUNTIF(P$4:P53,""Grandma"")-COUNTIF(P$4:P53,""Sell_Grandma"")),1)+(COUNTIF(P$4:P53,""Mine"")-COUN"&amp;"TIF(P$4:P53,""Sell_Mine""))*((47*2^COUNTIF(P$4:P53,""Mine_up""))*IF(COUNTIF(P$4:P53,""Super_up"")&gt;1,1+0.005*(COUNTIF(P$4:P53,""Grandma"")-COUNTIF(P$4:P53,""Sell_Grandma"")),1))+(COUNTIF(P$4:P53,""Factory"")-COUNTIF(P$4:P53,""Sell_Factory""))*(260*2^COUNTI"&amp;"F(P$4:P53,""Factory_up""))))"),228.8)</f>
        <v>228.8</v>
      </c>
      <c r="S53" s="73">
        <f>IFERROR(__xludf.DUMMYFUNCTION("IF(COUNTA(P53:P147)=0,"""",IF(REGEXMATCH(INDEX(FILTER(P$4:P53,P$4:P53&lt;&gt;""""),ROWS(FILTER(P$4:P53,P$4:P53&lt;&gt;""""))),""^Sell_""),INDEX(FILTER(S$4:S52,P$4:P52&lt;&gt;""""),ROWS(FILTER(P$4:P52,P$4:P52&lt;&gt;""""))),$AD$5*(2^SWITCH(COUNTIF(P$4:P53,""Cursor_up""),0,0,1,1,2"&amp;",2,3)+SWITCH(COUNTIF(P$4:P53,""Cursor_up""),4,0.1,0)*(ROW(P53)-4-COUNTIF(P$4:P53,""Cursor"")-COUNTIF(P$4:P53,""*""&amp;""_up"")-2*COUNTIF(P$4:P53,""Sell_""&amp;""*"")+COUNTIF(P$4:P53,""Sell_Cursor"")-COUNTIF(P$4:P53,""""))+0.01*R53*COUNTIF(P$4:P53,""Plastic_up"")"&amp;")+R53))"),308.8)</f>
        <v>308.8</v>
      </c>
      <c r="T53" s="14">
        <f>IFERROR(__xludf.DUMMYFUNCTION("IF(COUNTA(P53:P147)=0,"""",IF(REGEXMATCH(P53,""_up""),VLOOKUP(P53,Upgrades!$F$3:$J$8,1+COUNTIF(P$4:P53,P53),FALSE),IF(P53="""",0,IF(REGEXMATCH(P53,""^Sell_""),-ROUNDDOWN(ROUNDUP(INDEX(Upgrades!$C$3:$C$8,MATCH(SUBSTITUTE(P53,""Sell_"",""""),Upgrades!$B$3:$"&amp;"B$8,0))*1.15^(COUNTIF(P$4:P52,SUBSTITUTE(P53,""Sell_"",""""))-COUNTIF(P$4:P52,""Sell_""&amp;SUBSTITUTE(P53,""Sell_"",""""))))/4),ROUNDUP(INDEX(Upgrades!$C$3:$C$7,MATCH(P53,Upgrades!$B$3:$B$7,0))*1.15^(COUNTIF(P$4:P52,P53)-COUNTIF(P$4:P52,""Sell_""&amp;P53)))))))"),10000.0)</f>
        <v>10000</v>
      </c>
      <c r="U53" s="14">
        <f t="shared" si="10"/>
        <v>10000</v>
      </c>
      <c r="V53" s="75">
        <f t="shared" si="11"/>
        <v>317997.837</v>
      </c>
      <c r="W53" s="76">
        <f t="shared" si="12"/>
        <v>438.6178101</v>
      </c>
      <c r="X53" s="71" t="str">
        <f t="shared" si="13"/>
        <v>7m 18s</v>
      </c>
      <c r="Y53" s="77">
        <f t="shared" si="14"/>
        <v>54503</v>
      </c>
      <c r="Z53" s="17"/>
      <c r="AA53" s="13"/>
      <c r="AB53" s="13"/>
      <c r="AC53" s="13"/>
      <c r="AD53" s="13"/>
      <c r="AE53" s="13"/>
      <c r="AF53" s="13"/>
      <c r="AG53" s="13"/>
    </row>
    <row r="54">
      <c r="A54" s="12"/>
      <c r="B54" s="65">
        <f t="shared" si="2"/>
        <v>7</v>
      </c>
      <c r="C54" s="69" t="s">
        <v>16</v>
      </c>
      <c r="D54" s="14" t="b">
        <f>IFERROR(__xludf.DUMMYFUNCTION("IF(COUNTA(C54:C147)=0,"""",IFERROR(IF(ISBLANK(C54),FALSE,IF(ISBLANK(G54),1,IF(NOT(COUNTIF($AA$24:$AA$34,SUBSTITUTE(C54,""Sell_"",""""))),1,IF(C54=""Plastic_up"",IF(I54&lt;1000,1),IF(C54=""Super_Up"",IF(OR(COUNTIF(C$4:C54,""Grandma"")-COUNTIF(C$4:C54,""Sell_G"&amp;"randma"")&lt;1,COUNTIF(C$4:C54,VLOOKUP(C54,Upgrades!$F$8:$N$8,7+COUNTIF(C$4:C54,C54)))-COUNTIF(C$4:C54,""Sell_""&amp;VLOOKUP(C54,Upgrades!$F$8:$N$8,7+COUNTIF(C$4:C54,C54)))&lt;15),1),IF(REGEXMATCH(C54,""_up""),IF(COUNTIF(C$4:C54,SUBSTITUTE(C54,""_up"",""""))&lt;IFERRO"&amp;"R(VLOOKUP(C54,Upgrades!$L$3:$P$6,1+COUNTIF(C$4:C54,C54),0),999),1),IF(REGEXMATCH(C54,""Sell_""),IF(COUNTIF(C$4:C54,SUBSTITUTE(C54,""Sell_"",""""))-COUNTIF(C$4:C53,C54)&lt;1,1),FALSE)))))))))"),FALSE)</f>
        <v>0</v>
      </c>
      <c r="E54" s="71">
        <f>IFERROR(__xludf.DUMMYFUNCTION("IF(REGEXMATCH(C54,""^Sell_""),E53, IF(COUNTA(C54:C147)=0,"""",(COUNTIF(C$4:C54,""Cursor"")-COUNTIF(C$4:C54,""Sell_Cursor""))*(0.1*2^SWITCH(COUNTIF(C$4:C54,""Cursor_up""),0,0,1,1,2,2,3)+SWITCH(COUNTIF(C$4:C54,""Cursor_up""),4,0.1,0)*(ROW(C54)-4-COUNTIF(C$4"&amp;":C54,""Cursor"")-COUNTIF(C$4:C54,""*""&amp;""_up"")-2*COUNTIF(C$4:C54,""Sell_""&amp;""*"")+COUNTIF(C$4:C54,""Sell_Cursor"")-COUNTIF(C$4:C54,"""")))+(COUNTIF(C$4:C54,""Grandma"")-COUNTIF(C$4:C54,""Sell_Grandma""))*(1*2^(COUNTIF(C$4:C54,""Grandma_up"")+COUNTIF(C$4:"&amp;"C54,""Super_up"")))+(COUNTIF(C$4:C54,""Farm"")-COUNTIF(C$4:C54,""Sell_Farm""))*(8*2^COUNTIF(C$4:C54,""Farm_up""))*IF(COUNTIF(C$4:C54,""Super_up"")&gt;0,1+0.01*(COUNTIF(C$4:C54,""Grandma"")-COUNTIF(C$4:C54,""Sell_Grandma"")),1)+(COUNTIF(C$4:C54,""Mine"")-COUN"&amp;"TIF(C$4:C54,""Sell_Mine""))*((47*2^COUNTIF(C$4:C54,""Mine_up""))*IF(COUNTIF(C$4:C54,""Super_up"")&gt;1,1+0.005*(COUNTIF(C$4:C54,""Grandma"")-COUNTIF(C$4:C54,""Sell_Grandma"")),1))+(COUNTIF(C$4:C54,""Factory"")-COUNTIF(C$4:C54,""Sell_Factory""))*(260*2^COUNTI"&amp;"F(C$4:C54,""Factory_up""))))"),199.2)</f>
        <v>199.2</v>
      </c>
      <c r="F54" s="73">
        <f>IFERROR(__xludf.DUMMYFUNCTION("IF(COUNTA(C54:C147)=0,"""",IF(REGEXMATCH(INDEX(FILTER(C$4:C54,C$4:C54&lt;&gt;""""),ROWS(FILTER(C$4:C54,C$4:C54&lt;&gt;""""))),""^Sell_""),INDEX(FILTER(F$4:F53,C$4:C53&lt;&gt;""""),ROWS(FILTER(C$4:C53,C$4:C53&lt;&gt;""""))),$AC$5*(2^SWITCH(COUNTIF(C$4:C54,""Cursor_up""),0,0,1,1,2"&amp;",2,3)+SWITCH(COUNTIF(C$4:C54,""Cursor_up""),4,0.1,0)*(ROW(C54)-4-COUNTIF(C$4:C54,""Cursor"")-COUNTIF(C$4:C54,""*""&amp;""_up"")-2*COUNTIF(C$4:C54,""Sell_""&amp;""*"")+COUNTIF(C$4:C54,""Sell_Cursor"")-COUNTIF(C$4:C54,""""))+0.01*E54*COUNTIF(C$4:C54,""Plastic_up"")"&amp;")+E54))"),279.2)</f>
        <v>279.2</v>
      </c>
      <c r="G54" s="14">
        <f>IFERROR(__xludf.DUMMYFUNCTION("IF(COUNTA(C54:C147)=0,"""",IF(REGEXMATCH(C54,""_up""),VLOOKUP(C54,Upgrades!$F$3:$J$8,1+COUNTIF(C$4:C54,C54),FALSE),IF(C54="""",0,IF(REGEXMATCH(C54,""^Sell_""),-ROUNDDOWN(ROUNDUP(INDEX(Upgrades!$C$3:$C$8,MATCH(SUBSTITUTE(C54,""Sell_"",""""),Upgrades!$B$3:$"&amp;"B$8,0))*1.15^(COUNTIF(C$4:C53,SUBSTITUTE(C54,""Sell_"",""""))-COUNTIF(C$4:C53,""Sell_""&amp;SUBSTITUTE(C54,""Sell_"",""""))))/4),ROUNDUP(INDEX(Upgrades!$C$3:$C$7,MATCH(C54,Upgrades!$B$3:$B$7,0))*1.15^(COUNTIF(C$4:C53,C54)-COUNTIF(C$4:C53,""Sell_""&amp;C54)))))))"),2545.0)</f>
        <v>2545</v>
      </c>
      <c r="H54" s="14">
        <f t="shared" si="3"/>
        <v>2545</v>
      </c>
      <c r="I54" s="75">
        <f t="shared" si="4"/>
        <v>437623.18</v>
      </c>
      <c r="J54" s="76">
        <f t="shared" si="5"/>
        <v>419.3642994</v>
      </c>
      <c r="K54" s="71" t="str">
        <f t="shared" si="6"/>
        <v>6m 59s</v>
      </c>
      <c r="L54" s="77">
        <f t="shared" si="7"/>
        <v>48700</v>
      </c>
      <c r="M54" s="51">
        <f t="shared" si="8"/>
        <v>-0.99359</v>
      </c>
      <c r="N54" s="52">
        <f>IFERROR(__xludf.DUMMYFUNCTION("IFS(AND(COUNTA(C54:C147)=0,COUNTA(P54:P147)=0),"""",OR(AND(L54&gt;=1000000,OR(Y54&gt;=1000000,COUNTA(P54:P147)=0)),AND(Y54&gt;=1000000,COUNTA(C54:C147)=0),AND(COUNTA(P54:P147)=0,O$3=TRUE)),
ROUNDDOWN((AB$1-AC$1)*MAX(INDEX(S$4:S147,MATCH(LARGE(FILTER(Y$4:Y147,Y$4:Y"&amp;"147&lt;1000000),1),Y$4:Y147)),INDEX(F$4:F147,MATCH(LARGE(FILTER(L$4:L147,L$4:L147&lt;1000000),1),L$4:L147)))),AND(L54&lt;1000000,COUNTA(C54:C147)&gt;0,O$3=FALSE),
ROUNDDOWN(INDEX(Y$4:Y147,MATCH(LARGE(FILTER(W$4:W147,W$4:W147&lt;=J54),1),W$4:W147))+(J54-LARGE(FILTER(W$4:"&amp;"W147,W$4:W147&lt;=J54),1))*INDEX(S$4:S147,MATCH(LARGE(FILTER(W$4:W147,W$4:W147&lt;=J54),1),W$4:W147))-L54),1,
ROUNDDOWN(Y54-INDEX(L$4:L147,MATCH(LARGE(FILTER(J$4:J147,J$4:J147&lt;=W54),1),J$4:J147))-(W54-LARGE(FILTER(J$4:J147,J$4:J147&lt;=W54),1))*INDEX(F$4:F147,MATC"&amp;"H(LARGE(FILTER(J$4:J147,J$4:J147&lt;=W54),1),J$4:J147))))"),293.0)</f>
        <v>293</v>
      </c>
      <c r="O54" s="65">
        <f t="shared" si="9"/>
        <v>17</v>
      </c>
      <c r="P54" s="69" t="s">
        <v>10</v>
      </c>
      <c r="Q54" s="14" t="b">
        <f>IFERROR(__xludf.DUMMYFUNCTION("IF(COUNTA(P54:P147)=0,"""",IFERROR(IF(ISBLANK(P54),FALSE,IF(ISBLANK(T54),1,IF(NOT(COUNTIF($AA$24:$AA$34,SUBSTITUTE(P54,""Sell_"",""""))),1,IF(P54=""Plastic_up"",IF(V54&lt;1000,1),IF(P54=""Super_Up"",IF(OR(COUNTIF(P$4:P54,""Grandma"")-COUNTIF(P$4:P54,""Sell_G"&amp;"randma"")&lt;1,COUNTIF(P$4:P54,VLOOKUP(P54,Upgrades!$F$8:$N$8,7+COUNTIF(P$4:P54,P54)))-COUNTIF(P$4:P54,""Sell_""&amp;VLOOKUP(P54,Upgrades!$F$8:$N$8,7+COUNTIF(P$4:P54,P54)))&lt;15),1),IF(REGEXMATCH(P54,""_up""),IF(COUNTIF(P$4:P54,SUBSTITUTE(P54,""_up"",""""))&lt;IFERRO"&amp;"R(VLOOKUP(P54,Upgrades!$L$3:$P$6,1+COUNTIF(P$4:P54,P54),0),999),1),IF(REGEXMATCH(P54,""Sell_""),IF(COUNTIF(P$4:P54,SUBSTITUTE(P54,""Sell_"",""""))-COUNTIF(P$4:P53,P54)&lt;1,1),FALSE)))))))))"),FALSE)</f>
        <v>0</v>
      </c>
      <c r="R54" s="71">
        <f>IFERROR(__xludf.DUMMYFUNCTION("IF(REGEXMATCH(P54,""^Sell_""),R53, IF(COUNTA(P54:P147)=0,"""",(COUNTIF(P$4:P54,""Cursor"")-COUNTIF(P$4:P54,""Sell_Cursor""))*(0.1*2^SWITCH(COUNTIF(P$4:P54,""Cursor_up""),0,0,1,1,2,2,3)+SWITCH(COUNTIF(P$4:P54,""Cursor_up""),4,0.1,0)*(ROW(P54)-4-COUNTIF(P$4"&amp;":P54,""Cursor"")-COUNTIF(P$4:P54,""*""&amp;""_up"")-2*COUNTIF(P$4:P54,""Sell_""&amp;""*"")+COUNTIF(P$4:P54,""Sell_Cursor"")-COUNTIF(P$4:P54,"""")))+(COUNTIF(P$4:P54,""Grandma"")-COUNTIF(P$4:P54,""Sell_Grandma""))*(1*2^(COUNTIF(P$4:P54,""Grandma_up"")+COUNTIF(P$4:"&amp;"P54,""Super_up"")))+(COUNTIF(P$4:P54,""Farm"")-COUNTIF(P$4:P54,""Sell_Farm""))*(8*2^COUNTIF(P$4:P54,""Farm_up""))*IF(COUNTIF(P$4:P54,""Super_up"")&gt;0,1+0.01*(COUNTIF(P$4:P54,""Grandma"")-COUNTIF(P$4:P54,""Sell_Grandma"")),1)+(COUNTIF(P$4:P54,""Mine"")-COUN"&amp;"TIF(P$4:P54,""Sell_Mine""))*((47*2^COUNTIF(P$4:P54,""Mine_up""))*IF(COUNTIF(P$4:P54,""Super_up"")&gt;1,1+0.005*(COUNTIF(P$4:P54,""Grandma"")-COUNTIF(P$4:P54,""Sell_Grandma"")),1))+(COUNTIF(P$4:P54,""Factory"")-COUNTIF(P$4:P54,""Sell_Factory""))*(260*2^COUNTI"&amp;"F(P$4:P54,""Factory_up""))))"),229.6)</f>
        <v>229.6</v>
      </c>
      <c r="S54" s="73">
        <f>IFERROR(__xludf.DUMMYFUNCTION("IF(COUNTA(P54:P147)=0,"""",IF(REGEXMATCH(INDEX(FILTER(P$4:P54,P$4:P54&lt;&gt;""""),ROWS(FILTER(P$4:P54,P$4:P54&lt;&gt;""""))),""^Sell_""),INDEX(FILTER(S$4:S53,P$4:P53&lt;&gt;""""),ROWS(FILTER(P$4:P53,P$4:P53&lt;&gt;""""))),$AD$5*(2^SWITCH(COUNTIF(P$4:P54,""Cursor_up""),0,0,1,1,2"&amp;",2,3)+SWITCH(COUNTIF(P$4:P54,""Cursor_up""),4,0.1,0)*(ROW(P54)-4-COUNTIF(P$4:P54,""Cursor"")-COUNTIF(P$4:P54,""*""&amp;""_up"")-2*COUNTIF(P$4:P54,""Sell_""&amp;""*"")+COUNTIF(P$4:P54,""Sell_Cursor"")-COUNTIF(P$4:P54,""""))+0.01*R54*COUNTIF(P$4:P54,""Plastic_up"")"&amp;")+R54))"),309.6)</f>
        <v>309.6</v>
      </c>
      <c r="T54" s="14">
        <f>IFERROR(__xludf.DUMMYFUNCTION("IF(COUNTA(P54:P147)=0,"""",IF(REGEXMATCH(P54,""_up""),VLOOKUP(P54,Upgrades!$F$3:$J$8,1+COUNTIF(P$4:P54,P54),FALSE),IF(P54="""",0,IF(REGEXMATCH(P54,""^Sell_""),-ROUNDDOWN(ROUNDUP(INDEX(Upgrades!$C$3:$C$8,MATCH(SUBSTITUTE(P54,""Sell_"",""""),Upgrades!$B$3:$"&amp;"B$8,0))*1.15^(COUNTIF(P$4:P53,SUBSTITUTE(P54,""Sell_"",""""))-COUNTIF(P$4:P53,""Sell_""&amp;SUBSTITUTE(P54,""Sell_"",""""))))/4),ROUNDUP(INDEX(Upgrades!$C$3:$C$7,MATCH(P54,Upgrades!$B$3:$B$7,0))*1.15^(COUNTIF(P$4:P53,P54)-COUNTIF(P$4:P53,""Sell_""&amp;P54)))))))"),141.0)</f>
        <v>141</v>
      </c>
      <c r="U54" s="14">
        <f t="shared" si="10"/>
        <v>141</v>
      </c>
      <c r="V54" s="75">
        <f t="shared" si="11"/>
        <v>353123.7903</v>
      </c>
      <c r="W54" s="76">
        <f t="shared" si="12"/>
        <v>439.0744163</v>
      </c>
      <c r="X54" s="71" t="str">
        <f t="shared" si="13"/>
        <v>7m 19s</v>
      </c>
      <c r="Y54" s="77">
        <f t="shared" si="14"/>
        <v>54644</v>
      </c>
      <c r="Z54" s="17"/>
      <c r="AA54" s="13"/>
      <c r="AB54" s="13"/>
      <c r="AC54" s="13"/>
      <c r="AD54" s="13"/>
      <c r="AE54" s="13"/>
      <c r="AF54" s="13"/>
      <c r="AG54" s="13"/>
    </row>
    <row r="55">
      <c r="A55" s="12"/>
      <c r="B55" s="65">
        <f t="shared" si="2"/>
        <v>8</v>
      </c>
      <c r="C55" s="69" t="s">
        <v>16</v>
      </c>
      <c r="D55" s="14" t="b">
        <f>IFERROR(__xludf.DUMMYFUNCTION("IF(COUNTA(C55:C147)=0,"""",IFERROR(IF(ISBLANK(C55),FALSE,IF(ISBLANK(G55),1,IF(NOT(COUNTIF($AA$24:$AA$34,SUBSTITUTE(C55,""Sell_"",""""))),1,IF(C55=""Plastic_up"",IF(I55&lt;1000,1),IF(C55=""Super_Up"",IF(OR(COUNTIF(C$4:C55,""Grandma"")-COUNTIF(C$4:C55,""Sell_G"&amp;"randma"")&lt;1,COUNTIF(C$4:C55,VLOOKUP(C55,Upgrades!$F$8:$N$8,7+COUNTIF(C$4:C55,C55)))-COUNTIF(C$4:C55,""Sell_""&amp;VLOOKUP(C55,Upgrades!$F$8:$N$8,7+COUNTIF(C$4:C55,C55)))&lt;15),1),IF(REGEXMATCH(C55,""_up""),IF(COUNTIF(C$4:C55,SUBSTITUTE(C55,""_up"",""""))&lt;IFERRO"&amp;"R(VLOOKUP(C55,Upgrades!$L$3:$P$6,1+COUNTIF(C$4:C55,C55),0),999),1),IF(REGEXMATCH(C55,""Sell_""),IF(COUNTIF(C$4:C55,SUBSTITUTE(C55,""Sell_"",""""))-COUNTIF(C$4:C54,C55)&lt;1,1),FALSE)))))))))"),FALSE)</f>
        <v>0</v>
      </c>
      <c r="E55" s="71">
        <f>IFERROR(__xludf.DUMMYFUNCTION("IF(REGEXMATCH(C55,""^Sell_""),E54, IF(COUNTA(C55:C147)=0,"""",(COUNTIF(C$4:C55,""Cursor"")-COUNTIF(C$4:C55,""Sell_Cursor""))*(0.1*2^SWITCH(COUNTIF(C$4:C55,""Cursor_up""),0,0,1,1,2,2,3)+SWITCH(COUNTIF(C$4:C55,""Cursor_up""),4,0.1,0)*(ROW(C55)-4-COUNTIF(C$4"&amp;":C55,""Cursor"")-COUNTIF(C$4:C55,""*""&amp;""_up"")-2*COUNTIF(C$4:C55,""Sell_""&amp;""*"")+COUNTIF(C$4:C55,""Sell_Cursor"")-COUNTIF(C$4:C55,"""")))+(COUNTIF(C$4:C55,""Grandma"")-COUNTIF(C$4:C55,""Sell_Grandma""))*(1*2^(COUNTIF(C$4:C55,""Grandma_up"")+COUNTIF(C$4:"&amp;"C55,""Super_up"")))+(COUNTIF(C$4:C55,""Farm"")-COUNTIF(C$4:C55,""Sell_Farm""))*(8*2^COUNTIF(C$4:C55,""Farm_up""))*IF(COUNTIF(C$4:C55,""Super_up"")&gt;0,1+0.01*(COUNTIF(C$4:C55,""Grandma"")-COUNTIF(C$4:C55,""Sell_Grandma"")),1)+(COUNTIF(C$4:C55,""Mine"")-COUN"&amp;"TIF(C$4:C55,""Sell_Mine""))*((47*2^COUNTIF(C$4:C55,""Mine_up""))*IF(COUNTIF(C$4:C55,""Super_up"")&gt;1,1+0.005*(COUNTIF(C$4:C55,""Grandma"")-COUNTIF(C$4:C55,""Sell_Grandma"")),1))+(COUNTIF(C$4:C55,""Factory"")-COUNTIF(C$4:C55,""Sell_Factory""))*(260*2^COUNTI"&amp;"F(C$4:C55,""Factory_up""))))"),215.2)</f>
        <v>215.2</v>
      </c>
      <c r="F55" s="73">
        <f>IFERROR(__xludf.DUMMYFUNCTION("IF(COUNTA(C55:C147)=0,"""",IF(REGEXMATCH(INDEX(FILTER(C$4:C55,C$4:C55&lt;&gt;""""),ROWS(FILTER(C$4:C55,C$4:C55&lt;&gt;""""))),""^Sell_""),INDEX(FILTER(F$4:F54,C$4:C54&lt;&gt;""""),ROWS(FILTER(C$4:C54,C$4:C54&lt;&gt;""""))),$AC$5*(2^SWITCH(COUNTIF(C$4:C55,""Cursor_up""),0,0,1,1,2"&amp;",2,3)+SWITCH(COUNTIF(C$4:C55,""Cursor_up""),4,0.1,0)*(ROW(C55)-4-COUNTIF(C$4:C55,""Cursor"")-COUNTIF(C$4:C55,""*""&amp;""_up"")-2*COUNTIF(C$4:C55,""Sell_""&amp;""*"")+COUNTIF(C$4:C55,""Sell_Cursor"")-COUNTIF(C$4:C55,""""))+0.01*E55*COUNTIF(C$4:C55,""Plastic_up"")"&amp;")+E55))"),295.2)</f>
        <v>295.2</v>
      </c>
      <c r="G55" s="14">
        <f>IFERROR(__xludf.DUMMYFUNCTION("IF(COUNTA(C55:C147)=0,"""",IF(REGEXMATCH(C55,""_up""),VLOOKUP(C55,Upgrades!$F$3:$J$8,1+COUNTIF(C$4:C55,C55),FALSE),IF(C55="""",0,IF(REGEXMATCH(C55,""^Sell_""),-ROUNDDOWN(ROUNDUP(INDEX(Upgrades!$C$3:$C$8,MATCH(SUBSTITUTE(C55,""Sell_"",""""),Upgrades!$B$3:$"&amp;"B$8,0))*1.15^(COUNTIF(C$4:C54,SUBSTITUTE(C55,""Sell_"",""""))-COUNTIF(C$4:C54,""Sell_""&amp;SUBSTITUTE(C55,""Sell_"",""""))))/4),ROUNDUP(INDEX(Upgrades!$C$3:$C$7,MATCH(C55,Upgrades!$B$3:$B$7,0))*1.15^(COUNTIF(C$4:C54,C55)-COUNTIF(C$4:C54,""Sell_""&amp;C55)))))))"),2927.0)</f>
        <v>2927</v>
      </c>
      <c r="H55" s="14">
        <f t="shared" si="3"/>
        <v>2927</v>
      </c>
      <c r="I55" s="75">
        <f t="shared" si="4"/>
        <v>472011.0059</v>
      </c>
      <c r="J55" s="76">
        <f t="shared" si="5"/>
        <v>429.8478238</v>
      </c>
      <c r="K55" s="71" t="str">
        <f t="shared" si="6"/>
        <v>7m 09s</v>
      </c>
      <c r="L55" s="77">
        <f t="shared" si="7"/>
        <v>51627</v>
      </c>
      <c r="M55" s="51">
        <f t="shared" si="8"/>
        <v>-1.01912</v>
      </c>
      <c r="N55" s="52">
        <f>IFERROR(__xludf.DUMMYFUNCTION("IFS(AND(COUNTA(C55:C147)=0,COUNTA(P55:P147)=0),"""",OR(AND(L55&gt;=1000000,OR(Y55&gt;=1000000,COUNTA(P55:P147)=0)),AND(Y55&gt;=1000000,COUNTA(C55:C147)=0),AND(COUNTA(P55:P147)=0,O$3=TRUE)),
ROUNDDOWN((AB$1-AC$1)*MAX(INDEX(S$4:S147,MATCH(LARGE(FILTER(Y$4:Y147,Y$4:Y"&amp;"147&lt;1000000),1),Y$4:Y147)),INDEX(F$4:F147,MATCH(LARGE(FILTER(L$4:L147,L$4:L147&lt;1000000),1),L$4:L147)))),AND(L55&lt;1000000,COUNTA(C55:C147)&gt;0,O$3=FALSE),
ROUNDDOWN(INDEX(Y$4:Y147,MATCH(LARGE(FILTER(W$4:W147,W$4:W147&lt;=J55),1),W$4:W147))+(J55-LARGE(FILTER(W$4:"&amp;"W147,W$4:W147&lt;=J55),1))*INDEX(S$4:S147,MATCH(LARGE(FILTER(W$4:W147,W$4:W147&lt;=J55),1),W$4:W147))-L55),1,
ROUNDDOWN(Y55-INDEX(L$4:L147,MATCH(LARGE(FILTER(J$4:J147,J$4:J147&lt;=W55),1),J$4:J147))-(W55-LARGE(FILTER(J$4:J147,J$4:J147&lt;=W55),1))*INDEX(F$4:F147,MATC"&amp;"H(LARGE(FILTER(J$4:J147,J$4:J147&lt;=W55),1),J$4:J147))))"),300.0)</f>
        <v>300</v>
      </c>
      <c r="O55" s="65">
        <f t="shared" si="9"/>
        <v>18</v>
      </c>
      <c r="P55" s="69" t="s">
        <v>10</v>
      </c>
      <c r="Q55" s="14" t="b">
        <f>IFERROR(__xludf.DUMMYFUNCTION("IF(COUNTA(P55:P147)=0,"""",IFERROR(IF(ISBLANK(P55),FALSE,IF(ISBLANK(T55),1,IF(NOT(COUNTIF($AA$24:$AA$34,SUBSTITUTE(P55,""Sell_"",""""))),1,IF(P55=""Plastic_up"",IF(V55&lt;1000,1),IF(P55=""Super_Up"",IF(OR(COUNTIF(P$4:P55,""Grandma"")-COUNTIF(P$4:P55,""Sell_G"&amp;"randma"")&lt;1,COUNTIF(P$4:P55,VLOOKUP(P55,Upgrades!$F$8:$N$8,7+COUNTIF(P$4:P55,P55)))-COUNTIF(P$4:P55,""Sell_""&amp;VLOOKUP(P55,Upgrades!$F$8:$N$8,7+COUNTIF(P$4:P55,P55)))&lt;15),1),IF(REGEXMATCH(P55,""_up""),IF(COUNTIF(P$4:P55,SUBSTITUTE(P55,""_up"",""""))&lt;IFERRO"&amp;"R(VLOOKUP(P55,Upgrades!$L$3:$P$6,1+COUNTIF(P$4:P55,P55),0),999),1),IF(REGEXMATCH(P55,""Sell_""),IF(COUNTIF(P$4:P55,SUBSTITUTE(P55,""Sell_"",""""))-COUNTIF(P$4:P54,P55)&lt;1,1),FALSE)))))))))"),FALSE)</f>
        <v>0</v>
      </c>
      <c r="R55" s="71">
        <f>IFERROR(__xludf.DUMMYFUNCTION("IF(REGEXMATCH(P55,""^Sell_""),R54, IF(COUNTA(P55:P147)=0,"""",(COUNTIF(P$4:P55,""Cursor"")-COUNTIF(P$4:P55,""Sell_Cursor""))*(0.1*2^SWITCH(COUNTIF(P$4:P55,""Cursor_up""),0,0,1,1,2,2,3)+SWITCH(COUNTIF(P$4:P55,""Cursor_up""),4,0.1,0)*(ROW(P55)-4-COUNTIF(P$4"&amp;":P55,""Cursor"")-COUNTIF(P$4:P55,""*""&amp;""_up"")-2*COUNTIF(P$4:P55,""Sell_""&amp;""*"")+COUNTIF(P$4:P55,""Sell_Cursor"")-COUNTIF(P$4:P55,"""")))+(COUNTIF(P$4:P55,""Grandma"")-COUNTIF(P$4:P55,""Sell_Grandma""))*(1*2^(COUNTIF(P$4:P55,""Grandma_up"")+COUNTIF(P$4:"&amp;"P55,""Super_up"")))+(COUNTIF(P$4:P55,""Farm"")-COUNTIF(P$4:P55,""Sell_Farm""))*(8*2^COUNTIF(P$4:P55,""Farm_up""))*IF(COUNTIF(P$4:P55,""Super_up"")&gt;0,1+0.01*(COUNTIF(P$4:P55,""Grandma"")-COUNTIF(P$4:P55,""Sell_Grandma"")),1)+(COUNTIF(P$4:P55,""Mine"")-COUN"&amp;"TIF(P$4:P55,""Sell_Mine""))*((47*2^COUNTIF(P$4:P55,""Mine_up""))*IF(COUNTIF(P$4:P55,""Super_up"")&gt;1,1+0.005*(COUNTIF(P$4:P55,""Grandma"")-COUNTIF(P$4:P55,""Sell_Grandma"")),1))+(COUNTIF(P$4:P55,""Factory"")-COUNTIF(P$4:P55,""Sell_Factory""))*(260*2^COUNTI"&amp;"F(P$4:P55,""Factory_up""))))"),230.4)</f>
        <v>230.4</v>
      </c>
      <c r="S55" s="73">
        <f>IFERROR(__xludf.DUMMYFUNCTION("IF(COUNTA(P55:P147)=0,"""",IF(REGEXMATCH(INDEX(FILTER(P$4:P55,P$4:P55&lt;&gt;""""),ROWS(FILTER(P$4:P55,P$4:P55&lt;&gt;""""))),""^Sell_""),INDEX(FILTER(S$4:S54,P$4:P54&lt;&gt;""""),ROWS(FILTER(P$4:P54,P$4:P54&lt;&gt;""""))),$AD$5*(2^SWITCH(COUNTIF(P$4:P55,""Cursor_up""),0,0,1,1,2"&amp;",2,3)+SWITCH(COUNTIF(P$4:P55,""Cursor_up""),4,0.1,0)*(ROW(P55)-4-COUNTIF(P$4:P55,""Cursor"")-COUNTIF(P$4:P55,""*""&amp;""_up"")-2*COUNTIF(P$4:P55,""Sell_""&amp;""*"")+COUNTIF(P$4:P55,""Sell_Cursor"")-COUNTIF(P$4:P55,""""))+0.01*R55*COUNTIF(P$4:P55,""Plastic_up"")"&amp;")+R55))"),310.4)</f>
        <v>310.4</v>
      </c>
      <c r="T55" s="14">
        <f>IFERROR(__xludf.DUMMYFUNCTION("IF(COUNTA(P55:P147)=0,"""",IF(REGEXMATCH(P55,""_up""),VLOOKUP(P55,Upgrades!$F$3:$J$8,1+COUNTIF(P$4:P55,P55),FALSE),IF(P55="""",0,IF(REGEXMATCH(P55,""^Sell_""),-ROUNDDOWN(ROUNDUP(INDEX(Upgrades!$C$3:$C$8,MATCH(SUBSTITUTE(P55,""Sell_"",""""),Upgrades!$B$3:$"&amp;"B$8,0))*1.15^(COUNTIF(P$4:P54,SUBSTITUTE(P55,""Sell_"",""""))-COUNTIF(P$4:P54,""Sell_""&amp;SUBSTITUTE(P55,""Sell_"",""""))))/4),ROUNDUP(INDEX(Upgrades!$C$3:$C$7,MATCH(P55,Upgrades!$B$3:$B$7,0))*1.15^(COUNTIF(P$4:P54,P55)-COUNTIF(P$4:P54,""Sell_""&amp;P55)))))))"),162.0)</f>
        <v>162</v>
      </c>
      <c r="U55" s="14">
        <f t="shared" si="10"/>
        <v>162</v>
      </c>
      <c r="V55" s="75">
        <f t="shared" si="11"/>
        <v>388291.6041</v>
      </c>
      <c r="W55" s="76">
        <f t="shared" si="12"/>
        <v>439.5976722</v>
      </c>
      <c r="X55" s="71" t="str">
        <f t="shared" si="13"/>
        <v>7m 19s</v>
      </c>
      <c r="Y55" s="77">
        <f t="shared" si="14"/>
        <v>54806</v>
      </c>
      <c r="Z55" s="17"/>
      <c r="AA55" s="13"/>
      <c r="AB55" s="13"/>
      <c r="AC55" s="13"/>
      <c r="AD55" s="13"/>
      <c r="AE55" s="13"/>
      <c r="AF55" s="13"/>
      <c r="AG55" s="13"/>
    </row>
    <row r="56">
      <c r="A56" s="12"/>
      <c r="B56" s="65">
        <f t="shared" si="2"/>
        <v>9</v>
      </c>
      <c r="C56" s="69" t="s">
        <v>16</v>
      </c>
      <c r="D56" s="14" t="b">
        <f>IFERROR(__xludf.DUMMYFUNCTION("IF(COUNTA(C56:C147)=0,"""",IFERROR(IF(ISBLANK(C56),FALSE,IF(ISBLANK(G56),1,IF(NOT(COUNTIF($AA$24:$AA$34,SUBSTITUTE(C56,""Sell_"",""""))),1,IF(C56=""Plastic_up"",IF(I56&lt;1000,1),IF(C56=""Super_Up"",IF(OR(COUNTIF(C$4:C56,""Grandma"")-COUNTIF(C$4:C56,""Sell_G"&amp;"randma"")&lt;1,COUNTIF(C$4:C56,VLOOKUP(C56,Upgrades!$F$8:$N$8,7+COUNTIF(C$4:C56,C56)))-COUNTIF(C$4:C56,""Sell_""&amp;VLOOKUP(C56,Upgrades!$F$8:$N$8,7+COUNTIF(C$4:C56,C56)))&lt;15),1),IF(REGEXMATCH(C56,""_up""),IF(COUNTIF(C$4:C56,SUBSTITUTE(C56,""_up"",""""))&lt;IFERRO"&amp;"R(VLOOKUP(C56,Upgrades!$L$3:$P$6,1+COUNTIF(C$4:C56,C56),0),999),1),IF(REGEXMATCH(C56,""Sell_""),IF(COUNTIF(C$4:C56,SUBSTITUTE(C56,""Sell_"",""""))-COUNTIF(C$4:C55,C56)&lt;1,1),FALSE)))))))))"),FALSE)</f>
        <v>0</v>
      </c>
      <c r="E56" s="71">
        <f>IFERROR(__xludf.DUMMYFUNCTION("IF(REGEXMATCH(C56,""^Sell_""),E55, IF(COUNTA(C56:C147)=0,"""",(COUNTIF(C$4:C56,""Cursor"")-COUNTIF(C$4:C56,""Sell_Cursor""))*(0.1*2^SWITCH(COUNTIF(C$4:C56,""Cursor_up""),0,0,1,1,2,2,3)+SWITCH(COUNTIF(C$4:C56,""Cursor_up""),4,0.1,0)*(ROW(C56)-4-COUNTIF(C$4"&amp;":C56,""Cursor"")-COUNTIF(C$4:C56,""*""&amp;""_up"")-2*COUNTIF(C$4:C56,""Sell_""&amp;""*"")+COUNTIF(C$4:C56,""Sell_Cursor"")-COUNTIF(C$4:C56,"""")))+(COUNTIF(C$4:C56,""Grandma"")-COUNTIF(C$4:C56,""Sell_Grandma""))*(1*2^(COUNTIF(C$4:C56,""Grandma_up"")+COUNTIF(C$4:"&amp;"C56,""Super_up"")))+(COUNTIF(C$4:C56,""Farm"")-COUNTIF(C$4:C56,""Sell_Farm""))*(8*2^COUNTIF(C$4:C56,""Farm_up""))*IF(COUNTIF(C$4:C56,""Super_up"")&gt;0,1+0.01*(COUNTIF(C$4:C56,""Grandma"")-COUNTIF(C$4:C56,""Sell_Grandma"")),1)+(COUNTIF(C$4:C56,""Mine"")-COUN"&amp;"TIF(C$4:C56,""Sell_Mine""))*((47*2^COUNTIF(C$4:C56,""Mine_up""))*IF(COUNTIF(C$4:C56,""Super_up"")&gt;1,1+0.005*(COUNTIF(C$4:C56,""Grandma"")-COUNTIF(C$4:C56,""Sell_Grandma"")),1))+(COUNTIF(C$4:C56,""Factory"")-COUNTIF(C$4:C56,""Sell_Factory""))*(260*2^COUNTI"&amp;"F(C$4:C56,""Factory_up""))))"),231.2)</f>
        <v>231.2</v>
      </c>
      <c r="F56" s="73">
        <f>IFERROR(__xludf.DUMMYFUNCTION("IF(COUNTA(C56:C147)=0,"""",IF(REGEXMATCH(INDEX(FILTER(C$4:C56,C$4:C56&lt;&gt;""""),ROWS(FILTER(C$4:C56,C$4:C56&lt;&gt;""""))),""^Sell_""),INDEX(FILTER(F$4:F55,C$4:C55&lt;&gt;""""),ROWS(FILTER(C$4:C55,C$4:C55&lt;&gt;""""))),$AC$5*(2^SWITCH(COUNTIF(C$4:C56,""Cursor_up""),0,0,1,1,2"&amp;",2,3)+SWITCH(COUNTIF(C$4:C56,""Cursor_up""),4,0.1,0)*(ROW(C56)-4-COUNTIF(C$4:C56,""Cursor"")-COUNTIF(C$4:C56,""*""&amp;""_up"")-2*COUNTIF(C$4:C56,""Sell_""&amp;""*"")+COUNTIF(C$4:C56,""Sell_Cursor"")-COUNTIF(C$4:C56,""""))+0.01*E56*COUNTIF(C$4:C56,""Plastic_up"")"&amp;")+E56))"),311.2)</f>
        <v>311.2</v>
      </c>
      <c r="G56" s="14">
        <f>IFERROR(__xludf.DUMMYFUNCTION("IF(COUNTA(C56:C147)=0,"""",IF(REGEXMATCH(C56,""_up""),VLOOKUP(C56,Upgrades!$F$3:$J$8,1+COUNTIF(C$4:C56,C56),FALSE),IF(C56="""",0,IF(REGEXMATCH(C56,""^Sell_""),-ROUNDDOWN(ROUNDUP(INDEX(Upgrades!$C$3:$C$8,MATCH(SUBSTITUTE(C56,""Sell_"",""""),Upgrades!$B$3:$"&amp;"B$8,0))*1.15^(COUNTIF(C$4:C55,SUBSTITUTE(C56,""Sell_"",""""))-COUNTIF(C$4:C55,""Sell_""&amp;SUBSTITUTE(C56,""Sell_"",""""))))/4),ROUNDUP(INDEX(Upgrades!$C$3:$C$7,MATCH(C56,Upgrades!$B$3:$B$7,0))*1.15^(COUNTIF(C$4:C55,C56)-COUNTIF(C$4:C55,""Sell_""&amp;C56)))))))"),3365.0)</f>
        <v>3365</v>
      </c>
      <c r="H56" s="14">
        <f t="shared" si="3"/>
        <v>3365</v>
      </c>
      <c r="I56" s="75">
        <f t="shared" si="4"/>
        <v>507310.7559</v>
      </c>
      <c r="J56" s="76">
        <f t="shared" si="5"/>
        <v>441.2468753</v>
      </c>
      <c r="K56" s="71" t="str">
        <f t="shared" si="6"/>
        <v>7m 21s</v>
      </c>
      <c r="L56" s="77">
        <f t="shared" si="7"/>
        <v>54992</v>
      </c>
      <c r="M56" s="51">
        <f t="shared" si="8"/>
        <v>-1.04997</v>
      </c>
      <c r="N56" s="52">
        <f>IFERROR(__xludf.DUMMYFUNCTION("IFS(AND(COUNTA(C56:C147)=0,COUNTA(P56:P147)=0),"""",OR(AND(L56&gt;=1000000,OR(Y56&gt;=1000000,COUNTA(P56:P147)=0)),AND(Y56&gt;=1000000,COUNTA(C56:C147)=0),AND(COUNTA(P56:P147)=0,O$3=TRUE)),
ROUNDDOWN((AB$1-AC$1)*MAX(INDEX(S$4:S147,MATCH(LARGE(FILTER(Y$4:Y147,Y$4:Y"&amp;"147&lt;1000000),1),Y$4:Y147)),INDEX(F$4:F147,MATCH(LARGE(FILTER(L$4:L147,L$4:L147&lt;1000000),1),L$4:L147)))),AND(L56&lt;1000000,COUNTA(C56:C147)&gt;0,O$3=FALSE),
ROUNDDOWN(INDEX(Y$4:Y147,MATCH(LARGE(FILTER(W$4:W147,W$4:W147&lt;=J56),1),W$4:W147))+(J56-LARGE(FILTER(W$4:"&amp;"W147,W$4:W147&lt;=J56),1))*INDEX(S$4:S147,MATCH(LARGE(FILTER(W$4:W147,W$4:W147&lt;=J56),1),W$4:W147))-L56),1,
ROUNDDOWN(Y56-INDEX(L$4:L147,MATCH(LARGE(FILTER(J$4:J147,J$4:J147&lt;=W56),1),J$4:J147))-(W56-LARGE(FILTER(J$4:J147,J$4:J147&lt;=W56),1))*INDEX(F$4:F147,MATC"&amp;"H(LARGE(FILTER(J$4:J147,J$4:J147&lt;=W56),1),J$4:J147))))"),309.0)</f>
        <v>309</v>
      </c>
      <c r="O56" s="65">
        <f t="shared" si="9"/>
        <v>19</v>
      </c>
      <c r="P56" s="69" t="s">
        <v>10</v>
      </c>
      <c r="Q56" s="14" t="b">
        <f>IFERROR(__xludf.DUMMYFUNCTION("IF(COUNTA(P56:P147)=0,"""",IFERROR(IF(ISBLANK(P56),FALSE,IF(ISBLANK(T56),1,IF(NOT(COUNTIF($AA$24:$AA$34,SUBSTITUTE(P56,""Sell_"",""""))),1,IF(P56=""Plastic_up"",IF(V56&lt;1000,1),IF(P56=""Super_Up"",IF(OR(COUNTIF(P$4:P56,""Grandma"")-COUNTIF(P$4:P56,""Sell_G"&amp;"randma"")&lt;1,COUNTIF(P$4:P56,VLOOKUP(P56,Upgrades!$F$8:$N$8,7+COUNTIF(P$4:P56,P56)))-COUNTIF(P$4:P56,""Sell_""&amp;VLOOKUP(P56,Upgrades!$F$8:$N$8,7+COUNTIF(P$4:P56,P56)))&lt;15),1),IF(REGEXMATCH(P56,""_up""),IF(COUNTIF(P$4:P56,SUBSTITUTE(P56,""_up"",""""))&lt;IFERRO"&amp;"R(VLOOKUP(P56,Upgrades!$L$3:$P$6,1+COUNTIF(P$4:P56,P56),0),999),1),IF(REGEXMATCH(P56,""Sell_""),IF(COUNTIF(P$4:P56,SUBSTITUTE(P56,""Sell_"",""""))-COUNTIF(P$4:P55,P56)&lt;1,1),FALSE)))))))))"),FALSE)</f>
        <v>0</v>
      </c>
      <c r="R56" s="71">
        <f>IFERROR(__xludf.DUMMYFUNCTION("IF(REGEXMATCH(P56,""^Sell_""),R55, IF(COUNTA(P56:P147)=0,"""",(COUNTIF(P$4:P56,""Cursor"")-COUNTIF(P$4:P56,""Sell_Cursor""))*(0.1*2^SWITCH(COUNTIF(P$4:P56,""Cursor_up""),0,0,1,1,2,2,3)+SWITCH(COUNTIF(P$4:P56,""Cursor_up""),4,0.1,0)*(ROW(P56)-4-COUNTIF(P$4"&amp;":P56,""Cursor"")-COUNTIF(P$4:P56,""*""&amp;""_up"")-2*COUNTIF(P$4:P56,""Sell_""&amp;""*"")+COUNTIF(P$4:P56,""Sell_Cursor"")-COUNTIF(P$4:P56,"""")))+(COUNTIF(P$4:P56,""Grandma"")-COUNTIF(P$4:P56,""Sell_Grandma""))*(1*2^(COUNTIF(P$4:P56,""Grandma_up"")+COUNTIF(P$4:"&amp;"P56,""Super_up"")))+(COUNTIF(P$4:P56,""Farm"")-COUNTIF(P$4:P56,""Sell_Farm""))*(8*2^COUNTIF(P$4:P56,""Farm_up""))*IF(COUNTIF(P$4:P56,""Super_up"")&gt;0,1+0.01*(COUNTIF(P$4:P56,""Grandma"")-COUNTIF(P$4:P56,""Sell_Grandma"")),1)+(COUNTIF(P$4:P56,""Mine"")-COUN"&amp;"TIF(P$4:P56,""Sell_Mine""))*((47*2^COUNTIF(P$4:P56,""Mine_up""))*IF(COUNTIF(P$4:P56,""Super_up"")&gt;1,1+0.005*(COUNTIF(P$4:P56,""Grandma"")-COUNTIF(P$4:P56,""Sell_Grandma"")),1))+(COUNTIF(P$4:P56,""Factory"")-COUNTIF(P$4:P56,""Sell_Factory""))*(260*2^COUNTI"&amp;"F(P$4:P56,""Factory_up""))))"),231.2)</f>
        <v>231.2</v>
      </c>
      <c r="S56" s="73">
        <f>IFERROR(__xludf.DUMMYFUNCTION("IF(COUNTA(P56:P147)=0,"""",IF(REGEXMATCH(INDEX(FILTER(P$4:P56,P$4:P56&lt;&gt;""""),ROWS(FILTER(P$4:P56,P$4:P56&lt;&gt;""""))),""^Sell_""),INDEX(FILTER(S$4:S55,P$4:P55&lt;&gt;""""),ROWS(FILTER(P$4:P55,P$4:P55&lt;&gt;""""))),$AD$5*(2^SWITCH(COUNTIF(P$4:P56,""Cursor_up""),0,0,1,1,2"&amp;",2,3)+SWITCH(COUNTIF(P$4:P56,""Cursor_up""),4,0.1,0)*(ROW(P56)-4-COUNTIF(P$4:P56,""Cursor"")-COUNTIF(P$4:P56,""*""&amp;""_up"")-2*COUNTIF(P$4:P56,""Sell_""&amp;""*"")+COUNTIF(P$4:P56,""Sell_Cursor"")-COUNTIF(P$4:P56,""""))+0.01*R56*COUNTIF(P$4:P56,""Plastic_up"")"&amp;")+R56))"),311.2)</f>
        <v>311.2</v>
      </c>
      <c r="T56" s="14">
        <f>IFERROR(__xludf.DUMMYFUNCTION("IF(COUNTA(P56:P147)=0,"""",IF(REGEXMATCH(P56,""_up""),VLOOKUP(P56,Upgrades!$F$3:$J$8,1+COUNTIF(P$4:P56,P56),FALSE),IF(P56="""",0,IF(REGEXMATCH(P56,""^Sell_""),-ROUNDDOWN(ROUNDUP(INDEX(Upgrades!$C$3:$C$8,MATCH(SUBSTITUTE(P56,""Sell_"",""""),Upgrades!$B$3:$"&amp;"B$8,0))*1.15^(COUNTIF(P$4:P55,SUBSTITUTE(P56,""Sell_"",""""))-COUNTIF(P$4:P55,""Sell_""&amp;SUBSTITUTE(P56,""Sell_"",""""))))/4),ROUNDUP(INDEX(Upgrades!$C$3:$C$7,MATCH(P56,Upgrades!$B$3:$B$7,0))*1.15^(COUNTIF(P$4:P55,P56)-COUNTIF(P$4:P55,""Sell_""&amp;P56)))))))"),186.0)</f>
        <v>186</v>
      </c>
      <c r="U56" s="14">
        <f t="shared" si="10"/>
        <v>186</v>
      </c>
      <c r="V56" s="75">
        <f t="shared" si="11"/>
        <v>423507.356</v>
      </c>
      <c r="W56" s="76">
        <f t="shared" si="12"/>
        <v>440.196899</v>
      </c>
      <c r="X56" s="71" t="str">
        <f t="shared" si="13"/>
        <v>7m 20s</v>
      </c>
      <c r="Y56" s="77">
        <f t="shared" si="14"/>
        <v>54992</v>
      </c>
      <c r="Z56" s="17"/>
      <c r="AA56" s="13"/>
      <c r="AB56" s="13"/>
      <c r="AC56" s="13"/>
      <c r="AD56" s="13"/>
      <c r="AE56" s="13"/>
      <c r="AF56" s="13"/>
      <c r="AG56" s="13"/>
    </row>
    <row r="57">
      <c r="A57" s="12"/>
      <c r="B57" s="65">
        <f t="shared" si="2"/>
        <v>10</v>
      </c>
      <c r="C57" s="69" t="s">
        <v>16</v>
      </c>
      <c r="D57" s="14" t="b">
        <f>IFERROR(__xludf.DUMMYFUNCTION("IF(COUNTA(C57:C147)=0,"""",IFERROR(IF(ISBLANK(C57),FALSE,IF(ISBLANK(G57),1,IF(NOT(COUNTIF($AA$24:$AA$34,SUBSTITUTE(C57,""Sell_"",""""))),1,IF(C57=""Plastic_up"",IF(I57&lt;1000,1),IF(C57=""Super_Up"",IF(OR(COUNTIF(C$4:C57,""Grandma"")-COUNTIF(C$4:C57,""Sell_G"&amp;"randma"")&lt;1,COUNTIF(C$4:C57,VLOOKUP(C57,Upgrades!$F$8:$N$8,7+COUNTIF(C$4:C57,C57)))-COUNTIF(C$4:C57,""Sell_""&amp;VLOOKUP(C57,Upgrades!$F$8:$N$8,7+COUNTIF(C$4:C57,C57)))&lt;15),1),IF(REGEXMATCH(C57,""_up""),IF(COUNTIF(C$4:C57,SUBSTITUTE(C57,""_up"",""""))&lt;IFERRO"&amp;"R(VLOOKUP(C57,Upgrades!$L$3:$P$6,1+COUNTIF(C$4:C57,C57),0),999),1),IF(REGEXMATCH(C57,""Sell_""),IF(COUNTIF(C$4:C57,SUBSTITUTE(C57,""Sell_"",""""))-COUNTIF(C$4:C56,C57)&lt;1,1),FALSE)))))))))"),FALSE)</f>
        <v>0</v>
      </c>
      <c r="E57" s="71">
        <f>IFERROR(__xludf.DUMMYFUNCTION("IF(REGEXMATCH(C57,""^Sell_""),E56, IF(COUNTA(C57:C147)=0,"""",(COUNTIF(C$4:C57,""Cursor"")-COUNTIF(C$4:C57,""Sell_Cursor""))*(0.1*2^SWITCH(COUNTIF(C$4:C57,""Cursor_up""),0,0,1,1,2,2,3)+SWITCH(COUNTIF(C$4:C57,""Cursor_up""),4,0.1,0)*(ROW(C57)-4-COUNTIF(C$4"&amp;":C57,""Cursor"")-COUNTIF(C$4:C57,""*""&amp;""_up"")-2*COUNTIF(C$4:C57,""Sell_""&amp;""*"")+COUNTIF(C$4:C57,""Sell_Cursor"")-COUNTIF(C$4:C57,"""")))+(COUNTIF(C$4:C57,""Grandma"")-COUNTIF(C$4:C57,""Sell_Grandma""))*(1*2^(COUNTIF(C$4:C57,""Grandma_up"")+COUNTIF(C$4:"&amp;"C57,""Super_up"")))+(COUNTIF(C$4:C57,""Farm"")-COUNTIF(C$4:C57,""Sell_Farm""))*(8*2^COUNTIF(C$4:C57,""Farm_up""))*IF(COUNTIF(C$4:C57,""Super_up"")&gt;0,1+0.01*(COUNTIF(C$4:C57,""Grandma"")-COUNTIF(C$4:C57,""Sell_Grandma"")),1)+(COUNTIF(C$4:C57,""Mine"")-COUN"&amp;"TIF(C$4:C57,""Sell_Mine""))*((47*2^COUNTIF(C$4:C57,""Mine_up""))*IF(COUNTIF(C$4:C57,""Super_up"")&gt;1,1+0.005*(COUNTIF(C$4:C57,""Grandma"")-COUNTIF(C$4:C57,""Sell_Grandma"")),1))+(COUNTIF(C$4:C57,""Factory"")-COUNTIF(C$4:C57,""Sell_Factory""))*(260*2^COUNTI"&amp;"F(C$4:C57,""Factory_up""))))"),247.2)</f>
        <v>247.2</v>
      </c>
      <c r="F57" s="73">
        <f>IFERROR(__xludf.DUMMYFUNCTION("IF(COUNTA(C57:C147)=0,"""",IF(REGEXMATCH(INDEX(FILTER(C$4:C57,C$4:C57&lt;&gt;""""),ROWS(FILTER(C$4:C57,C$4:C57&lt;&gt;""""))),""^Sell_""),INDEX(FILTER(F$4:F56,C$4:C56&lt;&gt;""""),ROWS(FILTER(C$4:C56,C$4:C56&lt;&gt;""""))),$AC$5*(2^SWITCH(COUNTIF(C$4:C57,""Cursor_up""),0,0,1,1,2"&amp;",2,3)+SWITCH(COUNTIF(C$4:C57,""Cursor_up""),4,0.1,0)*(ROW(C57)-4-COUNTIF(C$4:C57,""Cursor"")-COUNTIF(C$4:C57,""*""&amp;""_up"")-2*COUNTIF(C$4:C57,""Sell_""&amp;""*"")+COUNTIF(C$4:C57,""Sell_Cursor"")-COUNTIF(C$4:C57,""""))+0.01*E57*COUNTIF(C$4:C57,""Plastic_up"")"&amp;")+E57))"),327.2)</f>
        <v>327.2</v>
      </c>
      <c r="G57" s="14">
        <f>IFERROR(__xludf.DUMMYFUNCTION("IF(COUNTA(C57:C147)=0,"""",IF(REGEXMATCH(C57,""_up""),VLOOKUP(C57,Upgrades!$F$3:$J$8,1+COUNTIF(C$4:C57,C57),FALSE),IF(C57="""",0,IF(REGEXMATCH(C57,""^Sell_""),-ROUNDDOWN(ROUNDUP(INDEX(Upgrades!$C$3:$C$8,MATCH(SUBSTITUTE(C57,""Sell_"",""""),Upgrades!$B$3:$"&amp;"B$8,0))*1.15^(COUNTIF(C$4:C56,SUBSTITUTE(C57,""Sell_"",""""))-COUNTIF(C$4:C56,""Sell_""&amp;SUBSTITUTE(C57,""Sell_"",""""))))/4),ROUNDUP(INDEX(Upgrades!$C$3:$C$7,MATCH(C57,Upgrades!$B$3:$B$7,0))*1.15^(COUNTIF(C$4:C56,C57)-COUNTIF(C$4:C56,""Sell_""&amp;C57)))))))"),3870.0)</f>
        <v>3870</v>
      </c>
      <c r="H57" s="14">
        <f t="shared" si="3"/>
        <v>3870</v>
      </c>
      <c r="I57" s="75">
        <f t="shared" si="4"/>
        <v>543605.3645</v>
      </c>
      <c r="J57" s="76">
        <f t="shared" si="5"/>
        <v>453.6826079</v>
      </c>
      <c r="K57" s="71" t="str">
        <f t="shared" si="6"/>
        <v>7m 33s</v>
      </c>
      <c r="L57" s="77">
        <f t="shared" si="7"/>
        <v>58862</v>
      </c>
      <c r="M57" s="51">
        <f t="shared" si="8"/>
        <v>-1.04997</v>
      </c>
      <c r="N57" s="52">
        <f>IFERROR(__xludf.DUMMYFUNCTION("IFS(AND(COUNTA(C57:C147)=0,COUNTA(P57:P147)=0),"""",OR(AND(L57&gt;=1000000,OR(Y57&gt;=1000000,COUNTA(P57:P147)=0)),AND(Y57&gt;=1000000,COUNTA(C57:C147)=0),AND(COUNTA(P57:P147)=0,O$3=TRUE)),
ROUNDDOWN((AB$1-AC$1)*MAX(INDEX(S$4:S147,MATCH(LARGE(FILTER(Y$4:Y147,Y$4:Y"&amp;"147&lt;1000000),1),Y$4:Y147)),INDEX(F$4:F147,MATCH(LARGE(FILTER(L$4:L147,L$4:L147&lt;1000000),1),L$4:L147)))),AND(L57&lt;1000000,COUNTA(C57:C147)&gt;0,O$3=FALSE),
ROUNDDOWN(INDEX(Y$4:Y147,MATCH(LARGE(FILTER(W$4:W147,W$4:W147&lt;=J57),1),W$4:W147))+(J57-LARGE(FILTER(W$4:"&amp;"W147,W$4:W147&lt;=J57),1))*INDEX(S$4:S147,MATCH(LARGE(FILTER(W$4:W147,W$4:W147&lt;=J57),1),W$4:W147))-L57),1,
ROUNDDOWN(Y57-INDEX(L$4:L147,MATCH(LARGE(FILTER(J$4:J147,J$4:J147&lt;=W57),1),J$4:J147))-(W57-LARGE(FILTER(J$4:J147,J$4:J147&lt;=W57),1))*INDEX(F$4:F147,MATC"&amp;"H(LARGE(FILTER(J$4:J147,J$4:J147&lt;=W57),1),J$4:J147))))"),320.0)</f>
        <v>320</v>
      </c>
      <c r="O57" s="65">
        <f t="shared" si="9"/>
        <v>20</v>
      </c>
      <c r="P57" s="69" t="s">
        <v>10</v>
      </c>
      <c r="Q57" s="14" t="b">
        <f>IFERROR(__xludf.DUMMYFUNCTION("IF(COUNTA(P57:P147)=0,"""",IFERROR(IF(ISBLANK(P57),FALSE,IF(ISBLANK(T57),1,IF(NOT(COUNTIF($AA$24:$AA$34,SUBSTITUTE(P57,""Sell_"",""""))),1,IF(P57=""Plastic_up"",IF(V57&lt;1000,1),IF(P57=""Super_Up"",IF(OR(COUNTIF(P$4:P57,""Grandma"")-COUNTIF(P$4:P57,""Sell_G"&amp;"randma"")&lt;1,COUNTIF(P$4:P57,VLOOKUP(P57,Upgrades!$F$8:$N$8,7+COUNTIF(P$4:P57,P57)))-COUNTIF(P$4:P57,""Sell_""&amp;VLOOKUP(P57,Upgrades!$F$8:$N$8,7+COUNTIF(P$4:P57,P57)))&lt;15),1),IF(REGEXMATCH(P57,""_up""),IF(COUNTIF(P$4:P57,SUBSTITUTE(P57,""_up"",""""))&lt;IFERRO"&amp;"R(VLOOKUP(P57,Upgrades!$L$3:$P$6,1+COUNTIF(P$4:P57,P57),0),999),1),IF(REGEXMATCH(P57,""Sell_""),IF(COUNTIF(P$4:P57,SUBSTITUTE(P57,""Sell_"",""""))-COUNTIF(P$4:P56,P57)&lt;1,1),FALSE)))))))))"),FALSE)</f>
        <v>0</v>
      </c>
      <c r="R57" s="71">
        <f>IFERROR(__xludf.DUMMYFUNCTION("IF(REGEXMATCH(P57,""^Sell_""),R56, IF(COUNTA(P57:P147)=0,"""",(COUNTIF(P$4:P57,""Cursor"")-COUNTIF(P$4:P57,""Sell_Cursor""))*(0.1*2^SWITCH(COUNTIF(P$4:P57,""Cursor_up""),0,0,1,1,2,2,3)+SWITCH(COUNTIF(P$4:P57,""Cursor_up""),4,0.1,0)*(ROW(P57)-4-COUNTIF(P$4"&amp;":P57,""Cursor"")-COUNTIF(P$4:P57,""*""&amp;""_up"")-2*COUNTIF(P$4:P57,""Sell_""&amp;""*"")+COUNTIF(P$4:P57,""Sell_Cursor"")-COUNTIF(P$4:P57,"""")))+(COUNTIF(P$4:P57,""Grandma"")-COUNTIF(P$4:P57,""Sell_Grandma""))*(1*2^(COUNTIF(P$4:P57,""Grandma_up"")+COUNTIF(P$4:"&amp;"P57,""Super_up"")))+(COUNTIF(P$4:P57,""Farm"")-COUNTIF(P$4:P57,""Sell_Farm""))*(8*2^COUNTIF(P$4:P57,""Farm_up""))*IF(COUNTIF(P$4:P57,""Super_up"")&gt;0,1+0.01*(COUNTIF(P$4:P57,""Grandma"")-COUNTIF(P$4:P57,""Sell_Grandma"")),1)+(COUNTIF(P$4:P57,""Mine"")-COUN"&amp;"TIF(P$4:P57,""Sell_Mine""))*((47*2^COUNTIF(P$4:P57,""Mine_up""))*IF(COUNTIF(P$4:P57,""Super_up"")&gt;1,1+0.005*(COUNTIF(P$4:P57,""Grandma"")-COUNTIF(P$4:P57,""Sell_Grandma"")),1))+(COUNTIF(P$4:P57,""Factory"")-COUNTIF(P$4:P57,""Sell_Factory""))*(260*2^COUNTI"&amp;"F(P$4:P57,""Factory_up""))))"),232.0)</f>
        <v>232</v>
      </c>
      <c r="S57" s="73">
        <f>IFERROR(__xludf.DUMMYFUNCTION("IF(COUNTA(P57:P147)=0,"""",IF(REGEXMATCH(INDEX(FILTER(P$4:P57,P$4:P57&lt;&gt;""""),ROWS(FILTER(P$4:P57,P$4:P57&lt;&gt;""""))),""^Sell_""),INDEX(FILTER(S$4:S56,P$4:P56&lt;&gt;""""),ROWS(FILTER(P$4:P56,P$4:P56&lt;&gt;""""))),$AD$5*(2^SWITCH(COUNTIF(P$4:P57,""Cursor_up""),0,0,1,1,2"&amp;",2,3)+SWITCH(COUNTIF(P$4:P57,""Cursor_up""),4,0.1,0)*(ROW(P57)-4-COUNTIF(P$4:P57,""Cursor"")-COUNTIF(P$4:P57,""*""&amp;""_up"")-2*COUNTIF(P$4:P57,""Sell_""&amp;""*"")+COUNTIF(P$4:P57,""Sell_Cursor"")-COUNTIF(P$4:P57,""""))+0.01*R57*COUNTIF(P$4:P57,""Plastic_up"")"&amp;")+R57))"),312.0)</f>
        <v>312</v>
      </c>
      <c r="T57" s="14">
        <f>IFERROR(__xludf.DUMMYFUNCTION("IF(COUNTA(P57:P147)=0,"""",IF(REGEXMATCH(P57,""_up""),VLOOKUP(P57,Upgrades!$F$3:$J$8,1+COUNTIF(P$4:P57,P57),FALSE),IF(P57="""",0,IF(REGEXMATCH(P57,""^Sell_""),-ROUNDDOWN(ROUNDUP(INDEX(Upgrades!$C$3:$C$8,MATCH(SUBSTITUTE(P57,""Sell_"",""""),Upgrades!$B$3:$"&amp;"B$8,0))*1.15^(COUNTIF(P$4:P56,SUBSTITUTE(P57,""Sell_"",""""))-COUNTIF(P$4:P56,""Sell_""&amp;SUBSTITUTE(P57,""Sell_"",""""))))/4),ROUNDUP(INDEX(Upgrades!$C$3:$C$7,MATCH(P57,Upgrades!$B$3:$B$7,0))*1.15^(COUNTIF(P$4:P56,P57)-COUNTIF(P$4:P56,""Sell_""&amp;P57)))))))"),214.0)</f>
        <v>214</v>
      </c>
      <c r="U57" s="14">
        <f t="shared" si="10"/>
        <v>214</v>
      </c>
      <c r="V57" s="75">
        <f t="shared" si="11"/>
        <v>458778.1208</v>
      </c>
      <c r="W57" s="76">
        <f t="shared" si="12"/>
        <v>440.8845596</v>
      </c>
      <c r="X57" s="71" t="str">
        <f t="shared" si="13"/>
        <v>7m 20s</v>
      </c>
      <c r="Y57" s="77">
        <f t="shared" si="14"/>
        <v>55206</v>
      </c>
      <c r="Z57" s="17"/>
      <c r="AA57" s="13"/>
      <c r="AB57" s="13"/>
      <c r="AC57" s="13"/>
      <c r="AD57" s="13"/>
      <c r="AE57" s="13"/>
      <c r="AF57" s="13"/>
      <c r="AG57" s="13"/>
    </row>
    <row r="58">
      <c r="A58" s="12"/>
      <c r="B58" s="65">
        <f t="shared" si="2"/>
        <v>20</v>
      </c>
      <c r="C58" s="69" t="s">
        <v>10</v>
      </c>
      <c r="D58" s="14" t="b">
        <f>IFERROR(__xludf.DUMMYFUNCTION("IF(COUNTA(C58:C147)=0,"""",IFERROR(IF(ISBLANK(C58),FALSE,IF(ISBLANK(G58),1,IF(NOT(COUNTIF($AA$24:$AA$34,SUBSTITUTE(C58,""Sell_"",""""))),1,IF(C58=""Plastic_up"",IF(I58&lt;1000,1),IF(C58=""Super_Up"",IF(OR(COUNTIF(C$4:C58,""Grandma"")-COUNTIF(C$4:C58,""Sell_G"&amp;"randma"")&lt;1,COUNTIF(C$4:C58,VLOOKUP(C58,Upgrades!$F$8:$N$8,7+COUNTIF(C$4:C58,C58)))-COUNTIF(C$4:C58,""Sell_""&amp;VLOOKUP(C58,Upgrades!$F$8:$N$8,7+COUNTIF(C$4:C58,C58)))&lt;15),1),IF(REGEXMATCH(C58,""_up""),IF(COUNTIF(C$4:C58,SUBSTITUTE(C58,""_up"",""""))&lt;IFERRO"&amp;"R(VLOOKUP(C58,Upgrades!$L$3:$P$6,1+COUNTIF(C$4:C58,C58),0),999),1),IF(REGEXMATCH(C58,""Sell_""),IF(COUNTIF(C$4:C58,SUBSTITUTE(C58,""Sell_"",""""))-COUNTIF(C$4:C57,C58)&lt;1,1),FALSE)))))))))"),FALSE)</f>
        <v>0</v>
      </c>
      <c r="E58" s="71">
        <f>IFERROR(__xludf.DUMMYFUNCTION("IF(REGEXMATCH(C58,""^Sell_""),E57, IF(COUNTA(C58:C147)=0,"""",(COUNTIF(C$4:C58,""Cursor"")-COUNTIF(C$4:C58,""Sell_Cursor""))*(0.1*2^SWITCH(COUNTIF(C$4:C58,""Cursor_up""),0,0,1,1,2,2,3)+SWITCH(COUNTIF(C$4:C58,""Cursor_up""),4,0.1,0)*(ROW(C58)-4-COUNTIF(C$4"&amp;":C58,""Cursor"")-COUNTIF(C$4:C58,""*""&amp;""_up"")-2*COUNTIF(C$4:C58,""Sell_""&amp;""*"")+COUNTIF(C$4:C58,""Sell_Cursor"")-COUNTIF(C$4:C58,"""")))+(COUNTIF(C$4:C58,""Grandma"")-COUNTIF(C$4:C58,""Sell_Grandma""))*(1*2^(COUNTIF(C$4:C58,""Grandma_up"")+COUNTIF(C$4:"&amp;"C58,""Super_up"")))+(COUNTIF(C$4:C58,""Farm"")-COUNTIF(C$4:C58,""Sell_Farm""))*(8*2^COUNTIF(C$4:C58,""Farm_up""))*IF(COUNTIF(C$4:C58,""Super_up"")&gt;0,1+0.01*(COUNTIF(C$4:C58,""Grandma"")-COUNTIF(C$4:C58,""Sell_Grandma"")),1)+(COUNTIF(C$4:C58,""Mine"")-COUN"&amp;"TIF(C$4:C58,""Sell_Mine""))*((47*2^COUNTIF(C$4:C58,""Mine_up""))*IF(COUNTIF(C$4:C58,""Super_up"")&gt;1,1+0.005*(COUNTIF(C$4:C58,""Grandma"")-COUNTIF(C$4:C58,""Sell_Grandma"")),1))+(COUNTIF(C$4:C58,""Factory"")-COUNTIF(C$4:C58,""Sell_Factory""))*(260*2^COUNTI"&amp;"F(C$4:C58,""Factory_up""))))"),248.0)</f>
        <v>248</v>
      </c>
      <c r="F58" s="73">
        <f>IFERROR(__xludf.DUMMYFUNCTION("IF(COUNTA(C58:C147)=0,"""",IF(REGEXMATCH(INDEX(FILTER(C$4:C58,C$4:C58&lt;&gt;""""),ROWS(FILTER(C$4:C58,C$4:C58&lt;&gt;""""))),""^Sell_""),INDEX(FILTER(F$4:F57,C$4:C57&lt;&gt;""""),ROWS(FILTER(C$4:C57,C$4:C57&lt;&gt;""""))),$AC$5*(2^SWITCH(COUNTIF(C$4:C58,""Cursor_up""),0,0,1,1,2"&amp;",2,3)+SWITCH(COUNTIF(C$4:C58,""Cursor_up""),4,0.1,0)*(ROW(C58)-4-COUNTIF(C$4:C58,""Cursor"")-COUNTIF(C$4:C58,""*""&amp;""_up"")-2*COUNTIF(C$4:C58,""Sell_""&amp;""*"")+COUNTIF(C$4:C58,""Sell_Cursor"")-COUNTIF(C$4:C58,""""))+0.01*E58*COUNTIF(C$4:C58,""Plastic_up"")"&amp;")+E58))"),328.0)</f>
        <v>328</v>
      </c>
      <c r="G58" s="14">
        <f>IFERROR(__xludf.DUMMYFUNCTION("IF(COUNTA(C58:C147)=0,"""",IF(REGEXMATCH(C58,""_up""),VLOOKUP(C58,Upgrades!$F$3:$J$8,1+COUNTIF(C$4:C58,C58),FALSE),IF(C58="""",0,IF(REGEXMATCH(C58,""^Sell_""),-ROUNDDOWN(ROUNDUP(INDEX(Upgrades!$C$3:$C$8,MATCH(SUBSTITUTE(C58,""Sell_"",""""),Upgrades!$B$3:$"&amp;"B$8,0))*1.15^(COUNTIF(C$4:C57,SUBSTITUTE(C58,""Sell_"",""""))-COUNTIF(C$4:C57,""Sell_""&amp;SUBSTITUTE(C58,""Sell_"",""""))))/4),ROUNDUP(INDEX(Upgrades!$C$3:$C$7,MATCH(C58,Upgrades!$B$3:$B$7,0))*1.15^(COUNTIF(C$4:C57,C58)-COUNTIF(C$4:C57,""Sell_""&amp;C58)))))))"),214.0)</f>
        <v>214</v>
      </c>
      <c r="H58" s="14">
        <f t="shared" si="3"/>
        <v>214</v>
      </c>
      <c r="I58" s="75">
        <f t="shared" si="4"/>
        <v>579952.2959</v>
      </c>
      <c r="J58" s="76">
        <f t="shared" si="5"/>
        <v>454.3366421</v>
      </c>
      <c r="K58" s="71" t="str">
        <f t="shared" si="6"/>
        <v>7m 34s</v>
      </c>
      <c r="L58" s="77">
        <f t="shared" si="7"/>
        <v>59076</v>
      </c>
      <c r="M58" s="51">
        <f t="shared" si="8"/>
        <v>-1.04823</v>
      </c>
      <c r="N58" s="52">
        <f>IFERROR(__xludf.DUMMYFUNCTION("IFS(AND(COUNTA(C58:C147)=0,COUNTA(P58:P147)=0),"""",OR(AND(L58&gt;=1000000,OR(Y58&gt;=1000000,COUNTA(P58:P147)=0)),AND(Y58&gt;=1000000,COUNTA(C58:C147)=0),AND(COUNTA(P58:P147)=0,O$3=TRUE)),
ROUNDDOWN((AB$1-AC$1)*MAX(INDEX(S$4:S147,MATCH(LARGE(FILTER(Y$4:Y147,Y$4:Y"&amp;"147&lt;1000000),1),Y$4:Y147)),INDEX(F$4:F147,MATCH(LARGE(FILTER(L$4:L147,L$4:L147&lt;1000000),1),L$4:L147)))),AND(L58&lt;1000000,COUNTA(C58:C147)&gt;0,O$3=FALSE),
ROUNDDOWN(INDEX(Y$4:Y147,MATCH(LARGE(FILTER(W$4:W147,W$4:W147&lt;=J58),1),W$4:W147))+(J58-LARGE(FILTER(W$4:"&amp;"W147,W$4:W147&lt;=J58),1))*INDEX(S$4:S147,MATCH(LARGE(FILTER(W$4:W147,W$4:W147&lt;=J58),1),W$4:W147))-L58),1,
ROUNDDOWN(Y58-INDEX(L$4:L147,MATCH(LARGE(FILTER(J$4:J147,J$4:J147&lt;=W58),1),J$4:J147))-(W58-LARGE(FILTER(J$4:J147,J$4:J147&lt;=W58),1))*INDEX(F$4:F147,MATC"&amp;"H(LARGE(FILTER(J$4:J147,J$4:J147&lt;=W58),1),J$4:J147))))"),336.0)</f>
        <v>336</v>
      </c>
      <c r="O58" s="65">
        <f t="shared" si="9"/>
        <v>10</v>
      </c>
      <c r="P58" s="69" t="s">
        <v>16</v>
      </c>
      <c r="Q58" s="14" t="b">
        <f>IFERROR(__xludf.DUMMYFUNCTION("IF(COUNTA(P58:P147)=0,"""",IFERROR(IF(ISBLANK(P58),FALSE,IF(ISBLANK(T58),1,IF(NOT(COUNTIF($AA$24:$AA$34,SUBSTITUTE(P58,""Sell_"",""""))),1,IF(P58=""Plastic_up"",IF(V58&lt;1000,1),IF(P58=""Super_Up"",IF(OR(COUNTIF(P$4:P58,""Grandma"")-COUNTIF(P$4:P58,""Sell_G"&amp;"randma"")&lt;1,COUNTIF(P$4:P58,VLOOKUP(P58,Upgrades!$F$8:$N$8,7+COUNTIF(P$4:P58,P58)))-COUNTIF(P$4:P58,""Sell_""&amp;VLOOKUP(P58,Upgrades!$F$8:$N$8,7+COUNTIF(P$4:P58,P58)))&lt;15),1),IF(REGEXMATCH(P58,""_up""),IF(COUNTIF(P$4:P58,SUBSTITUTE(P58,""_up"",""""))&lt;IFERRO"&amp;"R(VLOOKUP(P58,Upgrades!$L$3:$P$6,1+COUNTIF(P$4:P58,P58),0),999),1),IF(REGEXMATCH(P58,""Sell_""),IF(COUNTIF(P$4:P58,SUBSTITUTE(P58,""Sell_"",""""))-COUNTIF(P$4:P57,P58)&lt;1,1),FALSE)))))))))"),FALSE)</f>
        <v>0</v>
      </c>
      <c r="R58" s="71">
        <f>IFERROR(__xludf.DUMMYFUNCTION("IF(REGEXMATCH(P58,""^Sell_""),R57, IF(COUNTA(P58:P147)=0,"""",(COUNTIF(P$4:P58,""Cursor"")-COUNTIF(P$4:P58,""Sell_Cursor""))*(0.1*2^SWITCH(COUNTIF(P$4:P58,""Cursor_up""),0,0,1,1,2,2,3)+SWITCH(COUNTIF(P$4:P58,""Cursor_up""),4,0.1,0)*(ROW(P58)-4-COUNTIF(P$4"&amp;":P58,""Cursor"")-COUNTIF(P$4:P58,""*""&amp;""_up"")-2*COUNTIF(P$4:P58,""Sell_""&amp;""*"")+COUNTIF(P$4:P58,""Sell_Cursor"")-COUNTIF(P$4:P58,"""")))+(COUNTIF(P$4:P58,""Grandma"")-COUNTIF(P$4:P58,""Sell_Grandma""))*(1*2^(COUNTIF(P$4:P58,""Grandma_up"")+COUNTIF(P$4:"&amp;"P58,""Super_up"")))+(COUNTIF(P$4:P58,""Farm"")-COUNTIF(P$4:P58,""Sell_Farm""))*(8*2^COUNTIF(P$4:P58,""Farm_up""))*IF(COUNTIF(P$4:P58,""Super_up"")&gt;0,1+0.01*(COUNTIF(P$4:P58,""Grandma"")-COUNTIF(P$4:P58,""Sell_Grandma"")),1)+(COUNTIF(P$4:P58,""Mine"")-COUN"&amp;"TIF(P$4:P58,""Sell_Mine""))*((47*2^COUNTIF(P$4:P58,""Mine_up""))*IF(COUNTIF(P$4:P58,""Super_up"")&gt;1,1+0.005*(COUNTIF(P$4:P58,""Grandma"")-COUNTIF(P$4:P58,""Sell_Grandma"")),1))+(COUNTIF(P$4:P58,""Factory"")-COUNTIF(P$4:P58,""Sell_Factory""))*(260*2^COUNTI"&amp;"F(P$4:P58,""Factory_up""))))"),248.0)</f>
        <v>248</v>
      </c>
      <c r="S58" s="73">
        <f>IFERROR(__xludf.DUMMYFUNCTION("IF(COUNTA(P58:P147)=0,"""",IF(REGEXMATCH(INDEX(FILTER(P$4:P58,P$4:P58&lt;&gt;""""),ROWS(FILTER(P$4:P58,P$4:P58&lt;&gt;""""))),""^Sell_""),INDEX(FILTER(S$4:S57,P$4:P57&lt;&gt;""""),ROWS(FILTER(P$4:P57,P$4:P57&lt;&gt;""""))),$AD$5*(2^SWITCH(COUNTIF(P$4:P58,""Cursor_up""),0,0,1,1,2"&amp;",2,3)+SWITCH(COUNTIF(P$4:P58,""Cursor_up""),4,0.1,0)*(ROW(P58)-4-COUNTIF(P$4:P58,""Cursor"")-COUNTIF(P$4:P58,""*""&amp;""_up"")-2*COUNTIF(P$4:P58,""Sell_""&amp;""*"")+COUNTIF(P$4:P58,""Sell_Cursor"")-COUNTIF(P$4:P58,""""))+0.01*R58*COUNTIF(P$4:P58,""Plastic_up"")"&amp;")+R58))"),328.0)</f>
        <v>328</v>
      </c>
      <c r="T58" s="14">
        <f>IFERROR(__xludf.DUMMYFUNCTION("IF(COUNTA(P58:P147)=0,"""",IF(REGEXMATCH(P58,""_up""),VLOOKUP(P58,Upgrades!$F$3:$J$8,1+COUNTIF(P$4:P58,P58),FALSE),IF(P58="""",0,IF(REGEXMATCH(P58,""^Sell_""),-ROUNDDOWN(ROUNDUP(INDEX(Upgrades!$C$3:$C$8,MATCH(SUBSTITUTE(P58,""Sell_"",""""),Upgrades!$B$3:$"&amp;"B$8,0))*1.15^(COUNTIF(P$4:P57,SUBSTITUTE(P58,""Sell_"",""""))-COUNTIF(P$4:P57,""Sell_""&amp;SUBSTITUTE(P58,""Sell_"",""""))))/4),ROUNDUP(INDEX(Upgrades!$C$3:$C$7,MATCH(P58,Upgrades!$B$3:$B$7,0))*1.15^(COUNTIF(P$4:P57,P58)-COUNTIF(P$4:P57,""Sell_""&amp;P58)))))))"),3870.0)</f>
        <v>3870</v>
      </c>
      <c r="U58" s="14">
        <f t="shared" si="10"/>
        <v>3870</v>
      </c>
      <c r="V58" s="75">
        <f t="shared" si="11"/>
        <v>495041.1932</v>
      </c>
      <c r="W58" s="76">
        <f t="shared" si="12"/>
        <v>453.2884058</v>
      </c>
      <c r="X58" s="71" t="str">
        <f t="shared" si="13"/>
        <v>7m 33s</v>
      </c>
      <c r="Y58" s="77">
        <f t="shared" si="14"/>
        <v>59076</v>
      </c>
      <c r="Z58" s="17"/>
      <c r="AA58" s="13"/>
      <c r="AB58" s="13"/>
      <c r="AC58" s="13"/>
      <c r="AD58" s="13"/>
      <c r="AE58" s="13"/>
      <c r="AF58" s="13"/>
      <c r="AG58" s="13"/>
    </row>
    <row r="59">
      <c r="A59" s="12"/>
      <c r="B59" s="65">
        <f t="shared" si="2"/>
        <v>11</v>
      </c>
      <c r="C59" s="69" t="s">
        <v>16</v>
      </c>
      <c r="D59" s="14" t="b">
        <f>IFERROR(__xludf.DUMMYFUNCTION("IF(COUNTA(C59:C147)=0,"""",IFERROR(IF(ISBLANK(C59),FALSE,IF(ISBLANK(G59),1,IF(NOT(COUNTIF($AA$24:$AA$34,SUBSTITUTE(C59,""Sell_"",""""))),1,IF(C59=""Plastic_up"",IF(I59&lt;1000,1),IF(C59=""Super_Up"",IF(OR(COUNTIF(C$4:C59,""Grandma"")-COUNTIF(C$4:C59,""Sell_G"&amp;"randma"")&lt;1,COUNTIF(C$4:C59,VLOOKUP(C59,Upgrades!$F$8:$N$8,7+COUNTIF(C$4:C59,C59)))-COUNTIF(C$4:C59,""Sell_""&amp;VLOOKUP(C59,Upgrades!$F$8:$N$8,7+COUNTIF(C$4:C59,C59)))&lt;15),1),IF(REGEXMATCH(C59,""_up""),IF(COUNTIF(C$4:C59,SUBSTITUTE(C59,""_up"",""""))&lt;IFERRO"&amp;"R(VLOOKUP(C59,Upgrades!$L$3:$P$6,1+COUNTIF(C$4:C59,C59),0),999),1),IF(REGEXMATCH(C59,""Sell_""),IF(COUNTIF(C$4:C59,SUBSTITUTE(C59,""Sell_"",""""))-COUNTIF(C$4:C58,C59)&lt;1,1),FALSE)))))))))"),FALSE)</f>
        <v>0</v>
      </c>
      <c r="E59" s="71">
        <f>IFERROR(__xludf.DUMMYFUNCTION("IF(REGEXMATCH(C59,""^Sell_""),E58, IF(COUNTA(C59:C147)=0,"""",(COUNTIF(C$4:C59,""Cursor"")-COUNTIF(C$4:C59,""Sell_Cursor""))*(0.1*2^SWITCH(COUNTIF(C$4:C59,""Cursor_up""),0,0,1,1,2,2,3)+SWITCH(COUNTIF(C$4:C59,""Cursor_up""),4,0.1,0)*(ROW(C59)-4-COUNTIF(C$4"&amp;":C59,""Cursor"")-COUNTIF(C$4:C59,""*""&amp;""_up"")-2*COUNTIF(C$4:C59,""Sell_""&amp;""*"")+COUNTIF(C$4:C59,""Sell_Cursor"")-COUNTIF(C$4:C59,"""")))+(COUNTIF(C$4:C59,""Grandma"")-COUNTIF(C$4:C59,""Sell_Grandma""))*(1*2^(COUNTIF(C$4:C59,""Grandma_up"")+COUNTIF(C$4:"&amp;"C59,""Super_up"")))+(COUNTIF(C$4:C59,""Farm"")-COUNTIF(C$4:C59,""Sell_Farm""))*(8*2^COUNTIF(C$4:C59,""Farm_up""))*IF(COUNTIF(C$4:C59,""Super_up"")&gt;0,1+0.01*(COUNTIF(C$4:C59,""Grandma"")-COUNTIF(C$4:C59,""Sell_Grandma"")),1)+(COUNTIF(C$4:C59,""Mine"")-COUN"&amp;"TIF(C$4:C59,""Sell_Mine""))*((47*2^COUNTIF(C$4:C59,""Mine_up""))*IF(COUNTIF(C$4:C59,""Super_up"")&gt;1,1+0.005*(COUNTIF(C$4:C59,""Grandma"")-COUNTIF(C$4:C59,""Sell_Grandma"")),1))+(COUNTIF(C$4:C59,""Factory"")-COUNTIF(C$4:C59,""Sell_Factory""))*(260*2^COUNTI"&amp;"F(C$4:C59,""Factory_up""))))"),264.0)</f>
        <v>264</v>
      </c>
      <c r="F59" s="73">
        <f>IFERROR(__xludf.DUMMYFUNCTION("IF(COUNTA(C59:C147)=0,"""",IF(REGEXMATCH(INDEX(FILTER(C$4:C59,C$4:C59&lt;&gt;""""),ROWS(FILTER(C$4:C59,C$4:C59&lt;&gt;""""))),""^Sell_""),INDEX(FILTER(F$4:F58,C$4:C58&lt;&gt;""""),ROWS(FILTER(C$4:C58,C$4:C58&lt;&gt;""""))),$AC$5*(2^SWITCH(COUNTIF(C$4:C59,""Cursor_up""),0,0,1,1,2"&amp;",2,3)+SWITCH(COUNTIF(C$4:C59,""Cursor_up""),4,0.1,0)*(ROW(C59)-4-COUNTIF(C$4:C59,""Cursor"")-COUNTIF(C$4:C59,""*""&amp;""_up"")-2*COUNTIF(C$4:C59,""Sell_""&amp;""*"")+COUNTIF(C$4:C59,""Sell_Cursor"")-COUNTIF(C$4:C59,""""))+0.01*E59*COUNTIF(C$4:C59,""Plastic_up"")"&amp;")+E59))"),344.0)</f>
        <v>344</v>
      </c>
      <c r="G59" s="14">
        <f>IFERROR(__xludf.DUMMYFUNCTION("IF(COUNTA(C59:C147)=0,"""",IF(REGEXMATCH(C59,""_up""),VLOOKUP(C59,Upgrades!$F$3:$J$8,1+COUNTIF(C$4:C59,C59),FALSE),IF(C59="""",0,IF(REGEXMATCH(C59,""^Sell_""),-ROUNDDOWN(ROUNDUP(INDEX(Upgrades!$C$3:$C$8,MATCH(SUBSTITUTE(C59,""Sell_"",""""),Upgrades!$B$3:$"&amp;"B$8,0))*1.15^(COUNTIF(C$4:C58,SUBSTITUTE(C59,""Sell_"",""""))-COUNTIF(C$4:C58,""Sell_""&amp;SUBSTITUTE(C59,""Sell_"",""""))))/4),ROUNDUP(INDEX(Upgrades!$C$3:$C$7,MATCH(C59,Upgrades!$B$3:$B$7,0))*1.15^(COUNTIF(C$4:C58,C59)-COUNTIF(C$4:C58,""Sell_""&amp;C59)))))))"),4451.0)</f>
        <v>4451</v>
      </c>
      <c r="H59" s="14">
        <f t="shared" si="3"/>
        <v>4451</v>
      </c>
      <c r="I59" s="75">
        <f t="shared" si="4"/>
        <v>617384.837</v>
      </c>
      <c r="J59" s="76">
        <f t="shared" si="5"/>
        <v>467.9067641</v>
      </c>
      <c r="K59" s="71" t="str">
        <f t="shared" si="6"/>
        <v>7m 47s</v>
      </c>
      <c r="L59" s="77">
        <f t="shared" si="7"/>
        <v>63527</v>
      </c>
      <c r="M59" s="51">
        <f t="shared" si="8"/>
        <v>-1.04823</v>
      </c>
      <c r="N59" s="52">
        <f>IFERROR(__xludf.DUMMYFUNCTION("IFS(AND(COUNTA(C59:C147)=0,COUNTA(P59:P147)=0),"""",OR(AND(L59&gt;=1000000,OR(Y59&gt;=1000000,COUNTA(P59:P147)=0)),AND(Y59&gt;=1000000,COUNTA(C59:C147)=0),AND(COUNTA(P59:P147)=0,O$3=TRUE)),
ROUNDDOWN((AB$1-AC$1)*MAX(INDEX(S$4:S147,MATCH(LARGE(FILTER(Y$4:Y147,Y$4:Y"&amp;"147&lt;1000000),1),Y$4:Y147)),INDEX(F$4:F147,MATCH(LARGE(FILTER(L$4:L147,L$4:L147&lt;1000000),1),L$4:L147)))),AND(L59&lt;1000000,COUNTA(C59:C147)&gt;0,O$3=FALSE),
ROUNDDOWN(INDEX(Y$4:Y147,MATCH(LARGE(FILTER(W$4:W147,W$4:W147&lt;=J59),1),W$4:W147))+(J59-LARGE(FILTER(W$4:"&amp;"W147,W$4:W147&lt;=J59),1))*INDEX(S$4:S147,MATCH(LARGE(FILTER(W$4:W147,W$4:W147&lt;=J59),1),W$4:W147))-L59),1,
ROUNDDOWN(Y59-INDEX(L$4:L147,MATCH(LARGE(FILTER(J$4:J147,J$4:J147&lt;=W59),1),J$4:J147))-(W59-LARGE(FILTER(J$4:J147,J$4:J147&lt;=W59),1))*INDEX(F$4:F147,MATC"&amp;"H(LARGE(FILTER(J$4:J147,J$4:J147&lt;=W59),1),J$4:J147))))"),343.0)</f>
        <v>343</v>
      </c>
      <c r="O59" s="65">
        <f t="shared" si="9"/>
        <v>11</v>
      </c>
      <c r="P59" s="69" t="s">
        <v>16</v>
      </c>
      <c r="Q59" s="14" t="b">
        <f>IFERROR(__xludf.DUMMYFUNCTION("IF(COUNTA(P59:P147)=0,"""",IFERROR(IF(ISBLANK(P59),FALSE,IF(ISBLANK(T59),1,IF(NOT(COUNTIF($AA$24:$AA$34,SUBSTITUTE(P59,""Sell_"",""""))),1,IF(P59=""Plastic_up"",IF(V59&lt;1000,1),IF(P59=""Super_Up"",IF(OR(COUNTIF(P$4:P59,""Grandma"")-COUNTIF(P$4:P59,""Sell_G"&amp;"randma"")&lt;1,COUNTIF(P$4:P59,VLOOKUP(P59,Upgrades!$F$8:$N$8,7+COUNTIF(P$4:P59,P59)))-COUNTIF(P$4:P59,""Sell_""&amp;VLOOKUP(P59,Upgrades!$F$8:$N$8,7+COUNTIF(P$4:P59,P59)))&lt;15),1),IF(REGEXMATCH(P59,""_up""),IF(COUNTIF(P$4:P59,SUBSTITUTE(P59,""_up"",""""))&lt;IFERRO"&amp;"R(VLOOKUP(P59,Upgrades!$L$3:$P$6,1+COUNTIF(P$4:P59,P59),0),999),1),IF(REGEXMATCH(P59,""Sell_""),IF(COUNTIF(P$4:P59,SUBSTITUTE(P59,""Sell_"",""""))-COUNTIF(P$4:P58,P59)&lt;1,1),FALSE)))))))))"),FALSE)</f>
        <v>0</v>
      </c>
      <c r="R59" s="71">
        <f>IFERROR(__xludf.DUMMYFUNCTION("IF(REGEXMATCH(P59,""^Sell_""),R58, IF(COUNTA(P59:P147)=0,"""",(COUNTIF(P$4:P59,""Cursor"")-COUNTIF(P$4:P59,""Sell_Cursor""))*(0.1*2^SWITCH(COUNTIF(P$4:P59,""Cursor_up""),0,0,1,1,2,2,3)+SWITCH(COUNTIF(P$4:P59,""Cursor_up""),4,0.1,0)*(ROW(P59)-4-COUNTIF(P$4"&amp;":P59,""Cursor"")-COUNTIF(P$4:P59,""*""&amp;""_up"")-2*COUNTIF(P$4:P59,""Sell_""&amp;""*"")+COUNTIF(P$4:P59,""Sell_Cursor"")-COUNTIF(P$4:P59,"""")))+(COUNTIF(P$4:P59,""Grandma"")-COUNTIF(P$4:P59,""Sell_Grandma""))*(1*2^(COUNTIF(P$4:P59,""Grandma_up"")+COUNTIF(P$4:"&amp;"P59,""Super_up"")))+(COUNTIF(P$4:P59,""Farm"")-COUNTIF(P$4:P59,""Sell_Farm""))*(8*2^COUNTIF(P$4:P59,""Farm_up""))*IF(COUNTIF(P$4:P59,""Super_up"")&gt;0,1+0.01*(COUNTIF(P$4:P59,""Grandma"")-COUNTIF(P$4:P59,""Sell_Grandma"")),1)+(COUNTIF(P$4:P59,""Mine"")-COUN"&amp;"TIF(P$4:P59,""Sell_Mine""))*((47*2^COUNTIF(P$4:P59,""Mine_up""))*IF(COUNTIF(P$4:P59,""Super_up"")&gt;1,1+0.005*(COUNTIF(P$4:P59,""Grandma"")-COUNTIF(P$4:P59,""Sell_Grandma"")),1))+(COUNTIF(P$4:P59,""Factory"")-COUNTIF(P$4:P59,""Sell_Factory""))*(260*2^COUNTI"&amp;"F(P$4:P59,""Factory_up""))))"),264.0)</f>
        <v>264</v>
      </c>
      <c r="S59" s="73">
        <f>IFERROR(__xludf.DUMMYFUNCTION("IF(COUNTA(P59:P147)=0,"""",IF(REGEXMATCH(INDEX(FILTER(P$4:P59,P$4:P59&lt;&gt;""""),ROWS(FILTER(P$4:P59,P$4:P59&lt;&gt;""""))),""^Sell_""),INDEX(FILTER(S$4:S58,P$4:P58&lt;&gt;""""),ROWS(FILTER(P$4:P58,P$4:P58&lt;&gt;""""))),$AD$5*(2^SWITCH(COUNTIF(P$4:P59,""Cursor_up""),0,0,1,1,2"&amp;",2,3)+SWITCH(COUNTIF(P$4:P59,""Cursor_up""),4,0.1,0)*(ROW(P59)-4-COUNTIF(P$4:P59,""Cursor"")-COUNTIF(P$4:P59,""*""&amp;""_up"")-2*COUNTIF(P$4:P59,""Sell_""&amp;""*"")+COUNTIF(P$4:P59,""Sell_Cursor"")-COUNTIF(P$4:P59,""""))+0.01*R59*COUNTIF(P$4:P59,""Plastic_up"")"&amp;")+R59))"),344.0)</f>
        <v>344</v>
      </c>
      <c r="T59" s="14">
        <f>IFERROR(__xludf.DUMMYFUNCTION("IF(COUNTA(P59:P147)=0,"""",IF(REGEXMATCH(P59,""_up""),VLOOKUP(P59,Upgrades!$F$3:$J$8,1+COUNTIF(P$4:P59,P59),FALSE),IF(P59="""",0,IF(REGEXMATCH(P59,""^Sell_""),-ROUNDDOWN(ROUNDUP(INDEX(Upgrades!$C$3:$C$8,MATCH(SUBSTITUTE(P59,""Sell_"",""""),Upgrades!$B$3:$"&amp;"B$8,0))*1.15^(COUNTIF(P$4:P58,SUBSTITUTE(P59,""Sell_"",""""))-COUNTIF(P$4:P58,""Sell_""&amp;SUBSTITUTE(P59,""Sell_"",""""))))/4),ROUNDUP(INDEX(Upgrades!$C$3:$C$7,MATCH(P59,Upgrades!$B$3:$B$7,0))*1.15^(COUNTIF(P$4:P58,P59)-COUNTIF(P$4:P58,""Sell_""&amp;P59)))))))"),4451.0)</f>
        <v>4451</v>
      </c>
      <c r="U59" s="14">
        <f t="shared" si="10"/>
        <v>4451</v>
      </c>
      <c r="V59" s="75">
        <f t="shared" si="11"/>
        <v>532389.8754</v>
      </c>
      <c r="W59" s="76">
        <f t="shared" si="12"/>
        <v>466.8585277</v>
      </c>
      <c r="X59" s="71" t="str">
        <f t="shared" si="13"/>
        <v>7m 46s</v>
      </c>
      <c r="Y59" s="77">
        <f t="shared" si="14"/>
        <v>63527</v>
      </c>
      <c r="Z59" s="17"/>
      <c r="AA59" s="13"/>
      <c r="AB59" s="13"/>
      <c r="AC59" s="13"/>
      <c r="AD59" s="13"/>
      <c r="AE59" s="13"/>
      <c r="AF59" s="13"/>
      <c r="AG59" s="13"/>
    </row>
    <row r="60">
      <c r="A60" s="12"/>
      <c r="B60" s="65">
        <f t="shared" si="2"/>
        <v>1</v>
      </c>
      <c r="C60" s="69" t="s">
        <v>18</v>
      </c>
      <c r="D60" s="14" t="b">
        <f>IFERROR(__xludf.DUMMYFUNCTION("IF(COUNTA(C60:C147)=0,"""",IFERROR(IF(ISBLANK(C60),FALSE,IF(ISBLANK(G60),1,IF(NOT(COUNTIF($AA$24:$AA$34,SUBSTITUTE(C60,""Sell_"",""""))),1,IF(C60=""Plastic_up"",IF(I60&lt;1000,1),IF(C60=""Super_Up"",IF(OR(COUNTIF(C$4:C60,""Grandma"")-COUNTIF(C$4:C60,""Sell_G"&amp;"randma"")&lt;1,COUNTIF(C$4:C60,VLOOKUP(C60,Upgrades!$F$8:$N$8,7+COUNTIF(C$4:C60,C60)))-COUNTIF(C$4:C60,""Sell_""&amp;VLOOKUP(C60,Upgrades!$F$8:$N$8,7+COUNTIF(C$4:C60,C60)))&lt;15),1),IF(REGEXMATCH(C60,""_up""),IF(COUNTIF(C$4:C60,SUBSTITUTE(C60,""_up"",""""))&lt;IFERRO"&amp;"R(VLOOKUP(C60,Upgrades!$L$3:$P$6,1+COUNTIF(C$4:C60,C60),0),999),1),IF(REGEXMATCH(C60,""Sell_""),IF(COUNTIF(C$4:C60,SUBSTITUTE(C60,""Sell_"",""""))-COUNTIF(C$4:C59,C60)&lt;1,1),FALSE)))))))))"),FALSE)</f>
        <v>0</v>
      </c>
      <c r="E60" s="71">
        <f>IFERROR(__xludf.DUMMYFUNCTION("IF(REGEXMATCH(C60,""^Sell_""),E59, IF(COUNTA(C60:C147)=0,"""",(COUNTIF(C$4:C60,""Cursor"")-COUNTIF(C$4:C60,""Sell_Cursor""))*(0.1*2^SWITCH(COUNTIF(C$4:C60,""Cursor_up""),0,0,1,1,2,2,3)+SWITCH(COUNTIF(C$4:C60,""Cursor_up""),4,0.1,0)*(ROW(C60)-4-COUNTIF(C$4"&amp;":C60,""Cursor"")-COUNTIF(C$4:C60,""*""&amp;""_up"")-2*COUNTIF(C$4:C60,""Sell_""&amp;""*"")+COUNTIF(C$4:C60,""Sell_Cursor"")-COUNTIF(C$4:C60,"""")))+(COUNTIF(C$4:C60,""Grandma"")-COUNTIF(C$4:C60,""Sell_Grandma""))*(1*2^(COUNTIF(C$4:C60,""Grandma_up"")+COUNTIF(C$4:"&amp;"C60,""Super_up"")))+(COUNTIF(C$4:C60,""Farm"")-COUNTIF(C$4:C60,""Sell_Farm""))*(8*2^COUNTIF(C$4:C60,""Farm_up""))*IF(COUNTIF(C$4:C60,""Super_up"")&gt;0,1+0.01*(COUNTIF(C$4:C60,""Grandma"")-COUNTIF(C$4:C60,""Sell_Grandma"")),1)+(COUNTIF(C$4:C60,""Mine"")-COUN"&amp;"TIF(C$4:C60,""Sell_Mine""))*((47*2^COUNTIF(C$4:C60,""Mine_up""))*IF(COUNTIF(C$4:C60,""Super_up"")&gt;1,1+0.005*(COUNTIF(C$4:C60,""Grandma"")-COUNTIF(C$4:C60,""Sell_Grandma"")),1))+(COUNTIF(C$4:C60,""Factory"")-COUNTIF(C$4:C60,""Sell_Factory""))*(260*2^COUNTI"&amp;"F(C$4:C60,""Factory_up""))))"),311.0)</f>
        <v>311</v>
      </c>
      <c r="F60" s="73">
        <f>IFERROR(__xludf.DUMMYFUNCTION("IF(COUNTA(C60:C147)=0,"""",IF(REGEXMATCH(INDEX(FILTER(C$4:C60,C$4:C60&lt;&gt;""""),ROWS(FILTER(C$4:C60,C$4:C60&lt;&gt;""""))),""^Sell_""),INDEX(FILTER(F$4:F59,C$4:C59&lt;&gt;""""),ROWS(FILTER(C$4:C59,C$4:C59&lt;&gt;""""))),$AC$5*(2^SWITCH(COUNTIF(C$4:C60,""Cursor_up""),0,0,1,1,2"&amp;",2,3)+SWITCH(COUNTIF(C$4:C60,""Cursor_up""),4,0.1,0)*(ROW(C60)-4-COUNTIF(C$4:C60,""Cursor"")-COUNTIF(C$4:C60,""*""&amp;""_up"")-2*COUNTIF(C$4:C60,""Sell_""&amp;""*"")+COUNTIF(C$4:C60,""Sell_Cursor"")-COUNTIF(C$4:C60,""""))+0.01*E60*COUNTIF(C$4:C60,""Plastic_up"")"&amp;")+E60))"),391.0)</f>
        <v>391</v>
      </c>
      <c r="G60" s="14">
        <f>IFERROR(__xludf.DUMMYFUNCTION("IF(COUNTA(C60:C147)=0,"""",IF(REGEXMATCH(C60,""_up""),VLOOKUP(C60,Upgrades!$F$3:$J$8,1+COUNTIF(C$4:C60,C60),FALSE),IF(C60="""",0,IF(REGEXMATCH(C60,""^Sell_""),-ROUNDDOWN(ROUNDUP(INDEX(Upgrades!$C$3:$C$8,MATCH(SUBSTITUTE(C60,""Sell_"",""""),Upgrades!$B$3:$"&amp;"B$8,0))*1.15^(COUNTIF(C$4:C59,SUBSTITUTE(C60,""Sell_"",""""))-COUNTIF(C$4:C59,""Sell_""&amp;SUBSTITUTE(C60,""Sell_"",""""))))/4),ROUNDUP(INDEX(Upgrades!$C$3:$C$7,MATCH(C60,Upgrades!$B$3:$B$7,0))*1.15^(COUNTIF(C$4:C59,C60)-COUNTIF(C$4:C59,""Sell_""&amp;C60)))))))"),12000.0)</f>
        <v>12000</v>
      </c>
      <c r="H60" s="14">
        <f t="shared" si="3"/>
        <v>12000</v>
      </c>
      <c r="I60" s="75">
        <f t="shared" si="4"/>
        <v>657608.0758</v>
      </c>
      <c r="J60" s="76">
        <f t="shared" si="5"/>
        <v>502.790485</v>
      </c>
      <c r="K60" s="71" t="str">
        <f t="shared" si="6"/>
        <v>8m 22s</v>
      </c>
      <c r="L60" s="77">
        <f t="shared" si="7"/>
        <v>75527</v>
      </c>
      <c r="M60" s="51">
        <f t="shared" si="8"/>
        <v>-1.04823</v>
      </c>
      <c r="N60" s="52">
        <f>IFERROR(__xludf.DUMMYFUNCTION("IFS(AND(COUNTA(C60:C147)=0,COUNTA(P60:P147)=0),"""",OR(AND(L60&gt;=1000000,OR(Y60&gt;=1000000,COUNTA(P60:P147)=0)),AND(Y60&gt;=1000000,COUNTA(C60:C147)=0),AND(COUNTA(P60:P147)=0,O$3=TRUE)),
ROUNDDOWN((AB$1-AC$1)*MAX(INDEX(S$4:S147,MATCH(LARGE(FILTER(Y$4:Y147,Y$4:Y"&amp;"147&lt;1000000),1),Y$4:Y147)),INDEX(F$4:F147,MATCH(LARGE(FILTER(L$4:L147,L$4:L147&lt;1000000),1),L$4:L147)))),AND(L60&lt;1000000,COUNTA(C60:C147)&gt;0,O$3=FALSE),
ROUNDDOWN(INDEX(Y$4:Y147,MATCH(LARGE(FILTER(W$4:W147,W$4:W147&lt;=J60),1),W$4:W147))+(J60-LARGE(FILTER(W$4:"&amp;"W147,W$4:W147&lt;=J60),1))*INDEX(S$4:S147,MATCH(LARGE(FILTER(W$4:W147,W$4:W147&lt;=J60),1),W$4:W147))-L60),1,
ROUNDDOWN(Y60-INDEX(L$4:L147,MATCH(LARGE(FILTER(J$4:J147,J$4:J147&lt;=W60),1),J$4:J147))-(W60-LARGE(FILTER(J$4:J147,J$4:J147&lt;=W60),1))*INDEX(F$4:F147,MATC"&amp;"H(LARGE(FILTER(J$4:J147,J$4:J147&lt;=W60),1),J$4:J147))))"),360.0)</f>
        <v>360</v>
      </c>
      <c r="O60" s="65">
        <f t="shared" si="9"/>
        <v>1</v>
      </c>
      <c r="P60" s="69" t="s">
        <v>18</v>
      </c>
      <c r="Q60" s="14" t="b">
        <f>IFERROR(__xludf.DUMMYFUNCTION("IF(COUNTA(P60:P147)=0,"""",IFERROR(IF(ISBLANK(P60),FALSE,IF(ISBLANK(T60),1,IF(NOT(COUNTIF($AA$24:$AA$34,SUBSTITUTE(P60,""Sell_"",""""))),1,IF(P60=""Plastic_up"",IF(V60&lt;1000,1),IF(P60=""Super_Up"",IF(OR(COUNTIF(P$4:P60,""Grandma"")-COUNTIF(P$4:P60,""Sell_G"&amp;"randma"")&lt;1,COUNTIF(P$4:P60,VLOOKUP(P60,Upgrades!$F$8:$N$8,7+COUNTIF(P$4:P60,P60)))-COUNTIF(P$4:P60,""Sell_""&amp;VLOOKUP(P60,Upgrades!$F$8:$N$8,7+COUNTIF(P$4:P60,P60)))&lt;15),1),IF(REGEXMATCH(P60,""_up""),IF(COUNTIF(P$4:P60,SUBSTITUTE(P60,""_up"",""""))&lt;IFERRO"&amp;"R(VLOOKUP(P60,Upgrades!$L$3:$P$6,1+COUNTIF(P$4:P60,P60),0),999),1),IF(REGEXMATCH(P60,""Sell_""),IF(COUNTIF(P$4:P60,SUBSTITUTE(P60,""Sell_"",""""))-COUNTIF(P$4:P59,P60)&lt;1,1),FALSE)))))))))"),FALSE)</f>
        <v>0</v>
      </c>
      <c r="R60" s="71">
        <f>IFERROR(__xludf.DUMMYFUNCTION("IF(REGEXMATCH(P60,""^Sell_""),R59, IF(COUNTA(P60:P147)=0,"""",(COUNTIF(P$4:P60,""Cursor"")-COUNTIF(P$4:P60,""Sell_Cursor""))*(0.1*2^SWITCH(COUNTIF(P$4:P60,""Cursor_up""),0,0,1,1,2,2,3)+SWITCH(COUNTIF(P$4:P60,""Cursor_up""),4,0.1,0)*(ROW(P60)-4-COUNTIF(P$4"&amp;":P60,""Cursor"")-COUNTIF(P$4:P60,""*""&amp;""_up"")-2*COUNTIF(P$4:P60,""Sell_""&amp;""*"")+COUNTIF(P$4:P60,""Sell_Cursor"")-COUNTIF(P$4:P60,"""")))+(COUNTIF(P$4:P60,""Grandma"")-COUNTIF(P$4:P60,""Sell_Grandma""))*(1*2^(COUNTIF(P$4:P60,""Grandma_up"")+COUNTIF(P$4:"&amp;"P60,""Super_up"")))+(COUNTIF(P$4:P60,""Farm"")-COUNTIF(P$4:P60,""Sell_Farm""))*(8*2^COUNTIF(P$4:P60,""Farm_up""))*IF(COUNTIF(P$4:P60,""Super_up"")&gt;0,1+0.01*(COUNTIF(P$4:P60,""Grandma"")-COUNTIF(P$4:P60,""Sell_Grandma"")),1)+(COUNTIF(P$4:P60,""Mine"")-COUN"&amp;"TIF(P$4:P60,""Sell_Mine""))*((47*2^COUNTIF(P$4:P60,""Mine_up""))*IF(COUNTIF(P$4:P60,""Super_up"")&gt;1,1+0.005*(COUNTIF(P$4:P60,""Grandma"")-COUNTIF(P$4:P60,""Sell_Grandma"")),1))+(COUNTIF(P$4:P60,""Factory"")-COUNTIF(P$4:P60,""Sell_Factory""))*(260*2^COUNTI"&amp;"F(P$4:P60,""Factory_up""))))"),311.0)</f>
        <v>311</v>
      </c>
      <c r="S60" s="73">
        <f>IFERROR(__xludf.DUMMYFUNCTION("IF(COUNTA(P60:P147)=0,"""",IF(REGEXMATCH(INDEX(FILTER(P$4:P60,P$4:P60&lt;&gt;""""),ROWS(FILTER(P$4:P60,P$4:P60&lt;&gt;""""))),""^Sell_""),INDEX(FILTER(S$4:S59,P$4:P59&lt;&gt;""""),ROWS(FILTER(P$4:P59,P$4:P59&lt;&gt;""""))),$AD$5*(2^SWITCH(COUNTIF(P$4:P60,""Cursor_up""),0,0,1,1,2"&amp;",2,3)+SWITCH(COUNTIF(P$4:P60,""Cursor_up""),4,0.1,0)*(ROW(P60)-4-COUNTIF(P$4:P60,""Cursor"")-COUNTIF(P$4:P60,""*""&amp;""_up"")-2*COUNTIF(P$4:P60,""Sell_""&amp;""*"")+COUNTIF(P$4:P60,""Sell_Cursor"")-COUNTIF(P$4:P60,""""))+0.01*R60*COUNTIF(P$4:P60,""Plastic_up"")"&amp;")+R60))"),391.0)</f>
        <v>391</v>
      </c>
      <c r="T60" s="14">
        <f>IFERROR(__xludf.DUMMYFUNCTION("IF(COUNTA(P60:P147)=0,"""",IF(REGEXMATCH(P60,""_up""),VLOOKUP(P60,Upgrades!$F$3:$J$8,1+COUNTIF(P$4:P60,P60),FALSE),IF(P60="""",0,IF(REGEXMATCH(P60,""^Sell_""),-ROUNDDOWN(ROUNDUP(INDEX(Upgrades!$C$3:$C$8,MATCH(SUBSTITUTE(P60,""Sell_"",""""),Upgrades!$B$3:$"&amp;"B$8,0))*1.15^(COUNTIF(P$4:P59,SUBSTITUTE(P60,""Sell_"",""""))-COUNTIF(P$4:P59,""Sell_""&amp;SUBSTITUTE(P60,""Sell_"",""""))))/4),ROUNDUP(INDEX(Upgrades!$C$3:$C$7,MATCH(P60,Upgrades!$B$3:$B$7,0))*1.15^(COUNTIF(P$4:P59,P60)-COUNTIF(P$4:P59,""Sell_""&amp;P60)))))))"),12000.0)</f>
        <v>12000</v>
      </c>
      <c r="U60" s="14">
        <f t="shared" si="10"/>
        <v>12000</v>
      </c>
      <c r="V60" s="75">
        <f t="shared" si="11"/>
        <v>572529.2553</v>
      </c>
      <c r="W60" s="76">
        <f t="shared" si="12"/>
        <v>501.7422487</v>
      </c>
      <c r="X60" s="71" t="str">
        <f t="shared" si="13"/>
        <v>8m 21s</v>
      </c>
      <c r="Y60" s="77">
        <f t="shared" si="14"/>
        <v>75527</v>
      </c>
      <c r="Z60" s="17"/>
      <c r="AA60" s="13"/>
      <c r="AB60" s="13"/>
      <c r="AC60" s="13"/>
      <c r="AD60" s="13"/>
      <c r="AE60" s="13"/>
      <c r="AF60" s="13"/>
      <c r="AG60" s="13"/>
    </row>
    <row r="61">
      <c r="A61" s="12"/>
      <c r="B61" s="65">
        <f t="shared" si="2"/>
        <v>19</v>
      </c>
      <c r="C61" s="69" t="s">
        <v>13</v>
      </c>
      <c r="D61" s="14" t="b">
        <f>IFERROR(__xludf.DUMMYFUNCTION("IF(COUNTA(C61:C147)=0,"""",IFERROR(IF(ISBLANK(C61),FALSE,IF(ISBLANK(G61),1,IF(NOT(COUNTIF($AA$24:$AA$34,SUBSTITUTE(C61,""Sell_"",""""))),1,IF(C61=""Plastic_up"",IF(I61&lt;1000,1),IF(C61=""Super_Up"",IF(OR(COUNTIF(C$4:C61,""Grandma"")-COUNTIF(C$4:C61,""Sell_G"&amp;"randma"")&lt;1,COUNTIF(C$4:C61,VLOOKUP(C61,Upgrades!$F$8:$N$8,7+COUNTIF(C$4:C61,C61)))-COUNTIF(C$4:C61,""Sell_""&amp;VLOOKUP(C61,Upgrades!$F$8:$N$8,7+COUNTIF(C$4:C61,C61)))&lt;15),1),IF(REGEXMATCH(C61,""_up""),IF(COUNTIF(C$4:C61,SUBSTITUTE(C61,""_up"",""""))&lt;IFERRO"&amp;"R(VLOOKUP(C61,Upgrades!$L$3:$P$6,1+COUNTIF(C$4:C61,C61),0),999),1),IF(REGEXMATCH(C61,""Sell_""),IF(COUNTIF(C$4:C61,SUBSTITUTE(C61,""Sell_"",""""))-COUNTIF(C$4:C60,C61)&lt;1,1),FALSE)))))))))"),FALSE)</f>
        <v>0</v>
      </c>
      <c r="E61" s="71">
        <f>IFERROR(__xludf.DUMMYFUNCTION("IF(REGEXMATCH(C61,""^Sell_""),E60, IF(COUNTA(C61:C147)=0,"""",(COUNTIF(C$4:C61,""Cursor"")-COUNTIF(C$4:C61,""Sell_Cursor""))*(0.1*2^SWITCH(COUNTIF(C$4:C61,""Cursor_up""),0,0,1,1,2,2,3)+SWITCH(COUNTIF(C$4:C61,""Cursor_up""),4,0.1,0)*(ROW(C61)-4-COUNTIF(C$4"&amp;":C61,""Cursor"")-COUNTIF(C$4:C61,""*""&amp;""_up"")-2*COUNTIF(C$4:C61,""Sell_""&amp;""*"")+COUNTIF(C$4:C61,""Sell_Cursor"")-COUNTIF(C$4:C61,"""")))+(COUNTIF(C$4:C61,""Grandma"")-COUNTIF(C$4:C61,""Sell_Grandma""))*(1*2^(COUNTIF(C$4:C61,""Grandma_up"")+COUNTIF(C$4:"&amp;"C61,""Super_up"")))+(COUNTIF(C$4:C61,""Farm"")-COUNTIF(C$4:C61,""Sell_Farm""))*(8*2^COUNTIF(C$4:C61,""Farm_up""))*IF(COUNTIF(C$4:C61,""Super_up"")&gt;0,1+0.01*(COUNTIF(C$4:C61,""Grandma"")-COUNTIF(C$4:C61,""Sell_Grandma"")),1)+(COUNTIF(C$4:C61,""Mine"")-COUN"&amp;"TIF(C$4:C61,""Sell_Mine""))*((47*2^COUNTIF(C$4:C61,""Mine_up""))*IF(COUNTIF(C$4:C61,""Super_up"")&gt;1,1+0.005*(COUNTIF(C$4:C61,""Grandma"")-COUNTIF(C$4:C61,""Sell_Grandma"")),1))+(COUNTIF(C$4:C61,""Factory"")-COUNTIF(C$4:C61,""Sell_Factory""))*(260*2^COUNTI"&amp;"F(C$4:C61,""Factory_up""))))"),315.0)</f>
        <v>315</v>
      </c>
      <c r="F61" s="73">
        <f>IFERROR(__xludf.DUMMYFUNCTION("IF(COUNTA(C61:C147)=0,"""",IF(REGEXMATCH(INDEX(FILTER(C$4:C61,C$4:C61&lt;&gt;""""),ROWS(FILTER(C$4:C61,C$4:C61&lt;&gt;""""))),""^Sell_""),INDEX(FILTER(F$4:F60,C$4:C60&lt;&gt;""""),ROWS(FILTER(C$4:C60,C$4:C60&lt;&gt;""""))),$AC$5*(2^SWITCH(COUNTIF(C$4:C61,""Cursor_up""),0,0,1,1,2"&amp;",2,3)+SWITCH(COUNTIF(C$4:C61,""Cursor_up""),4,0.1,0)*(ROW(C61)-4-COUNTIF(C$4:C61,""Cursor"")-COUNTIF(C$4:C61,""*""&amp;""_up"")-2*COUNTIF(C$4:C61,""Sell_""&amp;""*"")+COUNTIF(C$4:C61,""Sell_Cursor"")-COUNTIF(C$4:C61,""""))+0.01*E61*COUNTIF(C$4:C61,""Plastic_up"")"&amp;")+E61))"),395.0)</f>
        <v>395</v>
      </c>
      <c r="G61" s="14">
        <f>IFERROR(__xludf.DUMMYFUNCTION("IF(COUNTA(C61:C147)=0,"""",IF(REGEXMATCH(C61,""_up""),VLOOKUP(C61,Upgrades!$F$3:$J$8,1+COUNTIF(C$4:C61,C61),FALSE),IF(C61="""",0,IF(REGEXMATCH(C61,""^Sell_""),-ROUNDDOWN(ROUNDUP(INDEX(Upgrades!$C$3:$C$8,MATCH(SUBSTITUTE(C61,""Sell_"",""""),Upgrades!$B$3:$"&amp;"B$8,0))*1.15^(COUNTIF(C$4:C60,SUBSTITUTE(C61,""Sell_"",""""))-COUNTIF(C$4:C60,""Sell_""&amp;SUBSTITUTE(C61,""Sell_"",""""))))/4),ROUNDUP(INDEX(Upgrades!$C$3:$C$7,MATCH(C61,Upgrades!$B$3:$B$7,0))*1.15^(COUNTIF(C$4:C60,C61)-COUNTIF(C$4:C60,""Sell_""&amp;C61)))))))"),1238.0)</f>
        <v>1238</v>
      </c>
      <c r="H61" s="14">
        <f t="shared" si="3"/>
        <v>1238</v>
      </c>
      <c r="I61" s="75">
        <f t="shared" si="4"/>
        <v>698084.6139</v>
      </c>
      <c r="J61" s="76">
        <f t="shared" si="5"/>
        <v>505.9567254</v>
      </c>
      <c r="K61" s="71" t="str">
        <f t="shared" si="6"/>
        <v>8m 25s</v>
      </c>
      <c r="L61" s="77">
        <f t="shared" si="7"/>
        <v>76765</v>
      </c>
      <c r="M61" s="51">
        <f t="shared" si="8"/>
        <v>-1.04823</v>
      </c>
      <c r="N61" s="52">
        <f>IFERROR(__xludf.DUMMYFUNCTION("IFS(AND(COUNTA(C61:C147)=0,COUNTA(P61:P147)=0),"""",OR(AND(L61&gt;=1000000,OR(Y61&gt;=1000000,COUNTA(P61:P147)=0)),AND(Y61&gt;=1000000,COUNTA(C61:C147)=0),AND(COUNTA(P61:P147)=0,O$3=TRUE)),
ROUNDDOWN((AB$1-AC$1)*MAX(INDEX(S$4:S147,MATCH(LARGE(FILTER(Y$4:Y147,Y$4:Y"&amp;"147&lt;1000000),1),Y$4:Y147)),INDEX(F$4:F147,MATCH(LARGE(FILTER(L$4:L147,L$4:L147&lt;1000000),1),L$4:L147)))),AND(L61&lt;1000000,COUNTA(C61:C147)&gt;0,O$3=FALSE),
ROUNDDOWN(INDEX(Y$4:Y147,MATCH(LARGE(FILTER(W$4:W147,W$4:W147&lt;=J61),1),W$4:W147))+(J61-LARGE(FILTER(W$4:"&amp;"W147,W$4:W147&lt;=J61),1))*INDEX(S$4:S147,MATCH(LARGE(FILTER(W$4:W147,W$4:W147&lt;=J61),1),W$4:W147))-L61),1,
ROUNDDOWN(Y61-INDEX(L$4:L147,MATCH(LARGE(FILTER(J$4:J147,J$4:J147&lt;=W61),1),J$4:J147))-(W61-LARGE(FILTER(J$4:J147,J$4:J147&lt;=W61),1))*INDEX(F$4:F147,MATC"&amp;"H(LARGE(FILTER(J$4:J147,J$4:J147&lt;=W61),1),J$4:J147))))"),409.0)</f>
        <v>409</v>
      </c>
      <c r="O61" s="65">
        <f t="shared" si="9"/>
        <v>19</v>
      </c>
      <c r="P61" s="69" t="s">
        <v>13</v>
      </c>
      <c r="Q61" s="14" t="b">
        <f>IFERROR(__xludf.DUMMYFUNCTION("IF(COUNTA(P61:P147)=0,"""",IFERROR(IF(ISBLANK(P61),FALSE,IF(ISBLANK(T61),1,IF(NOT(COUNTIF($AA$24:$AA$34,SUBSTITUTE(P61,""Sell_"",""""))),1,IF(P61=""Plastic_up"",IF(V61&lt;1000,1),IF(P61=""Super_Up"",IF(OR(COUNTIF(P$4:P61,""Grandma"")-COUNTIF(P$4:P61,""Sell_G"&amp;"randma"")&lt;1,COUNTIF(P$4:P61,VLOOKUP(P61,Upgrades!$F$8:$N$8,7+COUNTIF(P$4:P61,P61)))-COUNTIF(P$4:P61,""Sell_""&amp;VLOOKUP(P61,Upgrades!$F$8:$N$8,7+COUNTIF(P$4:P61,P61)))&lt;15),1),IF(REGEXMATCH(P61,""_up""),IF(COUNTIF(P$4:P61,SUBSTITUTE(P61,""_up"",""""))&lt;IFERRO"&amp;"R(VLOOKUP(P61,Upgrades!$L$3:$P$6,1+COUNTIF(P$4:P61,P61),0),999),1),IF(REGEXMATCH(P61,""Sell_""),IF(COUNTIF(P$4:P61,SUBSTITUTE(P61,""Sell_"",""""))-COUNTIF(P$4:P60,P61)&lt;1,1),FALSE)))))))))"),FALSE)</f>
        <v>0</v>
      </c>
      <c r="R61" s="71">
        <f>IFERROR(__xludf.DUMMYFUNCTION("IF(REGEXMATCH(P61,""^Sell_""),R60, IF(COUNTA(P61:P147)=0,"""",(COUNTIF(P$4:P61,""Cursor"")-COUNTIF(P$4:P61,""Sell_Cursor""))*(0.1*2^SWITCH(COUNTIF(P$4:P61,""Cursor_up""),0,0,1,1,2,2,3)+SWITCH(COUNTIF(P$4:P61,""Cursor_up""),4,0.1,0)*(ROW(P61)-4-COUNTIF(P$4"&amp;":P61,""Cursor"")-COUNTIF(P$4:P61,""*""&amp;""_up"")-2*COUNTIF(P$4:P61,""Sell_""&amp;""*"")+COUNTIF(P$4:P61,""Sell_Cursor"")-COUNTIF(P$4:P61,"""")))+(COUNTIF(P$4:P61,""Grandma"")-COUNTIF(P$4:P61,""Sell_Grandma""))*(1*2^(COUNTIF(P$4:P61,""Grandma_up"")+COUNTIF(P$4:"&amp;"P61,""Super_up"")))+(COUNTIF(P$4:P61,""Farm"")-COUNTIF(P$4:P61,""Sell_Farm""))*(8*2^COUNTIF(P$4:P61,""Farm_up""))*IF(COUNTIF(P$4:P61,""Super_up"")&gt;0,1+0.01*(COUNTIF(P$4:P61,""Grandma"")-COUNTIF(P$4:P61,""Sell_Grandma"")),1)+(COUNTIF(P$4:P61,""Mine"")-COUN"&amp;"TIF(P$4:P61,""Sell_Mine""))*((47*2^COUNTIF(P$4:P61,""Mine_up""))*IF(COUNTIF(P$4:P61,""Super_up"")&gt;1,1+0.005*(COUNTIF(P$4:P61,""Grandma"")-COUNTIF(P$4:P61,""Sell_Grandma"")),1))+(COUNTIF(P$4:P61,""Factory"")-COUNTIF(P$4:P61,""Sell_Factory""))*(260*2^COUNTI"&amp;"F(P$4:P61,""Factory_up""))))"),315.0)</f>
        <v>315</v>
      </c>
      <c r="S61" s="73">
        <f>IFERROR(__xludf.DUMMYFUNCTION("IF(COUNTA(P61:P147)=0,"""",IF(REGEXMATCH(INDEX(FILTER(P$4:P61,P$4:P61&lt;&gt;""""),ROWS(FILTER(P$4:P61,P$4:P61&lt;&gt;""""))),""^Sell_""),INDEX(FILTER(S$4:S60,P$4:P60&lt;&gt;""""),ROWS(FILTER(P$4:P60,P$4:P60&lt;&gt;""""))),$AD$5*(2^SWITCH(COUNTIF(P$4:P61,""Cursor_up""),0,0,1,1,2"&amp;",2,3)+SWITCH(COUNTIF(P$4:P61,""Cursor_up""),4,0.1,0)*(ROW(P61)-4-COUNTIF(P$4:P61,""Cursor"")-COUNTIF(P$4:P61,""*""&amp;""_up"")-2*COUNTIF(P$4:P61,""Sell_""&amp;""*"")+COUNTIF(P$4:P61,""Sell_Cursor"")-COUNTIF(P$4:P61,""""))+0.01*R61*COUNTIF(P$4:P61,""Plastic_up"")"&amp;")+R61))"),395.0)</f>
        <v>395</v>
      </c>
      <c r="T61" s="14">
        <f>IFERROR(__xludf.DUMMYFUNCTION("IF(COUNTA(P61:P147)=0,"""",IF(REGEXMATCH(P61,""_up""),VLOOKUP(P61,Upgrades!$F$3:$J$8,1+COUNTIF(P$4:P61,P61),FALSE),IF(P61="""",0,IF(REGEXMATCH(P61,""^Sell_""),-ROUNDDOWN(ROUNDUP(INDEX(Upgrades!$C$3:$C$8,MATCH(SUBSTITUTE(P61,""Sell_"",""""),Upgrades!$B$3:$"&amp;"B$8,0))*1.15^(COUNTIF(P$4:P60,SUBSTITUTE(P61,""Sell_"",""""))-COUNTIF(P$4:P60,""Sell_""&amp;SUBSTITUTE(P61,""Sell_"",""""))))/4),ROUNDUP(INDEX(Upgrades!$C$3:$C$7,MATCH(P61,Upgrades!$B$3:$B$7,0))*1.15^(COUNTIF(P$4:P60,P61)-COUNTIF(P$4:P60,""Sell_""&amp;P61)))))))"),1238.0)</f>
        <v>1238</v>
      </c>
      <c r="U61" s="14">
        <f t="shared" si="10"/>
        <v>1238</v>
      </c>
      <c r="V61" s="75">
        <f t="shared" si="11"/>
        <v>612921.9345</v>
      </c>
      <c r="W61" s="76">
        <f t="shared" si="12"/>
        <v>504.9084891</v>
      </c>
      <c r="X61" s="71" t="str">
        <f t="shared" si="13"/>
        <v>8m 24s</v>
      </c>
      <c r="Y61" s="77">
        <f t="shared" si="14"/>
        <v>76765</v>
      </c>
      <c r="Z61" s="17"/>
      <c r="AA61" s="13"/>
      <c r="AB61" s="13"/>
      <c r="AC61" s="13"/>
      <c r="AD61" s="13"/>
      <c r="AE61" s="13"/>
      <c r="AF61" s="13"/>
      <c r="AG61" s="13"/>
    </row>
    <row r="62">
      <c r="A62" s="12"/>
      <c r="B62" s="65">
        <f t="shared" si="2"/>
        <v>21</v>
      </c>
      <c r="C62" s="69" t="s">
        <v>10</v>
      </c>
      <c r="D62" s="14" t="b">
        <f>IFERROR(__xludf.DUMMYFUNCTION("IF(COUNTA(C62:C147)=0,"""",IFERROR(IF(ISBLANK(C62),FALSE,IF(ISBLANK(G62),1,IF(NOT(COUNTIF($AA$24:$AA$34,SUBSTITUTE(C62,""Sell_"",""""))),1,IF(C62=""Plastic_up"",IF(I62&lt;1000,1),IF(C62=""Super_Up"",IF(OR(COUNTIF(C$4:C62,""Grandma"")-COUNTIF(C$4:C62,""Sell_G"&amp;"randma"")&lt;1,COUNTIF(C$4:C62,VLOOKUP(C62,Upgrades!$F$8:$N$8,7+COUNTIF(C$4:C62,C62)))-COUNTIF(C$4:C62,""Sell_""&amp;VLOOKUP(C62,Upgrades!$F$8:$N$8,7+COUNTIF(C$4:C62,C62)))&lt;15),1),IF(REGEXMATCH(C62,""_up""),IF(COUNTIF(C$4:C62,SUBSTITUTE(C62,""_up"",""""))&lt;IFERRO"&amp;"R(VLOOKUP(C62,Upgrades!$L$3:$P$6,1+COUNTIF(C$4:C62,C62),0),999),1),IF(REGEXMATCH(C62,""Sell_""),IF(COUNTIF(C$4:C62,SUBSTITUTE(C62,""Sell_"",""""))-COUNTIF(C$4:C61,C62)&lt;1,1),FALSE)))))))))"),FALSE)</f>
        <v>0</v>
      </c>
      <c r="E62" s="71">
        <f>IFERROR(__xludf.DUMMYFUNCTION("IF(REGEXMATCH(C62,""^Sell_""),E61, IF(COUNTA(C62:C147)=0,"""",(COUNTIF(C$4:C62,""Cursor"")-COUNTIF(C$4:C62,""Sell_Cursor""))*(0.1*2^SWITCH(COUNTIF(C$4:C62,""Cursor_up""),0,0,1,1,2,2,3)+SWITCH(COUNTIF(C$4:C62,""Cursor_up""),4,0.1,0)*(ROW(C62)-4-COUNTIF(C$4"&amp;":C62,""Cursor"")-COUNTIF(C$4:C62,""*""&amp;""_up"")-2*COUNTIF(C$4:C62,""Sell_""&amp;""*"")+COUNTIF(C$4:C62,""Sell_Cursor"")-COUNTIF(C$4:C62,"""")))+(COUNTIF(C$4:C62,""Grandma"")-COUNTIF(C$4:C62,""Sell_Grandma""))*(1*2^(COUNTIF(C$4:C62,""Grandma_up"")+COUNTIF(C$4:"&amp;"C62,""Super_up"")))+(COUNTIF(C$4:C62,""Farm"")-COUNTIF(C$4:C62,""Sell_Farm""))*(8*2^COUNTIF(C$4:C62,""Farm_up""))*IF(COUNTIF(C$4:C62,""Super_up"")&gt;0,1+0.01*(COUNTIF(C$4:C62,""Grandma"")-COUNTIF(C$4:C62,""Sell_Grandma"")),1)+(COUNTIF(C$4:C62,""Mine"")-COUN"&amp;"TIF(C$4:C62,""Sell_Mine""))*((47*2^COUNTIF(C$4:C62,""Mine_up""))*IF(COUNTIF(C$4:C62,""Super_up"")&gt;1,1+0.005*(COUNTIF(C$4:C62,""Grandma"")-COUNTIF(C$4:C62,""Sell_Grandma"")),1))+(COUNTIF(C$4:C62,""Factory"")-COUNTIF(C$4:C62,""Sell_Factory""))*(260*2^COUNTI"&amp;"F(C$4:C62,""Factory_up""))))"),315.8)</f>
        <v>315.8</v>
      </c>
      <c r="F62" s="73">
        <f>IFERROR(__xludf.DUMMYFUNCTION("IF(COUNTA(C62:C147)=0,"""",IF(REGEXMATCH(INDEX(FILTER(C$4:C62,C$4:C62&lt;&gt;""""),ROWS(FILTER(C$4:C62,C$4:C62&lt;&gt;""""))),""^Sell_""),INDEX(FILTER(F$4:F61,C$4:C61&lt;&gt;""""),ROWS(FILTER(C$4:C61,C$4:C61&lt;&gt;""""))),$AC$5*(2^SWITCH(COUNTIF(C$4:C62,""Cursor_up""),0,0,1,1,2"&amp;",2,3)+SWITCH(COUNTIF(C$4:C62,""Cursor_up""),4,0.1,0)*(ROW(C62)-4-COUNTIF(C$4:C62,""Cursor"")-COUNTIF(C$4:C62,""*""&amp;""_up"")-2*COUNTIF(C$4:C62,""Sell_""&amp;""*"")+COUNTIF(C$4:C62,""Sell_Cursor"")-COUNTIF(C$4:C62,""""))+0.01*E62*COUNTIF(C$4:C62,""Plastic_up"")"&amp;")+E62))"),395.8)</f>
        <v>395.8</v>
      </c>
      <c r="G62" s="14">
        <f>IFERROR(__xludf.DUMMYFUNCTION("IF(COUNTA(C62:C147)=0,"""",IF(REGEXMATCH(C62,""_up""),VLOOKUP(C62,Upgrades!$F$3:$J$8,1+COUNTIF(C$4:C62,C62),FALSE),IF(C62="""",0,IF(REGEXMATCH(C62,""^Sell_""),-ROUNDDOWN(ROUNDUP(INDEX(Upgrades!$C$3:$C$8,MATCH(SUBSTITUTE(C62,""Sell_"",""""),Upgrades!$B$3:$"&amp;"B$8,0))*1.15^(COUNTIF(C$4:C61,SUBSTITUTE(C62,""Sell_"",""""))-COUNTIF(C$4:C61,""Sell_""&amp;SUBSTITUTE(C62,""Sell_"",""""))))/4),ROUNDUP(INDEX(Upgrades!$C$3:$C$7,MATCH(C62,Upgrades!$B$3:$B$7,0))*1.15^(COUNTIF(C$4:C61,C62)-COUNTIF(C$4:C61,""Sell_""&amp;C62)))))))"),246.0)</f>
        <v>246</v>
      </c>
      <c r="H62" s="14">
        <f t="shared" si="3"/>
        <v>246</v>
      </c>
      <c r="I62" s="75">
        <f t="shared" si="4"/>
        <v>738610.9747</v>
      </c>
      <c r="J62" s="76">
        <f t="shared" si="5"/>
        <v>506.5795102</v>
      </c>
      <c r="K62" s="71" t="str">
        <f t="shared" si="6"/>
        <v>8m 26s</v>
      </c>
      <c r="L62" s="77">
        <f t="shared" si="7"/>
        <v>77011</v>
      </c>
      <c r="M62" s="51">
        <f t="shared" si="8"/>
        <v>-1.04823</v>
      </c>
      <c r="N62" s="52">
        <f>IFERROR(__xludf.DUMMYFUNCTION("IFS(AND(COUNTA(C62:C147)=0,COUNTA(P62:P147)=0),"""",OR(AND(L62&gt;=1000000,OR(Y62&gt;=1000000,COUNTA(P62:P147)=0)),AND(Y62&gt;=1000000,COUNTA(C62:C147)=0),AND(COUNTA(P62:P147)=0,O$3=TRUE)),
ROUNDDOWN((AB$1-AC$1)*MAX(INDEX(S$4:S147,MATCH(LARGE(FILTER(Y$4:Y147,Y$4:Y"&amp;"147&lt;1000000),1),Y$4:Y147)),INDEX(F$4:F147,MATCH(LARGE(FILTER(L$4:L147,L$4:L147&lt;1000000),1),L$4:L147)))),AND(L62&lt;1000000,COUNTA(C62:C147)&gt;0,O$3=FALSE),
ROUNDDOWN(INDEX(Y$4:Y147,MATCH(LARGE(FILTER(W$4:W147,W$4:W147&lt;=J62),1),W$4:W147))+(J62-LARGE(FILTER(W$4:"&amp;"W147,W$4:W147&lt;=J62),1))*INDEX(S$4:S147,MATCH(LARGE(FILTER(W$4:W147,W$4:W147&lt;=J62),1),W$4:W147))-L62),1,
ROUNDDOWN(Y62-INDEX(L$4:L147,MATCH(LARGE(FILTER(J$4:J147,J$4:J147&lt;=W62),1),J$4:J147))-(W62-LARGE(FILTER(J$4:J147,J$4:J147&lt;=W62),1))*INDEX(F$4:F147,MATC"&amp;"H(LARGE(FILTER(J$4:J147,J$4:J147&lt;=W62),1),J$4:J147))))"),412.0)</f>
        <v>412</v>
      </c>
      <c r="O62" s="65">
        <f t="shared" si="9"/>
        <v>21</v>
      </c>
      <c r="P62" s="69" t="s">
        <v>10</v>
      </c>
      <c r="Q62" s="14" t="b">
        <f>IFERROR(__xludf.DUMMYFUNCTION("IF(COUNTA(P62:P147)=0,"""",IFERROR(IF(ISBLANK(P62),FALSE,IF(ISBLANK(T62),1,IF(NOT(COUNTIF($AA$24:$AA$34,SUBSTITUTE(P62,""Sell_"",""""))),1,IF(P62=""Plastic_up"",IF(V62&lt;1000,1),IF(P62=""Super_Up"",IF(OR(COUNTIF(P$4:P62,""Grandma"")-COUNTIF(P$4:P62,""Sell_G"&amp;"randma"")&lt;1,COUNTIF(P$4:P62,VLOOKUP(P62,Upgrades!$F$8:$N$8,7+COUNTIF(P$4:P62,P62)))-COUNTIF(P$4:P62,""Sell_""&amp;VLOOKUP(P62,Upgrades!$F$8:$N$8,7+COUNTIF(P$4:P62,P62)))&lt;15),1),IF(REGEXMATCH(P62,""_up""),IF(COUNTIF(P$4:P62,SUBSTITUTE(P62,""_up"",""""))&lt;IFERRO"&amp;"R(VLOOKUP(P62,Upgrades!$L$3:$P$6,1+COUNTIF(P$4:P62,P62),0),999),1),IF(REGEXMATCH(P62,""Sell_""),IF(COUNTIF(P$4:P62,SUBSTITUTE(P62,""Sell_"",""""))-COUNTIF(P$4:P61,P62)&lt;1,1),FALSE)))))))))"),FALSE)</f>
        <v>0</v>
      </c>
      <c r="R62" s="71">
        <f>IFERROR(__xludf.DUMMYFUNCTION("IF(REGEXMATCH(P62,""^Sell_""),R61, IF(COUNTA(P62:P147)=0,"""",(COUNTIF(P$4:P62,""Cursor"")-COUNTIF(P$4:P62,""Sell_Cursor""))*(0.1*2^SWITCH(COUNTIF(P$4:P62,""Cursor_up""),0,0,1,1,2,2,3)+SWITCH(COUNTIF(P$4:P62,""Cursor_up""),4,0.1,0)*(ROW(P62)-4-COUNTIF(P$4"&amp;":P62,""Cursor"")-COUNTIF(P$4:P62,""*""&amp;""_up"")-2*COUNTIF(P$4:P62,""Sell_""&amp;""*"")+COUNTIF(P$4:P62,""Sell_Cursor"")-COUNTIF(P$4:P62,"""")))+(COUNTIF(P$4:P62,""Grandma"")-COUNTIF(P$4:P62,""Sell_Grandma""))*(1*2^(COUNTIF(P$4:P62,""Grandma_up"")+COUNTIF(P$4:"&amp;"P62,""Super_up"")))+(COUNTIF(P$4:P62,""Farm"")-COUNTIF(P$4:P62,""Sell_Farm""))*(8*2^COUNTIF(P$4:P62,""Farm_up""))*IF(COUNTIF(P$4:P62,""Super_up"")&gt;0,1+0.01*(COUNTIF(P$4:P62,""Grandma"")-COUNTIF(P$4:P62,""Sell_Grandma"")),1)+(COUNTIF(P$4:P62,""Mine"")-COUN"&amp;"TIF(P$4:P62,""Sell_Mine""))*((47*2^COUNTIF(P$4:P62,""Mine_up""))*IF(COUNTIF(P$4:P62,""Super_up"")&gt;1,1+0.005*(COUNTIF(P$4:P62,""Grandma"")-COUNTIF(P$4:P62,""Sell_Grandma"")),1))+(COUNTIF(P$4:P62,""Factory"")-COUNTIF(P$4:P62,""Sell_Factory""))*(260*2^COUNTI"&amp;"F(P$4:P62,""Factory_up""))))"),315.8)</f>
        <v>315.8</v>
      </c>
      <c r="S62" s="73">
        <f>IFERROR(__xludf.DUMMYFUNCTION("IF(COUNTA(P62:P147)=0,"""",IF(REGEXMATCH(INDEX(FILTER(P$4:P62,P$4:P62&lt;&gt;""""),ROWS(FILTER(P$4:P62,P$4:P62&lt;&gt;""""))),""^Sell_""),INDEX(FILTER(S$4:S61,P$4:P61&lt;&gt;""""),ROWS(FILTER(P$4:P61,P$4:P61&lt;&gt;""""))),$AD$5*(2^SWITCH(COUNTIF(P$4:P62,""Cursor_up""),0,0,1,1,2"&amp;",2,3)+SWITCH(COUNTIF(P$4:P62,""Cursor_up""),4,0.1,0)*(ROW(P62)-4-COUNTIF(P$4:P62,""Cursor"")-COUNTIF(P$4:P62,""*""&amp;""_up"")-2*COUNTIF(P$4:P62,""Sell_""&amp;""*"")+COUNTIF(P$4:P62,""Sell_Cursor"")-COUNTIF(P$4:P62,""""))+0.01*R62*COUNTIF(P$4:P62,""Plastic_up"")"&amp;")+R62))"),395.8)</f>
        <v>395.8</v>
      </c>
      <c r="T62" s="14">
        <f>IFERROR(__xludf.DUMMYFUNCTION("IF(COUNTA(P62:P147)=0,"""",IF(REGEXMATCH(P62,""_up""),VLOOKUP(P62,Upgrades!$F$3:$J$8,1+COUNTIF(P$4:P62,P62),FALSE),IF(P62="""",0,IF(REGEXMATCH(P62,""^Sell_""),-ROUNDDOWN(ROUNDUP(INDEX(Upgrades!$C$3:$C$8,MATCH(SUBSTITUTE(P62,""Sell_"",""""),Upgrades!$B$3:$"&amp;"B$8,0))*1.15^(COUNTIF(P$4:P61,SUBSTITUTE(P62,""Sell_"",""""))-COUNTIF(P$4:P61,""Sell_""&amp;SUBSTITUTE(P62,""Sell_"",""""))))/4),ROUNDUP(INDEX(Upgrades!$C$3:$C$7,MATCH(P62,Upgrades!$B$3:$B$7,0))*1.15^(COUNTIF(P$4:P61,P62)-COUNTIF(P$4:P61,""Sell_""&amp;P62)))))))"),246.0)</f>
        <v>246</v>
      </c>
      <c r="U62" s="14">
        <f t="shared" si="10"/>
        <v>246</v>
      </c>
      <c r="V62" s="75">
        <f t="shared" si="11"/>
        <v>653364.4364</v>
      </c>
      <c r="W62" s="76">
        <f t="shared" si="12"/>
        <v>505.5312739</v>
      </c>
      <c r="X62" s="71" t="str">
        <f t="shared" si="13"/>
        <v>8m 25s</v>
      </c>
      <c r="Y62" s="77">
        <f t="shared" si="14"/>
        <v>77011</v>
      </c>
      <c r="Z62" s="17"/>
      <c r="AA62" s="13"/>
      <c r="AB62" s="13"/>
      <c r="AC62" s="13"/>
      <c r="AD62" s="13"/>
      <c r="AE62" s="13"/>
      <c r="AF62" s="13"/>
      <c r="AG62" s="13"/>
    </row>
    <row r="63">
      <c r="A63" s="12"/>
      <c r="B63" s="65">
        <f t="shared" si="2"/>
        <v>2</v>
      </c>
      <c r="C63" s="69" t="s">
        <v>18</v>
      </c>
      <c r="D63" s="14" t="b">
        <f>IFERROR(__xludf.DUMMYFUNCTION("IF(COUNTA(C63:C147)=0,"""",IFERROR(IF(ISBLANK(C63),FALSE,IF(ISBLANK(G63),1,IF(NOT(COUNTIF($AA$24:$AA$34,SUBSTITUTE(C63,""Sell_"",""""))),1,IF(C63=""Plastic_up"",IF(I63&lt;1000,1),IF(C63=""Super_Up"",IF(OR(COUNTIF(C$4:C63,""Grandma"")-COUNTIF(C$4:C63,""Sell_G"&amp;"randma"")&lt;1,COUNTIF(C$4:C63,VLOOKUP(C63,Upgrades!$F$8:$N$8,7+COUNTIF(C$4:C63,C63)))-COUNTIF(C$4:C63,""Sell_""&amp;VLOOKUP(C63,Upgrades!$F$8:$N$8,7+COUNTIF(C$4:C63,C63)))&lt;15),1),IF(REGEXMATCH(C63,""_up""),IF(COUNTIF(C$4:C63,SUBSTITUTE(C63,""_up"",""""))&lt;IFERRO"&amp;"R(VLOOKUP(C63,Upgrades!$L$3:$P$6,1+COUNTIF(C$4:C63,C63),0),999),1),IF(REGEXMATCH(C63,""Sell_""),IF(COUNTIF(C$4:C63,SUBSTITUTE(C63,""Sell_"",""""))-COUNTIF(C$4:C62,C63)&lt;1,1),FALSE)))))))))"),FALSE)</f>
        <v>0</v>
      </c>
      <c r="E63" s="71">
        <f>IFERROR(__xludf.DUMMYFUNCTION("IF(REGEXMATCH(C63,""^Sell_""),E62, IF(COUNTA(C63:C147)=0,"""",(COUNTIF(C$4:C63,""Cursor"")-COUNTIF(C$4:C63,""Sell_Cursor""))*(0.1*2^SWITCH(COUNTIF(C$4:C63,""Cursor_up""),0,0,1,1,2,2,3)+SWITCH(COUNTIF(C$4:C63,""Cursor_up""),4,0.1,0)*(ROW(C63)-4-COUNTIF(C$4"&amp;":C63,""Cursor"")-COUNTIF(C$4:C63,""*""&amp;""_up"")-2*COUNTIF(C$4:C63,""Sell_""&amp;""*"")+COUNTIF(C$4:C63,""Sell_Cursor"")-COUNTIF(C$4:C63,"""")))+(COUNTIF(C$4:C63,""Grandma"")-COUNTIF(C$4:C63,""Sell_Grandma""))*(1*2^(COUNTIF(C$4:C63,""Grandma_up"")+COUNTIF(C$4:"&amp;"C63,""Super_up"")))+(COUNTIF(C$4:C63,""Farm"")-COUNTIF(C$4:C63,""Sell_Farm""))*(8*2^COUNTIF(C$4:C63,""Farm_up""))*IF(COUNTIF(C$4:C63,""Super_up"")&gt;0,1+0.01*(COUNTIF(C$4:C63,""Grandma"")-COUNTIF(C$4:C63,""Sell_Grandma"")),1)+(COUNTIF(C$4:C63,""Mine"")-COUN"&amp;"TIF(C$4:C63,""Sell_Mine""))*((47*2^COUNTIF(C$4:C63,""Mine_up""))*IF(COUNTIF(C$4:C63,""Super_up"")&gt;1,1+0.005*(COUNTIF(C$4:C63,""Grandma"")-COUNTIF(C$4:C63,""Sell_Grandma"")),1))+(COUNTIF(C$4:C63,""Factory"")-COUNTIF(C$4:C63,""Sell_Factory""))*(260*2^COUNTI"&amp;"F(C$4:C63,""Factory_up""))))"),362.8)</f>
        <v>362.8</v>
      </c>
      <c r="F63" s="73">
        <f>IFERROR(__xludf.DUMMYFUNCTION("IF(COUNTA(C63:C147)=0,"""",IF(REGEXMATCH(INDEX(FILTER(C$4:C63,C$4:C63&lt;&gt;""""),ROWS(FILTER(C$4:C63,C$4:C63&lt;&gt;""""))),""^Sell_""),INDEX(FILTER(F$4:F62,C$4:C62&lt;&gt;""""),ROWS(FILTER(C$4:C62,C$4:C62&lt;&gt;""""))),$AC$5*(2^SWITCH(COUNTIF(C$4:C63,""Cursor_up""),0,0,1,1,2"&amp;",2,3)+SWITCH(COUNTIF(C$4:C63,""Cursor_up""),4,0.1,0)*(ROW(C63)-4-COUNTIF(C$4:C63,""Cursor"")-COUNTIF(C$4:C63,""*""&amp;""_up"")-2*COUNTIF(C$4:C63,""Sell_""&amp;""*"")+COUNTIF(C$4:C63,""Sell_Cursor"")-COUNTIF(C$4:C63,""""))+0.01*E63*COUNTIF(C$4:C63,""Plastic_up"")"&amp;")+E63))"),442.8)</f>
        <v>442.8</v>
      </c>
      <c r="G63" s="14">
        <f>IFERROR(__xludf.DUMMYFUNCTION("IF(COUNTA(C63:C147)=0,"""",IF(REGEXMATCH(C63,""_up""),VLOOKUP(C63,Upgrades!$F$3:$J$8,1+COUNTIF(C$4:C63,C63),FALSE),IF(C63="""",0,IF(REGEXMATCH(C63,""^Sell_""),-ROUNDDOWN(ROUNDUP(INDEX(Upgrades!$C$3:$C$8,MATCH(SUBSTITUTE(C63,""Sell_"",""""),Upgrades!$B$3:$"&amp;"B$8,0))*1.15^(COUNTIF(C$4:C62,SUBSTITUTE(C63,""Sell_"",""""))-COUNTIF(C$4:C62,""Sell_""&amp;SUBSTITUTE(C63,""Sell_"",""""))))/4),ROUNDUP(INDEX(Upgrades!$C$3:$C$7,MATCH(C63,Upgrades!$B$3:$B$7,0))*1.15^(COUNTIF(C$4:C62,C63)-COUNTIF(C$4:C62,""Sell_""&amp;C63)))))))"),13800.0)</f>
        <v>13800</v>
      </c>
      <c r="H63" s="14">
        <f t="shared" si="3"/>
        <v>13800</v>
      </c>
      <c r="I63" s="75">
        <f t="shared" si="4"/>
        <v>781926.623</v>
      </c>
      <c r="J63" s="76">
        <f t="shared" si="5"/>
        <v>541.4456042</v>
      </c>
      <c r="K63" s="71" t="str">
        <f t="shared" si="6"/>
        <v>9m 01s</v>
      </c>
      <c r="L63" s="77">
        <f t="shared" si="7"/>
        <v>90811</v>
      </c>
      <c r="M63" s="51">
        <f t="shared" si="8"/>
        <v>-1.04823</v>
      </c>
      <c r="N63" s="52">
        <f>IFERROR(__xludf.DUMMYFUNCTION("IFS(AND(COUNTA(C63:C147)=0,COUNTA(P63:P147)=0),"""",OR(AND(L63&gt;=1000000,OR(Y63&gt;=1000000,COUNTA(P63:P147)=0)),AND(Y63&gt;=1000000,COUNTA(C63:C147)=0),AND(COUNTA(P63:P147)=0,O$3=TRUE)),
ROUNDDOWN((AB$1-AC$1)*MAX(INDEX(S$4:S147,MATCH(LARGE(FILTER(Y$4:Y147,Y$4:Y"&amp;"147&lt;1000000),1),Y$4:Y147)),INDEX(F$4:F147,MATCH(LARGE(FILTER(L$4:L147,L$4:L147&lt;1000000),1),L$4:L147)))),AND(L63&lt;1000000,COUNTA(C63:C147)&gt;0,O$3=FALSE),
ROUNDDOWN(INDEX(Y$4:Y147,MATCH(LARGE(FILTER(W$4:W147,W$4:W147&lt;=J63),1),W$4:W147))+(J63-LARGE(FILTER(W$4:"&amp;"W147,W$4:W147&lt;=J63),1))*INDEX(S$4:S147,MATCH(LARGE(FILTER(W$4:W147,W$4:W147&lt;=J63),1),W$4:W147))-L63),1,
ROUNDDOWN(Y63-INDEX(L$4:L147,MATCH(LARGE(FILTER(J$4:J147,J$4:J147&lt;=W63),1),J$4:J147))-(W63-LARGE(FILTER(J$4:J147,J$4:J147&lt;=W63),1))*INDEX(F$4:F147,MATC"&amp;"H(LARGE(FILTER(J$4:J147,J$4:J147&lt;=W63),1),J$4:J147))))"),414.0)</f>
        <v>414</v>
      </c>
      <c r="O63" s="65">
        <f t="shared" si="9"/>
        <v>2</v>
      </c>
      <c r="P63" s="69" t="s">
        <v>18</v>
      </c>
      <c r="Q63" s="14" t="b">
        <f>IFERROR(__xludf.DUMMYFUNCTION("IF(COUNTA(P63:P147)=0,"""",IFERROR(IF(ISBLANK(P63),FALSE,IF(ISBLANK(T63),1,IF(NOT(COUNTIF($AA$24:$AA$34,SUBSTITUTE(P63,""Sell_"",""""))),1,IF(P63=""Plastic_up"",IF(V63&lt;1000,1),IF(P63=""Super_Up"",IF(OR(COUNTIF(P$4:P63,""Grandma"")-COUNTIF(P$4:P63,""Sell_G"&amp;"randma"")&lt;1,COUNTIF(P$4:P63,VLOOKUP(P63,Upgrades!$F$8:$N$8,7+COUNTIF(P$4:P63,P63)))-COUNTIF(P$4:P63,""Sell_""&amp;VLOOKUP(P63,Upgrades!$F$8:$N$8,7+COUNTIF(P$4:P63,P63)))&lt;15),1),IF(REGEXMATCH(P63,""_up""),IF(COUNTIF(P$4:P63,SUBSTITUTE(P63,""_up"",""""))&lt;IFERRO"&amp;"R(VLOOKUP(P63,Upgrades!$L$3:$P$6,1+COUNTIF(P$4:P63,P63),0),999),1),IF(REGEXMATCH(P63,""Sell_""),IF(COUNTIF(P$4:P63,SUBSTITUTE(P63,""Sell_"",""""))-COUNTIF(P$4:P62,P63)&lt;1,1),FALSE)))))))))"),FALSE)</f>
        <v>0</v>
      </c>
      <c r="R63" s="71">
        <f>IFERROR(__xludf.DUMMYFUNCTION("IF(REGEXMATCH(P63,""^Sell_""),R62, IF(COUNTA(P63:P147)=0,"""",(COUNTIF(P$4:P63,""Cursor"")-COUNTIF(P$4:P63,""Sell_Cursor""))*(0.1*2^SWITCH(COUNTIF(P$4:P63,""Cursor_up""),0,0,1,1,2,2,3)+SWITCH(COUNTIF(P$4:P63,""Cursor_up""),4,0.1,0)*(ROW(P63)-4-COUNTIF(P$4"&amp;":P63,""Cursor"")-COUNTIF(P$4:P63,""*""&amp;""_up"")-2*COUNTIF(P$4:P63,""Sell_""&amp;""*"")+COUNTIF(P$4:P63,""Sell_Cursor"")-COUNTIF(P$4:P63,"""")))+(COUNTIF(P$4:P63,""Grandma"")-COUNTIF(P$4:P63,""Sell_Grandma""))*(1*2^(COUNTIF(P$4:P63,""Grandma_up"")+COUNTIF(P$4:"&amp;"P63,""Super_up"")))+(COUNTIF(P$4:P63,""Farm"")-COUNTIF(P$4:P63,""Sell_Farm""))*(8*2^COUNTIF(P$4:P63,""Farm_up""))*IF(COUNTIF(P$4:P63,""Super_up"")&gt;0,1+0.01*(COUNTIF(P$4:P63,""Grandma"")-COUNTIF(P$4:P63,""Sell_Grandma"")),1)+(COUNTIF(P$4:P63,""Mine"")-COUN"&amp;"TIF(P$4:P63,""Sell_Mine""))*((47*2^COUNTIF(P$4:P63,""Mine_up""))*IF(COUNTIF(P$4:P63,""Super_up"")&gt;1,1+0.005*(COUNTIF(P$4:P63,""Grandma"")-COUNTIF(P$4:P63,""Sell_Grandma"")),1))+(COUNTIF(P$4:P63,""Factory"")-COUNTIF(P$4:P63,""Sell_Factory""))*(260*2^COUNTI"&amp;"F(P$4:P63,""Factory_up""))))"),362.8)</f>
        <v>362.8</v>
      </c>
      <c r="S63" s="73">
        <f>IFERROR(__xludf.DUMMYFUNCTION("IF(COUNTA(P63:P147)=0,"""",IF(REGEXMATCH(INDEX(FILTER(P$4:P63,P$4:P63&lt;&gt;""""),ROWS(FILTER(P$4:P63,P$4:P63&lt;&gt;""""))),""^Sell_""),INDEX(FILTER(S$4:S62,P$4:P62&lt;&gt;""""),ROWS(FILTER(P$4:P62,P$4:P62&lt;&gt;""""))),$AD$5*(2^SWITCH(COUNTIF(P$4:P63,""Cursor_up""),0,0,1,1,2"&amp;",2,3)+SWITCH(COUNTIF(P$4:P63,""Cursor_up""),4,0.1,0)*(ROW(P63)-4-COUNTIF(P$4:P63,""Cursor"")-COUNTIF(P$4:P63,""*""&amp;""_up"")-2*COUNTIF(P$4:P63,""Sell_""&amp;""*"")+COUNTIF(P$4:P63,""Sell_Cursor"")-COUNTIF(P$4:P63,""""))+0.01*R63*COUNTIF(P$4:P63,""Plastic_up"")"&amp;")+R63))"),442.8)</f>
        <v>442.8</v>
      </c>
      <c r="T63" s="14">
        <f>IFERROR(__xludf.DUMMYFUNCTION("IF(COUNTA(P63:P147)=0,"""",IF(REGEXMATCH(P63,""_up""),VLOOKUP(P63,Upgrades!$F$3:$J$8,1+COUNTIF(P$4:P63,P63),FALSE),IF(P63="""",0,IF(REGEXMATCH(P63,""^Sell_""),-ROUNDDOWN(ROUNDUP(INDEX(Upgrades!$C$3:$C$8,MATCH(SUBSTITUTE(P63,""Sell_"",""""),Upgrades!$B$3:$"&amp;"B$8,0))*1.15^(COUNTIF(P$4:P62,SUBSTITUTE(P63,""Sell_"",""""))-COUNTIF(P$4:P62,""Sell_""&amp;SUBSTITUTE(P63,""Sell_"",""""))))/4),ROUNDUP(INDEX(Upgrades!$C$3:$C$7,MATCH(P63,Upgrades!$B$3:$B$7,0))*1.15^(COUNTIF(P$4:P62,P63)-COUNTIF(P$4:P62,""Sell_""&amp;P63)))))))"),13800.0)</f>
        <v>13800</v>
      </c>
      <c r="U63" s="14">
        <f t="shared" si="10"/>
        <v>13800</v>
      </c>
      <c r="V63" s="75">
        <f t="shared" si="11"/>
        <v>696596.2258</v>
      </c>
      <c r="W63" s="76">
        <f t="shared" si="12"/>
        <v>540.3973679</v>
      </c>
      <c r="X63" s="71" t="str">
        <f t="shared" si="13"/>
        <v>9m 00s</v>
      </c>
      <c r="Y63" s="77">
        <f t="shared" si="14"/>
        <v>90811</v>
      </c>
      <c r="Z63" s="17"/>
      <c r="AA63" s="13"/>
      <c r="AB63" s="13"/>
      <c r="AC63" s="13"/>
      <c r="AD63" s="13"/>
      <c r="AE63" s="13"/>
      <c r="AF63" s="13"/>
      <c r="AG63" s="13"/>
    </row>
    <row r="64">
      <c r="A64" s="12"/>
      <c r="B64" s="65">
        <f t="shared" si="2"/>
        <v>12</v>
      </c>
      <c r="C64" s="69" t="s">
        <v>16</v>
      </c>
      <c r="D64" s="14" t="b">
        <f>IFERROR(__xludf.DUMMYFUNCTION("IF(COUNTA(C64:C147)=0,"""",IFERROR(IF(ISBLANK(C64),FALSE,IF(ISBLANK(G64),1,IF(NOT(COUNTIF($AA$24:$AA$34,SUBSTITUTE(C64,""Sell_"",""""))),1,IF(C64=""Plastic_up"",IF(I64&lt;1000,1),IF(C64=""Super_Up"",IF(OR(COUNTIF(C$4:C64,""Grandma"")-COUNTIF(C$4:C64,""Sell_G"&amp;"randma"")&lt;1,COUNTIF(C$4:C64,VLOOKUP(C64,Upgrades!$F$8:$N$8,7+COUNTIF(C$4:C64,C64)))-COUNTIF(C$4:C64,""Sell_""&amp;VLOOKUP(C64,Upgrades!$F$8:$N$8,7+COUNTIF(C$4:C64,C64)))&lt;15),1),IF(REGEXMATCH(C64,""_up""),IF(COUNTIF(C$4:C64,SUBSTITUTE(C64,""_up"",""""))&lt;IFERRO"&amp;"R(VLOOKUP(C64,Upgrades!$L$3:$P$6,1+COUNTIF(C$4:C64,C64),0),999),1),IF(REGEXMATCH(C64,""Sell_""),IF(COUNTIF(C$4:C64,SUBSTITUTE(C64,""Sell_"",""""))-COUNTIF(C$4:C63,C64)&lt;1,1),FALSE)))))))))"),FALSE)</f>
        <v>0</v>
      </c>
      <c r="E64" s="71">
        <f>IFERROR(__xludf.DUMMYFUNCTION("IF(REGEXMATCH(C64,""^Sell_""),E63, IF(COUNTA(C64:C147)=0,"""",(COUNTIF(C$4:C64,""Cursor"")-COUNTIF(C$4:C64,""Sell_Cursor""))*(0.1*2^SWITCH(COUNTIF(C$4:C64,""Cursor_up""),0,0,1,1,2,2,3)+SWITCH(COUNTIF(C$4:C64,""Cursor_up""),4,0.1,0)*(ROW(C64)-4-COUNTIF(C$4"&amp;":C64,""Cursor"")-COUNTIF(C$4:C64,""*""&amp;""_up"")-2*COUNTIF(C$4:C64,""Sell_""&amp;""*"")+COUNTIF(C$4:C64,""Sell_Cursor"")-COUNTIF(C$4:C64,"""")))+(COUNTIF(C$4:C64,""Grandma"")-COUNTIF(C$4:C64,""Sell_Grandma""))*(1*2^(COUNTIF(C$4:C64,""Grandma_up"")+COUNTIF(C$4:"&amp;"C64,""Super_up"")))+(COUNTIF(C$4:C64,""Farm"")-COUNTIF(C$4:C64,""Sell_Farm""))*(8*2^COUNTIF(C$4:C64,""Farm_up""))*IF(COUNTIF(C$4:C64,""Super_up"")&gt;0,1+0.01*(COUNTIF(C$4:C64,""Grandma"")-COUNTIF(C$4:C64,""Sell_Grandma"")),1)+(COUNTIF(C$4:C64,""Mine"")-COUN"&amp;"TIF(C$4:C64,""Sell_Mine""))*((47*2^COUNTIF(C$4:C64,""Mine_up""))*IF(COUNTIF(C$4:C64,""Super_up"")&gt;1,1+0.005*(COUNTIF(C$4:C64,""Grandma"")-COUNTIF(C$4:C64,""Sell_Grandma"")),1))+(COUNTIF(C$4:C64,""Factory"")-COUNTIF(C$4:C64,""Sell_Factory""))*(260*2^COUNTI"&amp;"F(C$4:C64,""Factory_up""))))"),378.8)</f>
        <v>378.8</v>
      </c>
      <c r="F64" s="73">
        <f>IFERROR(__xludf.DUMMYFUNCTION("IF(COUNTA(C64:C147)=0,"""",IF(REGEXMATCH(INDEX(FILTER(C$4:C64,C$4:C64&lt;&gt;""""),ROWS(FILTER(C$4:C64,C$4:C64&lt;&gt;""""))),""^Sell_""),INDEX(FILTER(F$4:F63,C$4:C63&lt;&gt;""""),ROWS(FILTER(C$4:C63,C$4:C63&lt;&gt;""""))),$AC$5*(2^SWITCH(COUNTIF(C$4:C64,""Cursor_up""),0,0,1,1,2"&amp;",2,3)+SWITCH(COUNTIF(C$4:C64,""Cursor_up""),4,0.1,0)*(ROW(C64)-4-COUNTIF(C$4:C64,""Cursor"")-COUNTIF(C$4:C64,""*""&amp;""_up"")-2*COUNTIF(C$4:C64,""Sell_""&amp;""*"")+COUNTIF(C$4:C64,""Sell_Cursor"")-COUNTIF(C$4:C64,""""))+0.01*E64*COUNTIF(C$4:C64,""Plastic_up"")"&amp;")+E64))"),458.8)</f>
        <v>458.8</v>
      </c>
      <c r="G64" s="14">
        <f>IFERROR(__xludf.DUMMYFUNCTION("IF(COUNTA(C64:C147)=0,"""",IF(REGEXMATCH(C64,""_up""),VLOOKUP(C64,Upgrades!$F$3:$J$8,1+COUNTIF(C$4:C64,C64),FALSE),IF(C64="""",0,IF(REGEXMATCH(C64,""^Sell_""),-ROUNDDOWN(ROUNDUP(INDEX(Upgrades!$C$3:$C$8,MATCH(SUBSTITUTE(C64,""Sell_"",""""),Upgrades!$B$3:$"&amp;"B$8,0))*1.15^(COUNTIF(C$4:C63,SUBSTITUTE(C64,""Sell_"",""""))-COUNTIF(C$4:C63,""Sell_""&amp;SUBSTITUTE(C64,""Sell_"",""""))))/4),ROUNDUP(INDEX(Upgrades!$C$3:$C$7,MATCH(C64,Upgrades!$B$3:$B$7,0))*1.15^(COUNTIF(C$4:C63,C64)-COUNTIF(C$4:C63,""Sell_""&amp;C64)))))))"),5118.0)</f>
        <v>5118</v>
      </c>
      <c r="H64" s="14">
        <f t="shared" si="3"/>
        <v>5118</v>
      </c>
      <c r="I64" s="75">
        <f t="shared" si="4"/>
        <v>826166.9326</v>
      </c>
      <c r="J64" s="76">
        <f t="shared" si="5"/>
        <v>553.0038698</v>
      </c>
      <c r="K64" s="71" t="str">
        <f t="shared" si="6"/>
        <v>9m 13s</v>
      </c>
      <c r="L64" s="77">
        <f t="shared" si="7"/>
        <v>95929</v>
      </c>
      <c r="M64" s="51">
        <f t="shared" si="8"/>
        <v>-1.04823</v>
      </c>
      <c r="N64" s="52">
        <f>IFERROR(__xludf.DUMMYFUNCTION("IFS(AND(COUNTA(C64:C147)=0,COUNTA(P64:P147)=0),"""",OR(AND(L64&gt;=1000000,OR(Y64&gt;=1000000,COUNTA(P64:P147)=0)),AND(Y64&gt;=1000000,COUNTA(C64:C147)=0),AND(COUNTA(P64:P147)=0,O$3=TRUE)),
ROUNDDOWN((AB$1-AC$1)*MAX(INDEX(S$4:S147,MATCH(LARGE(FILTER(Y$4:Y147,Y$4:Y"&amp;"147&lt;1000000),1),Y$4:Y147)),INDEX(F$4:F147,MATCH(LARGE(FILTER(L$4:L147,L$4:L147&lt;1000000),1),L$4:L147)))),AND(L64&lt;1000000,COUNTA(C64:C147)&gt;0,O$3=FALSE),
ROUNDDOWN(INDEX(Y$4:Y147,MATCH(LARGE(FILTER(W$4:W147,W$4:W147&lt;=J64),1),W$4:W147))+(J64-LARGE(FILTER(W$4:"&amp;"W147,W$4:W147&lt;=J64),1))*INDEX(S$4:S147,MATCH(LARGE(FILTER(W$4:W147,W$4:W147&lt;=J64),1),W$4:W147))-L64),1,
ROUNDDOWN(Y64-INDEX(L$4:L147,MATCH(LARGE(FILTER(J$4:J147,J$4:J147&lt;=W64),1),J$4:J147))-(W64-LARGE(FILTER(J$4:J147,J$4:J147&lt;=W64),1))*INDEX(F$4:F147,MATC"&amp;"H(LARGE(FILTER(J$4:J147,J$4:J147&lt;=W64),1),J$4:J147))))"),464.0)</f>
        <v>464</v>
      </c>
      <c r="O64" s="65">
        <f t="shared" si="9"/>
        <v>12</v>
      </c>
      <c r="P64" s="69" t="s">
        <v>16</v>
      </c>
      <c r="Q64" s="14" t="b">
        <f>IFERROR(__xludf.DUMMYFUNCTION("IF(COUNTA(P64:P147)=0,"""",IFERROR(IF(ISBLANK(P64),FALSE,IF(ISBLANK(T64),1,IF(NOT(COUNTIF($AA$24:$AA$34,SUBSTITUTE(P64,""Sell_"",""""))),1,IF(P64=""Plastic_up"",IF(V64&lt;1000,1),IF(P64=""Super_Up"",IF(OR(COUNTIF(P$4:P64,""Grandma"")-COUNTIF(P$4:P64,""Sell_G"&amp;"randma"")&lt;1,COUNTIF(P$4:P64,VLOOKUP(P64,Upgrades!$F$8:$N$8,7+COUNTIF(P$4:P64,P64)))-COUNTIF(P$4:P64,""Sell_""&amp;VLOOKUP(P64,Upgrades!$F$8:$N$8,7+COUNTIF(P$4:P64,P64)))&lt;15),1),IF(REGEXMATCH(P64,""_up""),IF(COUNTIF(P$4:P64,SUBSTITUTE(P64,""_up"",""""))&lt;IFERRO"&amp;"R(VLOOKUP(P64,Upgrades!$L$3:$P$6,1+COUNTIF(P$4:P64,P64),0),999),1),IF(REGEXMATCH(P64,""Sell_""),IF(COUNTIF(P$4:P64,SUBSTITUTE(P64,""Sell_"",""""))-COUNTIF(P$4:P63,P64)&lt;1,1),FALSE)))))))))"),FALSE)</f>
        <v>0</v>
      </c>
      <c r="R64" s="71">
        <f>IFERROR(__xludf.DUMMYFUNCTION("IF(REGEXMATCH(P64,""^Sell_""),R63, IF(COUNTA(P64:P147)=0,"""",(COUNTIF(P$4:P64,""Cursor"")-COUNTIF(P$4:P64,""Sell_Cursor""))*(0.1*2^SWITCH(COUNTIF(P$4:P64,""Cursor_up""),0,0,1,1,2,2,3)+SWITCH(COUNTIF(P$4:P64,""Cursor_up""),4,0.1,0)*(ROW(P64)-4-COUNTIF(P$4"&amp;":P64,""Cursor"")-COUNTIF(P$4:P64,""*""&amp;""_up"")-2*COUNTIF(P$4:P64,""Sell_""&amp;""*"")+COUNTIF(P$4:P64,""Sell_Cursor"")-COUNTIF(P$4:P64,"""")))+(COUNTIF(P$4:P64,""Grandma"")-COUNTIF(P$4:P64,""Sell_Grandma""))*(1*2^(COUNTIF(P$4:P64,""Grandma_up"")+COUNTIF(P$4:"&amp;"P64,""Super_up"")))+(COUNTIF(P$4:P64,""Farm"")-COUNTIF(P$4:P64,""Sell_Farm""))*(8*2^COUNTIF(P$4:P64,""Farm_up""))*IF(COUNTIF(P$4:P64,""Super_up"")&gt;0,1+0.01*(COUNTIF(P$4:P64,""Grandma"")-COUNTIF(P$4:P64,""Sell_Grandma"")),1)+(COUNTIF(P$4:P64,""Mine"")-COUN"&amp;"TIF(P$4:P64,""Sell_Mine""))*((47*2^COUNTIF(P$4:P64,""Mine_up""))*IF(COUNTIF(P$4:P64,""Super_up"")&gt;1,1+0.005*(COUNTIF(P$4:P64,""Grandma"")-COUNTIF(P$4:P64,""Sell_Grandma"")),1))+(COUNTIF(P$4:P64,""Factory"")-COUNTIF(P$4:P64,""Sell_Factory""))*(260*2^COUNTI"&amp;"F(P$4:P64,""Factory_up""))))"),378.8)</f>
        <v>378.8</v>
      </c>
      <c r="S64" s="73">
        <f>IFERROR(__xludf.DUMMYFUNCTION("IF(COUNTA(P64:P147)=0,"""",IF(REGEXMATCH(INDEX(FILTER(P$4:P64,P$4:P64&lt;&gt;""""),ROWS(FILTER(P$4:P64,P$4:P64&lt;&gt;""""))),""^Sell_""),INDEX(FILTER(S$4:S63,P$4:P63&lt;&gt;""""),ROWS(FILTER(P$4:P63,P$4:P63&lt;&gt;""""))),$AD$5*(2^SWITCH(COUNTIF(P$4:P64,""Cursor_up""),0,0,1,1,2"&amp;",2,3)+SWITCH(COUNTIF(P$4:P64,""Cursor_up""),4,0.1,0)*(ROW(P64)-4-COUNTIF(P$4:P64,""Cursor"")-COUNTIF(P$4:P64,""*""&amp;""_up"")-2*COUNTIF(P$4:P64,""Sell_""&amp;""*"")+COUNTIF(P$4:P64,""Sell_Cursor"")-COUNTIF(P$4:P64,""""))+0.01*R64*COUNTIF(P$4:P64,""Plastic_up"")"&amp;")+R64))"),458.8)</f>
        <v>458.8</v>
      </c>
      <c r="T64" s="14">
        <f>IFERROR(__xludf.DUMMYFUNCTION("IF(COUNTA(P64:P147)=0,"""",IF(REGEXMATCH(P64,""_up""),VLOOKUP(P64,Upgrades!$F$3:$J$8,1+COUNTIF(P$4:P64,P64),FALSE),IF(P64="""",0,IF(REGEXMATCH(P64,""^Sell_""),-ROUNDDOWN(ROUNDUP(INDEX(Upgrades!$C$3:$C$8,MATCH(SUBSTITUTE(P64,""Sell_"",""""),Upgrades!$B$3:$"&amp;"B$8,0))*1.15^(COUNTIF(P$4:P63,SUBSTITUTE(P64,""Sell_"",""""))-COUNTIF(P$4:P63,""Sell_""&amp;SUBSTITUTE(P64,""Sell_"",""""))))/4),ROUNDUP(INDEX(Upgrades!$C$3:$C$7,MATCH(P64,Upgrades!$B$3:$B$7,0))*1.15^(COUNTIF(P$4:P63,P64)-COUNTIF(P$4:P63,""Sell_""&amp;P64)))))))"),5118.0)</f>
        <v>5118</v>
      </c>
      <c r="U64" s="14">
        <f t="shared" si="10"/>
        <v>5118</v>
      </c>
      <c r="V64" s="75">
        <f t="shared" si="11"/>
        <v>740752.6765</v>
      </c>
      <c r="W64" s="76">
        <f t="shared" si="12"/>
        <v>551.9556334</v>
      </c>
      <c r="X64" s="71" t="str">
        <f t="shared" si="13"/>
        <v>9m 11s</v>
      </c>
      <c r="Y64" s="77">
        <f t="shared" si="14"/>
        <v>95929</v>
      </c>
      <c r="Z64" s="17"/>
      <c r="AA64" s="13"/>
      <c r="AB64" s="13"/>
      <c r="AC64" s="13"/>
      <c r="AD64" s="13"/>
      <c r="AE64" s="13"/>
      <c r="AF64" s="13"/>
      <c r="AG64" s="13"/>
    </row>
    <row r="65">
      <c r="A65" s="12"/>
      <c r="B65" s="65">
        <f t="shared" si="2"/>
        <v>20</v>
      </c>
      <c r="C65" s="69" t="s">
        <v>13</v>
      </c>
      <c r="D65" s="14" t="b">
        <f>IFERROR(__xludf.DUMMYFUNCTION("IF(COUNTA(C65:C147)=0,"""",IFERROR(IF(ISBLANK(C65),FALSE,IF(ISBLANK(G65),1,IF(NOT(COUNTIF($AA$24:$AA$34,SUBSTITUTE(C65,""Sell_"",""""))),1,IF(C65=""Plastic_up"",IF(I65&lt;1000,1),IF(C65=""Super_Up"",IF(OR(COUNTIF(C$4:C65,""Grandma"")-COUNTIF(C$4:C65,""Sell_G"&amp;"randma"")&lt;1,COUNTIF(C$4:C65,VLOOKUP(C65,Upgrades!$F$8:$N$8,7+COUNTIF(C$4:C65,C65)))-COUNTIF(C$4:C65,""Sell_""&amp;VLOOKUP(C65,Upgrades!$F$8:$N$8,7+COUNTIF(C$4:C65,C65)))&lt;15),1),IF(REGEXMATCH(C65,""_up""),IF(COUNTIF(C$4:C65,SUBSTITUTE(C65,""_up"",""""))&lt;IFERRO"&amp;"R(VLOOKUP(C65,Upgrades!$L$3:$P$6,1+COUNTIF(C$4:C65,C65),0),999),1),IF(REGEXMATCH(C65,""Sell_""),IF(COUNTIF(C$4:C65,SUBSTITUTE(C65,""Sell_"",""""))-COUNTIF(C$4:C64,C65)&lt;1,1),FALSE)))))))))"),FALSE)</f>
        <v>0</v>
      </c>
      <c r="E65" s="71">
        <f>IFERROR(__xludf.DUMMYFUNCTION("IF(REGEXMATCH(C65,""^Sell_""),E64, IF(COUNTA(C65:C147)=0,"""",(COUNTIF(C$4:C65,""Cursor"")-COUNTIF(C$4:C65,""Sell_Cursor""))*(0.1*2^SWITCH(COUNTIF(C$4:C65,""Cursor_up""),0,0,1,1,2,2,3)+SWITCH(COUNTIF(C$4:C65,""Cursor_up""),4,0.1,0)*(ROW(C65)-4-COUNTIF(C$4"&amp;":C65,""Cursor"")-COUNTIF(C$4:C65,""*""&amp;""_up"")-2*COUNTIF(C$4:C65,""Sell_""&amp;""*"")+COUNTIF(C$4:C65,""Sell_Cursor"")-COUNTIF(C$4:C65,"""")))+(COUNTIF(C$4:C65,""Grandma"")-COUNTIF(C$4:C65,""Sell_Grandma""))*(1*2^(COUNTIF(C$4:C65,""Grandma_up"")+COUNTIF(C$4:"&amp;"C65,""Super_up"")))+(COUNTIF(C$4:C65,""Farm"")-COUNTIF(C$4:C65,""Sell_Farm""))*(8*2^COUNTIF(C$4:C65,""Farm_up""))*IF(COUNTIF(C$4:C65,""Super_up"")&gt;0,1+0.01*(COUNTIF(C$4:C65,""Grandma"")-COUNTIF(C$4:C65,""Sell_Grandma"")),1)+(COUNTIF(C$4:C65,""Mine"")-COUN"&amp;"TIF(C$4:C65,""Sell_Mine""))*((47*2^COUNTIF(C$4:C65,""Mine_up""))*IF(COUNTIF(C$4:C65,""Super_up"")&gt;1,1+0.005*(COUNTIF(C$4:C65,""Grandma"")-COUNTIF(C$4:C65,""Sell_Grandma"")),1))+(COUNTIF(C$4:C65,""Factory"")-COUNTIF(C$4:C65,""Sell_Factory""))*(260*2^COUNTI"&amp;"F(C$4:C65,""Factory_up""))))"),382.8)</f>
        <v>382.8</v>
      </c>
      <c r="F65" s="73">
        <f>IFERROR(__xludf.DUMMYFUNCTION("IF(COUNTA(C65:C147)=0,"""",IF(REGEXMATCH(INDEX(FILTER(C$4:C65,C$4:C65&lt;&gt;""""),ROWS(FILTER(C$4:C65,C$4:C65&lt;&gt;""""))),""^Sell_""),INDEX(FILTER(F$4:F64,C$4:C64&lt;&gt;""""),ROWS(FILTER(C$4:C64,C$4:C64&lt;&gt;""""))),$AC$5*(2^SWITCH(COUNTIF(C$4:C65,""Cursor_up""),0,0,1,1,2"&amp;",2,3)+SWITCH(COUNTIF(C$4:C65,""Cursor_up""),4,0.1,0)*(ROW(C65)-4-COUNTIF(C$4:C65,""Cursor"")-COUNTIF(C$4:C65,""*""&amp;""_up"")-2*COUNTIF(C$4:C65,""Sell_""&amp;""*"")+COUNTIF(C$4:C65,""Sell_Cursor"")-COUNTIF(C$4:C65,""""))+0.01*E65*COUNTIF(C$4:C65,""Plastic_up"")"&amp;")+E65))"),462.8)</f>
        <v>462.8</v>
      </c>
      <c r="G65" s="14">
        <f>IFERROR(__xludf.DUMMYFUNCTION("IF(COUNTA(C65:C147)=0,"""",IF(REGEXMATCH(C65,""_up""),VLOOKUP(C65,Upgrades!$F$3:$J$8,1+COUNTIF(C$4:C65,C65),FALSE),IF(C65="""",0,IF(REGEXMATCH(C65,""^Sell_""),-ROUNDDOWN(ROUNDUP(INDEX(Upgrades!$C$3:$C$8,MATCH(SUBSTITUTE(C65,""Sell_"",""""),Upgrades!$B$3:$"&amp;"B$8,0))*1.15^(COUNTIF(C$4:C64,SUBSTITUTE(C65,""Sell_"",""""))-COUNTIF(C$4:C64,""Sell_""&amp;SUBSTITUTE(C65,""Sell_"",""""))))/4),ROUNDUP(INDEX(Upgrades!$C$3:$C$7,MATCH(C65,Upgrades!$B$3:$B$7,0))*1.15^(COUNTIF(C$4:C64,C65)-COUNTIF(C$4:C64,""Sell_""&amp;C65)))))))"),1424.0)</f>
        <v>1424</v>
      </c>
      <c r="H65" s="14">
        <f t="shared" si="3"/>
        <v>1424</v>
      </c>
      <c r="I65" s="75">
        <f t="shared" si="4"/>
        <v>870655.5421</v>
      </c>
      <c r="J65" s="76">
        <f t="shared" si="5"/>
        <v>556.1076187</v>
      </c>
      <c r="K65" s="71" t="str">
        <f t="shared" si="6"/>
        <v>9m 16s</v>
      </c>
      <c r="L65" s="77">
        <f t="shared" si="7"/>
        <v>97353</v>
      </c>
      <c r="M65" s="51">
        <f t="shared" si="8"/>
        <v>-1.04823</v>
      </c>
      <c r="N65" s="52">
        <f>IFERROR(__xludf.DUMMYFUNCTION("IFS(AND(COUNTA(C65:C147)=0,COUNTA(P65:P147)=0),"""",OR(AND(L65&gt;=1000000,OR(Y65&gt;=1000000,COUNTA(P65:P147)=0)),AND(Y65&gt;=1000000,COUNTA(C65:C147)=0),AND(COUNTA(P65:P147)=0,O$3=TRUE)),
ROUNDDOWN((AB$1-AC$1)*MAX(INDEX(S$4:S147,MATCH(LARGE(FILTER(Y$4:Y147,Y$4:Y"&amp;"147&lt;1000000),1),Y$4:Y147)),INDEX(F$4:F147,MATCH(LARGE(FILTER(L$4:L147,L$4:L147&lt;1000000),1),L$4:L147)))),AND(L65&lt;1000000,COUNTA(C65:C147)&gt;0,O$3=FALSE),
ROUNDDOWN(INDEX(Y$4:Y147,MATCH(LARGE(FILTER(W$4:W147,W$4:W147&lt;=J65),1),W$4:W147))+(J65-LARGE(FILTER(W$4:"&amp;"W147,W$4:W147&lt;=J65),1))*INDEX(S$4:S147,MATCH(LARGE(FILTER(W$4:W147,W$4:W147&lt;=J65),1),W$4:W147))-L65),1,
ROUNDDOWN(Y65-INDEX(L$4:L147,MATCH(LARGE(FILTER(J$4:J147,J$4:J147&lt;=W65),1),J$4:J147))-(W65-LARGE(FILTER(J$4:J147,J$4:J147&lt;=W65),1))*INDEX(F$4:F147,MATC"&amp;"H(LARGE(FILTER(J$4:J147,J$4:J147&lt;=W65),1),J$4:J147))))"),480.0)</f>
        <v>480</v>
      </c>
      <c r="O65" s="65">
        <f t="shared" si="9"/>
        <v>20</v>
      </c>
      <c r="P65" s="69" t="s">
        <v>13</v>
      </c>
      <c r="Q65" s="14" t="b">
        <f>IFERROR(__xludf.DUMMYFUNCTION("IF(COUNTA(P65:P147)=0,"""",IFERROR(IF(ISBLANK(P65),FALSE,IF(ISBLANK(T65),1,IF(NOT(COUNTIF($AA$24:$AA$34,SUBSTITUTE(P65,""Sell_"",""""))),1,IF(P65=""Plastic_up"",IF(V65&lt;1000,1),IF(P65=""Super_Up"",IF(OR(COUNTIF(P$4:P65,""Grandma"")-COUNTIF(P$4:P65,""Sell_G"&amp;"randma"")&lt;1,COUNTIF(P$4:P65,VLOOKUP(P65,Upgrades!$F$8:$N$8,7+COUNTIF(P$4:P65,P65)))-COUNTIF(P$4:P65,""Sell_""&amp;VLOOKUP(P65,Upgrades!$F$8:$N$8,7+COUNTIF(P$4:P65,P65)))&lt;15),1),IF(REGEXMATCH(P65,""_up""),IF(COUNTIF(P$4:P65,SUBSTITUTE(P65,""_up"",""""))&lt;IFERRO"&amp;"R(VLOOKUP(P65,Upgrades!$L$3:$P$6,1+COUNTIF(P$4:P65,P65),0),999),1),IF(REGEXMATCH(P65,""Sell_""),IF(COUNTIF(P$4:P65,SUBSTITUTE(P65,""Sell_"",""""))-COUNTIF(P$4:P64,P65)&lt;1,1),FALSE)))))))))"),FALSE)</f>
        <v>0</v>
      </c>
      <c r="R65" s="71">
        <f>IFERROR(__xludf.DUMMYFUNCTION("IF(REGEXMATCH(P65,""^Sell_""),R64, IF(COUNTA(P65:P147)=0,"""",(COUNTIF(P$4:P65,""Cursor"")-COUNTIF(P$4:P65,""Sell_Cursor""))*(0.1*2^SWITCH(COUNTIF(P$4:P65,""Cursor_up""),0,0,1,1,2,2,3)+SWITCH(COUNTIF(P$4:P65,""Cursor_up""),4,0.1,0)*(ROW(P65)-4-COUNTIF(P$4"&amp;":P65,""Cursor"")-COUNTIF(P$4:P65,""*""&amp;""_up"")-2*COUNTIF(P$4:P65,""Sell_""&amp;""*"")+COUNTIF(P$4:P65,""Sell_Cursor"")-COUNTIF(P$4:P65,"""")))+(COUNTIF(P$4:P65,""Grandma"")-COUNTIF(P$4:P65,""Sell_Grandma""))*(1*2^(COUNTIF(P$4:P65,""Grandma_up"")+COUNTIF(P$4:"&amp;"P65,""Super_up"")))+(COUNTIF(P$4:P65,""Farm"")-COUNTIF(P$4:P65,""Sell_Farm""))*(8*2^COUNTIF(P$4:P65,""Farm_up""))*IF(COUNTIF(P$4:P65,""Super_up"")&gt;0,1+0.01*(COUNTIF(P$4:P65,""Grandma"")-COUNTIF(P$4:P65,""Sell_Grandma"")),1)+(COUNTIF(P$4:P65,""Mine"")-COUN"&amp;"TIF(P$4:P65,""Sell_Mine""))*((47*2^COUNTIF(P$4:P65,""Mine_up""))*IF(COUNTIF(P$4:P65,""Super_up"")&gt;1,1+0.005*(COUNTIF(P$4:P65,""Grandma"")-COUNTIF(P$4:P65,""Sell_Grandma"")),1))+(COUNTIF(P$4:P65,""Factory"")-COUNTIF(P$4:P65,""Sell_Factory""))*(260*2^COUNTI"&amp;"F(P$4:P65,""Factory_up""))))"),382.8)</f>
        <v>382.8</v>
      </c>
      <c r="S65" s="73">
        <f>IFERROR(__xludf.DUMMYFUNCTION("IF(COUNTA(P65:P147)=0,"""",IF(REGEXMATCH(INDEX(FILTER(P$4:P65,P$4:P65&lt;&gt;""""),ROWS(FILTER(P$4:P65,P$4:P65&lt;&gt;""""))),""^Sell_""),INDEX(FILTER(S$4:S64,P$4:P64&lt;&gt;""""),ROWS(FILTER(P$4:P64,P$4:P64&lt;&gt;""""))),$AD$5*(2^SWITCH(COUNTIF(P$4:P65,""Cursor_up""),0,0,1,1,2"&amp;",2,3)+SWITCH(COUNTIF(P$4:P65,""Cursor_up""),4,0.1,0)*(ROW(P65)-4-COUNTIF(P$4:P65,""Cursor"")-COUNTIF(P$4:P65,""*""&amp;""_up"")-2*COUNTIF(P$4:P65,""Sell_""&amp;""*"")+COUNTIF(P$4:P65,""Sell_Cursor"")-COUNTIF(P$4:P65,""""))+0.01*R65*COUNTIF(P$4:P65,""Plastic_up"")"&amp;")+R65))"),462.8)</f>
        <v>462.8</v>
      </c>
      <c r="T65" s="14">
        <f>IFERROR(__xludf.DUMMYFUNCTION("IF(COUNTA(P65:P147)=0,"""",IF(REGEXMATCH(P65,""_up""),VLOOKUP(P65,Upgrades!$F$3:$J$8,1+COUNTIF(P$4:P65,P65),FALSE),IF(P65="""",0,IF(REGEXMATCH(P65,""^Sell_""),-ROUNDDOWN(ROUNDUP(INDEX(Upgrades!$C$3:$C$8,MATCH(SUBSTITUTE(P65,""Sell_"",""""),Upgrades!$B$3:$"&amp;"B$8,0))*1.15^(COUNTIF(P$4:P64,SUBSTITUTE(P65,""Sell_"",""""))-COUNTIF(P$4:P64,""Sell_""&amp;SUBSTITUTE(P65,""Sell_"",""""))))/4),ROUNDUP(INDEX(Upgrades!$C$3:$C$7,MATCH(P65,Upgrades!$B$3:$B$7,0))*1.15^(COUNTIF(P$4:P64,P65)-COUNTIF(P$4:P64,""Sell_""&amp;P65)))))))"),1424.0)</f>
        <v>1424</v>
      </c>
      <c r="U65" s="14">
        <f t="shared" si="10"/>
        <v>1424</v>
      </c>
      <c r="V65" s="75">
        <f t="shared" si="11"/>
        <v>785157.4271</v>
      </c>
      <c r="W65" s="76">
        <f t="shared" si="12"/>
        <v>555.0593824</v>
      </c>
      <c r="X65" s="71" t="str">
        <f t="shared" si="13"/>
        <v>9m 15s</v>
      </c>
      <c r="Y65" s="77">
        <f t="shared" si="14"/>
        <v>97353</v>
      </c>
      <c r="Z65" s="17"/>
      <c r="AA65" s="13"/>
      <c r="AB65" s="13"/>
      <c r="AC65" s="13"/>
      <c r="AD65" s="13"/>
      <c r="AE65" s="13"/>
      <c r="AF65" s="13"/>
      <c r="AG65" s="13"/>
    </row>
    <row r="66">
      <c r="A66" s="12"/>
      <c r="B66" s="65">
        <f t="shared" si="2"/>
        <v>13</v>
      </c>
      <c r="C66" s="69" t="s">
        <v>16</v>
      </c>
      <c r="D66" s="14" t="b">
        <f>IFERROR(__xludf.DUMMYFUNCTION("IF(COUNTA(C66:C147)=0,"""",IFERROR(IF(ISBLANK(C66),FALSE,IF(ISBLANK(G66),1,IF(NOT(COUNTIF($AA$24:$AA$34,SUBSTITUTE(C66,""Sell_"",""""))),1,IF(C66=""Plastic_up"",IF(I66&lt;1000,1),IF(C66=""Super_Up"",IF(OR(COUNTIF(C$4:C66,""Grandma"")-COUNTIF(C$4:C66,""Sell_G"&amp;"randma"")&lt;1,COUNTIF(C$4:C66,VLOOKUP(C66,Upgrades!$F$8:$N$8,7+COUNTIF(C$4:C66,C66)))-COUNTIF(C$4:C66,""Sell_""&amp;VLOOKUP(C66,Upgrades!$F$8:$N$8,7+COUNTIF(C$4:C66,C66)))&lt;15),1),IF(REGEXMATCH(C66,""_up""),IF(COUNTIF(C$4:C66,SUBSTITUTE(C66,""_up"",""""))&lt;IFERRO"&amp;"R(VLOOKUP(C66,Upgrades!$L$3:$P$6,1+COUNTIF(C$4:C66,C66),0),999),1),IF(REGEXMATCH(C66,""Sell_""),IF(COUNTIF(C$4:C66,SUBSTITUTE(C66,""Sell_"",""""))-COUNTIF(C$4:C65,C66)&lt;1,1),FALSE)))))))))"),FALSE)</f>
        <v>0</v>
      </c>
      <c r="E66" s="71">
        <f>IFERROR(__xludf.DUMMYFUNCTION("IF(REGEXMATCH(C66,""^Sell_""),E65, IF(COUNTA(C66:C147)=0,"""",(COUNTIF(C$4:C66,""Cursor"")-COUNTIF(C$4:C66,""Sell_Cursor""))*(0.1*2^SWITCH(COUNTIF(C$4:C66,""Cursor_up""),0,0,1,1,2,2,3)+SWITCH(COUNTIF(C$4:C66,""Cursor_up""),4,0.1,0)*(ROW(C66)-4-COUNTIF(C$4"&amp;":C66,""Cursor"")-COUNTIF(C$4:C66,""*""&amp;""_up"")-2*COUNTIF(C$4:C66,""Sell_""&amp;""*"")+COUNTIF(C$4:C66,""Sell_Cursor"")-COUNTIF(C$4:C66,"""")))+(COUNTIF(C$4:C66,""Grandma"")-COUNTIF(C$4:C66,""Sell_Grandma""))*(1*2^(COUNTIF(C$4:C66,""Grandma_up"")+COUNTIF(C$4:"&amp;"C66,""Super_up"")))+(COUNTIF(C$4:C66,""Farm"")-COUNTIF(C$4:C66,""Sell_Farm""))*(8*2^COUNTIF(C$4:C66,""Farm_up""))*IF(COUNTIF(C$4:C66,""Super_up"")&gt;0,1+0.01*(COUNTIF(C$4:C66,""Grandma"")-COUNTIF(C$4:C66,""Sell_Grandma"")),1)+(COUNTIF(C$4:C66,""Mine"")-COUN"&amp;"TIF(C$4:C66,""Sell_Mine""))*((47*2^COUNTIF(C$4:C66,""Mine_up""))*IF(COUNTIF(C$4:C66,""Super_up"")&gt;1,1+0.005*(COUNTIF(C$4:C66,""Grandma"")-COUNTIF(C$4:C66,""Sell_Grandma"")),1))+(COUNTIF(C$4:C66,""Factory"")-COUNTIF(C$4:C66,""Sell_Factory""))*(260*2^COUNTI"&amp;"F(C$4:C66,""Factory_up""))))"),398.8)</f>
        <v>398.8</v>
      </c>
      <c r="F66" s="73">
        <f>IFERROR(__xludf.DUMMYFUNCTION("IF(COUNTA(C66:C147)=0,"""",IF(REGEXMATCH(INDEX(FILTER(C$4:C66,C$4:C66&lt;&gt;""""),ROWS(FILTER(C$4:C66,C$4:C66&lt;&gt;""""))),""^Sell_""),INDEX(FILTER(F$4:F65,C$4:C65&lt;&gt;""""),ROWS(FILTER(C$4:C65,C$4:C65&lt;&gt;""""))),$AC$5*(2^SWITCH(COUNTIF(C$4:C66,""Cursor_up""),0,0,1,1,2"&amp;",2,3)+SWITCH(COUNTIF(C$4:C66,""Cursor_up""),4,0.1,0)*(ROW(C66)-4-COUNTIF(C$4:C66,""Cursor"")-COUNTIF(C$4:C66,""*""&amp;""_up"")-2*COUNTIF(C$4:C66,""Sell_""&amp;""*"")+COUNTIF(C$4:C66,""Sell_Cursor"")-COUNTIF(C$4:C66,""""))+0.01*E66*COUNTIF(C$4:C66,""Plastic_up"")"&amp;")+E66))"),478.8)</f>
        <v>478.8</v>
      </c>
      <c r="G66" s="14">
        <f>IFERROR(__xludf.DUMMYFUNCTION("IF(COUNTA(C66:C147)=0,"""",IF(REGEXMATCH(C66,""_up""),VLOOKUP(C66,Upgrades!$F$3:$J$8,1+COUNTIF(C$4:C66,C66),FALSE),IF(C66="""",0,IF(REGEXMATCH(C66,""^Sell_""),-ROUNDDOWN(ROUNDUP(INDEX(Upgrades!$C$3:$C$8,MATCH(SUBSTITUTE(C66,""Sell_"",""""),Upgrades!$B$3:$"&amp;"B$8,0))*1.15^(COUNTIF(C$4:C65,SUBSTITUTE(C66,""Sell_"",""""))-COUNTIF(C$4:C65,""Sell_""&amp;SUBSTITUTE(C66,""Sell_"",""""))))/4),ROUNDUP(INDEX(Upgrades!$C$3:$C$7,MATCH(C66,Upgrades!$B$3:$B$7,0))*1.15^(COUNTIF(C$4:C65,C66)-COUNTIF(C$4:C65,""Sell_""&amp;C66)))))))"),5886.0)</f>
        <v>5886</v>
      </c>
      <c r="H66" s="14">
        <f t="shared" si="3"/>
        <v>5886</v>
      </c>
      <c r="I66" s="75">
        <f t="shared" si="4"/>
        <v>916161.6106</v>
      </c>
      <c r="J66" s="76">
        <f t="shared" si="5"/>
        <v>568.8258555</v>
      </c>
      <c r="K66" s="71" t="str">
        <f t="shared" si="6"/>
        <v>9m 28s</v>
      </c>
      <c r="L66" s="77">
        <f t="shared" si="7"/>
        <v>103239</v>
      </c>
      <c r="M66" s="51">
        <f t="shared" si="8"/>
        <v>-1.04823</v>
      </c>
      <c r="N66" s="52">
        <f>IFERROR(__xludf.DUMMYFUNCTION("IFS(AND(COUNTA(C66:C147)=0,COUNTA(P66:P147)=0),"""",OR(AND(L66&gt;=1000000,OR(Y66&gt;=1000000,COUNTA(P66:P147)=0)),AND(Y66&gt;=1000000,COUNTA(C66:C147)=0),AND(COUNTA(P66:P147)=0,O$3=TRUE)),
ROUNDDOWN((AB$1-AC$1)*MAX(INDEX(S$4:S147,MATCH(LARGE(FILTER(Y$4:Y147,Y$4:Y"&amp;"147&lt;1000000),1),Y$4:Y147)),INDEX(F$4:F147,MATCH(LARGE(FILTER(L$4:L147,L$4:L147&lt;1000000),1),L$4:L147)))),AND(L66&lt;1000000,COUNTA(C66:C147)&gt;0,O$3=FALSE),
ROUNDDOWN(INDEX(Y$4:Y147,MATCH(LARGE(FILTER(W$4:W147,W$4:W147&lt;=J66),1),W$4:W147))+(J66-LARGE(FILTER(W$4:"&amp;"W147,W$4:W147&lt;=J66),1))*INDEX(S$4:S147,MATCH(LARGE(FILTER(W$4:W147,W$4:W147&lt;=J66),1),W$4:W147))-L66),1,
ROUNDDOWN(Y66-INDEX(L$4:L147,MATCH(LARGE(FILTER(J$4:J147,J$4:J147&lt;=W66),1),J$4:J147))-(W66-LARGE(FILTER(J$4:J147,J$4:J147&lt;=W66),1))*INDEX(F$4:F147,MATC"&amp;"H(LARGE(FILTER(J$4:J147,J$4:J147&lt;=W66),1),J$4:J147))))"),485.0)</f>
        <v>485</v>
      </c>
      <c r="O66" s="65">
        <f t="shared" si="9"/>
        <v>13</v>
      </c>
      <c r="P66" s="69" t="s">
        <v>16</v>
      </c>
      <c r="Q66" s="14" t="b">
        <f>IFERROR(__xludf.DUMMYFUNCTION("IF(COUNTA(P66:P147)=0,"""",IFERROR(IF(ISBLANK(P66),FALSE,IF(ISBLANK(T66),1,IF(NOT(COUNTIF($AA$24:$AA$34,SUBSTITUTE(P66,""Sell_"",""""))),1,IF(P66=""Plastic_up"",IF(V66&lt;1000,1),IF(P66=""Super_Up"",IF(OR(COUNTIF(P$4:P66,""Grandma"")-COUNTIF(P$4:P66,""Sell_G"&amp;"randma"")&lt;1,COUNTIF(P$4:P66,VLOOKUP(P66,Upgrades!$F$8:$N$8,7+COUNTIF(P$4:P66,P66)))-COUNTIF(P$4:P66,""Sell_""&amp;VLOOKUP(P66,Upgrades!$F$8:$N$8,7+COUNTIF(P$4:P66,P66)))&lt;15),1),IF(REGEXMATCH(P66,""_up""),IF(COUNTIF(P$4:P66,SUBSTITUTE(P66,""_up"",""""))&lt;IFERRO"&amp;"R(VLOOKUP(P66,Upgrades!$L$3:$P$6,1+COUNTIF(P$4:P66,P66),0),999),1),IF(REGEXMATCH(P66,""Sell_""),IF(COUNTIF(P$4:P66,SUBSTITUTE(P66,""Sell_"",""""))-COUNTIF(P$4:P65,P66)&lt;1,1),FALSE)))))))))"),FALSE)</f>
        <v>0</v>
      </c>
      <c r="R66" s="71">
        <f>IFERROR(__xludf.DUMMYFUNCTION("IF(REGEXMATCH(P66,""^Sell_""),R65, IF(COUNTA(P66:P147)=0,"""",(COUNTIF(P$4:P66,""Cursor"")-COUNTIF(P$4:P66,""Sell_Cursor""))*(0.1*2^SWITCH(COUNTIF(P$4:P66,""Cursor_up""),0,0,1,1,2,2,3)+SWITCH(COUNTIF(P$4:P66,""Cursor_up""),4,0.1,0)*(ROW(P66)-4-COUNTIF(P$4"&amp;":P66,""Cursor"")-COUNTIF(P$4:P66,""*""&amp;""_up"")-2*COUNTIF(P$4:P66,""Sell_""&amp;""*"")+COUNTIF(P$4:P66,""Sell_Cursor"")-COUNTIF(P$4:P66,"""")))+(COUNTIF(P$4:P66,""Grandma"")-COUNTIF(P$4:P66,""Sell_Grandma""))*(1*2^(COUNTIF(P$4:P66,""Grandma_up"")+COUNTIF(P$4:"&amp;"P66,""Super_up"")))+(COUNTIF(P$4:P66,""Farm"")-COUNTIF(P$4:P66,""Sell_Farm""))*(8*2^COUNTIF(P$4:P66,""Farm_up""))*IF(COUNTIF(P$4:P66,""Super_up"")&gt;0,1+0.01*(COUNTIF(P$4:P66,""Grandma"")-COUNTIF(P$4:P66,""Sell_Grandma"")),1)+(COUNTIF(P$4:P66,""Mine"")-COUN"&amp;"TIF(P$4:P66,""Sell_Mine""))*((47*2^COUNTIF(P$4:P66,""Mine_up""))*IF(COUNTIF(P$4:P66,""Super_up"")&gt;1,1+0.005*(COUNTIF(P$4:P66,""Grandma"")-COUNTIF(P$4:P66,""Sell_Grandma"")),1))+(COUNTIF(P$4:P66,""Factory"")-COUNTIF(P$4:P66,""Sell_Factory""))*(260*2^COUNTI"&amp;"F(P$4:P66,""Factory_up""))))"),398.8)</f>
        <v>398.8</v>
      </c>
      <c r="S66" s="73">
        <f>IFERROR(__xludf.DUMMYFUNCTION("IF(COUNTA(P66:P147)=0,"""",IF(REGEXMATCH(INDEX(FILTER(P$4:P66,P$4:P66&lt;&gt;""""),ROWS(FILTER(P$4:P66,P$4:P66&lt;&gt;""""))),""^Sell_""),INDEX(FILTER(S$4:S65,P$4:P65&lt;&gt;""""),ROWS(FILTER(P$4:P65,P$4:P65&lt;&gt;""""))),$AD$5*(2^SWITCH(COUNTIF(P$4:P66,""Cursor_up""),0,0,1,1,2"&amp;",2,3)+SWITCH(COUNTIF(P$4:P66,""Cursor_up""),4,0.1,0)*(ROW(P66)-4-COUNTIF(P$4:P66,""Cursor"")-COUNTIF(P$4:P66,""*""&amp;""_up"")-2*COUNTIF(P$4:P66,""Sell_""&amp;""*"")+COUNTIF(P$4:P66,""Sell_Cursor"")-COUNTIF(P$4:P66,""""))+0.01*R66*COUNTIF(P$4:P66,""Plastic_up"")"&amp;")+R66))"),478.8)</f>
        <v>478.8</v>
      </c>
      <c r="T66" s="14">
        <f>IFERROR(__xludf.DUMMYFUNCTION("IF(COUNTA(P66:P147)=0,"""",IF(REGEXMATCH(P66,""_up""),VLOOKUP(P66,Upgrades!$F$3:$J$8,1+COUNTIF(P$4:P66,P66),FALSE),IF(P66="""",0,IF(REGEXMATCH(P66,""^Sell_""),-ROUNDDOWN(ROUNDUP(INDEX(Upgrades!$C$3:$C$8,MATCH(SUBSTITUTE(P66,""Sell_"",""""),Upgrades!$B$3:$"&amp;"B$8,0))*1.15^(COUNTIF(P$4:P65,SUBSTITUTE(P66,""Sell_"",""""))-COUNTIF(P$4:P65,""Sell_""&amp;SUBSTITUTE(P66,""Sell_"",""""))))/4),ROUNDUP(INDEX(Upgrades!$C$3:$C$7,MATCH(P66,Upgrades!$B$3:$B$7,0))*1.15^(COUNTIF(P$4:P65,P66)-COUNTIF(P$4:P65,""Sell_""&amp;P66)))))))"),5886.0)</f>
        <v>5886</v>
      </c>
      <c r="U66" s="14">
        <f t="shared" si="10"/>
        <v>5886</v>
      </c>
      <c r="V66" s="75">
        <f t="shared" si="11"/>
        <v>830579.6366</v>
      </c>
      <c r="W66" s="76">
        <f t="shared" si="12"/>
        <v>567.7776192</v>
      </c>
      <c r="X66" s="71" t="str">
        <f t="shared" si="13"/>
        <v>9m 27s</v>
      </c>
      <c r="Y66" s="77">
        <f t="shared" si="14"/>
        <v>103239</v>
      </c>
      <c r="Z66" s="17"/>
      <c r="AA66" s="13"/>
      <c r="AB66" s="13"/>
      <c r="AC66" s="13"/>
      <c r="AD66" s="13"/>
      <c r="AE66" s="13"/>
      <c r="AF66" s="13"/>
      <c r="AG66" s="13"/>
    </row>
    <row r="67">
      <c r="A67" s="12"/>
      <c r="B67" s="65">
        <f t="shared" si="2"/>
        <v>2</v>
      </c>
      <c r="C67" s="69" t="s">
        <v>17</v>
      </c>
      <c r="D67" s="14" t="b">
        <f>IFERROR(__xludf.DUMMYFUNCTION("IF(COUNTA(C67:C147)=0,"""",IFERROR(IF(ISBLANK(C67),FALSE,IF(ISBLANK(G67),1,IF(NOT(COUNTIF($AA$24:$AA$34,SUBSTITUTE(C67,""Sell_"",""""))),1,IF(C67=""Plastic_up"",IF(I67&lt;1000,1),IF(C67=""Super_Up"",IF(OR(COUNTIF(C$4:C67,""Grandma"")-COUNTIF(C$4:C67,""Sell_G"&amp;"randma"")&lt;1,COUNTIF(C$4:C67,VLOOKUP(C67,Upgrades!$F$8:$N$8,7+COUNTIF(C$4:C67,C67)))-COUNTIF(C$4:C67,""Sell_""&amp;VLOOKUP(C67,Upgrades!$F$8:$N$8,7+COUNTIF(C$4:C67,C67)))&lt;15),1),IF(REGEXMATCH(C67,""_up""),IF(COUNTIF(C$4:C67,SUBSTITUTE(C67,""_up"",""""))&lt;IFERRO"&amp;"R(VLOOKUP(C67,Upgrades!$L$3:$P$6,1+COUNTIF(C$4:C67,C67),0),999),1),IF(REGEXMATCH(C67,""Sell_""),IF(COUNTIF(C$4:C67,SUBSTITUTE(C67,""Sell_"",""""))-COUNTIF(C$4:C66,C67)&lt;1,1),FALSE)))))))))"),FALSE)</f>
        <v>0</v>
      </c>
      <c r="E67" s="71">
        <f>IFERROR(__xludf.DUMMYFUNCTION("IF(REGEXMATCH(C67,""^Sell_""),E66, IF(COUNTA(C67:C147)=0,"""",(COUNTIF(C$4:C67,""Cursor"")-COUNTIF(C$4:C67,""Sell_Cursor""))*(0.1*2^SWITCH(COUNTIF(C$4:C67,""Cursor_up""),0,0,1,1,2,2,3)+SWITCH(COUNTIF(C$4:C67,""Cursor_up""),4,0.1,0)*(ROW(C67)-4-COUNTIF(C$4"&amp;":C67,""Cursor"")-COUNTIF(C$4:C67,""*""&amp;""_up"")-2*COUNTIF(C$4:C67,""Sell_""&amp;""*"")+COUNTIF(C$4:C67,""Sell_Cursor"")-COUNTIF(C$4:C67,"""")))+(COUNTIF(C$4:C67,""Grandma"")-COUNTIF(C$4:C67,""Sell_Grandma""))*(1*2^(COUNTIF(C$4:C67,""Grandma_up"")+COUNTIF(C$4:"&amp;"C67,""Super_up"")))+(COUNTIF(C$4:C67,""Farm"")-COUNTIF(C$4:C67,""Sell_Farm""))*(8*2^COUNTIF(C$4:C67,""Farm_up""))*IF(COUNTIF(C$4:C67,""Super_up"")&gt;0,1+0.01*(COUNTIF(C$4:C67,""Grandma"")-COUNTIF(C$4:C67,""Sell_Grandma"")),1)+(COUNTIF(C$4:C67,""Mine"")-COUN"&amp;"TIF(C$4:C67,""Sell_Mine""))*((47*2^COUNTIF(C$4:C67,""Mine_up""))*IF(COUNTIF(C$4:C67,""Super_up"")&gt;1,1+0.005*(COUNTIF(C$4:C67,""Grandma"")-COUNTIF(C$4:C67,""Sell_Grandma"")),1))+(COUNTIF(C$4:C67,""Factory"")-COUNTIF(C$4:C67,""Sell_Factory""))*(260*2^COUNTI"&amp;"F(C$4:C67,""Factory_up""))))"),606.8)</f>
        <v>606.8</v>
      </c>
      <c r="F67" s="73">
        <f>IFERROR(__xludf.DUMMYFUNCTION("IF(COUNTA(C67:C147)=0,"""",IF(REGEXMATCH(INDEX(FILTER(C$4:C67,C$4:C67&lt;&gt;""""),ROWS(FILTER(C$4:C67,C$4:C67&lt;&gt;""""))),""^Sell_""),INDEX(FILTER(F$4:F66,C$4:C66&lt;&gt;""""),ROWS(FILTER(C$4:C66,C$4:C66&lt;&gt;""""))),$AC$5*(2^SWITCH(COUNTIF(C$4:C67,""Cursor_up""),0,0,1,1,2"&amp;",2,3)+SWITCH(COUNTIF(C$4:C67,""Cursor_up""),4,0.1,0)*(ROW(C67)-4-COUNTIF(C$4:C67,""Cursor"")-COUNTIF(C$4:C67,""*""&amp;""_up"")-2*COUNTIF(C$4:C67,""Sell_""&amp;""*"")+COUNTIF(C$4:C67,""Sell_Cursor"")-COUNTIF(C$4:C67,""""))+0.01*E67*COUNTIF(C$4:C67,""Plastic_up"")"&amp;")+E67))"),686.8)</f>
        <v>686.8</v>
      </c>
      <c r="G67" s="14">
        <f>IFERROR(__xludf.DUMMYFUNCTION("IF(COUNTA(C67:C147)=0,"""",IF(REGEXMATCH(C67,""_up""),VLOOKUP(C67,Upgrades!$F$3:$J$8,1+COUNTIF(C$4:C67,C67),FALSE),IF(C67="""",0,IF(REGEXMATCH(C67,""^Sell_""),-ROUNDDOWN(ROUNDUP(INDEX(Upgrades!$C$3:$C$8,MATCH(SUBSTITUTE(C67,""Sell_"",""""),Upgrades!$B$3:$"&amp;"B$8,0))*1.15^(COUNTIF(C$4:C66,SUBSTITUTE(C67,""Sell_"",""""))-COUNTIF(C$4:C66,""Sell_""&amp;SUBSTITUTE(C67,""Sell_"",""""))))/4),ROUNDUP(INDEX(Upgrades!$C$3:$C$7,MATCH(C67,Upgrades!$B$3:$B$7,0))*1.15^(COUNTIF(C$4:C66,C67)-COUNTIF(C$4:C66,""Sell_""&amp;C67)))))))"),55000.0)</f>
        <v>55000</v>
      </c>
      <c r="H67" s="14">
        <f t="shared" si="3"/>
        <v>55000</v>
      </c>
      <c r="I67" s="75">
        <f t="shared" si="4"/>
        <v>970857.3198</v>
      </c>
      <c r="J67" s="76">
        <f t="shared" si="5"/>
        <v>683.6963651</v>
      </c>
      <c r="K67" s="71" t="str">
        <f t="shared" si="6"/>
        <v>11m 23s</v>
      </c>
      <c r="L67" s="77">
        <f t="shared" si="7"/>
        <v>158239</v>
      </c>
      <c r="M67" s="51">
        <f t="shared" si="8"/>
        <v>-1.04823</v>
      </c>
      <c r="N67" s="52">
        <f>IFERROR(__xludf.DUMMYFUNCTION("IFS(AND(COUNTA(C67:C147)=0,COUNTA(P67:P147)=0),"""",OR(AND(L67&gt;=1000000,OR(Y67&gt;=1000000,COUNTA(P67:P147)=0)),AND(Y67&gt;=1000000,COUNTA(C67:C147)=0),AND(COUNTA(P67:P147)=0,O$3=TRUE)),
ROUNDDOWN((AB$1-AC$1)*MAX(INDEX(S$4:S147,MATCH(LARGE(FILTER(Y$4:Y147,Y$4:Y"&amp;"147&lt;1000000),1),Y$4:Y147)),INDEX(F$4:F147,MATCH(LARGE(FILTER(L$4:L147,L$4:L147&lt;1000000),1),L$4:L147)))),AND(L67&lt;1000000,COUNTA(C67:C147)&gt;0,O$3=FALSE),
ROUNDDOWN(INDEX(Y$4:Y147,MATCH(LARGE(FILTER(W$4:W147,W$4:W147&lt;=J67),1),W$4:W147))+(J67-LARGE(FILTER(W$4:"&amp;"W147,W$4:W147&lt;=J67),1))*INDEX(S$4:S147,MATCH(LARGE(FILTER(W$4:W147,W$4:W147&lt;=J67),1),W$4:W147))-L67),1,
ROUNDDOWN(Y67-INDEX(L$4:L147,MATCH(LARGE(FILTER(J$4:J147,J$4:J147&lt;=W67),1),J$4:J147))-(W67-LARGE(FILTER(J$4:J147,J$4:J147&lt;=W67),1))*INDEX(F$4:F147,MATC"&amp;"H(LARGE(FILTER(J$4:J147,J$4:J147&lt;=W67),1),J$4:J147))))"),501.0)</f>
        <v>501</v>
      </c>
      <c r="O67" s="65">
        <f t="shared" si="9"/>
        <v>2</v>
      </c>
      <c r="P67" s="69" t="s">
        <v>17</v>
      </c>
      <c r="Q67" s="14" t="b">
        <f>IFERROR(__xludf.DUMMYFUNCTION("IF(COUNTA(P67:P147)=0,"""",IFERROR(IF(ISBLANK(P67),FALSE,IF(ISBLANK(T67),1,IF(NOT(COUNTIF($AA$24:$AA$34,SUBSTITUTE(P67,""Sell_"",""""))),1,IF(P67=""Plastic_up"",IF(V67&lt;1000,1),IF(P67=""Super_Up"",IF(OR(COUNTIF(P$4:P67,""Grandma"")-COUNTIF(P$4:P67,""Sell_G"&amp;"randma"")&lt;1,COUNTIF(P$4:P67,VLOOKUP(P67,Upgrades!$F$8:$N$8,7+COUNTIF(P$4:P67,P67)))-COUNTIF(P$4:P67,""Sell_""&amp;VLOOKUP(P67,Upgrades!$F$8:$N$8,7+COUNTIF(P$4:P67,P67)))&lt;15),1),IF(REGEXMATCH(P67,""_up""),IF(COUNTIF(P$4:P67,SUBSTITUTE(P67,""_up"",""""))&lt;IFERRO"&amp;"R(VLOOKUP(P67,Upgrades!$L$3:$P$6,1+COUNTIF(P$4:P67,P67),0),999),1),IF(REGEXMATCH(P67,""Sell_""),IF(COUNTIF(P$4:P67,SUBSTITUTE(P67,""Sell_"",""""))-COUNTIF(P$4:P66,P67)&lt;1,1),FALSE)))))))))"),FALSE)</f>
        <v>0</v>
      </c>
      <c r="R67" s="71">
        <f>IFERROR(__xludf.DUMMYFUNCTION("IF(REGEXMATCH(P67,""^Sell_""),R66, IF(COUNTA(P67:P147)=0,"""",(COUNTIF(P$4:P67,""Cursor"")-COUNTIF(P$4:P67,""Sell_Cursor""))*(0.1*2^SWITCH(COUNTIF(P$4:P67,""Cursor_up""),0,0,1,1,2,2,3)+SWITCH(COUNTIF(P$4:P67,""Cursor_up""),4,0.1,0)*(ROW(P67)-4-COUNTIF(P$4"&amp;":P67,""Cursor"")-COUNTIF(P$4:P67,""*""&amp;""_up"")-2*COUNTIF(P$4:P67,""Sell_""&amp;""*"")+COUNTIF(P$4:P67,""Sell_Cursor"")-COUNTIF(P$4:P67,"""")))+(COUNTIF(P$4:P67,""Grandma"")-COUNTIF(P$4:P67,""Sell_Grandma""))*(1*2^(COUNTIF(P$4:P67,""Grandma_up"")+COUNTIF(P$4:"&amp;"P67,""Super_up"")))+(COUNTIF(P$4:P67,""Farm"")-COUNTIF(P$4:P67,""Sell_Farm""))*(8*2^COUNTIF(P$4:P67,""Farm_up""))*IF(COUNTIF(P$4:P67,""Super_up"")&gt;0,1+0.01*(COUNTIF(P$4:P67,""Grandma"")-COUNTIF(P$4:P67,""Sell_Grandma"")),1)+(COUNTIF(P$4:P67,""Mine"")-COUN"&amp;"TIF(P$4:P67,""Sell_Mine""))*((47*2^COUNTIF(P$4:P67,""Mine_up""))*IF(COUNTIF(P$4:P67,""Super_up"")&gt;1,1+0.005*(COUNTIF(P$4:P67,""Grandma"")-COUNTIF(P$4:P67,""Sell_Grandma"")),1))+(COUNTIF(P$4:P67,""Factory"")-COUNTIF(P$4:P67,""Sell_Factory""))*(260*2^COUNTI"&amp;"F(P$4:P67,""Factory_up""))))"),606.8)</f>
        <v>606.8</v>
      </c>
      <c r="S67" s="73">
        <f>IFERROR(__xludf.DUMMYFUNCTION("IF(COUNTA(P67:P147)=0,"""",IF(REGEXMATCH(INDEX(FILTER(P$4:P67,P$4:P67&lt;&gt;""""),ROWS(FILTER(P$4:P67,P$4:P67&lt;&gt;""""))),""^Sell_""),INDEX(FILTER(S$4:S66,P$4:P66&lt;&gt;""""),ROWS(FILTER(P$4:P66,P$4:P66&lt;&gt;""""))),$AD$5*(2^SWITCH(COUNTIF(P$4:P67,""Cursor_up""),0,0,1,1,2"&amp;",2,3)+SWITCH(COUNTIF(P$4:P67,""Cursor_up""),4,0.1,0)*(ROW(P67)-4-COUNTIF(P$4:P67,""Cursor"")-COUNTIF(P$4:P67,""*""&amp;""_up"")-2*COUNTIF(P$4:P67,""Sell_""&amp;""*"")+COUNTIF(P$4:P67,""Sell_Cursor"")-COUNTIF(P$4:P67,""""))+0.01*R67*COUNTIF(P$4:P67,""Plastic_up"")"&amp;")+R67))"),686.8)</f>
        <v>686.8</v>
      </c>
      <c r="T67" s="14">
        <f>IFERROR(__xludf.DUMMYFUNCTION("IF(COUNTA(P67:P147)=0,"""",IF(REGEXMATCH(P67,""_up""),VLOOKUP(P67,Upgrades!$F$3:$J$8,1+COUNTIF(P$4:P67,P67),FALSE),IF(P67="""",0,IF(REGEXMATCH(P67,""^Sell_""),-ROUNDDOWN(ROUNDUP(INDEX(Upgrades!$C$3:$C$8,MATCH(SUBSTITUTE(P67,""Sell_"",""""),Upgrades!$B$3:$"&amp;"B$8,0))*1.15^(COUNTIF(P$4:P66,SUBSTITUTE(P67,""Sell_"",""""))-COUNTIF(P$4:P66,""Sell_""&amp;SUBSTITUTE(P67,""Sell_"",""""))))/4),ROUNDUP(INDEX(Upgrades!$C$3:$C$7,MATCH(P67,Upgrades!$B$3:$B$7,0))*1.15^(COUNTIF(P$4:P66,P67)-COUNTIF(P$4:P66,""Sell_""&amp;P67)))))))"),55000.0)</f>
        <v>55000</v>
      </c>
      <c r="U67" s="14">
        <f t="shared" si="10"/>
        <v>55000</v>
      </c>
      <c r="V67" s="75">
        <f t="shared" si="11"/>
        <v>885191.4869</v>
      </c>
      <c r="W67" s="76">
        <f t="shared" si="12"/>
        <v>682.6481288</v>
      </c>
      <c r="X67" s="71" t="str">
        <f t="shared" si="13"/>
        <v>11m 22s</v>
      </c>
      <c r="Y67" s="77">
        <f t="shared" si="14"/>
        <v>158239</v>
      </c>
      <c r="Z67" s="17"/>
      <c r="AA67" s="13"/>
      <c r="AB67" s="13"/>
      <c r="AC67" s="13"/>
      <c r="AD67" s="13"/>
      <c r="AE67" s="13"/>
      <c r="AF67" s="13"/>
      <c r="AG67" s="13"/>
    </row>
    <row r="68">
      <c r="A68" s="12"/>
      <c r="B68" s="65">
        <f t="shared" si="2"/>
        <v>14</v>
      </c>
      <c r="C68" s="69" t="s">
        <v>16</v>
      </c>
      <c r="D68" s="14" t="b">
        <f>IFERROR(__xludf.DUMMYFUNCTION("IF(COUNTA(C68:C147)=0,"""",IFERROR(IF(ISBLANK(C68),FALSE,IF(ISBLANK(G68),1,IF(NOT(COUNTIF($AA$24:$AA$34,SUBSTITUTE(C68,""Sell_"",""""))),1,IF(C68=""Plastic_up"",IF(I68&lt;1000,1),IF(C68=""Super_Up"",IF(OR(COUNTIF(C$4:C68,""Grandma"")-COUNTIF(C$4:C68,""Sell_G"&amp;"randma"")&lt;1,COUNTIF(C$4:C68,VLOOKUP(C68,Upgrades!$F$8:$N$8,7+COUNTIF(C$4:C68,C68)))-COUNTIF(C$4:C68,""Sell_""&amp;VLOOKUP(C68,Upgrades!$F$8:$N$8,7+COUNTIF(C$4:C68,C68)))&lt;15),1),IF(REGEXMATCH(C68,""_up""),IF(COUNTIF(C$4:C68,SUBSTITUTE(C68,""_up"",""""))&lt;IFERRO"&amp;"R(VLOOKUP(C68,Upgrades!$L$3:$P$6,1+COUNTIF(C$4:C68,C68),0),999),1),IF(REGEXMATCH(C68,""Sell_""),IF(COUNTIF(C$4:C68,SUBSTITUTE(C68,""Sell_"",""""))-COUNTIF(C$4:C67,C68)&lt;1,1),FALSE)))))))))"),FALSE)</f>
        <v>0</v>
      </c>
      <c r="E68" s="71">
        <f>IFERROR(__xludf.DUMMYFUNCTION("IF(REGEXMATCH(C68,""^Sell_""),E67, IF(COUNTA(C68:C147)=0,"""",(COUNTIF(C$4:C68,""Cursor"")-COUNTIF(C$4:C68,""Sell_Cursor""))*(0.1*2^SWITCH(COUNTIF(C$4:C68,""Cursor_up""),0,0,1,1,2,2,3)+SWITCH(COUNTIF(C$4:C68,""Cursor_up""),4,0.1,0)*(ROW(C68)-4-COUNTIF(C$4"&amp;":C68,""Cursor"")-COUNTIF(C$4:C68,""*""&amp;""_up"")-2*COUNTIF(C$4:C68,""Sell_""&amp;""*"")+COUNTIF(C$4:C68,""Sell_Cursor"")-COUNTIF(C$4:C68,"""")))+(COUNTIF(C$4:C68,""Grandma"")-COUNTIF(C$4:C68,""Sell_Grandma""))*(1*2^(COUNTIF(C$4:C68,""Grandma_up"")+COUNTIF(C$4:"&amp;"C68,""Super_up"")))+(COUNTIF(C$4:C68,""Farm"")-COUNTIF(C$4:C68,""Sell_Farm""))*(8*2^COUNTIF(C$4:C68,""Farm_up""))*IF(COUNTIF(C$4:C68,""Super_up"")&gt;0,1+0.01*(COUNTIF(C$4:C68,""Grandma"")-COUNTIF(C$4:C68,""Sell_Grandma"")),1)+(COUNTIF(C$4:C68,""Mine"")-COUN"&amp;"TIF(C$4:C68,""Sell_Mine""))*((47*2^COUNTIF(C$4:C68,""Mine_up""))*IF(COUNTIF(C$4:C68,""Super_up"")&gt;1,1+0.005*(COUNTIF(C$4:C68,""Grandma"")-COUNTIF(C$4:C68,""Sell_Grandma"")),1))+(COUNTIF(C$4:C68,""Factory"")-COUNTIF(C$4:C68,""Sell_Factory""))*(260*2^COUNTI"&amp;"F(C$4:C68,""Factory_up""))))"),638.8)</f>
        <v>638.8</v>
      </c>
      <c r="F68" s="73">
        <f>IFERROR(__xludf.DUMMYFUNCTION("IF(COUNTA(C68:C147)=0,"""",IF(REGEXMATCH(INDEX(FILTER(C$4:C68,C$4:C68&lt;&gt;""""),ROWS(FILTER(C$4:C68,C$4:C68&lt;&gt;""""))),""^Sell_""),INDEX(FILTER(F$4:F67,C$4:C67&lt;&gt;""""),ROWS(FILTER(C$4:C67,C$4:C67&lt;&gt;""""))),$AC$5*(2^SWITCH(COUNTIF(C$4:C68,""Cursor_up""),0,0,1,1,2"&amp;",2,3)+SWITCH(COUNTIF(C$4:C68,""Cursor_up""),4,0.1,0)*(ROW(C68)-4-COUNTIF(C$4:C68,""Cursor"")-COUNTIF(C$4:C68,""*""&amp;""_up"")-2*COUNTIF(C$4:C68,""Sell_""&amp;""*"")+COUNTIF(C$4:C68,""Sell_Cursor"")-COUNTIF(C$4:C68,""""))+0.01*E68*COUNTIF(C$4:C68,""Plastic_up"")"&amp;")+E68))"),718.8)</f>
        <v>718.8</v>
      </c>
      <c r="G68" s="14">
        <f>IFERROR(__xludf.DUMMYFUNCTION("IF(COUNTA(C68:C147)=0,"""",IF(REGEXMATCH(C68,""_up""),VLOOKUP(C68,Upgrades!$F$3:$J$8,1+COUNTIF(C$4:C68,C68),FALSE),IF(C68="""",0,IF(REGEXMATCH(C68,""^Sell_""),-ROUNDDOWN(ROUNDUP(INDEX(Upgrades!$C$3:$C$8,MATCH(SUBSTITUTE(C68,""Sell_"",""""),Upgrades!$B$3:$"&amp;"B$8,0))*1.15^(COUNTIF(C$4:C67,SUBSTITUTE(C68,""Sell_"",""""))-COUNTIF(C$4:C67,""Sell_""&amp;SUBSTITUTE(C68,""Sell_"",""""))))/4),ROUNDUP(INDEX(Upgrades!$C$3:$C$7,MATCH(C68,Upgrades!$B$3:$B$7,0))*1.15^(COUNTIF(C$4:C67,C68)-COUNTIF(C$4:C67,""Sell_""&amp;C68)))))))"),6769.0)</f>
        <v>6769</v>
      </c>
      <c r="H68" s="14">
        <f t="shared" si="3"/>
        <v>6769</v>
      </c>
      <c r="I68" s="75">
        <f t="shared" si="4"/>
        <v>1026341.497</v>
      </c>
      <c r="J68" s="76">
        <f t="shared" si="5"/>
        <v>693.5522184</v>
      </c>
      <c r="K68" s="71" t="str">
        <f t="shared" si="6"/>
        <v>11m 33s</v>
      </c>
      <c r="L68" s="77">
        <f t="shared" si="7"/>
        <v>165008</v>
      </c>
      <c r="M68" s="51">
        <f t="shared" si="8"/>
        <v>-1.04823</v>
      </c>
      <c r="N68" s="52">
        <f>IFERROR(__xludf.DUMMYFUNCTION("IFS(AND(COUNTA(C68:C147)=0,COUNTA(P68:P147)=0),"""",OR(AND(L68&gt;=1000000,OR(Y68&gt;=1000000,COUNTA(P68:P147)=0)),AND(Y68&gt;=1000000,COUNTA(C68:C147)=0),AND(COUNTA(P68:P147)=0,O$3=TRUE)),
ROUNDDOWN((AB$1-AC$1)*MAX(INDEX(S$4:S147,MATCH(LARGE(FILTER(Y$4:Y147,Y$4:Y"&amp;"147&lt;1000000),1),Y$4:Y147)),INDEX(F$4:F147,MATCH(LARGE(FILTER(L$4:L147,L$4:L147&lt;1000000),1),L$4:L147)))),AND(L68&lt;1000000,COUNTA(C68:C147)&gt;0,O$3=FALSE),
ROUNDDOWN(INDEX(Y$4:Y147,MATCH(LARGE(FILTER(W$4:W147,W$4:W147&lt;=J68),1),W$4:W147))+(J68-LARGE(FILTER(W$4:"&amp;"W147,W$4:W147&lt;=J68),1))*INDEX(S$4:S147,MATCH(LARGE(FILTER(W$4:W147,W$4:W147&lt;=J68),1),W$4:W147))-L68),1,
ROUNDDOWN(Y68-INDEX(L$4:L147,MATCH(LARGE(FILTER(J$4:J147,J$4:J147&lt;=W68),1),J$4:J147))-(W68-LARGE(FILTER(J$4:J147,J$4:J147&lt;=W68),1))*INDEX(F$4:F147,MATC"&amp;"H(LARGE(FILTER(J$4:J147,J$4:J147&lt;=W68),1),J$4:J147))))"),719.0)</f>
        <v>719</v>
      </c>
      <c r="O68" s="65">
        <f t="shared" si="9"/>
        <v>14</v>
      </c>
      <c r="P68" s="69" t="s">
        <v>16</v>
      </c>
      <c r="Q68" s="14" t="b">
        <f>IFERROR(__xludf.DUMMYFUNCTION("IF(COUNTA(P68:P147)=0,"""",IFERROR(IF(ISBLANK(P68),FALSE,IF(ISBLANK(T68),1,IF(NOT(COUNTIF($AA$24:$AA$34,SUBSTITUTE(P68,""Sell_"",""""))),1,IF(P68=""Plastic_up"",IF(V68&lt;1000,1),IF(P68=""Super_Up"",IF(OR(COUNTIF(P$4:P68,""Grandma"")-COUNTIF(P$4:P68,""Sell_G"&amp;"randma"")&lt;1,COUNTIF(P$4:P68,VLOOKUP(P68,Upgrades!$F$8:$N$8,7+COUNTIF(P$4:P68,P68)))-COUNTIF(P$4:P68,""Sell_""&amp;VLOOKUP(P68,Upgrades!$F$8:$N$8,7+COUNTIF(P$4:P68,P68)))&lt;15),1),IF(REGEXMATCH(P68,""_up""),IF(COUNTIF(P$4:P68,SUBSTITUTE(P68,""_up"",""""))&lt;IFERRO"&amp;"R(VLOOKUP(P68,Upgrades!$L$3:$P$6,1+COUNTIF(P$4:P68,P68),0),999),1),IF(REGEXMATCH(P68,""Sell_""),IF(COUNTIF(P$4:P68,SUBSTITUTE(P68,""Sell_"",""""))-COUNTIF(P$4:P67,P68)&lt;1,1),FALSE)))))))))"),FALSE)</f>
        <v>0</v>
      </c>
      <c r="R68" s="71">
        <f>IFERROR(__xludf.DUMMYFUNCTION("IF(REGEXMATCH(P68,""^Sell_""),R67, IF(COUNTA(P68:P147)=0,"""",(COUNTIF(P$4:P68,""Cursor"")-COUNTIF(P$4:P68,""Sell_Cursor""))*(0.1*2^SWITCH(COUNTIF(P$4:P68,""Cursor_up""),0,0,1,1,2,2,3)+SWITCH(COUNTIF(P$4:P68,""Cursor_up""),4,0.1,0)*(ROW(P68)-4-COUNTIF(P$4"&amp;":P68,""Cursor"")-COUNTIF(P$4:P68,""*""&amp;""_up"")-2*COUNTIF(P$4:P68,""Sell_""&amp;""*"")+COUNTIF(P$4:P68,""Sell_Cursor"")-COUNTIF(P$4:P68,"""")))+(COUNTIF(P$4:P68,""Grandma"")-COUNTIF(P$4:P68,""Sell_Grandma""))*(1*2^(COUNTIF(P$4:P68,""Grandma_up"")+COUNTIF(P$4:"&amp;"P68,""Super_up"")))+(COUNTIF(P$4:P68,""Farm"")-COUNTIF(P$4:P68,""Sell_Farm""))*(8*2^COUNTIF(P$4:P68,""Farm_up""))*IF(COUNTIF(P$4:P68,""Super_up"")&gt;0,1+0.01*(COUNTIF(P$4:P68,""Grandma"")-COUNTIF(P$4:P68,""Sell_Grandma"")),1)+(COUNTIF(P$4:P68,""Mine"")-COUN"&amp;"TIF(P$4:P68,""Sell_Mine""))*((47*2^COUNTIF(P$4:P68,""Mine_up""))*IF(COUNTIF(P$4:P68,""Super_up"")&gt;1,1+0.005*(COUNTIF(P$4:P68,""Grandma"")-COUNTIF(P$4:P68,""Sell_Grandma"")),1))+(COUNTIF(P$4:P68,""Factory"")-COUNTIF(P$4:P68,""Sell_Factory""))*(260*2^COUNTI"&amp;"F(P$4:P68,""Factory_up""))))"),638.8)</f>
        <v>638.8</v>
      </c>
      <c r="S68" s="73">
        <f>IFERROR(__xludf.DUMMYFUNCTION("IF(COUNTA(P68:P147)=0,"""",IF(REGEXMATCH(INDEX(FILTER(P$4:P68,P$4:P68&lt;&gt;""""),ROWS(FILTER(P$4:P68,P$4:P68&lt;&gt;""""))),""^Sell_""),INDEX(FILTER(S$4:S67,P$4:P67&lt;&gt;""""),ROWS(FILTER(P$4:P67,P$4:P67&lt;&gt;""""))),$AD$5*(2^SWITCH(COUNTIF(P$4:P68,""Cursor_up""),0,0,1,1,2"&amp;",2,3)+SWITCH(COUNTIF(P$4:P68,""Cursor_up""),4,0.1,0)*(ROW(P68)-4-COUNTIF(P$4:P68,""Cursor"")-COUNTIF(P$4:P68,""*""&amp;""_up"")-2*COUNTIF(P$4:P68,""Sell_""&amp;""*"")+COUNTIF(P$4:P68,""Sell_Cursor"")-COUNTIF(P$4:P68,""""))+0.01*R68*COUNTIF(P$4:P68,""Plastic_up"")"&amp;")+R68))"),718.8)</f>
        <v>718.8</v>
      </c>
      <c r="T68" s="14">
        <f>IFERROR(__xludf.DUMMYFUNCTION("IF(COUNTA(P68:P147)=0,"""",IF(REGEXMATCH(P68,""_up""),VLOOKUP(P68,Upgrades!$F$3:$J$8,1+COUNTIF(P$4:P68,P68),FALSE),IF(P68="""",0,IF(REGEXMATCH(P68,""^Sell_""),-ROUNDDOWN(ROUNDUP(INDEX(Upgrades!$C$3:$C$8,MATCH(SUBSTITUTE(P68,""Sell_"",""""),Upgrades!$B$3:$"&amp;"B$8,0))*1.15^(COUNTIF(P$4:P67,SUBSTITUTE(P68,""Sell_"",""""))-COUNTIF(P$4:P67,""Sell_""&amp;SUBSTITUTE(P68,""Sell_"",""""))))/4),ROUNDUP(INDEX(Upgrades!$C$3:$C$7,MATCH(P68,Upgrades!$B$3:$B$7,0))*1.15^(COUNTIF(P$4:P67,P68)-COUNTIF(P$4:P67,""Sell_""&amp;P68)))))))"),6769.0)</f>
        <v>6769</v>
      </c>
      <c r="U68" s="14">
        <f t="shared" si="10"/>
        <v>6769</v>
      </c>
      <c r="V68" s="75">
        <f t="shared" si="11"/>
        <v>940591.8055</v>
      </c>
      <c r="W68" s="76">
        <f t="shared" si="12"/>
        <v>692.503982</v>
      </c>
      <c r="X68" s="71" t="str">
        <f t="shared" si="13"/>
        <v>11m 32s</v>
      </c>
      <c r="Y68" s="77">
        <f t="shared" si="14"/>
        <v>165008</v>
      </c>
      <c r="Z68" s="17"/>
      <c r="AA68" s="13"/>
      <c r="AB68" s="13"/>
      <c r="AC68" s="13"/>
      <c r="AD68" s="13"/>
      <c r="AE68" s="13"/>
      <c r="AF68" s="13"/>
      <c r="AG68" s="13"/>
    </row>
    <row r="69">
      <c r="A69" s="12"/>
      <c r="B69" s="65">
        <f t="shared" si="2"/>
        <v>15</v>
      </c>
      <c r="C69" s="69" t="s">
        <v>16</v>
      </c>
      <c r="D69" s="14" t="b">
        <f>IFERROR(__xludf.DUMMYFUNCTION("IF(COUNTA(C69:C147)=0,"""",IFERROR(IF(ISBLANK(C69),FALSE,IF(ISBLANK(G69),1,IF(NOT(COUNTIF($AA$24:$AA$34,SUBSTITUTE(C69,""Sell_"",""""))),1,IF(C69=""Plastic_up"",IF(I69&lt;1000,1),IF(C69=""Super_Up"",IF(OR(COUNTIF(C$4:C69,""Grandma"")-COUNTIF(C$4:C69,""Sell_G"&amp;"randma"")&lt;1,COUNTIF(C$4:C69,VLOOKUP(C69,Upgrades!$F$8:$N$8,7+COUNTIF(C$4:C69,C69)))-COUNTIF(C$4:C69,""Sell_""&amp;VLOOKUP(C69,Upgrades!$F$8:$N$8,7+COUNTIF(C$4:C69,C69)))&lt;15),1),IF(REGEXMATCH(C69,""_up""),IF(COUNTIF(C$4:C69,SUBSTITUTE(C69,""_up"",""""))&lt;IFERRO"&amp;"R(VLOOKUP(C69,Upgrades!$L$3:$P$6,1+COUNTIF(C$4:C69,C69),0),999),1),IF(REGEXMATCH(C69,""Sell_""),IF(COUNTIF(C$4:C69,SUBSTITUTE(C69,""Sell_"",""""))-COUNTIF(C$4:C68,C69)&lt;1,1),FALSE)))))))))"),FALSE)</f>
        <v>0</v>
      </c>
      <c r="E69" s="71">
        <f>IFERROR(__xludf.DUMMYFUNCTION("IF(REGEXMATCH(C69,""^Sell_""),E68, IF(COUNTA(C69:C147)=0,"""",(COUNTIF(C$4:C69,""Cursor"")-COUNTIF(C$4:C69,""Sell_Cursor""))*(0.1*2^SWITCH(COUNTIF(C$4:C69,""Cursor_up""),0,0,1,1,2,2,3)+SWITCH(COUNTIF(C$4:C69,""Cursor_up""),4,0.1,0)*(ROW(C69)-4-COUNTIF(C$4"&amp;":C69,""Cursor"")-COUNTIF(C$4:C69,""*""&amp;""_up"")-2*COUNTIF(C$4:C69,""Sell_""&amp;""*"")+COUNTIF(C$4:C69,""Sell_Cursor"")-COUNTIF(C$4:C69,"""")))+(COUNTIF(C$4:C69,""Grandma"")-COUNTIF(C$4:C69,""Sell_Grandma""))*(1*2^(COUNTIF(C$4:C69,""Grandma_up"")+COUNTIF(C$4:"&amp;"C69,""Super_up"")))+(COUNTIF(C$4:C69,""Farm"")-COUNTIF(C$4:C69,""Sell_Farm""))*(8*2^COUNTIF(C$4:C69,""Farm_up""))*IF(COUNTIF(C$4:C69,""Super_up"")&gt;0,1+0.01*(COUNTIF(C$4:C69,""Grandma"")-COUNTIF(C$4:C69,""Sell_Grandma"")),1)+(COUNTIF(C$4:C69,""Mine"")-COUN"&amp;"TIF(C$4:C69,""Sell_Mine""))*((47*2^COUNTIF(C$4:C69,""Mine_up""))*IF(COUNTIF(C$4:C69,""Super_up"")&gt;1,1+0.005*(COUNTIF(C$4:C69,""Grandma"")-COUNTIF(C$4:C69,""Sell_Grandma"")),1))+(COUNTIF(C$4:C69,""Factory"")-COUNTIF(C$4:C69,""Sell_Factory""))*(260*2^COUNTI"&amp;"F(C$4:C69,""Factory_up""))))"),670.8)</f>
        <v>670.8</v>
      </c>
      <c r="F69" s="73">
        <f>IFERROR(__xludf.DUMMYFUNCTION("IF(COUNTA(C69:C147)=0,"""",IF(REGEXMATCH(INDEX(FILTER(C$4:C69,C$4:C69&lt;&gt;""""),ROWS(FILTER(C$4:C69,C$4:C69&lt;&gt;""""))),""^Sell_""),INDEX(FILTER(F$4:F68,C$4:C68&lt;&gt;""""),ROWS(FILTER(C$4:C68,C$4:C68&lt;&gt;""""))),$AC$5*(2^SWITCH(COUNTIF(C$4:C69,""Cursor_up""),0,0,1,1,2"&amp;",2,3)+SWITCH(COUNTIF(C$4:C69,""Cursor_up""),4,0.1,0)*(ROW(C69)-4-COUNTIF(C$4:C69,""Cursor"")-COUNTIF(C$4:C69,""*""&amp;""_up"")-2*COUNTIF(C$4:C69,""Sell_""&amp;""*"")+COUNTIF(C$4:C69,""Sell_Cursor"")-COUNTIF(C$4:C69,""""))+0.01*E69*COUNTIF(C$4:C69,""Plastic_up"")"&amp;")+E69))"),750.8)</f>
        <v>750.8</v>
      </c>
      <c r="G69" s="14">
        <f>IFERROR(__xludf.DUMMYFUNCTION("IF(COUNTA(C69:C147)=0,"""",IF(REGEXMATCH(C69,""_up""),VLOOKUP(C69,Upgrades!$F$3:$J$8,1+COUNTIF(C$4:C69,C69),FALSE),IF(C69="""",0,IF(REGEXMATCH(C69,""^Sell_""),-ROUNDDOWN(ROUNDUP(INDEX(Upgrades!$C$3:$C$8,MATCH(SUBSTITUTE(C69,""Sell_"",""""),Upgrades!$B$3:$"&amp;"B$8,0))*1.15^(COUNTIF(C$4:C68,SUBSTITUTE(C69,""Sell_"",""""))-COUNTIF(C$4:C68,""Sell_""&amp;SUBSTITUTE(C69,""Sell_"",""""))))/4),ROUNDUP(INDEX(Upgrades!$C$3:$C$7,MATCH(C69,Upgrades!$B$3:$B$7,0))*1.15^(COUNTIF(C$4:C68,C69)-COUNTIF(C$4:C68,""Sell_""&amp;C69)))))))"),7784.0)</f>
        <v>7784</v>
      </c>
      <c r="H69" s="14">
        <f t="shared" si="3"/>
        <v>7784</v>
      </c>
      <c r="I69" s="75">
        <f t="shared" si="4"/>
        <v>1082692.007</v>
      </c>
      <c r="J69" s="76">
        <f t="shared" si="5"/>
        <v>704.3813781</v>
      </c>
      <c r="K69" s="71" t="str">
        <f t="shared" si="6"/>
        <v>11m 44s</v>
      </c>
      <c r="L69" s="77">
        <f t="shared" si="7"/>
        <v>172792</v>
      </c>
      <c r="M69" s="51">
        <f t="shared" si="8"/>
        <v>-1.04823</v>
      </c>
      <c r="N69" s="52">
        <f>IFERROR(__xludf.DUMMYFUNCTION("IFS(AND(COUNTA(C69:C147)=0,COUNTA(P69:P147)=0),"""",OR(AND(L69&gt;=1000000,OR(Y69&gt;=1000000,COUNTA(P69:P147)=0)),AND(Y69&gt;=1000000,COUNTA(C69:C147)=0),AND(COUNTA(P69:P147)=0,O$3=TRUE)),
ROUNDDOWN((AB$1-AC$1)*MAX(INDEX(S$4:S147,MATCH(LARGE(FILTER(Y$4:Y147,Y$4:Y"&amp;"147&lt;1000000),1),Y$4:Y147)),INDEX(F$4:F147,MATCH(LARGE(FILTER(L$4:L147,L$4:L147&lt;1000000),1),L$4:L147)))),AND(L69&lt;1000000,COUNTA(C69:C147)&gt;0,O$3=FALSE),
ROUNDDOWN(INDEX(Y$4:Y147,MATCH(LARGE(FILTER(W$4:W147,W$4:W147&lt;=J69),1),W$4:W147))+(J69-LARGE(FILTER(W$4:"&amp;"W147,W$4:W147&lt;=J69),1))*INDEX(S$4:S147,MATCH(LARGE(FILTER(W$4:W147,W$4:W147&lt;=J69),1),W$4:W147))-L69),1,
ROUNDDOWN(Y69-INDEX(L$4:L147,MATCH(LARGE(FILTER(J$4:J147,J$4:J147&lt;=W69),1),J$4:J147))-(W69-LARGE(FILTER(J$4:J147,J$4:J147&lt;=W69),1))*INDEX(F$4:F147,MATC"&amp;"H(LARGE(FILTER(J$4:J147,J$4:J147&lt;=W69),1),J$4:J147))))"),753.0)</f>
        <v>753</v>
      </c>
      <c r="O69" s="65">
        <f t="shared" si="9"/>
        <v>15</v>
      </c>
      <c r="P69" s="69" t="s">
        <v>16</v>
      </c>
      <c r="Q69" s="14" t="b">
        <f>IFERROR(__xludf.DUMMYFUNCTION("IF(COUNTA(P69:P147)=0,"""",IFERROR(IF(ISBLANK(P69),FALSE,IF(ISBLANK(T69),1,IF(NOT(COUNTIF($AA$24:$AA$34,SUBSTITUTE(P69,""Sell_"",""""))),1,IF(P69=""Plastic_up"",IF(V69&lt;1000,1),IF(P69=""Super_Up"",IF(OR(COUNTIF(P$4:P69,""Grandma"")-COUNTIF(P$4:P69,""Sell_G"&amp;"randma"")&lt;1,COUNTIF(P$4:P69,VLOOKUP(P69,Upgrades!$F$8:$N$8,7+COUNTIF(P$4:P69,P69)))-COUNTIF(P$4:P69,""Sell_""&amp;VLOOKUP(P69,Upgrades!$F$8:$N$8,7+COUNTIF(P$4:P69,P69)))&lt;15),1),IF(REGEXMATCH(P69,""_up""),IF(COUNTIF(P$4:P69,SUBSTITUTE(P69,""_up"",""""))&lt;IFERRO"&amp;"R(VLOOKUP(P69,Upgrades!$L$3:$P$6,1+COUNTIF(P$4:P69,P69),0),999),1),IF(REGEXMATCH(P69,""Sell_""),IF(COUNTIF(P$4:P69,SUBSTITUTE(P69,""Sell_"",""""))-COUNTIF(P$4:P68,P69)&lt;1,1),FALSE)))))))))"),FALSE)</f>
        <v>0</v>
      </c>
      <c r="R69" s="71">
        <f>IFERROR(__xludf.DUMMYFUNCTION("IF(REGEXMATCH(P69,""^Sell_""),R68, IF(COUNTA(P69:P147)=0,"""",(COUNTIF(P$4:P69,""Cursor"")-COUNTIF(P$4:P69,""Sell_Cursor""))*(0.1*2^SWITCH(COUNTIF(P$4:P69,""Cursor_up""),0,0,1,1,2,2,3)+SWITCH(COUNTIF(P$4:P69,""Cursor_up""),4,0.1,0)*(ROW(P69)-4-COUNTIF(P$4"&amp;":P69,""Cursor"")-COUNTIF(P$4:P69,""*""&amp;""_up"")-2*COUNTIF(P$4:P69,""Sell_""&amp;""*"")+COUNTIF(P$4:P69,""Sell_Cursor"")-COUNTIF(P$4:P69,"""")))+(COUNTIF(P$4:P69,""Grandma"")-COUNTIF(P$4:P69,""Sell_Grandma""))*(1*2^(COUNTIF(P$4:P69,""Grandma_up"")+COUNTIF(P$4:"&amp;"P69,""Super_up"")))+(COUNTIF(P$4:P69,""Farm"")-COUNTIF(P$4:P69,""Sell_Farm""))*(8*2^COUNTIF(P$4:P69,""Farm_up""))*IF(COUNTIF(P$4:P69,""Super_up"")&gt;0,1+0.01*(COUNTIF(P$4:P69,""Grandma"")-COUNTIF(P$4:P69,""Sell_Grandma"")),1)+(COUNTIF(P$4:P69,""Mine"")-COUN"&amp;"TIF(P$4:P69,""Sell_Mine""))*((47*2^COUNTIF(P$4:P69,""Mine_up""))*IF(COUNTIF(P$4:P69,""Super_up"")&gt;1,1+0.005*(COUNTIF(P$4:P69,""Grandma"")-COUNTIF(P$4:P69,""Sell_Grandma"")),1))+(COUNTIF(P$4:P69,""Factory"")-COUNTIF(P$4:P69,""Sell_Factory""))*(260*2^COUNTI"&amp;"F(P$4:P69,""Factory_up""))))"),670.8)</f>
        <v>670.8</v>
      </c>
      <c r="S69" s="73">
        <f>IFERROR(__xludf.DUMMYFUNCTION("IF(COUNTA(P69:P147)=0,"""",IF(REGEXMATCH(INDEX(FILTER(P$4:P69,P$4:P69&lt;&gt;""""),ROWS(FILTER(P$4:P69,P$4:P69&lt;&gt;""""))),""^Sell_""),INDEX(FILTER(S$4:S68,P$4:P68&lt;&gt;""""),ROWS(FILTER(P$4:P68,P$4:P68&lt;&gt;""""))),$AD$5*(2^SWITCH(COUNTIF(P$4:P69,""Cursor_up""),0,0,1,1,2"&amp;",2,3)+SWITCH(COUNTIF(P$4:P69,""Cursor_up""),4,0.1,0)*(ROW(P69)-4-COUNTIF(P$4:P69,""Cursor"")-COUNTIF(P$4:P69,""*""&amp;""_up"")-2*COUNTIF(P$4:P69,""Sell_""&amp;""*"")+COUNTIF(P$4:P69,""Sell_Cursor"")-COUNTIF(P$4:P69,""""))+0.01*R69*COUNTIF(P$4:P69,""Plastic_up"")"&amp;")+R69))"),750.8)</f>
        <v>750.8</v>
      </c>
      <c r="T69" s="14">
        <f>IFERROR(__xludf.DUMMYFUNCTION("IF(COUNTA(P69:P147)=0,"""",IF(REGEXMATCH(P69,""_up""),VLOOKUP(P69,Upgrades!$F$3:$J$8,1+COUNTIF(P$4:P69,P69),FALSE),IF(P69="""",0,IF(REGEXMATCH(P69,""^Sell_""),-ROUNDDOWN(ROUNDUP(INDEX(Upgrades!$C$3:$C$8,MATCH(SUBSTITUTE(P69,""Sell_"",""""),Upgrades!$B$3:$"&amp;"B$8,0))*1.15^(COUNTIF(P$4:P68,SUBSTITUTE(P69,""Sell_"",""""))-COUNTIF(P$4:P68,""Sell_""&amp;SUBSTITUTE(P69,""Sell_"",""""))))/4),ROUNDUP(INDEX(Upgrades!$C$3:$C$7,MATCH(P69,Upgrades!$B$3:$B$7,0))*1.15^(COUNTIF(P$4:P68,P69)-COUNTIF(P$4:P68,""Sell_""&amp;P69)))))))"),7784.0)</f>
        <v>7784</v>
      </c>
      <c r="U69" s="14">
        <f t="shared" si="10"/>
        <v>7784</v>
      </c>
      <c r="V69" s="75">
        <f t="shared" si="11"/>
        <v>996858.4568</v>
      </c>
      <c r="W69" s="76">
        <f t="shared" si="12"/>
        <v>703.3331417</v>
      </c>
      <c r="X69" s="71" t="str">
        <f t="shared" si="13"/>
        <v>11m 43s</v>
      </c>
      <c r="Y69" s="77">
        <f t="shared" si="14"/>
        <v>172792</v>
      </c>
      <c r="Z69" s="17"/>
      <c r="AA69" s="13"/>
      <c r="AB69" s="13"/>
      <c r="AC69" s="13"/>
      <c r="AD69" s="13"/>
      <c r="AE69" s="13"/>
      <c r="AF69" s="13"/>
      <c r="AG69" s="13"/>
    </row>
    <row r="70">
      <c r="A70" s="12"/>
      <c r="B70" s="65">
        <f t="shared" si="2"/>
        <v>16</v>
      </c>
      <c r="C70" s="69" t="s">
        <v>16</v>
      </c>
      <c r="D70" s="14" t="b">
        <f>IFERROR(__xludf.DUMMYFUNCTION("IF(COUNTA(C70:C147)=0,"""",IFERROR(IF(ISBLANK(C70),FALSE,IF(ISBLANK(G70),1,IF(NOT(COUNTIF($AA$24:$AA$34,SUBSTITUTE(C70,""Sell_"",""""))),1,IF(C70=""Plastic_up"",IF(I70&lt;1000,1),IF(C70=""Super_Up"",IF(OR(COUNTIF(C$4:C70,""Grandma"")-COUNTIF(C$4:C70,""Sell_G"&amp;"randma"")&lt;1,COUNTIF(C$4:C70,VLOOKUP(C70,Upgrades!$F$8:$N$8,7+COUNTIF(C$4:C70,C70)))-COUNTIF(C$4:C70,""Sell_""&amp;VLOOKUP(C70,Upgrades!$F$8:$N$8,7+COUNTIF(C$4:C70,C70)))&lt;15),1),IF(REGEXMATCH(C70,""_up""),IF(COUNTIF(C$4:C70,SUBSTITUTE(C70,""_up"",""""))&lt;IFERRO"&amp;"R(VLOOKUP(C70,Upgrades!$L$3:$P$6,1+COUNTIF(C$4:C70,C70),0),999),1),IF(REGEXMATCH(C70,""Sell_""),IF(COUNTIF(C$4:C70,SUBSTITUTE(C70,""Sell_"",""""))-COUNTIF(C$4:C69,C70)&lt;1,1),FALSE)))))))))"),FALSE)</f>
        <v>0</v>
      </c>
      <c r="E70" s="71">
        <f>IFERROR(__xludf.DUMMYFUNCTION("IF(REGEXMATCH(C70,""^Sell_""),E69, IF(COUNTA(C70:C147)=0,"""",(COUNTIF(C$4:C70,""Cursor"")-COUNTIF(C$4:C70,""Sell_Cursor""))*(0.1*2^SWITCH(COUNTIF(C$4:C70,""Cursor_up""),0,0,1,1,2,2,3)+SWITCH(COUNTIF(C$4:C70,""Cursor_up""),4,0.1,0)*(ROW(C70)-4-COUNTIF(C$4"&amp;":C70,""Cursor"")-COUNTIF(C$4:C70,""*""&amp;""_up"")-2*COUNTIF(C$4:C70,""Sell_""&amp;""*"")+COUNTIF(C$4:C70,""Sell_Cursor"")-COUNTIF(C$4:C70,"""")))+(COUNTIF(C$4:C70,""Grandma"")-COUNTIF(C$4:C70,""Sell_Grandma""))*(1*2^(COUNTIF(C$4:C70,""Grandma_up"")+COUNTIF(C$4:"&amp;"C70,""Super_up"")))+(COUNTIF(C$4:C70,""Farm"")-COUNTIF(C$4:C70,""Sell_Farm""))*(8*2^COUNTIF(C$4:C70,""Farm_up""))*IF(COUNTIF(C$4:C70,""Super_up"")&gt;0,1+0.01*(COUNTIF(C$4:C70,""Grandma"")-COUNTIF(C$4:C70,""Sell_Grandma"")),1)+(COUNTIF(C$4:C70,""Mine"")-COUN"&amp;"TIF(C$4:C70,""Sell_Mine""))*((47*2^COUNTIF(C$4:C70,""Mine_up""))*IF(COUNTIF(C$4:C70,""Super_up"")&gt;1,1+0.005*(COUNTIF(C$4:C70,""Grandma"")-COUNTIF(C$4:C70,""Sell_Grandma"")),1))+(COUNTIF(C$4:C70,""Factory"")-COUNTIF(C$4:C70,""Sell_Factory""))*(260*2^COUNTI"&amp;"F(C$4:C70,""Factory_up""))))"),702.8)</f>
        <v>702.8</v>
      </c>
      <c r="F70" s="73">
        <f>IFERROR(__xludf.DUMMYFUNCTION("IF(COUNTA(C70:C147)=0,"""",IF(REGEXMATCH(INDEX(FILTER(C$4:C70,C$4:C70&lt;&gt;""""),ROWS(FILTER(C$4:C70,C$4:C70&lt;&gt;""""))),""^Sell_""),INDEX(FILTER(F$4:F69,C$4:C69&lt;&gt;""""),ROWS(FILTER(C$4:C69,C$4:C69&lt;&gt;""""))),$AC$5*(2^SWITCH(COUNTIF(C$4:C70,""Cursor_up""),0,0,1,1,2"&amp;",2,3)+SWITCH(COUNTIF(C$4:C70,""Cursor_up""),4,0.1,0)*(ROW(C70)-4-COUNTIF(C$4:C70,""Cursor"")-COUNTIF(C$4:C70,""*""&amp;""_up"")-2*COUNTIF(C$4:C70,""Sell_""&amp;""*"")+COUNTIF(C$4:C70,""Sell_Cursor"")-COUNTIF(C$4:C70,""""))+0.01*E70*COUNTIF(C$4:C70,""Plastic_up"")"&amp;")+E70))"),782.8)</f>
        <v>782.8</v>
      </c>
      <c r="G70" s="14">
        <f>IFERROR(__xludf.DUMMYFUNCTION("IF(COUNTA(C70:C147)=0,"""",IF(REGEXMATCH(C70,""_up""),VLOOKUP(C70,Upgrades!$F$3:$J$8,1+COUNTIF(C$4:C70,C70),FALSE),IF(C70="""",0,IF(REGEXMATCH(C70,""^Sell_""),-ROUNDDOWN(ROUNDUP(INDEX(Upgrades!$C$3:$C$8,MATCH(SUBSTITUTE(C70,""Sell_"",""""),Upgrades!$B$3:$"&amp;"B$8,0))*1.15^(COUNTIF(C$4:C69,SUBSTITUTE(C70,""Sell_"",""""))-COUNTIF(C$4:C69,""Sell_""&amp;SUBSTITUTE(C70,""Sell_"",""""))))/4),ROUNDUP(INDEX(Upgrades!$C$3:$C$7,MATCH(C70,Upgrades!$B$3:$B$7,0))*1.15^(COUNTIF(C$4:C69,C70)-COUNTIF(C$4:C69,""Sell_""&amp;C70)))))))"),8951.0)</f>
        <v>8951</v>
      </c>
      <c r="H70" s="14">
        <f t="shared" si="3"/>
        <v>8951</v>
      </c>
      <c r="I70" s="75">
        <f t="shared" si="4"/>
        <v>1139996.274</v>
      </c>
      <c r="J70" s="76">
        <f t="shared" si="5"/>
        <v>716.303328</v>
      </c>
      <c r="K70" s="71" t="str">
        <f t="shared" si="6"/>
        <v>11m 56s</v>
      </c>
      <c r="L70" s="77">
        <f t="shared" si="7"/>
        <v>181743</v>
      </c>
      <c r="M70" s="51">
        <f t="shared" si="8"/>
        <v>-1.04823</v>
      </c>
      <c r="N70" s="52">
        <f>IFERROR(__xludf.DUMMYFUNCTION("IFS(AND(COUNTA(C70:C147)=0,COUNTA(P70:P147)=0),"""",OR(AND(L70&gt;=1000000,OR(Y70&gt;=1000000,COUNTA(P70:P147)=0)),AND(Y70&gt;=1000000,COUNTA(C70:C147)=0),AND(COUNTA(P70:P147)=0,O$3=TRUE)),
ROUNDDOWN((AB$1-AC$1)*MAX(INDEX(S$4:S147,MATCH(LARGE(FILTER(Y$4:Y147,Y$4:Y"&amp;"147&lt;1000000),1),Y$4:Y147)),INDEX(F$4:F147,MATCH(LARGE(FILTER(L$4:L147,L$4:L147&lt;1000000),1),L$4:L147)))),AND(L70&lt;1000000,COUNTA(C70:C147)&gt;0,O$3=FALSE),
ROUNDDOWN(INDEX(Y$4:Y147,MATCH(LARGE(FILTER(W$4:W147,W$4:W147&lt;=J70),1),W$4:W147))+(J70-LARGE(FILTER(W$4:"&amp;"W147,W$4:W147&lt;=J70),1))*INDEX(S$4:S147,MATCH(LARGE(FILTER(W$4:W147,W$4:W147&lt;=J70),1),W$4:W147))-L70),1,
ROUNDDOWN(Y70-INDEX(L$4:L147,MATCH(LARGE(FILTER(J$4:J147,J$4:J147&lt;=W70),1),J$4:J147))-(W70-LARGE(FILTER(J$4:J147,J$4:J147&lt;=W70),1))*INDEX(F$4:F147,MATC"&amp;"H(LARGE(FILTER(J$4:J147,J$4:J147&lt;=W70),1),J$4:J147))))"),787.0)</f>
        <v>787</v>
      </c>
      <c r="O70" s="65">
        <f t="shared" si="9"/>
        <v>16</v>
      </c>
      <c r="P70" s="69" t="s">
        <v>16</v>
      </c>
      <c r="Q70" s="14" t="b">
        <f>IFERROR(__xludf.DUMMYFUNCTION("IF(COUNTA(P70:P147)=0,"""",IFERROR(IF(ISBLANK(P70),FALSE,IF(ISBLANK(T70),1,IF(NOT(COUNTIF($AA$24:$AA$34,SUBSTITUTE(P70,""Sell_"",""""))),1,IF(P70=""Plastic_up"",IF(V70&lt;1000,1),IF(P70=""Super_Up"",IF(OR(COUNTIF(P$4:P70,""Grandma"")-COUNTIF(P$4:P70,""Sell_G"&amp;"randma"")&lt;1,COUNTIF(P$4:P70,VLOOKUP(P70,Upgrades!$F$8:$N$8,7+COUNTIF(P$4:P70,P70)))-COUNTIF(P$4:P70,""Sell_""&amp;VLOOKUP(P70,Upgrades!$F$8:$N$8,7+COUNTIF(P$4:P70,P70)))&lt;15),1),IF(REGEXMATCH(P70,""_up""),IF(COUNTIF(P$4:P70,SUBSTITUTE(P70,""_up"",""""))&lt;IFERRO"&amp;"R(VLOOKUP(P70,Upgrades!$L$3:$P$6,1+COUNTIF(P$4:P70,P70),0),999),1),IF(REGEXMATCH(P70,""Sell_""),IF(COUNTIF(P$4:P70,SUBSTITUTE(P70,""Sell_"",""""))-COUNTIF(P$4:P69,P70)&lt;1,1),FALSE)))))))))"),FALSE)</f>
        <v>0</v>
      </c>
      <c r="R70" s="71">
        <f>IFERROR(__xludf.DUMMYFUNCTION("IF(REGEXMATCH(P70,""^Sell_""),R69, IF(COUNTA(P70:P147)=0,"""",(COUNTIF(P$4:P70,""Cursor"")-COUNTIF(P$4:P70,""Sell_Cursor""))*(0.1*2^SWITCH(COUNTIF(P$4:P70,""Cursor_up""),0,0,1,1,2,2,3)+SWITCH(COUNTIF(P$4:P70,""Cursor_up""),4,0.1,0)*(ROW(P70)-4-COUNTIF(P$4"&amp;":P70,""Cursor"")-COUNTIF(P$4:P70,""*""&amp;""_up"")-2*COUNTIF(P$4:P70,""Sell_""&amp;""*"")+COUNTIF(P$4:P70,""Sell_Cursor"")-COUNTIF(P$4:P70,"""")))+(COUNTIF(P$4:P70,""Grandma"")-COUNTIF(P$4:P70,""Sell_Grandma""))*(1*2^(COUNTIF(P$4:P70,""Grandma_up"")+COUNTIF(P$4:"&amp;"P70,""Super_up"")))+(COUNTIF(P$4:P70,""Farm"")-COUNTIF(P$4:P70,""Sell_Farm""))*(8*2^COUNTIF(P$4:P70,""Farm_up""))*IF(COUNTIF(P$4:P70,""Super_up"")&gt;0,1+0.01*(COUNTIF(P$4:P70,""Grandma"")-COUNTIF(P$4:P70,""Sell_Grandma"")),1)+(COUNTIF(P$4:P70,""Mine"")-COUN"&amp;"TIF(P$4:P70,""Sell_Mine""))*((47*2^COUNTIF(P$4:P70,""Mine_up""))*IF(COUNTIF(P$4:P70,""Super_up"")&gt;1,1+0.005*(COUNTIF(P$4:P70,""Grandma"")-COUNTIF(P$4:P70,""Sell_Grandma"")),1))+(COUNTIF(P$4:P70,""Factory"")-COUNTIF(P$4:P70,""Sell_Factory""))*(260*2^COUNTI"&amp;"F(P$4:P70,""Factory_up""))))"),702.8)</f>
        <v>702.8</v>
      </c>
      <c r="S70" s="73">
        <f>IFERROR(__xludf.DUMMYFUNCTION("IF(COUNTA(P70:P147)=0,"""",IF(REGEXMATCH(INDEX(FILTER(P$4:P70,P$4:P70&lt;&gt;""""),ROWS(FILTER(P$4:P70,P$4:P70&lt;&gt;""""))),""^Sell_""),INDEX(FILTER(S$4:S69,P$4:P69&lt;&gt;""""),ROWS(FILTER(P$4:P69,P$4:P69&lt;&gt;""""))),$AD$5*(2^SWITCH(COUNTIF(P$4:P70,""Cursor_up""),0,0,1,1,2"&amp;",2,3)+SWITCH(COUNTIF(P$4:P70,""Cursor_up""),4,0.1,0)*(ROW(P70)-4-COUNTIF(P$4:P70,""Cursor"")-COUNTIF(P$4:P70,""*""&amp;""_up"")-2*COUNTIF(P$4:P70,""Sell_""&amp;""*"")+COUNTIF(P$4:P70,""Sell_Cursor"")-COUNTIF(P$4:P70,""""))+0.01*R70*COUNTIF(P$4:P70,""Plastic_up"")"&amp;")+R70))"),782.8)</f>
        <v>782.8</v>
      </c>
      <c r="T70" s="14">
        <f>IFERROR(__xludf.DUMMYFUNCTION("IF(COUNTA(P70:P147)=0,"""",IF(REGEXMATCH(P70,""_up""),VLOOKUP(P70,Upgrades!$F$3:$J$8,1+COUNTIF(P$4:P70,P70),FALSE),IF(P70="""",0,IF(REGEXMATCH(P70,""^Sell_""),-ROUNDDOWN(ROUNDUP(INDEX(Upgrades!$C$3:$C$8,MATCH(SUBSTITUTE(P70,""Sell_"",""""),Upgrades!$B$3:$"&amp;"B$8,0))*1.15^(COUNTIF(P$4:P69,SUBSTITUTE(P70,""Sell_"",""""))-COUNTIF(P$4:P69,""Sell_""&amp;SUBSTITUTE(P70,""Sell_"",""""))))/4),ROUNDUP(INDEX(Upgrades!$C$3:$C$7,MATCH(P70,Upgrades!$B$3:$B$7,0))*1.15^(COUNTIF(P$4:P69,P70)-COUNTIF(P$4:P69,""Sell_""&amp;P70)))))))"),8951.0)</f>
        <v>8951</v>
      </c>
      <c r="U70" s="14">
        <f t="shared" si="10"/>
        <v>8951</v>
      </c>
      <c r="V70" s="75">
        <f t="shared" si="11"/>
        <v>1054078.864</v>
      </c>
      <c r="W70" s="76">
        <f t="shared" si="12"/>
        <v>715.2550916</v>
      </c>
      <c r="X70" s="71" t="str">
        <f t="shared" si="13"/>
        <v>11m 55s</v>
      </c>
      <c r="Y70" s="77">
        <f t="shared" si="14"/>
        <v>181743</v>
      </c>
      <c r="Z70" s="17"/>
      <c r="AA70" s="13"/>
      <c r="AB70" s="13"/>
      <c r="AC70" s="13"/>
      <c r="AD70" s="13"/>
      <c r="AE70" s="13"/>
      <c r="AF70" s="13"/>
      <c r="AG70" s="13"/>
    </row>
    <row r="71">
      <c r="A71" s="12"/>
      <c r="B71" s="65">
        <f t="shared" si="2"/>
        <v>17</v>
      </c>
      <c r="C71" s="69" t="s">
        <v>16</v>
      </c>
      <c r="D71" s="14" t="b">
        <f>IFERROR(__xludf.DUMMYFUNCTION("IF(COUNTA(C71:C147)=0,"""",IFERROR(IF(ISBLANK(C71),FALSE,IF(ISBLANK(G71),1,IF(NOT(COUNTIF($AA$24:$AA$34,SUBSTITUTE(C71,""Sell_"",""""))),1,IF(C71=""Plastic_up"",IF(I71&lt;1000,1),IF(C71=""Super_Up"",IF(OR(COUNTIF(C$4:C71,""Grandma"")-COUNTIF(C$4:C71,""Sell_G"&amp;"randma"")&lt;1,COUNTIF(C$4:C71,VLOOKUP(C71,Upgrades!$F$8:$N$8,7+COUNTIF(C$4:C71,C71)))-COUNTIF(C$4:C71,""Sell_""&amp;VLOOKUP(C71,Upgrades!$F$8:$N$8,7+COUNTIF(C$4:C71,C71)))&lt;15),1),IF(REGEXMATCH(C71,""_up""),IF(COUNTIF(C$4:C71,SUBSTITUTE(C71,""_up"",""""))&lt;IFERRO"&amp;"R(VLOOKUP(C71,Upgrades!$L$3:$P$6,1+COUNTIF(C$4:C71,C71),0),999),1),IF(REGEXMATCH(C71,""Sell_""),IF(COUNTIF(C$4:C71,SUBSTITUTE(C71,""Sell_"",""""))-COUNTIF(C$4:C70,C71)&lt;1,1),FALSE)))))))))"),FALSE)</f>
        <v>0</v>
      </c>
      <c r="E71" s="71">
        <f>IFERROR(__xludf.DUMMYFUNCTION("IF(REGEXMATCH(C71,""^Sell_""),E70, IF(COUNTA(C71:C147)=0,"""",(COUNTIF(C$4:C71,""Cursor"")-COUNTIF(C$4:C71,""Sell_Cursor""))*(0.1*2^SWITCH(COUNTIF(C$4:C71,""Cursor_up""),0,0,1,1,2,2,3)+SWITCH(COUNTIF(C$4:C71,""Cursor_up""),4,0.1,0)*(ROW(C71)-4-COUNTIF(C$4"&amp;":C71,""Cursor"")-COUNTIF(C$4:C71,""*""&amp;""_up"")-2*COUNTIF(C$4:C71,""Sell_""&amp;""*"")+COUNTIF(C$4:C71,""Sell_Cursor"")-COUNTIF(C$4:C71,"""")))+(COUNTIF(C$4:C71,""Grandma"")-COUNTIF(C$4:C71,""Sell_Grandma""))*(1*2^(COUNTIF(C$4:C71,""Grandma_up"")+COUNTIF(C$4:"&amp;"C71,""Super_up"")))+(COUNTIF(C$4:C71,""Farm"")-COUNTIF(C$4:C71,""Sell_Farm""))*(8*2^COUNTIF(C$4:C71,""Farm_up""))*IF(COUNTIF(C$4:C71,""Super_up"")&gt;0,1+0.01*(COUNTIF(C$4:C71,""Grandma"")-COUNTIF(C$4:C71,""Sell_Grandma"")),1)+(COUNTIF(C$4:C71,""Mine"")-COUN"&amp;"TIF(C$4:C71,""Sell_Mine""))*((47*2^COUNTIF(C$4:C71,""Mine_up""))*IF(COUNTIF(C$4:C71,""Super_up"")&gt;1,1+0.005*(COUNTIF(C$4:C71,""Grandma"")-COUNTIF(C$4:C71,""Sell_Grandma"")),1))+(COUNTIF(C$4:C71,""Factory"")-COUNTIF(C$4:C71,""Sell_Factory""))*(260*2^COUNTI"&amp;"F(C$4:C71,""Factory_up""))))"),734.8)</f>
        <v>734.8</v>
      </c>
      <c r="F71" s="73">
        <f>IFERROR(__xludf.DUMMYFUNCTION("IF(COUNTA(C71:C147)=0,"""",IF(REGEXMATCH(INDEX(FILTER(C$4:C71,C$4:C71&lt;&gt;""""),ROWS(FILTER(C$4:C71,C$4:C71&lt;&gt;""""))),""^Sell_""),INDEX(FILTER(F$4:F70,C$4:C70&lt;&gt;""""),ROWS(FILTER(C$4:C70,C$4:C70&lt;&gt;""""))),$AC$5*(2^SWITCH(COUNTIF(C$4:C71,""Cursor_up""),0,0,1,1,2"&amp;",2,3)+SWITCH(COUNTIF(C$4:C71,""Cursor_up""),4,0.1,0)*(ROW(C71)-4-COUNTIF(C$4:C71,""Cursor"")-COUNTIF(C$4:C71,""*""&amp;""_up"")-2*COUNTIF(C$4:C71,""Sell_""&amp;""*"")+COUNTIF(C$4:C71,""Sell_Cursor"")-COUNTIF(C$4:C71,""""))+0.01*E71*COUNTIF(C$4:C71,""Plastic_up"")"&amp;")+E71))"),814.8)</f>
        <v>814.8</v>
      </c>
      <c r="G71" s="14">
        <f>IFERROR(__xludf.DUMMYFUNCTION("IF(COUNTA(C71:C147)=0,"""",IF(REGEXMATCH(C71,""_up""),VLOOKUP(C71,Upgrades!$F$3:$J$8,1+COUNTIF(C$4:C71,C71),FALSE),IF(C71="""",0,IF(REGEXMATCH(C71,""^Sell_""),-ROUNDDOWN(ROUNDUP(INDEX(Upgrades!$C$3:$C$8,MATCH(SUBSTITUTE(C71,""Sell_"",""""),Upgrades!$B$3:$"&amp;"B$8,0))*1.15^(COUNTIF(C$4:C70,SUBSTITUTE(C71,""Sell_"",""""))-COUNTIF(C$4:C70,""Sell_""&amp;SUBSTITUTE(C71,""Sell_"",""""))))/4),ROUNDUP(INDEX(Upgrades!$C$3:$C$7,MATCH(C71,Upgrades!$B$3:$B$7,0))*1.15^(COUNTIF(C$4:C70,C71)-COUNTIF(C$4:C70,""Sell_""&amp;C71)))))))"),10294.0)</f>
        <v>10294</v>
      </c>
      <c r="H71" s="14">
        <f t="shared" si="3"/>
        <v>10294</v>
      </c>
      <c r="I71" s="75">
        <f t="shared" si="4"/>
        <v>1198352.558</v>
      </c>
      <c r="J71" s="76">
        <f t="shared" si="5"/>
        <v>729.453558</v>
      </c>
      <c r="K71" s="71" t="str">
        <f t="shared" si="6"/>
        <v>12m 09s</v>
      </c>
      <c r="L71" s="77">
        <f t="shared" si="7"/>
        <v>192037</v>
      </c>
      <c r="M71" s="51">
        <f t="shared" si="8"/>
        <v>-1.04823</v>
      </c>
      <c r="N71" s="52">
        <f>IFERROR(__xludf.DUMMYFUNCTION("IFS(AND(COUNTA(C71:C147)=0,COUNTA(P71:P147)=0),"""",OR(AND(L71&gt;=1000000,OR(Y71&gt;=1000000,COUNTA(P71:P147)=0)),AND(Y71&gt;=1000000,COUNTA(C71:C147)=0),AND(COUNTA(P71:P147)=0,O$3=TRUE)),
ROUNDDOWN((AB$1-AC$1)*MAX(INDEX(S$4:S147,MATCH(LARGE(FILTER(Y$4:Y147,Y$4:Y"&amp;"147&lt;1000000),1),Y$4:Y147)),INDEX(F$4:F147,MATCH(LARGE(FILTER(L$4:L147,L$4:L147&lt;1000000),1),L$4:L147)))),AND(L71&lt;1000000,COUNTA(C71:C147)&gt;0,O$3=FALSE),
ROUNDDOWN(INDEX(Y$4:Y147,MATCH(LARGE(FILTER(W$4:W147,W$4:W147&lt;=J71),1),W$4:W147))+(J71-LARGE(FILTER(W$4:"&amp;"W147,W$4:W147&lt;=J71),1))*INDEX(S$4:S147,MATCH(LARGE(FILTER(W$4:W147,W$4:W147&lt;=J71),1),W$4:W147))-L71),1,
ROUNDDOWN(Y71-INDEX(L$4:L147,MATCH(LARGE(FILTER(J$4:J147,J$4:J147&lt;=W71),1),J$4:J147))-(W71-LARGE(FILTER(J$4:J147,J$4:J147&lt;=W71),1))*INDEX(F$4:F147,MATC"&amp;"H(LARGE(FILTER(J$4:J147,J$4:J147&lt;=W71),1),J$4:J147))))"),820.0)</f>
        <v>820</v>
      </c>
      <c r="O71" s="65">
        <f t="shared" si="9"/>
        <v>17</v>
      </c>
      <c r="P71" s="69" t="s">
        <v>16</v>
      </c>
      <c r="Q71" s="14" t="b">
        <f>IFERROR(__xludf.DUMMYFUNCTION("IF(COUNTA(P71:P147)=0,"""",IFERROR(IF(ISBLANK(P71),FALSE,IF(ISBLANK(T71),1,IF(NOT(COUNTIF($AA$24:$AA$34,SUBSTITUTE(P71,""Sell_"",""""))),1,IF(P71=""Plastic_up"",IF(V71&lt;1000,1),IF(P71=""Super_Up"",IF(OR(COUNTIF(P$4:P71,""Grandma"")-COUNTIF(P$4:P71,""Sell_G"&amp;"randma"")&lt;1,COUNTIF(P$4:P71,VLOOKUP(P71,Upgrades!$F$8:$N$8,7+COUNTIF(P$4:P71,P71)))-COUNTIF(P$4:P71,""Sell_""&amp;VLOOKUP(P71,Upgrades!$F$8:$N$8,7+COUNTIF(P$4:P71,P71)))&lt;15),1),IF(REGEXMATCH(P71,""_up""),IF(COUNTIF(P$4:P71,SUBSTITUTE(P71,""_up"",""""))&lt;IFERRO"&amp;"R(VLOOKUP(P71,Upgrades!$L$3:$P$6,1+COUNTIF(P$4:P71,P71),0),999),1),IF(REGEXMATCH(P71,""Sell_""),IF(COUNTIF(P$4:P71,SUBSTITUTE(P71,""Sell_"",""""))-COUNTIF(P$4:P70,P71)&lt;1,1),FALSE)))))))))"),FALSE)</f>
        <v>0</v>
      </c>
      <c r="R71" s="71">
        <f>IFERROR(__xludf.DUMMYFUNCTION("IF(REGEXMATCH(P71,""^Sell_""),R70, IF(COUNTA(P71:P147)=0,"""",(COUNTIF(P$4:P71,""Cursor"")-COUNTIF(P$4:P71,""Sell_Cursor""))*(0.1*2^SWITCH(COUNTIF(P$4:P71,""Cursor_up""),0,0,1,1,2,2,3)+SWITCH(COUNTIF(P$4:P71,""Cursor_up""),4,0.1,0)*(ROW(P71)-4-COUNTIF(P$4"&amp;":P71,""Cursor"")-COUNTIF(P$4:P71,""*""&amp;""_up"")-2*COUNTIF(P$4:P71,""Sell_""&amp;""*"")+COUNTIF(P$4:P71,""Sell_Cursor"")-COUNTIF(P$4:P71,"""")))+(COUNTIF(P$4:P71,""Grandma"")-COUNTIF(P$4:P71,""Sell_Grandma""))*(1*2^(COUNTIF(P$4:P71,""Grandma_up"")+COUNTIF(P$4:"&amp;"P71,""Super_up"")))+(COUNTIF(P$4:P71,""Farm"")-COUNTIF(P$4:P71,""Sell_Farm""))*(8*2^COUNTIF(P$4:P71,""Farm_up""))*IF(COUNTIF(P$4:P71,""Super_up"")&gt;0,1+0.01*(COUNTIF(P$4:P71,""Grandma"")-COUNTIF(P$4:P71,""Sell_Grandma"")),1)+(COUNTIF(P$4:P71,""Mine"")-COUN"&amp;"TIF(P$4:P71,""Sell_Mine""))*((47*2^COUNTIF(P$4:P71,""Mine_up""))*IF(COUNTIF(P$4:P71,""Super_up"")&gt;1,1+0.005*(COUNTIF(P$4:P71,""Grandma"")-COUNTIF(P$4:P71,""Sell_Grandma"")),1))+(COUNTIF(P$4:P71,""Factory"")-COUNTIF(P$4:P71,""Sell_Factory""))*(260*2^COUNTI"&amp;"F(P$4:P71,""Factory_up""))))"),734.8)</f>
        <v>734.8</v>
      </c>
      <c r="S71" s="73">
        <f>IFERROR(__xludf.DUMMYFUNCTION("IF(COUNTA(P71:P147)=0,"""",IF(REGEXMATCH(INDEX(FILTER(P$4:P71,P$4:P71&lt;&gt;""""),ROWS(FILTER(P$4:P71,P$4:P71&lt;&gt;""""))),""^Sell_""),INDEX(FILTER(S$4:S70,P$4:P70&lt;&gt;""""),ROWS(FILTER(P$4:P70,P$4:P70&lt;&gt;""""))),$AD$5*(2^SWITCH(COUNTIF(P$4:P71,""Cursor_up""),0,0,1,1,2"&amp;",2,3)+SWITCH(COUNTIF(P$4:P71,""Cursor_up""),4,0.1,0)*(ROW(P71)-4-COUNTIF(P$4:P71,""Cursor"")-COUNTIF(P$4:P71,""*""&amp;""_up"")-2*COUNTIF(P$4:P71,""Sell_""&amp;""*"")+COUNTIF(P$4:P71,""Sell_Cursor"")-COUNTIF(P$4:P71,""""))+0.01*R71*COUNTIF(P$4:P71,""Plastic_up"")"&amp;")+R71))"),814.8)</f>
        <v>814.8</v>
      </c>
      <c r="T71" s="14">
        <f>IFERROR(__xludf.DUMMYFUNCTION("IF(COUNTA(P71:P147)=0,"""",IF(REGEXMATCH(P71,""_up""),VLOOKUP(P71,Upgrades!$F$3:$J$8,1+COUNTIF(P$4:P71,P71),FALSE),IF(P71="""",0,IF(REGEXMATCH(P71,""^Sell_""),-ROUNDDOWN(ROUNDUP(INDEX(Upgrades!$C$3:$C$8,MATCH(SUBSTITUTE(P71,""Sell_"",""""),Upgrades!$B$3:$"&amp;"B$8,0))*1.15^(COUNTIF(P$4:P70,SUBSTITUTE(P71,""Sell_"",""""))-COUNTIF(P$4:P70,""Sell_""&amp;SUBSTITUTE(P71,""Sell_"",""""))))/4),ROUNDUP(INDEX(Upgrades!$C$3:$C$7,MATCH(P71,Upgrades!$B$3:$B$7,0))*1.15^(COUNTIF(P$4:P70,P71)-COUNTIF(P$4:P70,""Sell_""&amp;P71)))))))"),10294.0)</f>
        <v>10294</v>
      </c>
      <c r="U71" s="14">
        <f t="shared" si="10"/>
        <v>10294</v>
      </c>
      <c r="V71" s="75">
        <f t="shared" si="11"/>
        <v>1112351.29</v>
      </c>
      <c r="W71" s="76">
        <f t="shared" si="12"/>
        <v>728.4053216</v>
      </c>
      <c r="X71" s="71" t="str">
        <f t="shared" si="13"/>
        <v>12m 08s</v>
      </c>
      <c r="Y71" s="77">
        <f t="shared" si="14"/>
        <v>192037</v>
      </c>
      <c r="Z71" s="17"/>
      <c r="AA71" s="13"/>
      <c r="AB71" s="13"/>
      <c r="AC71" s="13"/>
      <c r="AD71" s="13"/>
      <c r="AE71" s="13"/>
      <c r="AF71" s="13"/>
      <c r="AG71" s="13"/>
    </row>
    <row r="72">
      <c r="A72" s="12"/>
      <c r="B72" s="65">
        <f t="shared" si="2"/>
        <v>1</v>
      </c>
      <c r="C72" s="69" t="s">
        <v>24</v>
      </c>
      <c r="D72" s="14" t="b">
        <f>IFERROR(__xludf.DUMMYFUNCTION("IF(COUNTA(C72:C147)=0,"""",IFERROR(IF(ISBLANK(C72),FALSE,IF(ISBLANK(G72),1,IF(NOT(COUNTIF($AA$24:$AA$34,SUBSTITUTE(C72,""Sell_"",""""))),1,IF(C72=""Plastic_up"",IF(I72&lt;1000,1),IF(C72=""Super_Up"",IF(OR(COUNTIF(C$4:C72,""Grandma"")-COUNTIF(C$4:C72,""Sell_G"&amp;"randma"")&lt;1,COUNTIF(C$4:C72,VLOOKUP(C72,Upgrades!$F$8:$N$8,7+COUNTIF(C$4:C72,C72)))-COUNTIF(C$4:C72,""Sell_""&amp;VLOOKUP(C72,Upgrades!$F$8:$N$8,7+COUNTIF(C$4:C72,C72)))&lt;15),1),IF(REGEXMATCH(C72,""_up""),IF(COUNTIF(C$4:C72,SUBSTITUTE(C72,""_up"",""""))&lt;IFERRO"&amp;"R(VLOOKUP(C72,Upgrades!$L$3:$P$6,1+COUNTIF(C$4:C72,C72),0),999),1),IF(REGEXMATCH(C72,""Sell_""),IF(COUNTIF(C$4:C72,SUBSTITUTE(C72,""Sell_"",""""))-COUNTIF(C$4:C71,C72)&lt;1,1),FALSE)))))))))"),FALSE)</f>
        <v>0</v>
      </c>
      <c r="E72" s="71">
        <f>IFERROR(__xludf.DUMMYFUNCTION("IF(REGEXMATCH(C72,""^Sell_""),E71, IF(COUNTA(C72:C147)=0,"""",(COUNTIF(C$4:C72,""Cursor"")-COUNTIF(C$4:C72,""Sell_Cursor""))*(0.1*2^SWITCH(COUNTIF(C$4:C72,""Cursor_up""),0,0,1,1,2,2,3)+SWITCH(COUNTIF(C$4:C72,""Cursor_up""),4,0.1,0)*(ROW(C72)-4-COUNTIF(C$4"&amp;":C72,""Cursor"")-COUNTIF(C$4:C72,""*""&amp;""_up"")-2*COUNTIF(C$4:C72,""Sell_""&amp;""*"")+COUNTIF(C$4:C72,""Sell_Cursor"")-COUNTIF(C$4:C72,"""")))+(COUNTIF(C$4:C72,""Grandma"")-COUNTIF(C$4:C72,""Sell_Grandma""))*(1*2^(COUNTIF(C$4:C72,""Grandma_up"")+COUNTIF(C$4:"&amp;"C72,""Super_up"")))+(COUNTIF(C$4:C72,""Farm"")-COUNTIF(C$4:C72,""Sell_Farm""))*(8*2^COUNTIF(C$4:C72,""Farm_up""))*IF(COUNTIF(C$4:C72,""Super_up"")&gt;0,1+0.01*(COUNTIF(C$4:C72,""Grandma"")-COUNTIF(C$4:C72,""Sell_Grandma"")),1)+(COUNTIF(C$4:C72,""Mine"")-COUN"&amp;"TIF(C$4:C72,""Sell_Mine""))*((47*2^COUNTIF(C$4:C72,""Mine_up""))*IF(COUNTIF(C$4:C72,""Super_up"")&gt;1,1+0.005*(COUNTIF(C$4:C72,""Grandma"")-COUNTIF(C$4:C72,""Sell_Grandma"")),1))+(COUNTIF(C$4:C72,""Factory"")-COUNTIF(C$4:C72,""Sell_Factory""))*(260*2^COUNTI"&amp;"F(C$4:C72,""Factory_up""))))"),923.5999999999999)</f>
        <v>923.6</v>
      </c>
      <c r="F72" s="73">
        <f>IFERROR(__xludf.DUMMYFUNCTION("IF(COUNTA(C72:C147)=0,"""",IF(REGEXMATCH(INDEX(FILTER(C$4:C72,C$4:C72&lt;&gt;""""),ROWS(FILTER(C$4:C72,C$4:C72&lt;&gt;""""))),""^Sell_""),INDEX(FILTER(F$4:F71,C$4:C71&lt;&gt;""""),ROWS(FILTER(C$4:C71,C$4:C71&lt;&gt;""""))),$AC$5*(2^SWITCH(COUNTIF(C$4:C72,""Cursor_up""),0,0,1,1,2"&amp;",2,3)+SWITCH(COUNTIF(C$4:C72,""Cursor_up""),4,0.1,0)*(ROW(C72)-4-COUNTIF(C$4:C72,""Cursor"")-COUNTIF(C$4:C72,""*""&amp;""_up"")-2*COUNTIF(C$4:C72,""Sell_""&amp;""*"")+COUNTIF(C$4:C72,""Sell_Cursor"")-COUNTIF(C$4:C72,""""))+0.01*E72*COUNTIF(C$4:C72,""Plastic_up"")"&amp;")+E72))"),1003.5999999999999)</f>
        <v>1003.6</v>
      </c>
      <c r="G72" s="14">
        <f>IFERROR(__xludf.DUMMYFUNCTION("IF(COUNTA(C72:C147)=0,"""",IF(REGEXMATCH(C72,""_up""),VLOOKUP(C72,Upgrades!$F$3:$J$8,1+COUNTIF(C$4:C72,C72),FALSE),IF(C72="""",0,IF(REGEXMATCH(C72,""^Sell_""),-ROUNDDOWN(ROUNDUP(INDEX(Upgrades!$C$3:$C$8,MATCH(SUBSTITUTE(C72,""Sell_"",""""),Upgrades!$B$3:$"&amp;"B$8,0))*1.15^(COUNTIF(C$4:C71,SUBSTITUTE(C72,""Sell_"",""""))-COUNTIF(C$4:C71,""Sell_""&amp;SUBSTITUTE(C72,""Sell_"",""""))))/4),ROUNDUP(INDEX(Upgrades!$C$3:$C$7,MATCH(C72,Upgrades!$B$3:$B$7,0))*1.15^(COUNTIF(C$4:C71,C72)-COUNTIF(C$4:C71,""Sell_""&amp;C72)))))))"),55000.0)</f>
        <v>55000</v>
      </c>
      <c r="H72" s="14">
        <f t="shared" si="3"/>
        <v>55000</v>
      </c>
      <c r="I72" s="75">
        <f t="shared" si="4"/>
        <v>1262108.941</v>
      </c>
      <c r="J72" s="76">
        <f t="shared" si="5"/>
        <v>796.9547853</v>
      </c>
      <c r="K72" s="71" t="str">
        <f t="shared" si="6"/>
        <v>13m 16s</v>
      </c>
      <c r="L72" s="77">
        <f t="shared" si="7"/>
        <v>247037</v>
      </c>
      <c r="M72" s="51">
        <f t="shared" si="8"/>
        <v>-1.04823</v>
      </c>
      <c r="N72" s="52">
        <f>IFERROR(__xludf.DUMMYFUNCTION("IFS(AND(COUNTA(C72:C147)=0,COUNTA(P72:P147)=0),"""",OR(AND(L72&gt;=1000000,OR(Y72&gt;=1000000,COUNTA(P72:P147)=0)),AND(Y72&gt;=1000000,COUNTA(C72:C147)=0),AND(COUNTA(P72:P147)=0,O$3=TRUE)),
ROUNDDOWN((AB$1-AC$1)*MAX(INDEX(S$4:S147,MATCH(LARGE(FILTER(Y$4:Y147,Y$4:Y"&amp;"147&lt;1000000),1),Y$4:Y147)),INDEX(F$4:F147,MATCH(LARGE(FILTER(L$4:L147,L$4:L147&lt;1000000),1),L$4:L147)))),AND(L72&lt;1000000,COUNTA(C72:C147)&gt;0,O$3=FALSE),
ROUNDDOWN(INDEX(Y$4:Y147,MATCH(LARGE(FILTER(W$4:W147,W$4:W147&lt;=J72),1),W$4:W147))+(J72-LARGE(FILTER(W$4:"&amp;"W147,W$4:W147&lt;=J72),1))*INDEX(S$4:S147,MATCH(LARGE(FILTER(W$4:W147,W$4:W147&lt;=J72),1),W$4:W147))-L72),1,
ROUNDDOWN(Y72-INDEX(L$4:L147,MATCH(LARGE(FILTER(J$4:J147,J$4:J147&lt;=W72),1),J$4:J147))-(W72-LARGE(FILTER(J$4:J147,J$4:J147&lt;=W72),1))*INDEX(F$4:F147,MATC"&amp;"H(LARGE(FILTER(J$4:J147,J$4:J147&lt;=W72),1),J$4:J147))))"),854.0)</f>
        <v>854</v>
      </c>
      <c r="O72" s="65">
        <f t="shared" si="9"/>
        <v>1</v>
      </c>
      <c r="P72" s="69" t="s">
        <v>24</v>
      </c>
      <c r="Q72" s="14" t="b">
        <f>IFERROR(__xludf.DUMMYFUNCTION("IF(COUNTA(P72:P147)=0,"""",IFERROR(IF(ISBLANK(P72),FALSE,IF(ISBLANK(T72),1,IF(NOT(COUNTIF($AA$24:$AA$34,SUBSTITUTE(P72,""Sell_"",""""))),1,IF(P72=""Plastic_up"",IF(V72&lt;1000,1),IF(P72=""Super_Up"",IF(OR(COUNTIF(P$4:P72,""Grandma"")-COUNTIF(P$4:P72,""Sell_G"&amp;"randma"")&lt;1,COUNTIF(P$4:P72,VLOOKUP(P72,Upgrades!$F$8:$N$8,7+COUNTIF(P$4:P72,P72)))-COUNTIF(P$4:P72,""Sell_""&amp;VLOOKUP(P72,Upgrades!$F$8:$N$8,7+COUNTIF(P$4:P72,P72)))&lt;15),1),IF(REGEXMATCH(P72,""_up""),IF(COUNTIF(P$4:P72,SUBSTITUTE(P72,""_up"",""""))&lt;IFERRO"&amp;"R(VLOOKUP(P72,Upgrades!$L$3:$P$6,1+COUNTIF(P$4:P72,P72),0),999),1),IF(REGEXMATCH(P72,""Sell_""),IF(COUNTIF(P$4:P72,SUBSTITUTE(P72,""Sell_"",""""))-COUNTIF(P$4:P71,P72)&lt;1,1),FALSE)))))))))"),FALSE)</f>
        <v>0</v>
      </c>
      <c r="R72" s="71">
        <f>IFERROR(__xludf.DUMMYFUNCTION("IF(REGEXMATCH(P72,""^Sell_""),R71, IF(COUNTA(P72:P147)=0,"""",(COUNTIF(P$4:P72,""Cursor"")-COUNTIF(P$4:P72,""Sell_Cursor""))*(0.1*2^SWITCH(COUNTIF(P$4:P72,""Cursor_up""),0,0,1,1,2,2,3)+SWITCH(COUNTIF(P$4:P72,""Cursor_up""),4,0.1,0)*(ROW(P72)-4-COUNTIF(P$4"&amp;":P72,""Cursor"")-COUNTIF(P$4:P72,""*""&amp;""_up"")-2*COUNTIF(P$4:P72,""Sell_""&amp;""*"")+COUNTIF(P$4:P72,""Sell_Cursor"")-COUNTIF(P$4:P72,"""")))+(COUNTIF(P$4:P72,""Grandma"")-COUNTIF(P$4:P72,""Sell_Grandma""))*(1*2^(COUNTIF(P$4:P72,""Grandma_up"")+COUNTIF(P$4:"&amp;"P72,""Super_up"")))+(COUNTIF(P$4:P72,""Farm"")-COUNTIF(P$4:P72,""Sell_Farm""))*(8*2^COUNTIF(P$4:P72,""Farm_up""))*IF(COUNTIF(P$4:P72,""Super_up"")&gt;0,1+0.01*(COUNTIF(P$4:P72,""Grandma"")-COUNTIF(P$4:P72,""Sell_Grandma"")),1)+(COUNTIF(P$4:P72,""Mine"")-COUN"&amp;"TIF(P$4:P72,""Sell_Mine""))*((47*2^COUNTIF(P$4:P72,""Mine_up""))*IF(COUNTIF(P$4:P72,""Super_up"")&gt;1,1+0.005*(COUNTIF(P$4:P72,""Grandma"")-COUNTIF(P$4:P72,""Sell_Grandma"")),1))+(COUNTIF(P$4:P72,""Factory"")-COUNTIF(P$4:P72,""Sell_Factory""))*(260*2^COUNTI"&amp;"F(P$4:P72,""Factory_up""))))"),923.5999999999999)</f>
        <v>923.6</v>
      </c>
      <c r="S72" s="73">
        <f>IFERROR(__xludf.DUMMYFUNCTION("IF(COUNTA(P72:P147)=0,"""",IF(REGEXMATCH(INDEX(FILTER(P$4:P72,P$4:P72&lt;&gt;""""),ROWS(FILTER(P$4:P72,P$4:P72&lt;&gt;""""))),""^Sell_""),INDEX(FILTER(S$4:S71,P$4:P71&lt;&gt;""""),ROWS(FILTER(P$4:P71,P$4:P71&lt;&gt;""""))),$AD$5*(2^SWITCH(COUNTIF(P$4:P72,""Cursor_up""),0,0,1,1,2"&amp;",2,3)+SWITCH(COUNTIF(P$4:P72,""Cursor_up""),4,0.1,0)*(ROW(P72)-4-COUNTIF(P$4:P72,""Cursor"")-COUNTIF(P$4:P72,""*""&amp;""_up"")-2*COUNTIF(P$4:P72,""Sell_""&amp;""*"")+COUNTIF(P$4:P72,""Sell_Cursor"")-COUNTIF(P$4:P72,""""))+0.01*R72*COUNTIF(P$4:P72,""Plastic_up"")"&amp;")+R72))"),1003.5999999999999)</f>
        <v>1003.6</v>
      </c>
      <c r="T72" s="14">
        <f>IFERROR(__xludf.DUMMYFUNCTION("IF(COUNTA(P72:P147)=0,"""",IF(REGEXMATCH(P72,""_up""),VLOOKUP(P72,Upgrades!$F$3:$J$8,1+COUNTIF(P$4:P72,P72),FALSE),IF(P72="""",0,IF(REGEXMATCH(P72,""^Sell_""),-ROUNDDOWN(ROUNDUP(INDEX(Upgrades!$C$3:$C$8,MATCH(SUBSTITUTE(P72,""Sell_"",""""),Upgrades!$B$3:$"&amp;"B$8,0))*1.15^(COUNTIF(P$4:P71,SUBSTITUTE(P72,""Sell_"",""""))-COUNTIF(P$4:P71,""Sell_""&amp;SUBSTITUTE(P72,""Sell_"",""""))))/4),ROUNDUP(INDEX(Upgrades!$C$3:$C$7,MATCH(P72,Upgrades!$B$3:$B$7,0))*1.15^(COUNTIF(P$4:P71,P72)-COUNTIF(P$4:P71,""Sell_""&amp;P72)))))))"),55000.0)</f>
        <v>55000</v>
      </c>
      <c r="U72" s="14">
        <f t="shared" si="10"/>
        <v>55000</v>
      </c>
      <c r="V72" s="75">
        <f t="shared" si="11"/>
        <v>1176023.814</v>
      </c>
      <c r="W72" s="76">
        <f t="shared" si="12"/>
        <v>795.9065489</v>
      </c>
      <c r="X72" s="71" t="str">
        <f t="shared" si="13"/>
        <v>13m 15s</v>
      </c>
      <c r="Y72" s="77">
        <f t="shared" si="14"/>
        <v>247037</v>
      </c>
      <c r="Z72" s="17"/>
      <c r="AA72" s="13"/>
      <c r="AB72" s="13"/>
      <c r="AC72" s="13"/>
      <c r="AD72" s="13"/>
      <c r="AE72" s="13"/>
      <c r="AF72" s="13"/>
      <c r="AG72" s="13"/>
    </row>
    <row r="73">
      <c r="A73" s="12"/>
      <c r="B73" s="65">
        <f t="shared" si="2"/>
        <v>21</v>
      </c>
      <c r="C73" s="69" t="s">
        <v>13</v>
      </c>
      <c r="D73" s="14" t="b">
        <f>IFERROR(__xludf.DUMMYFUNCTION("IF(COUNTA(C73:C147)=0,"""",IFERROR(IF(ISBLANK(C73),FALSE,IF(ISBLANK(G73),1,IF(NOT(COUNTIF($AA$24:$AA$34,SUBSTITUTE(C73,""Sell_"",""""))),1,IF(C73=""Plastic_up"",IF(I73&lt;1000,1),IF(C73=""Super_Up"",IF(OR(COUNTIF(C$4:C73,""Grandma"")-COUNTIF(C$4:C73,""Sell_G"&amp;"randma"")&lt;1,COUNTIF(C$4:C73,VLOOKUP(C73,Upgrades!$F$8:$N$8,7+COUNTIF(C$4:C73,C73)))-COUNTIF(C$4:C73,""Sell_""&amp;VLOOKUP(C73,Upgrades!$F$8:$N$8,7+COUNTIF(C$4:C73,C73)))&lt;15),1),IF(REGEXMATCH(C73,""_up""),IF(COUNTIF(C$4:C73,SUBSTITUTE(C73,""_up"",""""))&lt;IFERRO"&amp;"R(VLOOKUP(C73,Upgrades!$L$3:$P$6,1+COUNTIF(C$4:C73,C73),0),999),1),IF(REGEXMATCH(C73,""Sell_""),IF(COUNTIF(C$4:C73,SUBSTITUTE(C73,""Sell_"",""""))-COUNTIF(C$4:C72,C73)&lt;1,1),FALSE)))))))))"),FALSE)</f>
        <v>0</v>
      </c>
      <c r="E73" s="71">
        <f>IFERROR(__xludf.DUMMYFUNCTION("IF(REGEXMATCH(C73,""^Sell_""),E72, IF(COUNTA(C73:C147)=0,"""",(COUNTIF(C$4:C73,""Cursor"")-COUNTIF(C$4:C73,""Sell_Cursor""))*(0.1*2^SWITCH(COUNTIF(C$4:C73,""Cursor_up""),0,0,1,1,2,2,3)+SWITCH(COUNTIF(C$4:C73,""Cursor_up""),4,0.1,0)*(ROW(C73)-4-COUNTIF(C$4"&amp;":C73,""Cursor"")-COUNTIF(C$4:C73,""*""&amp;""_up"")-2*COUNTIF(C$4:C73,""Sell_""&amp;""*"")+COUNTIF(C$4:C73,""Sell_Cursor"")-COUNTIF(C$4:C73,"""")))+(COUNTIF(C$4:C73,""Grandma"")-COUNTIF(C$4:C73,""Sell_Grandma""))*(1*2^(COUNTIF(C$4:C73,""Grandma_up"")+COUNTIF(C$4:"&amp;"C73,""Super_up"")))+(COUNTIF(C$4:C73,""Farm"")-COUNTIF(C$4:C73,""Sell_Farm""))*(8*2^COUNTIF(C$4:C73,""Farm_up""))*IF(COUNTIF(C$4:C73,""Super_up"")&gt;0,1+0.01*(COUNTIF(C$4:C73,""Grandma"")-COUNTIF(C$4:C73,""Sell_Grandma"")),1)+(COUNTIF(C$4:C73,""Mine"")-COUN"&amp;"TIF(C$4:C73,""Sell_Mine""))*((47*2^COUNTIF(C$4:C73,""Mine_up""))*IF(COUNTIF(C$4:C73,""Super_up"")&gt;1,1+0.005*(COUNTIF(C$4:C73,""Grandma"")-COUNTIF(C$4:C73,""Sell_Grandma"")),1))+(COUNTIF(C$4:C73,""Factory"")-COUNTIF(C$4:C73,""Sell_Factory""))*(260*2^COUNTI"&amp;"F(C$4:C73,""Factory_up""))))"),937.04)</f>
        <v>937.04</v>
      </c>
      <c r="F73" s="73">
        <f>IFERROR(__xludf.DUMMYFUNCTION("IF(COUNTA(C73:C147)=0,"""",IF(REGEXMATCH(INDEX(FILTER(C$4:C73,C$4:C73&lt;&gt;""""),ROWS(FILTER(C$4:C73,C$4:C73&lt;&gt;""""))),""^Sell_""),INDEX(FILTER(F$4:F72,C$4:C72&lt;&gt;""""),ROWS(FILTER(C$4:C72,C$4:C72&lt;&gt;""""))),$AC$5*(2^SWITCH(COUNTIF(C$4:C73,""Cursor_up""),0,0,1,1,2"&amp;",2,3)+SWITCH(COUNTIF(C$4:C73,""Cursor_up""),4,0.1,0)*(ROW(C73)-4-COUNTIF(C$4:C73,""Cursor"")-COUNTIF(C$4:C73,""*""&amp;""_up"")-2*COUNTIF(C$4:C73,""Sell_""&amp;""*"")+COUNTIF(C$4:C73,""Sell_Cursor"")-COUNTIF(C$4:C73,""""))+0.01*E73*COUNTIF(C$4:C73,""Plastic_up"")"&amp;")+E73))"),1017.04)</f>
        <v>1017.04</v>
      </c>
      <c r="G73" s="14">
        <f>IFERROR(__xludf.DUMMYFUNCTION("IF(COUNTA(C73:C147)=0,"""",IF(REGEXMATCH(C73,""_up""),VLOOKUP(C73,Upgrades!$F$3:$J$8,1+COUNTIF(C$4:C73,C73),FALSE),IF(C73="""",0,IF(REGEXMATCH(C73,""^Sell_""),-ROUNDDOWN(ROUNDUP(INDEX(Upgrades!$C$3:$C$8,MATCH(SUBSTITUTE(C73,""Sell_"",""""),Upgrades!$B$3:$"&amp;"B$8,0))*1.15^(COUNTIF(C$4:C72,SUBSTITUTE(C73,""Sell_"",""""))-COUNTIF(C$4:C72,""Sell_""&amp;SUBSTITUTE(C73,""Sell_"",""""))))/4),ROUNDUP(INDEX(Upgrades!$C$3:$C$7,MATCH(C73,Upgrades!$B$3:$B$7,0))*1.15^(COUNTIF(C$4:C72,C73)-COUNTIF(C$4:C72,""Sell_""&amp;C73)))))))"),1637.0)</f>
        <v>1637</v>
      </c>
      <c r="H73" s="14">
        <f t="shared" si="3"/>
        <v>1637</v>
      </c>
      <c r="I73" s="75">
        <f t="shared" si="4"/>
        <v>1325995.814</v>
      </c>
      <c r="J73" s="76">
        <f t="shared" si="5"/>
        <v>798.5859132</v>
      </c>
      <c r="K73" s="71" t="str">
        <f t="shared" si="6"/>
        <v>13m 18s</v>
      </c>
      <c r="L73" s="77">
        <f t="shared" si="7"/>
        <v>248674</v>
      </c>
      <c r="M73" s="51">
        <f t="shared" si="8"/>
        <v>-1.04823</v>
      </c>
      <c r="N73" s="52">
        <f>IFERROR(__xludf.DUMMYFUNCTION("IFS(AND(COUNTA(C73:C147)=0,COUNTA(P73:P147)=0),"""",OR(AND(L73&gt;=1000000,OR(Y73&gt;=1000000,COUNTA(P73:P147)=0)),AND(Y73&gt;=1000000,COUNTA(C73:C147)=0),AND(COUNTA(P73:P147)=0,O$3=TRUE)),
ROUNDDOWN((AB$1-AC$1)*MAX(INDEX(S$4:S147,MATCH(LARGE(FILTER(Y$4:Y147,Y$4:Y"&amp;"147&lt;1000000),1),Y$4:Y147)),INDEX(F$4:F147,MATCH(LARGE(FILTER(L$4:L147,L$4:L147&lt;1000000),1),L$4:L147)))),AND(L73&lt;1000000,COUNTA(C73:C147)&gt;0,O$3=FALSE),
ROUNDDOWN(INDEX(Y$4:Y147,MATCH(LARGE(FILTER(W$4:W147,W$4:W147&lt;=J73),1),W$4:W147))+(J73-LARGE(FILTER(W$4:"&amp;"W147,W$4:W147&lt;=J73),1))*INDEX(S$4:S147,MATCH(LARGE(FILTER(W$4:W147,W$4:W147&lt;=J73),1),W$4:W147))-L73),1,
ROUNDDOWN(Y73-INDEX(L$4:L147,MATCH(LARGE(FILTER(J$4:J147,J$4:J147&lt;=W73),1),J$4:J147))-(W73-LARGE(FILTER(J$4:J147,J$4:J147&lt;=W73),1))*INDEX(F$4:F147,MATC"&amp;"H(LARGE(FILTER(J$4:J147,J$4:J147&lt;=W73),1),J$4:J147))))"),1052.0)</f>
        <v>1052</v>
      </c>
      <c r="O73" s="65">
        <f t="shared" si="9"/>
        <v>21</v>
      </c>
      <c r="P73" s="69" t="s">
        <v>13</v>
      </c>
      <c r="Q73" s="14" t="b">
        <f>IFERROR(__xludf.DUMMYFUNCTION("IF(COUNTA(P73:P147)=0,"""",IFERROR(IF(ISBLANK(P73),FALSE,IF(ISBLANK(T73),1,IF(NOT(COUNTIF($AA$24:$AA$34,SUBSTITUTE(P73,""Sell_"",""""))),1,IF(P73=""Plastic_up"",IF(V73&lt;1000,1),IF(P73=""Super_Up"",IF(OR(COUNTIF(P$4:P73,""Grandma"")-COUNTIF(P$4:P73,""Sell_G"&amp;"randma"")&lt;1,COUNTIF(P$4:P73,VLOOKUP(P73,Upgrades!$F$8:$N$8,7+COUNTIF(P$4:P73,P73)))-COUNTIF(P$4:P73,""Sell_""&amp;VLOOKUP(P73,Upgrades!$F$8:$N$8,7+COUNTIF(P$4:P73,P73)))&lt;15),1),IF(REGEXMATCH(P73,""_up""),IF(COUNTIF(P$4:P73,SUBSTITUTE(P73,""_up"",""""))&lt;IFERRO"&amp;"R(VLOOKUP(P73,Upgrades!$L$3:$P$6,1+COUNTIF(P$4:P73,P73),0),999),1),IF(REGEXMATCH(P73,""Sell_""),IF(COUNTIF(P$4:P73,SUBSTITUTE(P73,""Sell_"",""""))-COUNTIF(P$4:P72,P73)&lt;1,1),FALSE)))))))))"),FALSE)</f>
        <v>0</v>
      </c>
      <c r="R73" s="71">
        <f>IFERROR(__xludf.DUMMYFUNCTION("IF(REGEXMATCH(P73,""^Sell_""),R72, IF(COUNTA(P73:P147)=0,"""",(COUNTIF(P$4:P73,""Cursor"")-COUNTIF(P$4:P73,""Sell_Cursor""))*(0.1*2^SWITCH(COUNTIF(P$4:P73,""Cursor_up""),0,0,1,1,2,2,3)+SWITCH(COUNTIF(P$4:P73,""Cursor_up""),4,0.1,0)*(ROW(P73)-4-COUNTIF(P$4"&amp;":P73,""Cursor"")-COUNTIF(P$4:P73,""*""&amp;""_up"")-2*COUNTIF(P$4:P73,""Sell_""&amp;""*"")+COUNTIF(P$4:P73,""Sell_Cursor"")-COUNTIF(P$4:P73,"""")))+(COUNTIF(P$4:P73,""Grandma"")-COUNTIF(P$4:P73,""Sell_Grandma""))*(1*2^(COUNTIF(P$4:P73,""Grandma_up"")+COUNTIF(P$4:"&amp;"P73,""Super_up"")))+(COUNTIF(P$4:P73,""Farm"")-COUNTIF(P$4:P73,""Sell_Farm""))*(8*2^COUNTIF(P$4:P73,""Farm_up""))*IF(COUNTIF(P$4:P73,""Super_up"")&gt;0,1+0.01*(COUNTIF(P$4:P73,""Grandma"")-COUNTIF(P$4:P73,""Sell_Grandma"")),1)+(COUNTIF(P$4:P73,""Mine"")-COUN"&amp;"TIF(P$4:P73,""Sell_Mine""))*((47*2^COUNTIF(P$4:P73,""Mine_up""))*IF(COUNTIF(P$4:P73,""Super_up"")&gt;1,1+0.005*(COUNTIF(P$4:P73,""Grandma"")-COUNTIF(P$4:P73,""Sell_Grandma"")),1))+(COUNTIF(P$4:P73,""Factory"")-COUNTIF(P$4:P73,""Sell_Factory""))*(260*2^COUNTI"&amp;"F(P$4:P73,""Factory_up""))))"),937.04)</f>
        <v>937.04</v>
      </c>
      <c r="S73" s="73">
        <f>IFERROR(__xludf.DUMMYFUNCTION("IF(COUNTA(P73:P147)=0,"""",IF(REGEXMATCH(INDEX(FILTER(P$4:P73,P$4:P73&lt;&gt;""""),ROWS(FILTER(P$4:P73,P$4:P73&lt;&gt;""""))),""^Sell_""),INDEX(FILTER(S$4:S72,P$4:P72&lt;&gt;""""),ROWS(FILTER(P$4:P72,P$4:P72&lt;&gt;""""))),$AD$5*(2^SWITCH(COUNTIF(P$4:P73,""Cursor_up""),0,0,1,1,2"&amp;",2,3)+SWITCH(COUNTIF(P$4:P73,""Cursor_up""),4,0.1,0)*(ROW(P73)-4-COUNTIF(P$4:P73,""Cursor"")-COUNTIF(P$4:P73,""*""&amp;""_up"")-2*COUNTIF(P$4:P73,""Sell_""&amp;""*"")+COUNTIF(P$4:P73,""Sell_Cursor"")-COUNTIF(P$4:P73,""""))+0.01*R73*COUNTIF(P$4:P73,""Plastic_up"")"&amp;")+R73))"),1017.04)</f>
        <v>1017.04</v>
      </c>
      <c r="T73" s="14">
        <f>IFERROR(__xludf.DUMMYFUNCTION("IF(COUNTA(P73:P147)=0,"""",IF(REGEXMATCH(P73,""_up""),VLOOKUP(P73,Upgrades!$F$3:$J$8,1+COUNTIF(P$4:P73,P73),FALSE),IF(P73="""",0,IF(REGEXMATCH(P73,""^Sell_""),-ROUNDDOWN(ROUNDUP(INDEX(Upgrades!$C$3:$C$8,MATCH(SUBSTITUTE(P73,""Sell_"",""""),Upgrades!$B$3:$"&amp;"B$8,0))*1.15^(COUNTIF(P$4:P72,SUBSTITUTE(P73,""Sell_"",""""))-COUNTIF(P$4:P72,""Sell_""&amp;SUBSTITUTE(P73,""Sell_"",""""))))/4),ROUNDUP(INDEX(Upgrades!$C$3:$C$7,MATCH(P73,Upgrades!$B$3:$B$7,0))*1.15^(COUNTIF(P$4:P72,P73)-COUNTIF(P$4:P72,""Sell_""&amp;P73)))))))"),1637.0)</f>
        <v>1637</v>
      </c>
      <c r="U73" s="14">
        <f t="shared" si="10"/>
        <v>1637</v>
      </c>
      <c r="V73" s="75">
        <f t="shared" si="11"/>
        <v>1239826.828</v>
      </c>
      <c r="W73" s="76">
        <f t="shared" si="12"/>
        <v>797.5376768</v>
      </c>
      <c r="X73" s="71" t="str">
        <f t="shared" si="13"/>
        <v>13m 17s</v>
      </c>
      <c r="Y73" s="77">
        <f t="shared" si="14"/>
        <v>248674</v>
      </c>
      <c r="Z73" s="17"/>
      <c r="AA73" s="13"/>
      <c r="AB73" s="13"/>
      <c r="AC73" s="13"/>
      <c r="AD73" s="13"/>
      <c r="AE73" s="13"/>
      <c r="AF73" s="13"/>
      <c r="AG73" s="13"/>
    </row>
    <row r="74">
      <c r="A74" s="12"/>
      <c r="B74" s="65">
        <f t="shared" si="2"/>
        <v>22</v>
      </c>
      <c r="C74" s="69" t="s">
        <v>13</v>
      </c>
      <c r="D74" s="14" t="b">
        <f>IFERROR(__xludf.DUMMYFUNCTION("IF(COUNTA(C74:C147)=0,"""",IFERROR(IF(ISBLANK(C74),FALSE,IF(ISBLANK(G74),1,IF(NOT(COUNTIF($AA$24:$AA$34,SUBSTITUTE(C74,""Sell_"",""""))),1,IF(C74=""Plastic_up"",IF(I74&lt;1000,1),IF(C74=""Super_Up"",IF(OR(COUNTIF(C$4:C74,""Grandma"")-COUNTIF(C$4:C74,""Sell_G"&amp;"randma"")&lt;1,COUNTIF(C$4:C74,VLOOKUP(C74,Upgrades!$F$8:$N$8,7+COUNTIF(C$4:C74,C74)))-COUNTIF(C$4:C74,""Sell_""&amp;VLOOKUP(C74,Upgrades!$F$8:$N$8,7+COUNTIF(C$4:C74,C74)))&lt;15),1),IF(REGEXMATCH(C74,""_up""),IF(COUNTIF(C$4:C74,SUBSTITUTE(C74,""_up"",""""))&lt;IFERRO"&amp;"R(VLOOKUP(C74,Upgrades!$L$3:$P$6,1+COUNTIF(C$4:C74,C74),0),999),1),IF(REGEXMATCH(C74,""Sell_""),IF(COUNTIF(C$4:C74,SUBSTITUTE(C74,""Sell_"",""""))-COUNTIF(C$4:C73,C74)&lt;1,1),FALSE)))))))))"),FALSE)</f>
        <v>0</v>
      </c>
      <c r="E74" s="71">
        <f>IFERROR(__xludf.DUMMYFUNCTION("IF(REGEXMATCH(C74,""^Sell_""),E73, IF(COUNTA(C74:C147)=0,"""",(COUNTIF(C$4:C74,""Cursor"")-COUNTIF(C$4:C74,""Sell_Cursor""))*(0.1*2^SWITCH(COUNTIF(C$4:C74,""Cursor_up""),0,0,1,1,2,2,3)+SWITCH(COUNTIF(C$4:C74,""Cursor_up""),4,0.1,0)*(ROW(C74)-4-COUNTIF(C$4"&amp;":C74,""Cursor"")-COUNTIF(C$4:C74,""*""&amp;""_up"")-2*COUNTIF(C$4:C74,""Sell_""&amp;""*"")+COUNTIF(C$4:C74,""Sell_Cursor"")-COUNTIF(C$4:C74,"""")))+(COUNTIF(C$4:C74,""Grandma"")-COUNTIF(C$4:C74,""Sell_Grandma""))*(1*2^(COUNTIF(C$4:C74,""Grandma_up"")+COUNTIF(C$4:"&amp;"C74,""Super_up"")))+(COUNTIF(C$4:C74,""Farm"")-COUNTIF(C$4:C74,""Sell_Farm""))*(8*2^COUNTIF(C$4:C74,""Farm_up""))*IF(COUNTIF(C$4:C74,""Super_up"")&gt;0,1+0.01*(COUNTIF(C$4:C74,""Grandma"")-COUNTIF(C$4:C74,""Sell_Grandma"")),1)+(COUNTIF(C$4:C74,""Mine"")-COUN"&amp;"TIF(C$4:C74,""Sell_Mine""))*((47*2^COUNTIF(C$4:C74,""Mine_up""))*IF(COUNTIF(C$4:C74,""Super_up"")&gt;1,1+0.005*(COUNTIF(C$4:C74,""Grandma"")-COUNTIF(C$4:C74,""Sell_Grandma"")),1))+(COUNTIF(C$4:C74,""Factory"")-COUNTIF(C$4:C74,""Sell_Factory""))*(260*2^COUNTI"&amp;"F(C$4:C74,""Factory_up""))))"),950.48)</f>
        <v>950.48</v>
      </c>
      <c r="F74" s="73">
        <f>IFERROR(__xludf.DUMMYFUNCTION("IF(COUNTA(C74:C147)=0,"""",IF(REGEXMATCH(INDEX(FILTER(C$4:C74,C$4:C74&lt;&gt;""""),ROWS(FILTER(C$4:C74,C$4:C74&lt;&gt;""""))),""^Sell_""),INDEX(FILTER(F$4:F73,C$4:C73&lt;&gt;""""),ROWS(FILTER(C$4:C73,C$4:C73&lt;&gt;""""))),$AC$5*(2^SWITCH(COUNTIF(C$4:C74,""Cursor_up""),0,0,1,1,2"&amp;",2,3)+SWITCH(COUNTIF(C$4:C74,""Cursor_up""),4,0.1,0)*(ROW(C74)-4-COUNTIF(C$4:C74,""Cursor"")-COUNTIF(C$4:C74,""*""&amp;""_up"")-2*COUNTIF(C$4:C74,""Sell_""&amp;""*"")+COUNTIF(C$4:C74,""Sell_Cursor"")-COUNTIF(C$4:C74,""""))+0.01*E74*COUNTIF(C$4:C74,""Plastic_up"")"&amp;")+E74))"),1030.48)</f>
        <v>1030.48</v>
      </c>
      <c r="G74" s="14">
        <f>IFERROR(__xludf.DUMMYFUNCTION("IF(COUNTA(C74:C147)=0,"""",IF(REGEXMATCH(C74,""_up""),VLOOKUP(C74,Upgrades!$F$3:$J$8,1+COUNTIF(C$4:C74,C74),FALSE),IF(C74="""",0,IF(REGEXMATCH(C74,""^Sell_""),-ROUNDDOWN(ROUNDUP(INDEX(Upgrades!$C$3:$C$8,MATCH(SUBSTITUTE(C74,""Sell_"",""""),Upgrades!$B$3:$"&amp;"B$8,0))*1.15^(COUNTIF(C$4:C73,SUBSTITUTE(C74,""Sell_"",""""))-COUNTIF(C$4:C73,""Sell_""&amp;SUBSTITUTE(C74,""Sell_"",""""))))/4),ROUNDUP(INDEX(Upgrades!$C$3:$C$7,MATCH(C74,Upgrades!$B$3:$B$7,0))*1.15^(COUNTIF(C$4:C73,C74)-COUNTIF(C$4:C73,""Sell_""&amp;C74)))))))"),1883.0)</f>
        <v>1883</v>
      </c>
      <c r="H74" s="14">
        <f t="shared" si="3"/>
        <v>1883</v>
      </c>
      <c r="I74" s="75">
        <f t="shared" si="4"/>
        <v>1390030.803</v>
      </c>
      <c r="J74" s="76">
        <f t="shared" si="5"/>
        <v>800.4373645</v>
      </c>
      <c r="K74" s="71" t="str">
        <f t="shared" si="6"/>
        <v>13m 20s</v>
      </c>
      <c r="L74" s="77">
        <f t="shared" si="7"/>
        <v>250557</v>
      </c>
      <c r="M74" s="51">
        <f t="shared" si="8"/>
        <v>-1.04823</v>
      </c>
      <c r="N74" s="52">
        <f>IFERROR(__xludf.DUMMYFUNCTION("IFS(AND(COUNTA(C74:C147)=0,COUNTA(P74:P147)=0),"""",OR(AND(L74&gt;=1000000,OR(Y74&gt;=1000000,COUNTA(P74:P147)=0)),AND(Y74&gt;=1000000,COUNTA(C74:C147)=0),AND(COUNTA(P74:P147)=0,O$3=TRUE)),
ROUNDDOWN((AB$1-AC$1)*MAX(INDEX(S$4:S147,MATCH(LARGE(FILTER(Y$4:Y147,Y$4:Y"&amp;"147&lt;1000000),1),Y$4:Y147)),INDEX(F$4:F147,MATCH(LARGE(FILTER(L$4:L147,L$4:L147&lt;1000000),1),L$4:L147)))),AND(L74&lt;1000000,COUNTA(C74:C147)&gt;0,O$3=FALSE),
ROUNDDOWN(INDEX(Y$4:Y147,MATCH(LARGE(FILTER(W$4:W147,W$4:W147&lt;=J74),1),W$4:W147))+(J74-LARGE(FILTER(W$4:"&amp;"W147,W$4:W147&lt;=J74),1))*INDEX(S$4:S147,MATCH(LARGE(FILTER(W$4:W147,W$4:W147&lt;=J74),1),W$4:W147))-L74),1,
ROUNDDOWN(Y74-INDEX(L$4:L147,MATCH(LARGE(FILTER(J$4:J147,J$4:J147&lt;=W74),1),J$4:J147))-(W74-LARGE(FILTER(J$4:J147,J$4:J147&lt;=W74),1))*INDEX(F$4:F147,MATC"&amp;"H(LARGE(FILTER(J$4:J147,J$4:J147&lt;=W74),1),J$4:J147))))"),1066.0)</f>
        <v>1066</v>
      </c>
      <c r="O74" s="65">
        <f t="shared" si="9"/>
        <v>22</v>
      </c>
      <c r="P74" s="69" t="s">
        <v>13</v>
      </c>
      <c r="Q74" s="14" t="b">
        <f>IFERROR(__xludf.DUMMYFUNCTION("IF(COUNTA(P74:P147)=0,"""",IFERROR(IF(ISBLANK(P74),FALSE,IF(ISBLANK(T74),1,IF(NOT(COUNTIF($AA$24:$AA$34,SUBSTITUTE(P74,""Sell_"",""""))),1,IF(P74=""Plastic_up"",IF(V74&lt;1000,1),IF(P74=""Super_Up"",IF(OR(COUNTIF(P$4:P74,""Grandma"")-COUNTIF(P$4:P74,""Sell_G"&amp;"randma"")&lt;1,COUNTIF(P$4:P74,VLOOKUP(P74,Upgrades!$F$8:$N$8,7+COUNTIF(P$4:P74,P74)))-COUNTIF(P$4:P74,""Sell_""&amp;VLOOKUP(P74,Upgrades!$F$8:$N$8,7+COUNTIF(P$4:P74,P74)))&lt;15),1),IF(REGEXMATCH(P74,""_up""),IF(COUNTIF(P$4:P74,SUBSTITUTE(P74,""_up"",""""))&lt;IFERRO"&amp;"R(VLOOKUP(P74,Upgrades!$L$3:$P$6,1+COUNTIF(P$4:P74,P74),0),999),1),IF(REGEXMATCH(P74,""Sell_""),IF(COUNTIF(P$4:P74,SUBSTITUTE(P74,""Sell_"",""""))-COUNTIF(P$4:P73,P74)&lt;1,1),FALSE)))))))))"),FALSE)</f>
        <v>0</v>
      </c>
      <c r="R74" s="71">
        <f>IFERROR(__xludf.DUMMYFUNCTION("IF(REGEXMATCH(P74,""^Sell_""),R73, IF(COUNTA(P74:P147)=0,"""",(COUNTIF(P$4:P74,""Cursor"")-COUNTIF(P$4:P74,""Sell_Cursor""))*(0.1*2^SWITCH(COUNTIF(P$4:P74,""Cursor_up""),0,0,1,1,2,2,3)+SWITCH(COUNTIF(P$4:P74,""Cursor_up""),4,0.1,0)*(ROW(P74)-4-COUNTIF(P$4"&amp;":P74,""Cursor"")-COUNTIF(P$4:P74,""*""&amp;""_up"")-2*COUNTIF(P$4:P74,""Sell_""&amp;""*"")+COUNTIF(P$4:P74,""Sell_Cursor"")-COUNTIF(P$4:P74,"""")))+(COUNTIF(P$4:P74,""Grandma"")-COUNTIF(P$4:P74,""Sell_Grandma""))*(1*2^(COUNTIF(P$4:P74,""Grandma_up"")+COUNTIF(P$4:"&amp;"P74,""Super_up"")))+(COUNTIF(P$4:P74,""Farm"")-COUNTIF(P$4:P74,""Sell_Farm""))*(8*2^COUNTIF(P$4:P74,""Farm_up""))*IF(COUNTIF(P$4:P74,""Super_up"")&gt;0,1+0.01*(COUNTIF(P$4:P74,""Grandma"")-COUNTIF(P$4:P74,""Sell_Grandma"")),1)+(COUNTIF(P$4:P74,""Mine"")-COUN"&amp;"TIF(P$4:P74,""Sell_Mine""))*((47*2^COUNTIF(P$4:P74,""Mine_up""))*IF(COUNTIF(P$4:P74,""Super_up"")&gt;1,1+0.005*(COUNTIF(P$4:P74,""Grandma"")-COUNTIF(P$4:P74,""Sell_Grandma"")),1))+(COUNTIF(P$4:P74,""Factory"")-COUNTIF(P$4:P74,""Sell_Factory""))*(260*2^COUNTI"&amp;"F(P$4:P74,""Factory_up""))))"),950.48)</f>
        <v>950.48</v>
      </c>
      <c r="S74" s="73">
        <f>IFERROR(__xludf.DUMMYFUNCTION("IF(COUNTA(P74:P147)=0,"""",IF(REGEXMATCH(INDEX(FILTER(P$4:P74,P$4:P74&lt;&gt;""""),ROWS(FILTER(P$4:P74,P$4:P74&lt;&gt;""""))),""^Sell_""),INDEX(FILTER(S$4:S73,P$4:P73&lt;&gt;""""),ROWS(FILTER(P$4:P73,P$4:P73&lt;&gt;""""))),$AD$5*(2^SWITCH(COUNTIF(P$4:P74,""Cursor_up""),0,0,1,1,2"&amp;",2,3)+SWITCH(COUNTIF(P$4:P74,""Cursor_up""),4,0.1,0)*(ROW(P74)-4-COUNTIF(P$4:P74,""Cursor"")-COUNTIF(P$4:P74,""*""&amp;""_up"")-2*COUNTIF(P$4:P74,""Sell_""&amp;""*"")+COUNTIF(P$4:P74,""Sell_Cursor"")-COUNTIF(P$4:P74,""""))+0.01*R74*COUNTIF(P$4:P74,""Plastic_up"")"&amp;")+R74))"),1030.48)</f>
        <v>1030.48</v>
      </c>
      <c r="T74" s="14">
        <f>IFERROR(__xludf.DUMMYFUNCTION("IF(COUNTA(P74:P147)=0,"""",IF(REGEXMATCH(P74,""_up""),VLOOKUP(P74,Upgrades!$F$3:$J$8,1+COUNTIF(P$4:P74,P74),FALSE),IF(P74="""",0,IF(REGEXMATCH(P74,""^Sell_""),-ROUNDDOWN(ROUNDUP(INDEX(Upgrades!$C$3:$C$8,MATCH(SUBSTITUTE(P74,""Sell_"",""""),Upgrades!$B$3:$"&amp;"B$8,0))*1.15^(COUNTIF(P$4:P73,SUBSTITUTE(P74,""Sell_"",""""))-COUNTIF(P$4:P73,""Sell_""&amp;SUBSTITUTE(P74,""Sell_"",""""))))/4),ROUNDUP(INDEX(Upgrades!$C$3:$C$7,MATCH(P74,Upgrades!$B$3:$B$7,0))*1.15^(COUNTIF(P$4:P73,P74)-COUNTIF(P$4:P73,""Sell_""&amp;P74)))))))"),1883.0)</f>
        <v>1883</v>
      </c>
      <c r="U74" s="14">
        <f t="shared" si="10"/>
        <v>1883</v>
      </c>
      <c r="V74" s="75">
        <f t="shared" si="11"/>
        <v>1303777.958</v>
      </c>
      <c r="W74" s="76">
        <f t="shared" si="12"/>
        <v>799.3891281</v>
      </c>
      <c r="X74" s="71" t="str">
        <f t="shared" si="13"/>
        <v>13m 19s</v>
      </c>
      <c r="Y74" s="77">
        <f t="shared" si="14"/>
        <v>250557</v>
      </c>
      <c r="Z74" s="17"/>
      <c r="AA74" s="13"/>
      <c r="AB74" s="13"/>
      <c r="AC74" s="13"/>
      <c r="AD74" s="13"/>
      <c r="AE74" s="13"/>
      <c r="AF74" s="13"/>
      <c r="AG74" s="13"/>
    </row>
    <row r="75">
      <c r="A75" s="12"/>
      <c r="B75" s="65">
        <f t="shared" si="2"/>
        <v>23</v>
      </c>
      <c r="C75" s="69" t="s">
        <v>13</v>
      </c>
      <c r="D75" s="14" t="b">
        <f>IFERROR(__xludf.DUMMYFUNCTION("IF(COUNTA(C75:C147)=0,"""",IFERROR(IF(ISBLANK(C75),FALSE,IF(ISBLANK(G75),1,IF(NOT(COUNTIF($AA$24:$AA$34,SUBSTITUTE(C75,""Sell_"",""""))),1,IF(C75=""Plastic_up"",IF(I75&lt;1000,1),IF(C75=""Super_Up"",IF(OR(COUNTIF(C$4:C75,""Grandma"")-COUNTIF(C$4:C75,""Sell_G"&amp;"randma"")&lt;1,COUNTIF(C$4:C75,VLOOKUP(C75,Upgrades!$F$8:$N$8,7+COUNTIF(C$4:C75,C75)))-COUNTIF(C$4:C75,""Sell_""&amp;VLOOKUP(C75,Upgrades!$F$8:$N$8,7+COUNTIF(C$4:C75,C75)))&lt;15),1),IF(REGEXMATCH(C75,""_up""),IF(COUNTIF(C$4:C75,SUBSTITUTE(C75,""_up"",""""))&lt;IFERRO"&amp;"R(VLOOKUP(C75,Upgrades!$L$3:$P$6,1+COUNTIF(C$4:C75,C75),0),999),1),IF(REGEXMATCH(C75,""Sell_""),IF(COUNTIF(C$4:C75,SUBSTITUTE(C75,""Sell_"",""""))-COUNTIF(C$4:C74,C75)&lt;1,1),FALSE)))))))))"),FALSE)</f>
        <v>0</v>
      </c>
      <c r="E75" s="71">
        <f>IFERROR(__xludf.DUMMYFUNCTION("IF(REGEXMATCH(C75,""^Sell_""),E74, IF(COUNTA(C75:C147)=0,"""",(COUNTIF(C$4:C75,""Cursor"")-COUNTIF(C$4:C75,""Sell_Cursor""))*(0.1*2^SWITCH(COUNTIF(C$4:C75,""Cursor_up""),0,0,1,1,2,2,3)+SWITCH(COUNTIF(C$4:C75,""Cursor_up""),4,0.1,0)*(ROW(C75)-4-COUNTIF(C$4"&amp;":C75,""Cursor"")-COUNTIF(C$4:C75,""*""&amp;""_up"")-2*COUNTIF(C$4:C75,""Sell_""&amp;""*"")+COUNTIF(C$4:C75,""Sell_Cursor"")-COUNTIF(C$4:C75,"""")))+(COUNTIF(C$4:C75,""Grandma"")-COUNTIF(C$4:C75,""Sell_Grandma""))*(1*2^(COUNTIF(C$4:C75,""Grandma_up"")+COUNTIF(C$4:"&amp;"C75,""Super_up"")))+(COUNTIF(C$4:C75,""Farm"")-COUNTIF(C$4:C75,""Sell_Farm""))*(8*2^COUNTIF(C$4:C75,""Farm_up""))*IF(COUNTIF(C$4:C75,""Super_up"")&gt;0,1+0.01*(COUNTIF(C$4:C75,""Grandma"")-COUNTIF(C$4:C75,""Sell_Grandma"")),1)+(COUNTIF(C$4:C75,""Mine"")-COUN"&amp;"TIF(C$4:C75,""Sell_Mine""))*((47*2^COUNTIF(C$4:C75,""Mine_up""))*IF(COUNTIF(C$4:C75,""Super_up"")&gt;1,1+0.005*(COUNTIF(C$4:C75,""Grandma"")-COUNTIF(C$4:C75,""Sell_Grandma"")),1))+(COUNTIF(C$4:C75,""Factory"")-COUNTIF(C$4:C75,""Sell_Factory""))*(260*2^COUNTI"&amp;"F(C$4:C75,""Factory_up""))))"),963.9200000000001)</f>
        <v>963.92</v>
      </c>
      <c r="F75" s="73">
        <f>IFERROR(__xludf.DUMMYFUNCTION("IF(COUNTA(C75:C147)=0,"""",IF(REGEXMATCH(INDEX(FILTER(C$4:C75,C$4:C75&lt;&gt;""""),ROWS(FILTER(C$4:C75,C$4:C75&lt;&gt;""""))),""^Sell_""),INDEX(FILTER(F$4:F74,C$4:C74&lt;&gt;""""),ROWS(FILTER(C$4:C74,C$4:C74&lt;&gt;""""))),$AC$5*(2^SWITCH(COUNTIF(C$4:C75,""Cursor_up""),0,0,1,1,2"&amp;",2,3)+SWITCH(COUNTIF(C$4:C75,""Cursor_up""),4,0.1,0)*(ROW(C75)-4-COUNTIF(C$4:C75,""Cursor"")-COUNTIF(C$4:C75,""*""&amp;""_up"")-2*COUNTIF(C$4:C75,""Sell_""&amp;""*"")+COUNTIF(C$4:C75,""Sell_Cursor"")-COUNTIF(C$4:C75,""""))+0.01*E75*COUNTIF(C$4:C75,""Plastic_up"")"&amp;")+E75))"),1043.92)</f>
        <v>1043.92</v>
      </c>
      <c r="G75" s="14">
        <f>IFERROR(__xludf.DUMMYFUNCTION("IF(COUNTA(C75:C147)=0,"""",IF(REGEXMATCH(C75,""_up""),VLOOKUP(C75,Upgrades!$F$3:$J$8,1+COUNTIF(C$4:C75,C75),FALSE),IF(C75="""",0,IF(REGEXMATCH(C75,""^Sell_""),-ROUNDDOWN(ROUNDUP(INDEX(Upgrades!$C$3:$C$8,MATCH(SUBSTITUTE(C75,""Sell_"",""""),Upgrades!$B$3:$"&amp;"B$8,0))*1.15^(COUNTIF(C$4:C74,SUBSTITUTE(C75,""Sell_"",""""))-COUNTIF(C$4:C74,""Sell_""&amp;SUBSTITUTE(C75,""Sell_"",""""))))/4),ROUNDUP(INDEX(Upgrades!$C$3:$C$7,MATCH(C75,Upgrades!$B$3:$B$7,0))*1.15^(COUNTIF(C$4:C74,C75)-COUNTIF(C$4:C74,""Sell_""&amp;C75)))))))"),2165.0)</f>
        <v>2165</v>
      </c>
      <c r="H75" s="14">
        <f t="shared" si="3"/>
        <v>2165</v>
      </c>
      <c r="I75" s="75">
        <f t="shared" si="4"/>
        <v>1454233.87</v>
      </c>
      <c r="J75" s="76">
        <f t="shared" si="5"/>
        <v>802.5383271</v>
      </c>
      <c r="K75" s="71" t="str">
        <f t="shared" si="6"/>
        <v>13m 22s</v>
      </c>
      <c r="L75" s="77">
        <f t="shared" si="7"/>
        <v>252722</v>
      </c>
      <c r="M75" s="51">
        <f t="shared" si="8"/>
        <v>-1.04823</v>
      </c>
      <c r="N75" s="52">
        <f>IFERROR(__xludf.DUMMYFUNCTION("IFS(AND(COUNTA(C75:C147)=0,COUNTA(P75:P147)=0),"""",OR(AND(L75&gt;=1000000,OR(Y75&gt;=1000000,COUNTA(P75:P147)=0)),AND(Y75&gt;=1000000,COUNTA(C75:C147)=0),AND(COUNTA(P75:P147)=0,O$3=TRUE)),
ROUNDDOWN((AB$1-AC$1)*MAX(INDEX(S$4:S147,MATCH(LARGE(FILTER(Y$4:Y147,Y$4:Y"&amp;"147&lt;1000000),1),Y$4:Y147)),INDEX(F$4:F147,MATCH(LARGE(FILTER(L$4:L147,L$4:L147&lt;1000000),1),L$4:L147)))),AND(L75&lt;1000000,COUNTA(C75:C147)&gt;0,O$3=FALSE),
ROUNDDOWN(INDEX(Y$4:Y147,MATCH(LARGE(FILTER(W$4:W147,W$4:W147&lt;=J75),1),W$4:W147))+(J75-LARGE(FILTER(W$4:"&amp;"W147,W$4:W147&lt;=J75),1))*INDEX(S$4:S147,MATCH(LARGE(FILTER(W$4:W147,W$4:W147&lt;=J75),1),W$4:W147))-L75),1,
ROUNDDOWN(Y75-INDEX(L$4:L147,MATCH(LARGE(FILTER(J$4:J147,J$4:J147&lt;=W75),1),J$4:J147))-(W75-LARGE(FILTER(J$4:J147,J$4:J147&lt;=W75),1))*INDEX(F$4:F147,MATC"&amp;"H(LARGE(FILTER(J$4:J147,J$4:J147&lt;=W75),1),J$4:J147))))"),1080.0)</f>
        <v>1080</v>
      </c>
      <c r="O75" s="65">
        <f t="shared" si="9"/>
        <v>23</v>
      </c>
      <c r="P75" s="69" t="s">
        <v>13</v>
      </c>
      <c r="Q75" s="14" t="b">
        <f>IFERROR(__xludf.DUMMYFUNCTION("IF(COUNTA(P75:P147)=0,"""",IFERROR(IF(ISBLANK(P75),FALSE,IF(ISBLANK(T75),1,IF(NOT(COUNTIF($AA$24:$AA$34,SUBSTITUTE(P75,""Sell_"",""""))),1,IF(P75=""Plastic_up"",IF(V75&lt;1000,1),IF(P75=""Super_Up"",IF(OR(COUNTIF(P$4:P75,""Grandma"")-COUNTIF(P$4:P75,""Sell_G"&amp;"randma"")&lt;1,COUNTIF(P$4:P75,VLOOKUP(P75,Upgrades!$F$8:$N$8,7+COUNTIF(P$4:P75,P75)))-COUNTIF(P$4:P75,""Sell_""&amp;VLOOKUP(P75,Upgrades!$F$8:$N$8,7+COUNTIF(P$4:P75,P75)))&lt;15),1),IF(REGEXMATCH(P75,""_up""),IF(COUNTIF(P$4:P75,SUBSTITUTE(P75,""_up"",""""))&lt;IFERRO"&amp;"R(VLOOKUP(P75,Upgrades!$L$3:$P$6,1+COUNTIF(P$4:P75,P75),0),999),1),IF(REGEXMATCH(P75,""Sell_""),IF(COUNTIF(P$4:P75,SUBSTITUTE(P75,""Sell_"",""""))-COUNTIF(P$4:P74,P75)&lt;1,1),FALSE)))))))))"),FALSE)</f>
        <v>0</v>
      </c>
      <c r="R75" s="71">
        <f>IFERROR(__xludf.DUMMYFUNCTION("IF(REGEXMATCH(P75,""^Sell_""),R74, IF(COUNTA(P75:P147)=0,"""",(COUNTIF(P$4:P75,""Cursor"")-COUNTIF(P$4:P75,""Sell_Cursor""))*(0.1*2^SWITCH(COUNTIF(P$4:P75,""Cursor_up""),0,0,1,1,2,2,3)+SWITCH(COUNTIF(P$4:P75,""Cursor_up""),4,0.1,0)*(ROW(P75)-4-COUNTIF(P$4"&amp;":P75,""Cursor"")-COUNTIF(P$4:P75,""*""&amp;""_up"")-2*COUNTIF(P$4:P75,""Sell_""&amp;""*"")+COUNTIF(P$4:P75,""Sell_Cursor"")-COUNTIF(P$4:P75,"""")))+(COUNTIF(P$4:P75,""Grandma"")-COUNTIF(P$4:P75,""Sell_Grandma""))*(1*2^(COUNTIF(P$4:P75,""Grandma_up"")+COUNTIF(P$4:"&amp;"P75,""Super_up"")))+(COUNTIF(P$4:P75,""Farm"")-COUNTIF(P$4:P75,""Sell_Farm""))*(8*2^COUNTIF(P$4:P75,""Farm_up""))*IF(COUNTIF(P$4:P75,""Super_up"")&gt;0,1+0.01*(COUNTIF(P$4:P75,""Grandma"")-COUNTIF(P$4:P75,""Sell_Grandma"")),1)+(COUNTIF(P$4:P75,""Mine"")-COUN"&amp;"TIF(P$4:P75,""Sell_Mine""))*((47*2^COUNTIF(P$4:P75,""Mine_up""))*IF(COUNTIF(P$4:P75,""Super_up"")&gt;1,1+0.005*(COUNTIF(P$4:P75,""Grandma"")-COUNTIF(P$4:P75,""Sell_Grandma"")),1))+(COUNTIF(P$4:P75,""Factory"")-COUNTIF(P$4:P75,""Sell_Factory""))*(260*2^COUNTI"&amp;"F(P$4:P75,""Factory_up""))))"),963.9200000000001)</f>
        <v>963.92</v>
      </c>
      <c r="S75" s="73">
        <f>IFERROR(__xludf.DUMMYFUNCTION("IF(COUNTA(P75:P147)=0,"""",IF(REGEXMATCH(INDEX(FILTER(P$4:P75,P$4:P75&lt;&gt;""""),ROWS(FILTER(P$4:P75,P$4:P75&lt;&gt;""""))),""^Sell_""),INDEX(FILTER(S$4:S74,P$4:P74&lt;&gt;""""),ROWS(FILTER(P$4:P74,P$4:P74&lt;&gt;""""))),$AD$5*(2^SWITCH(COUNTIF(P$4:P75,""Cursor_up""),0,0,1,1,2"&amp;",2,3)+SWITCH(COUNTIF(P$4:P75,""Cursor_up""),4,0.1,0)*(ROW(P75)-4-COUNTIF(P$4:P75,""Cursor"")-COUNTIF(P$4:P75,""*""&amp;""_up"")-2*COUNTIF(P$4:P75,""Sell_""&amp;""*"")+COUNTIF(P$4:P75,""Sell_Cursor"")-COUNTIF(P$4:P75,""""))+0.01*R75*COUNTIF(P$4:P75,""Plastic_up"")"&amp;")+R75))"),1043.92)</f>
        <v>1043.92</v>
      </c>
      <c r="T75" s="14">
        <f>IFERROR(__xludf.DUMMYFUNCTION("IF(COUNTA(P75:P147)=0,"""",IF(REGEXMATCH(P75,""_up""),VLOOKUP(P75,Upgrades!$F$3:$J$8,1+COUNTIF(P$4:P75,P75),FALSE),IF(P75="""",0,IF(REGEXMATCH(P75,""^Sell_""),-ROUNDDOWN(ROUNDUP(INDEX(Upgrades!$C$3:$C$8,MATCH(SUBSTITUTE(P75,""Sell_"",""""),Upgrades!$B$3:$"&amp;"B$8,0))*1.15^(COUNTIF(P$4:P74,SUBSTITUTE(P75,""Sell_"",""""))-COUNTIF(P$4:P74,""Sell_""&amp;SUBSTITUTE(P75,""Sell_"",""""))))/4),ROUNDUP(INDEX(Upgrades!$C$3:$C$7,MATCH(P75,Upgrades!$B$3:$B$7,0))*1.15^(COUNTIF(P$4:P74,P75)-COUNTIF(P$4:P74,""Sell_""&amp;P75)))))))"),2165.0)</f>
        <v>2165</v>
      </c>
      <c r="U75" s="14">
        <f t="shared" si="10"/>
        <v>2165</v>
      </c>
      <c r="V75" s="75">
        <f t="shared" si="11"/>
        <v>1367897.165</v>
      </c>
      <c r="W75" s="76">
        <f t="shared" si="12"/>
        <v>801.4900908</v>
      </c>
      <c r="X75" s="71" t="str">
        <f t="shared" si="13"/>
        <v>13m 21s</v>
      </c>
      <c r="Y75" s="77">
        <f t="shared" si="14"/>
        <v>252722</v>
      </c>
      <c r="Z75" s="17"/>
      <c r="AA75" s="13"/>
      <c r="AB75" s="13"/>
      <c r="AC75" s="13"/>
      <c r="AD75" s="13"/>
      <c r="AE75" s="13"/>
      <c r="AF75" s="13"/>
      <c r="AG75" s="13"/>
    </row>
    <row r="76">
      <c r="A76" s="12"/>
      <c r="B76" s="65">
        <f t="shared" si="2"/>
        <v>24</v>
      </c>
      <c r="C76" s="69" t="s">
        <v>13</v>
      </c>
      <c r="D76" s="14" t="b">
        <f>IFERROR(__xludf.DUMMYFUNCTION("IF(COUNTA(C76:C147)=0,"""",IFERROR(IF(ISBLANK(C76),FALSE,IF(ISBLANK(G76),1,IF(NOT(COUNTIF($AA$24:$AA$34,SUBSTITUTE(C76,""Sell_"",""""))),1,IF(C76=""Plastic_up"",IF(I76&lt;1000,1),IF(C76=""Super_Up"",IF(OR(COUNTIF(C$4:C76,""Grandma"")-COUNTIF(C$4:C76,""Sell_G"&amp;"randma"")&lt;1,COUNTIF(C$4:C76,VLOOKUP(C76,Upgrades!$F$8:$N$8,7+COUNTIF(C$4:C76,C76)))-COUNTIF(C$4:C76,""Sell_""&amp;VLOOKUP(C76,Upgrades!$F$8:$N$8,7+COUNTIF(C$4:C76,C76)))&lt;15),1),IF(REGEXMATCH(C76,""_up""),IF(COUNTIF(C$4:C76,SUBSTITUTE(C76,""_up"",""""))&lt;IFERRO"&amp;"R(VLOOKUP(C76,Upgrades!$L$3:$P$6,1+COUNTIF(C$4:C76,C76),0),999),1),IF(REGEXMATCH(C76,""Sell_""),IF(COUNTIF(C$4:C76,SUBSTITUTE(C76,""Sell_"",""""))-COUNTIF(C$4:C75,C76)&lt;1,1),FALSE)))))))))"),FALSE)</f>
        <v>0</v>
      </c>
      <c r="E76" s="71">
        <f>IFERROR(__xludf.DUMMYFUNCTION("IF(REGEXMATCH(C76,""^Sell_""),E75, IF(COUNTA(C76:C147)=0,"""",(COUNTIF(C$4:C76,""Cursor"")-COUNTIF(C$4:C76,""Sell_Cursor""))*(0.1*2^SWITCH(COUNTIF(C$4:C76,""Cursor_up""),0,0,1,1,2,2,3)+SWITCH(COUNTIF(C$4:C76,""Cursor_up""),4,0.1,0)*(ROW(C76)-4-COUNTIF(C$4"&amp;":C76,""Cursor"")-COUNTIF(C$4:C76,""*""&amp;""_up"")-2*COUNTIF(C$4:C76,""Sell_""&amp;""*"")+COUNTIF(C$4:C76,""Sell_Cursor"")-COUNTIF(C$4:C76,"""")))+(COUNTIF(C$4:C76,""Grandma"")-COUNTIF(C$4:C76,""Sell_Grandma""))*(1*2^(COUNTIF(C$4:C76,""Grandma_up"")+COUNTIF(C$4:"&amp;"C76,""Super_up"")))+(COUNTIF(C$4:C76,""Farm"")-COUNTIF(C$4:C76,""Sell_Farm""))*(8*2^COUNTIF(C$4:C76,""Farm_up""))*IF(COUNTIF(C$4:C76,""Super_up"")&gt;0,1+0.01*(COUNTIF(C$4:C76,""Grandma"")-COUNTIF(C$4:C76,""Sell_Grandma"")),1)+(COUNTIF(C$4:C76,""Mine"")-COUN"&amp;"TIF(C$4:C76,""Sell_Mine""))*((47*2^COUNTIF(C$4:C76,""Mine_up""))*IF(COUNTIF(C$4:C76,""Super_up"")&gt;1,1+0.005*(COUNTIF(C$4:C76,""Grandma"")-COUNTIF(C$4:C76,""Sell_Grandma"")),1))+(COUNTIF(C$4:C76,""Factory"")-COUNTIF(C$4:C76,""Sell_Factory""))*(260*2^COUNTI"&amp;"F(C$4:C76,""Factory_up""))))"),977.3599999999999)</f>
        <v>977.36</v>
      </c>
      <c r="F76" s="73">
        <f>IFERROR(__xludf.DUMMYFUNCTION("IF(COUNTA(C76:C147)=0,"""",IF(REGEXMATCH(INDEX(FILTER(C$4:C76,C$4:C76&lt;&gt;""""),ROWS(FILTER(C$4:C76,C$4:C76&lt;&gt;""""))),""^Sell_""),INDEX(FILTER(F$4:F75,C$4:C75&lt;&gt;""""),ROWS(FILTER(C$4:C75,C$4:C75&lt;&gt;""""))),$AC$5*(2^SWITCH(COUNTIF(C$4:C76,""Cursor_up""),0,0,1,1,2"&amp;",2,3)+SWITCH(COUNTIF(C$4:C76,""Cursor_up""),4,0.1,0)*(ROW(C76)-4-COUNTIF(C$4:C76,""Cursor"")-COUNTIF(C$4:C76,""*""&amp;""_up"")-2*COUNTIF(C$4:C76,""Sell_""&amp;""*"")+COUNTIF(C$4:C76,""Sell_Cursor"")-COUNTIF(C$4:C76,""""))+0.01*E76*COUNTIF(C$4:C76,""Plastic_up"")"&amp;")+E76))"),1057.36)</f>
        <v>1057.36</v>
      </c>
      <c r="G76" s="14">
        <f>IFERROR(__xludf.DUMMYFUNCTION("IF(COUNTA(C76:C147)=0,"""",IF(REGEXMATCH(C76,""_up""),VLOOKUP(C76,Upgrades!$F$3:$J$8,1+COUNTIF(C$4:C76,C76),FALSE),IF(C76="""",0,IF(REGEXMATCH(C76,""^Sell_""),-ROUNDDOWN(ROUNDUP(INDEX(Upgrades!$C$3:$C$8,MATCH(SUBSTITUTE(C76,""Sell_"",""""),Upgrades!$B$3:$"&amp;"B$8,0))*1.15^(COUNTIF(C$4:C75,SUBSTITUTE(C76,""Sell_"",""""))-COUNTIF(C$4:C75,""Sell_""&amp;SUBSTITUTE(C76,""Sell_"",""""))))/4),ROUNDUP(INDEX(Upgrades!$C$3:$C$7,MATCH(C76,Upgrades!$B$3:$B$7,0))*1.15^(COUNTIF(C$4:C75,C76)-COUNTIF(C$4:C75,""Sell_""&amp;C76)))))))"),2490.0)</f>
        <v>2490</v>
      </c>
      <c r="H76" s="14">
        <f t="shared" si="3"/>
        <v>2490</v>
      </c>
      <c r="I76" s="75">
        <f t="shared" si="4"/>
        <v>1518627.755</v>
      </c>
      <c r="J76" s="76">
        <f t="shared" si="5"/>
        <v>804.9235674</v>
      </c>
      <c r="K76" s="71" t="str">
        <f t="shared" si="6"/>
        <v>13m 24s</v>
      </c>
      <c r="L76" s="77">
        <f t="shared" si="7"/>
        <v>255212</v>
      </c>
      <c r="M76" s="51">
        <f t="shared" si="8"/>
        <v>-1.04823</v>
      </c>
      <c r="N76" s="52">
        <f>IFERROR(__xludf.DUMMYFUNCTION("IFS(AND(COUNTA(C76:C147)=0,COUNTA(P76:P147)=0),"""",OR(AND(L76&gt;=1000000,OR(Y76&gt;=1000000,COUNTA(P76:P147)=0)),AND(Y76&gt;=1000000,COUNTA(C76:C147)=0),AND(COUNTA(P76:P147)=0,O$3=TRUE)),
ROUNDDOWN((AB$1-AC$1)*MAX(INDEX(S$4:S147,MATCH(LARGE(FILTER(Y$4:Y147,Y$4:Y"&amp;"147&lt;1000000),1),Y$4:Y147)),INDEX(F$4:F147,MATCH(LARGE(FILTER(L$4:L147,L$4:L147&lt;1000000),1),L$4:L147)))),AND(L76&lt;1000000,COUNTA(C76:C147)&gt;0,O$3=FALSE),
ROUNDDOWN(INDEX(Y$4:Y147,MATCH(LARGE(FILTER(W$4:W147,W$4:W147&lt;=J76),1),W$4:W147))+(J76-LARGE(FILTER(W$4:"&amp;"W147,W$4:W147&lt;=J76),1))*INDEX(S$4:S147,MATCH(LARGE(FILTER(W$4:W147,W$4:W147&lt;=J76),1),W$4:W147))-L76),1,
ROUNDDOWN(Y76-INDEX(L$4:L147,MATCH(LARGE(FILTER(J$4:J147,J$4:J147&lt;=W76),1),J$4:J147))-(W76-LARGE(FILTER(J$4:J147,J$4:J147&lt;=W76),1))*INDEX(F$4:F147,MATC"&amp;"H(LARGE(FILTER(J$4:J147,J$4:J147&lt;=W76),1),J$4:J147))))"),1094.0)</f>
        <v>1094</v>
      </c>
      <c r="O76" s="65">
        <f t="shared" si="9"/>
        <v>24</v>
      </c>
      <c r="P76" s="69" t="s">
        <v>13</v>
      </c>
      <c r="Q76" s="14" t="b">
        <f>IFERROR(__xludf.DUMMYFUNCTION("IF(COUNTA(P76:P147)=0,"""",IFERROR(IF(ISBLANK(P76),FALSE,IF(ISBLANK(T76),1,IF(NOT(COUNTIF($AA$24:$AA$34,SUBSTITUTE(P76,""Sell_"",""""))),1,IF(P76=""Plastic_up"",IF(V76&lt;1000,1),IF(P76=""Super_Up"",IF(OR(COUNTIF(P$4:P76,""Grandma"")-COUNTIF(P$4:P76,""Sell_G"&amp;"randma"")&lt;1,COUNTIF(P$4:P76,VLOOKUP(P76,Upgrades!$F$8:$N$8,7+COUNTIF(P$4:P76,P76)))-COUNTIF(P$4:P76,""Sell_""&amp;VLOOKUP(P76,Upgrades!$F$8:$N$8,7+COUNTIF(P$4:P76,P76)))&lt;15),1),IF(REGEXMATCH(P76,""_up""),IF(COUNTIF(P$4:P76,SUBSTITUTE(P76,""_up"",""""))&lt;IFERRO"&amp;"R(VLOOKUP(P76,Upgrades!$L$3:$P$6,1+COUNTIF(P$4:P76,P76),0),999),1),IF(REGEXMATCH(P76,""Sell_""),IF(COUNTIF(P$4:P76,SUBSTITUTE(P76,""Sell_"",""""))-COUNTIF(P$4:P75,P76)&lt;1,1),FALSE)))))))))"),FALSE)</f>
        <v>0</v>
      </c>
      <c r="R76" s="71">
        <f>IFERROR(__xludf.DUMMYFUNCTION("IF(REGEXMATCH(P76,""^Sell_""),R75, IF(COUNTA(P76:P147)=0,"""",(COUNTIF(P$4:P76,""Cursor"")-COUNTIF(P$4:P76,""Sell_Cursor""))*(0.1*2^SWITCH(COUNTIF(P$4:P76,""Cursor_up""),0,0,1,1,2,2,3)+SWITCH(COUNTIF(P$4:P76,""Cursor_up""),4,0.1,0)*(ROW(P76)-4-COUNTIF(P$4"&amp;":P76,""Cursor"")-COUNTIF(P$4:P76,""*""&amp;""_up"")-2*COUNTIF(P$4:P76,""Sell_""&amp;""*"")+COUNTIF(P$4:P76,""Sell_Cursor"")-COUNTIF(P$4:P76,"""")))+(COUNTIF(P$4:P76,""Grandma"")-COUNTIF(P$4:P76,""Sell_Grandma""))*(1*2^(COUNTIF(P$4:P76,""Grandma_up"")+COUNTIF(P$4:"&amp;"P76,""Super_up"")))+(COUNTIF(P$4:P76,""Farm"")-COUNTIF(P$4:P76,""Sell_Farm""))*(8*2^COUNTIF(P$4:P76,""Farm_up""))*IF(COUNTIF(P$4:P76,""Super_up"")&gt;0,1+0.01*(COUNTIF(P$4:P76,""Grandma"")-COUNTIF(P$4:P76,""Sell_Grandma"")),1)+(COUNTIF(P$4:P76,""Mine"")-COUN"&amp;"TIF(P$4:P76,""Sell_Mine""))*((47*2^COUNTIF(P$4:P76,""Mine_up""))*IF(COUNTIF(P$4:P76,""Super_up"")&gt;1,1+0.005*(COUNTIF(P$4:P76,""Grandma"")-COUNTIF(P$4:P76,""Sell_Grandma"")),1))+(COUNTIF(P$4:P76,""Factory"")-COUNTIF(P$4:P76,""Sell_Factory""))*(260*2^COUNTI"&amp;"F(P$4:P76,""Factory_up""))))"),977.3599999999999)</f>
        <v>977.36</v>
      </c>
      <c r="S76" s="73">
        <f>IFERROR(__xludf.DUMMYFUNCTION("IF(COUNTA(P76:P147)=0,"""",IF(REGEXMATCH(INDEX(FILTER(P$4:P76,P$4:P76&lt;&gt;""""),ROWS(FILTER(P$4:P76,P$4:P76&lt;&gt;""""))),""^Sell_""),INDEX(FILTER(S$4:S75,P$4:P75&lt;&gt;""""),ROWS(FILTER(P$4:P75,P$4:P75&lt;&gt;""""))),$AD$5*(2^SWITCH(COUNTIF(P$4:P76,""Cursor_up""),0,0,1,1,2"&amp;",2,3)+SWITCH(COUNTIF(P$4:P76,""Cursor_up""),4,0.1,0)*(ROW(P76)-4-COUNTIF(P$4:P76,""Cursor"")-COUNTIF(P$4:P76,""*""&amp;""_up"")-2*COUNTIF(P$4:P76,""Sell_""&amp;""*"")+COUNTIF(P$4:P76,""Sell_Cursor"")-COUNTIF(P$4:P76,""""))+0.01*R76*COUNTIF(P$4:P76,""Plastic_up"")"&amp;")+R76))"),1057.36)</f>
        <v>1057.36</v>
      </c>
      <c r="T76" s="14">
        <f>IFERROR(__xludf.DUMMYFUNCTION("IF(COUNTA(P76:P147)=0,"""",IF(REGEXMATCH(P76,""_up""),VLOOKUP(P76,Upgrades!$F$3:$J$8,1+COUNTIF(P$4:P76,P76),FALSE),IF(P76="""",0,IF(REGEXMATCH(P76,""^Sell_""),-ROUNDDOWN(ROUNDUP(INDEX(Upgrades!$C$3:$C$8,MATCH(SUBSTITUTE(P76,""Sell_"",""""),Upgrades!$B$3:$"&amp;"B$8,0))*1.15^(COUNTIF(P$4:P75,SUBSTITUTE(P76,""Sell_"",""""))-COUNTIF(P$4:P75,""Sell_""&amp;SUBSTITUTE(P76,""Sell_"",""""))))/4),ROUNDUP(INDEX(Upgrades!$C$3:$C$7,MATCH(P76,Upgrades!$B$3:$B$7,0))*1.15^(COUNTIF(P$4:P75,P76)-COUNTIF(P$4:P75,""Sell_""&amp;P76)))))))"),2490.0)</f>
        <v>2490</v>
      </c>
      <c r="U76" s="14">
        <f t="shared" si="10"/>
        <v>2490</v>
      </c>
      <c r="V76" s="75">
        <f t="shared" si="11"/>
        <v>1432207.192</v>
      </c>
      <c r="W76" s="76">
        <f t="shared" si="12"/>
        <v>803.875331</v>
      </c>
      <c r="X76" s="71" t="str">
        <f t="shared" si="13"/>
        <v>13m 23s</v>
      </c>
      <c r="Y76" s="77">
        <f t="shared" si="14"/>
        <v>255212</v>
      </c>
      <c r="Z76" s="17"/>
      <c r="AA76" s="13"/>
      <c r="AB76" s="13"/>
      <c r="AC76" s="13"/>
      <c r="AD76" s="13"/>
      <c r="AE76" s="13"/>
      <c r="AF76" s="13"/>
      <c r="AG76" s="13"/>
    </row>
    <row r="77">
      <c r="A77" s="12"/>
      <c r="B77" s="65">
        <f t="shared" si="2"/>
        <v>25</v>
      </c>
      <c r="C77" s="69" t="s">
        <v>13</v>
      </c>
      <c r="D77" s="14" t="b">
        <f>IFERROR(__xludf.DUMMYFUNCTION("IF(COUNTA(C77:C147)=0,"""",IFERROR(IF(ISBLANK(C77),FALSE,IF(ISBLANK(G77),1,IF(NOT(COUNTIF($AA$24:$AA$34,SUBSTITUTE(C77,""Sell_"",""""))),1,IF(C77=""Plastic_up"",IF(I77&lt;1000,1),IF(C77=""Super_Up"",IF(OR(COUNTIF(C$4:C77,""Grandma"")-COUNTIF(C$4:C77,""Sell_G"&amp;"randma"")&lt;1,COUNTIF(C$4:C77,VLOOKUP(C77,Upgrades!$F$8:$N$8,7+COUNTIF(C$4:C77,C77)))-COUNTIF(C$4:C77,""Sell_""&amp;VLOOKUP(C77,Upgrades!$F$8:$N$8,7+COUNTIF(C$4:C77,C77)))&lt;15),1),IF(REGEXMATCH(C77,""_up""),IF(COUNTIF(C$4:C77,SUBSTITUTE(C77,""_up"",""""))&lt;IFERRO"&amp;"R(VLOOKUP(C77,Upgrades!$L$3:$P$6,1+COUNTIF(C$4:C77,C77),0),999),1),IF(REGEXMATCH(C77,""Sell_""),IF(COUNTIF(C$4:C77,SUBSTITUTE(C77,""Sell_"",""""))-COUNTIF(C$4:C76,C77)&lt;1,1),FALSE)))))))))"),FALSE)</f>
        <v>0</v>
      </c>
      <c r="E77" s="71">
        <f>IFERROR(__xludf.DUMMYFUNCTION("IF(REGEXMATCH(C77,""^Sell_""),E76, IF(COUNTA(C77:C147)=0,"""",(COUNTIF(C$4:C77,""Cursor"")-COUNTIF(C$4:C77,""Sell_Cursor""))*(0.1*2^SWITCH(COUNTIF(C$4:C77,""Cursor_up""),0,0,1,1,2,2,3)+SWITCH(COUNTIF(C$4:C77,""Cursor_up""),4,0.1,0)*(ROW(C77)-4-COUNTIF(C$4"&amp;":C77,""Cursor"")-COUNTIF(C$4:C77,""*""&amp;""_up"")-2*COUNTIF(C$4:C77,""Sell_""&amp;""*"")+COUNTIF(C$4:C77,""Sell_Cursor"")-COUNTIF(C$4:C77,"""")))+(COUNTIF(C$4:C77,""Grandma"")-COUNTIF(C$4:C77,""Sell_Grandma""))*(1*2^(COUNTIF(C$4:C77,""Grandma_up"")+COUNTIF(C$4:"&amp;"C77,""Super_up"")))+(COUNTIF(C$4:C77,""Farm"")-COUNTIF(C$4:C77,""Sell_Farm""))*(8*2^COUNTIF(C$4:C77,""Farm_up""))*IF(COUNTIF(C$4:C77,""Super_up"")&gt;0,1+0.01*(COUNTIF(C$4:C77,""Grandma"")-COUNTIF(C$4:C77,""Sell_Grandma"")),1)+(COUNTIF(C$4:C77,""Mine"")-COUN"&amp;"TIF(C$4:C77,""Sell_Mine""))*((47*2^COUNTIF(C$4:C77,""Mine_up""))*IF(COUNTIF(C$4:C77,""Super_up"")&gt;1,1+0.005*(COUNTIF(C$4:C77,""Grandma"")-COUNTIF(C$4:C77,""Sell_Grandma"")),1))+(COUNTIF(C$4:C77,""Factory"")-COUNTIF(C$4:C77,""Sell_Factory""))*(260*2^COUNTI"&amp;"F(C$4:C77,""Factory_up""))))"),990.8)</f>
        <v>990.8</v>
      </c>
      <c r="F77" s="73">
        <f>IFERROR(__xludf.DUMMYFUNCTION("IF(COUNTA(C77:C147)=0,"""",IF(REGEXMATCH(INDEX(FILTER(C$4:C77,C$4:C77&lt;&gt;""""),ROWS(FILTER(C$4:C77,C$4:C77&lt;&gt;""""))),""^Sell_""),INDEX(FILTER(F$4:F76,C$4:C76&lt;&gt;""""),ROWS(FILTER(C$4:C76,C$4:C76&lt;&gt;""""))),$AC$5*(2^SWITCH(COUNTIF(C$4:C77,""Cursor_up""),0,0,1,1,2"&amp;",2,3)+SWITCH(COUNTIF(C$4:C77,""Cursor_up""),4,0.1,0)*(ROW(C77)-4-COUNTIF(C$4:C77,""Cursor"")-COUNTIF(C$4:C77,""*""&amp;""_up"")-2*COUNTIF(C$4:C77,""Sell_""&amp;""*"")+COUNTIF(C$4:C77,""Sell_Cursor"")-COUNTIF(C$4:C77,""""))+0.01*E77*COUNTIF(C$4:C77,""Plastic_up"")"&amp;")+E77))"),1070.8)</f>
        <v>1070.8</v>
      </c>
      <c r="G77" s="14">
        <f>IFERROR(__xludf.DUMMYFUNCTION("IF(COUNTA(C77:C147)=0,"""",IF(REGEXMATCH(C77,""_up""),VLOOKUP(C77,Upgrades!$F$3:$J$8,1+COUNTIF(C$4:C77,C77),FALSE),IF(C77="""",0,IF(REGEXMATCH(C77,""^Sell_""),-ROUNDDOWN(ROUNDUP(INDEX(Upgrades!$C$3:$C$8,MATCH(SUBSTITUTE(C77,""Sell_"",""""),Upgrades!$B$3:$"&amp;"B$8,0))*1.15^(COUNTIF(C$4:C76,SUBSTITUTE(C77,""Sell_"",""""))-COUNTIF(C$4:C76,""Sell_""&amp;SUBSTITUTE(C77,""Sell_"",""""))))/4),ROUNDUP(INDEX(Upgrades!$C$3:$C$7,MATCH(C77,Upgrades!$B$3:$B$7,0))*1.15^(COUNTIF(C$4:C76,C77)-COUNTIF(C$4:C76,""Sell_""&amp;C77)))))))"),2863.0)</f>
        <v>2863</v>
      </c>
      <c r="H77" s="14">
        <f t="shared" si="3"/>
        <v>2863</v>
      </c>
      <c r="I77" s="75">
        <f t="shared" si="4"/>
        <v>1583238.255</v>
      </c>
      <c r="J77" s="76">
        <f t="shared" si="5"/>
        <v>807.6312544</v>
      </c>
      <c r="K77" s="71" t="str">
        <f t="shared" si="6"/>
        <v>13m 27s</v>
      </c>
      <c r="L77" s="77">
        <f t="shared" si="7"/>
        <v>258075</v>
      </c>
      <c r="M77" s="51">
        <f t="shared" si="8"/>
        <v>-1.04823</v>
      </c>
      <c r="N77" s="52">
        <f>IFERROR(__xludf.DUMMYFUNCTION("IFS(AND(COUNTA(C77:C147)=0,COUNTA(P77:P147)=0),"""",OR(AND(L77&gt;=1000000,OR(Y77&gt;=1000000,COUNTA(P77:P147)=0)),AND(Y77&gt;=1000000,COUNTA(C77:C147)=0),AND(COUNTA(P77:P147)=0,O$3=TRUE)),
ROUNDDOWN((AB$1-AC$1)*MAX(INDEX(S$4:S147,MATCH(LARGE(FILTER(Y$4:Y147,Y$4:Y"&amp;"147&lt;1000000),1),Y$4:Y147)),INDEX(F$4:F147,MATCH(LARGE(FILTER(L$4:L147,L$4:L147&lt;1000000),1),L$4:L147)))),AND(L77&lt;1000000,COUNTA(C77:C147)&gt;0,O$3=FALSE),
ROUNDDOWN(INDEX(Y$4:Y147,MATCH(LARGE(FILTER(W$4:W147,W$4:W147&lt;=J77),1),W$4:W147))+(J77-LARGE(FILTER(W$4:"&amp;"W147,W$4:W147&lt;=J77),1))*INDEX(S$4:S147,MATCH(LARGE(FILTER(W$4:W147,W$4:W147&lt;=J77),1),W$4:W147))-L77),1,
ROUNDDOWN(Y77-INDEX(L$4:L147,MATCH(LARGE(FILTER(J$4:J147,J$4:J147&lt;=W77),1),J$4:J147))-(W77-LARGE(FILTER(J$4:J147,J$4:J147&lt;=W77),1))*INDEX(F$4:F147,MATC"&amp;"H(LARGE(FILTER(J$4:J147,J$4:J147&lt;=W77),1),J$4:J147))))"),1108.0)</f>
        <v>1108</v>
      </c>
      <c r="O77" s="65">
        <f t="shared" si="9"/>
        <v>25</v>
      </c>
      <c r="P77" s="69" t="s">
        <v>13</v>
      </c>
      <c r="Q77" s="14" t="b">
        <f>IFERROR(__xludf.DUMMYFUNCTION("IF(COUNTA(P77:P147)=0,"""",IFERROR(IF(ISBLANK(P77),FALSE,IF(ISBLANK(T77),1,IF(NOT(COUNTIF($AA$24:$AA$34,SUBSTITUTE(P77,""Sell_"",""""))),1,IF(P77=""Plastic_up"",IF(V77&lt;1000,1),IF(P77=""Super_Up"",IF(OR(COUNTIF(P$4:P77,""Grandma"")-COUNTIF(P$4:P77,""Sell_G"&amp;"randma"")&lt;1,COUNTIF(P$4:P77,VLOOKUP(P77,Upgrades!$F$8:$N$8,7+COUNTIF(P$4:P77,P77)))-COUNTIF(P$4:P77,""Sell_""&amp;VLOOKUP(P77,Upgrades!$F$8:$N$8,7+COUNTIF(P$4:P77,P77)))&lt;15),1),IF(REGEXMATCH(P77,""_up""),IF(COUNTIF(P$4:P77,SUBSTITUTE(P77,""_up"",""""))&lt;IFERRO"&amp;"R(VLOOKUP(P77,Upgrades!$L$3:$P$6,1+COUNTIF(P$4:P77,P77),0),999),1),IF(REGEXMATCH(P77,""Sell_""),IF(COUNTIF(P$4:P77,SUBSTITUTE(P77,""Sell_"",""""))-COUNTIF(P$4:P76,P77)&lt;1,1),FALSE)))))))))"),FALSE)</f>
        <v>0</v>
      </c>
      <c r="R77" s="71">
        <f>IFERROR(__xludf.DUMMYFUNCTION("IF(REGEXMATCH(P77,""^Sell_""),R76, IF(COUNTA(P77:P147)=0,"""",(COUNTIF(P$4:P77,""Cursor"")-COUNTIF(P$4:P77,""Sell_Cursor""))*(0.1*2^SWITCH(COUNTIF(P$4:P77,""Cursor_up""),0,0,1,1,2,2,3)+SWITCH(COUNTIF(P$4:P77,""Cursor_up""),4,0.1,0)*(ROW(P77)-4-COUNTIF(P$4"&amp;":P77,""Cursor"")-COUNTIF(P$4:P77,""*""&amp;""_up"")-2*COUNTIF(P$4:P77,""Sell_""&amp;""*"")+COUNTIF(P$4:P77,""Sell_Cursor"")-COUNTIF(P$4:P77,"""")))+(COUNTIF(P$4:P77,""Grandma"")-COUNTIF(P$4:P77,""Sell_Grandma""))*(1*2^(COUNTIF(P$4:P77,""Grandma_up"")+COUNTIF(P$4:"&amp;"P77,""Super_up"")))+(COUNTIF(P$4:P77,""Farm"")-COUNTIF(P$4:P77,""Sell_Farm""))*(8*2^COUNTIF(P$4:P77,""Farm_up""))*IF(COUNTIF(P$4:P77,""Super_up"")&gt;0,1+0.01*(COUNTIF(P$4:P77,""Grandma"")-COUNTIF(P$4:P77,""Sell_Grandma"")),1)+(COUNTIF(P$4:P77,""Mine"")-COUN"&amp;"TIF(P$4:P77,""Sell_Mine""))*((47*2^COUNTIF(P$4:P77,""Mine_up""))*IF(COUNTIF(P$4:P77,""Super_up"")&gt;1,1+0.005*(COUNTIF(P$4:P77,""Grandma"")-COUNTIF(P$4:P77,""Sell_Grandma"")),1))+(COUNTIF(P$4:P77,""Factory"")-COUNTIF(P$4:P77,""Sell_Factory""))*(260*2^COUNTI"&amp;"F(P$4:P77,""Factory_up""))))"),990.8)</f>
        <v>990.8</v>
      </c>
      <c r="S77" s="73">
        <f>IFERROR(__xludf.DUMMYFUNCTION("IF(COUNTA(P77:P147)=0,"""",IF(REGEXMATCH(INDEX(FILTER(P$4:P77,P$4:P77&lt;&gt;""""),ROWS(FILTER(P$4:P77,P$4:P77&lt;&gt;""""))),""^Sell_""),INDEX(FILTER(S$4:S76,P$4:P76&lt;&gt;""""),ROWS(FILTER(P$4:P76,P$4:P76&lt;&gt;""""))),$AD$5*(2^SWITCH(COUNTIF(P$4:P77,""Cursor_up""),0,0,1,1,2"&amp;",2,3)+SWITCH(COUNTIF(P$4:P77,""Cursor_up""),4,0.1,0)*(ROW(P77)-4-COUNTIF(P$4:P77,""Cursor"")-COUNTIF(P$4:P77,""*""&amp;""_up"")-2*COUNTIF(P$4:P77,""Sell_""&amp;""*"")+COUNTIF(P$4:P77,""Sell_Cursor"")-COUNTIF(P$4:P77,""""))+0.01*R77*COUNTIF(P$4:P77,""Plastic_up"")"&amp;")+R77))"),1070.8)</f>
        <v>1070.8</v>
      </c>
      <c r="T77" s="14">
        <f>IFERROR(__xludf.DUMMYFUNCTION("IF(COUNTA(P77:P147)=0,"""",IF(REGEXMATCH(P77,""_up""),VLOOKUP(P77,Upgrades!$F$3:$J$8,1+COUNTIF(P$4:P77,P77),FALSE),IF(P77="""",0,IF(REGEXMATCH(P77,""^Sell_""),-ROUNDDOWN(ROUNDUP(INDEX(Upgrades!$C$3:$C$8,MATCH(SUBSTITUTE(P77,""Sell_"",""""),Upgrades!$B$3:$"&amp;"B$8,0))*1.15^(COUNTIF(P$4:P76,SUBSTITUTE(P77,""Sell_"",""""))-COUNTIF(P$4:P76,""Sell_""&amp;SUBSTITUTE(P77,""Sell_"",""""))))/4),ROUNDUP(INDEX(Upgrades!$C$3:$C$7,MATCH(P77,Upgrades!$B$3:$B$7,0))*1.15^(COUNTIF(P$4:P76,P77)-COUNTIF(P$4:P76,""Sell_""&amp;P77)))))))"),2863.0)</f>
        <v>2863</v>
      </c>
      <c r="U77" s="14">
        <f t="shared" si="10"/>
        <v>2863</v>
      </c>
      <c r="V77" s="75">
        <f t="shared" si="11"/>
        <v>1496733.833</v>
      </c>
      <c r="W77" s="76">
        <f t="shared" si="12"/>
        <v>806.5830181</v>
      </c>
      <c r="X77" s="71" t="str">
        <f t="shared" si="13"/>
        <v>13m 26s</v>
      </c>
      <c r="Y77" s="77">
        <f t="shared" si="14"/>
        <v>258075</v>
      </c>
      <c r="Z77" s="17"/>
      <c r="AA77" s="13"/>
      <c r="AB77" s="13"/>
      <c r="AC77" s="13"/>
      <c r="AD77" s="13"/>
      <c r="AE77" s="13"/>
      <c r="AF77" s="13"/>
      <c r="AG77" s="13"/>
    </row>
    <row r="78">
      <c r="A78" s="12"/>
      <c r="B78" s="65">
        <f t="shared" si="2"/>
        <v>26</v>
      </c>
      <c r="C78" s="69" t="s">
        <v>13</v>
      </c>
      <c r="D78" s="14" t="b">
        <f>IFERROR(__xludf.DUMMYFUNCTION("IF(COUNTA(C78:C147)=0,"""",IFERROR(IF(ISBLANK(C78),FALSE,IF(ISBLANK(G78),1,IF(NOT(COUNTIF($AA$24:$AA$34,SUBSTITUTE(C78,""Sell_"",""""))),1,IF(C78=""Plastic_up"",IF(I78&lt;1000,1),IF(C78=""Super_Up"",IF(OR(COUNTIF(C$4:C78,""Grandma"")-COUNTIF(C$4:C78,""Sell_G"&amp;"randma"")&lt;1,COUNTIF(C$4:C78,VLOOKUP(C78,Upgrades!$F$8:$N$8,7+COUNTIF(C$4:C78,C78)))-COUNTIF(C$4:C78,""Sell_""&amp;VLOOKUP(C78,Upgrades!$F$8:$N$8,7+COUNTIF(C$4:C78,C78)))&lt;15),1),IF(REGEXMATCH(C78,""_up""),IF(COUNTIF(C$4:C78,SUBSTITUTE(C78,""_up"",""""))&lt;IFERRO"&amp;"R(VLOOKUP(C78,Upgrades!$L$3:$P$6,1+COUNTIF(C$4:C78,C78),0),999),1),IF(REGEXMATCH(C78,""Sell_""),IF(COUNTIF(C$4:C78,SUBSTITUTE(C78,""Sell_"",""""))-COUNTIF(C$4:C77,C78)&lt;1,1),FALSE)))))))))"),FALSE)</f>
        <v>0</v>
      </c>
      <c r="E78" s="71">
        <f>IFERROR(__xludf.DUMMYFUNCTION("IF(REGEXMATCH(C78,""^Sell_""),E77, IF(COUNTA(C78:C147)=0,"""",(COUNTIF(C$4:C78,""Cursor"")-COUNTIF(C$4:C78,""Sell_Cursor""))*(0.1*2^SWITCH(COUNTIF(C$4:C78,""Cursor_up""),0,0,1,1,2,2,3)+SWITCH(COUNTIF(C$4:C78,""Cursor_up""),4,0.1,0)*(ROW(C78)-4-COUNTIF(C$4"&amp;":C78,""Cursor"")-COUNTIF(C$4:C78,""*""&amp;""_up"")-2*COUNTIF(C$4:C78,""Sell_""&amp;""*"")+COUNTIF(C$4:C78,""Sell_Cursor"")-COUNTIF(C$4:C78,"""")))+(COUNTIF(C$4:C78,""Grandma"")-COUNTIF(C$4:C78,""Sell_Grandma""))*(1*2^(COUNTIF(C$4:C78,""Grandma_up"")+COUNTIF(C$4:"&amp;"C78,""Super_up"")))+(COUNTIF(C$4:C78,""Farm"")-COUNTIF(C$4:C78,""Sell_Farm""))*(8*2^COUNTIF(C$4:C78,""Farm_up""))*IF(COUNTIF(C$4:C78,""Super_up"")&gt;0,1+0.01*(COUNTIF(C$4:C78,""Grandma"")-COUNTIF(C$4:C78,""Sell_Grandma"")),1)+(COUNTIF(C$4:C78,""Mine"")-COUN"&amp;"TIF(C$4:C78,""Sell_Mine""))*((47*2^COUNTIF(C$4:C78,""Mine_up""))*IF(COUNTIF(C$4:C78,""Super_up"")&gt;1,1+0.005*(COUNTIF(C$4:C78,""Grandma"")-COUNTIF(C$4:C78,""Sell_Grandma"")),1))+(COUNTIF(C$4:C78,""Factory"")-COUNTIF(C$4:C78,""Sell_Factory""))*(260*2^COUNTI"&amp;"F(C$4:C78,""Factory_up""))))"),1004.24)</f>
        <v>1004.24</v>
      </c>
      <c r="F78" s="73">
        <f>IFERROR(__xludf.DUMMYFUNCTION("IF(COUNTA(C78:C147)=0,"""",IF(REGEXMATCH(INDEX(FILTER(C$4:C78,C$4:C78&lt;&gt;""""),ROWS(FILTER(C$4:C78,C$4:C78&lt;&gt;""""))),""^Sell_""),INDEX(FILTER(F$4:F77,C$4:C77&lt;&gt;""""),ROWS(FILTER(C$4:C77,C$4:C77&lt;&gt;""""))),$AC$5*(2^SWITCH(COUNTIF(C$4:C78,""Cursor_up""),0,0,1,1,2"&amp;",2,3)+SWITCH(COUNTIF(C$4:C78,""Cursor_up""),4,0.1,0)*(ROW(C78)-4-COUNTIF(C$4:C78,""Cursor"")-COUNTIF(C$4:C78,""*""&amp;""_up"")-2*COUNTIF(C$4:C78,""Sell_""&amp;""*"")+COUNTIF(C$4:C78,""Sell_Cursor"")-COUNTIF(C$4:C78,""""))+0.01*E78*COUNTIF(C$4:C78,""Plastic_up"")"&amp;")+E78))"),1084.24)</f>
        <v>1084.24</v>
      </c>
      <c r="G78" s="14">
        <f>IFERROR(__xludf.DUMMYFUNCTION("IF(COUNTA(C78:C147)=0,"""",IF(REGEXMATCH(C78,""_up""),VLOOKUP(C78,Upgrades!$F$3:$J$8,1+COUNTIF(C$4:C78,C78),FALSE),IF(C78="""",0,IF(REGEXMATCH(C78,""^Sell_""),-ROUNDDOWN(ROUNDUP(INDEX(Upgrades!$C$3:$C$8,MATCH(SUBSTITUTE(C78,""Sell_"",""""),Upgrades!$B$3:$"&amp;"B$8,0))*1.15^(COUNTIF(C$4:C77,SUBSTITUTE(C78,""Sell_"",""""))-COUNTIF(C$4:C77,""Sell_""&amp;SUBSTITUTE(C78,""Sell_"",""""))))/4),ROUNDUP(INDEX(Upgrades!$C$3:$C$7,MATCH(C78,Upgrades!$B$3:$B$7,0))*1.15^(COUNTIF(C$4:C77,C78)-COUNTIF(C$4:C77,""Sell_""&amp;C78)))))))"),3292.0)</f>
        <v>3292</v>
      </c>
      <c r="H78" s="14">
        <f t="shared" si="3"/>
        <v>3292</v>
      </c>
      <c r="I78" s="75">
        <f t="shared" si="4"/>
        <v>1648094.703</v>
      </c>
      <c r="J78" s="76">
        <f t="shared" si="5"/>
        <v>810.7055914</v>
      </c>
      <c r="K78" s="71" t="str">
        <f t="shared" si="6"/>
        <v>13m 30s</v>
      </c>
      <c r="L78" s="77">
        <f t="shared" si="7"/>
        <v>261367</v>
      </c>
      <c r="M78" s="51">
        <f t="shared" si="8"/>
        <v>-1.04823</v>
      </c>
      <c r="N78" s="52">
        <f>IFERROR(__xludf.DUMMYFUNCTION("IFS(AND(COUNTA(C78:C147)=0,COUNTA(P78:P147)=0),"""",OR(AND(L78&gt;=1000000,OR(Y78&gt;=1000000,COUNTA(P78:P147)=0)),AND(Y78&gt;=1000000,COUNTA(C78:C147)=0),AND(COUNTA(P78:P147)=0,O$3=TRUE)),
ROUNDDOWN((AB$1-AC$1)*MAX(INDEX(S$4:S147,MATCH(LARGE(FILTER(Y$4:Y147,Y$4:Y"&amp;"147&lt;1000000),1),Y$4:Y147)),INDEX(F$4:F147,MATCH(LARGE(FILTER(L$4:L147,L$4:L147&lt;1000000),1),L$4:L147)))),AND(L78&lt;1000000,COUNTA(C78:C147)&gt;0,O$3=FALSE),
ROUNDDOWN(INDEX(Y$4:Y147,MATCH(LARGE(FILTER(W$4:W147,W$4:W147&lt;=J78),1),W$4:W147))+(J78-LARGE(FILTER(W$4:"&amp;"W147,W$4:W147&lt;=J78),1))*INDEX(S$4:S147,MATCH(LARGE(FILTER(W$4:W147,W$4:W147&lt;=J78),1),W$4:W147))-L78),1,
ROUNDDOWN(Y78-INDEX(L$4:L147,MATCH(LARGE(FILTER(J$4:J147,J$4:J147&lt;=W78),1),J$4:J147))-(W78-LARGE(FILTER(J$4:J147,J$4:J147&lt;=W78),1))*INDEX(F$4:F147,MATC"&amp;"H(LARGE(FILTER(J$4:J147,J$4:J147&lt;=W78),1),J$4:J147))))"),1122.0)</f>
        <v>1122</v>
      </c>
      <c r="O78" s="65">
        <f t="shared" si="9"/>
        <v>26</v>
      </c>
      <c r="P78" s="69" t="s">
        <v>13</v>
      </c>
      <c r="Q78" s="14" t="b">
        <f>IFERROR(__xludf.DUMMYFUNCTION("IF(COUNTA(P78:P147)=0,"""",IFERROR(IF(ISBLANK(P78),FALSE,IF(ISBLANK(T78),1,IF(NOT(COUNTIF($AA$24:$AA$34,SUBSTITUTE(P78,""Sell_"",""""))),1,IF(P78=""Plastic_up"",IF(V78&lt;1000,1),IF(P78=""Super_Up"",IF(OR(COUNTIF(P$4:P78,""Grandma"")-COUNTIF(P$4:P78,""Sell_G"&amp;"randma"")&lt;1,COUNTIF(P$4:P78,VLOOKUP(P78,Upgrades!$F$8:$N$8,7+COUNTIF(P$4:P78,P78)))-COUNTIF(P$4:P78,""Sell_""&amp;VLOOKUP(P78,Upgrades!$F$8:$N$8,7+COUNTIF(P$4:P78,P78)))&lt;15),1),IF(REGEXMATCH(P78,""_up""),IF(COUNTIF(P$4:P78,SUBSTITUTE(P78,""_up"",""""))&lt;IFERRO"&amp;"R(VLOOKUP(P78,Upgrades!$L$3:$P$6,1+COUNTIF(P$4:P78,P78),0),999),1),IF(REGEXMATCH(P78,""Sell_""),IF(COUNTIF(P$4:P78,SUBSTITUTE(P78,""Sell_"",""""))-COUNTIF(P$4:P77,P78)&lt;1,1),FALSE)))))))))"),FALSE)</f>
        <v>0</v>
      </c>
      <c r="R78" s="71">
        <f>IFERROR(__xludf.DUMMYFUNCTION("IF(REGEXMATCH(P78,""^Sell_""),R77, IF(COUNTA(P78:P147)=0,"""",(COUNTIF(P$4:P78,""Cursor"")-COUNTIF(P$4:P78,""Sell_Cursor""))*(0.1*2^SWITCH(COUNTIF(P$4:P78,""Cursor_up""),0,0,1,1,2,2,3)+SWITCH(COUNTIF(P$4:P78,""Cursor_up""),4,0.1,0)*(ROW(P78)-4-COUNTIF(P$4"&amp;":P78,""Cursor"")-COUNTIF(P$4:P78,""*""&amp;""_up"")-2*COUNTIF(P$4:P78,""Sell_""&amp;""*"")+COUNTIF(P$4:P78,""Sell_Cursor"")-COUNTIF(P$4:P78,"""")))+(COUNTIF(P$4:P78,""Grandma"")-COUNTIF(P$4:P78,""Sell_Grandma""))*(1*2^(COUNTIF(P$4:P78,""Grandma_up"")+COUNTIF(P$4:"&amp;"P78,""Super_up"")))+(COUNTIF(P$4:P78,""Farm"")-COUNTIF(P$4:P78,""Sell_Farm""))*(8*2^COUNTIF(P$4:P78,""Farm_up""))*IF(COUNTIF(P$4:P78,""Super_up"")&gt;0,1+0.01*(COUNTIF(P$4:P78,""Grandma"")-COUNTIF(P$4:P78,""Sell_Grandma"")),1)+(COUNTIF(P$4:P78,""Mine"")-COUN"&amp;"TIF(P$4:P78,""Sell_Mine""))*((47*2^COUNTIF(P$4:P78,""Mine_up""))*IF(COUNTIF(P$4:P78,""Super_up"")&gt;1,1+0.005*(COUNTIF(P$4:P78,""Grandma"")-COUNTIF(P$4:P78,""Sell_Grandma"")),1))+(COUNTIF(P$4:P78,""Factory"")-COUNTIF(P$4:P78,""Sell_Factory""))*(260*2^COUNTI"&amp;"F(P$4:P78,""Factory_up""))))"),1004.24)</f>
        <v>1004.24</v>
      </c>
      <c r="S78" s="73">
        <f>IFERROR(__xludf.DUMMYFUNCTION("IF(COUNTA(P78:P147)=0,"""",IF(REGEXMATCH(INDEX(FILTER(P$4:P78,P$4:P78&lt;&gt;""""),ROWS(FILTER(P$4:P78,P$4:P78&lt;&gt;""""))),""^Sell_""),INDEX(FILTER(S$4:S77,P$4:P77&lt;&gt;""""),ROWS(FILTER(P$4:P77,P$4:P77&lt;&gt;""""))),$AD$5*(2^SWITCH(COUNTIF(P$4:P78,""Cursor_up""),0,0,1,1,2"&amp;",2,3)+SWITCH(COUNTIF(P$4:P78,""Cursor_up""),4,0.1,0)*(ROW(P78)-4-COUNTIF(P$4:P78,""Cursor"")-COUNTIF(P$4:P78,""*""&amp;""_up"")-2*COUNTIF(P$4:P78,""Sell_""&amp;""*"")+COUNTIF(P$4:P78,""Sell_Cursor"")-COUNTIF(P$4:P78,""""))+0.01*R78*COUNTIF(P$4:P78,""Plastic_up"")"&amp;")+R78))"),1084.24)</f>
        <v>1084.24</v>
      </c>
      <c r="T78" s="14">
        <f>IFERROR(__xludf.DUMMYFUNCTION("IF(COUNTA(P78:P147)=0,"""",IF(REGEXMATCH(P78,""_up""),VLOOKUP(P78,Upgrades!$F$3:$J$8,1+COUNTIF(P$4:P78,P78),FALSE),IF(P78="""",0,IF(REGEXMATCH(P78,""^Sell_""),-ROUNDDOWN(ROUNDUP(INDEX(Upgrades!$C$3:$C$8,MATCH(SUBSTITUTE(P78,""Sell_"",""""),Upgrades!$B$3:$"&amp;"B$8,0))*1.15^(COUNTIF(P$4:P77,SUBSTITUTE(P78,""Sell_"",""""))-COUNTIF(P$4:P77,""Sell_""&amp;SUBSTITUTE(P78,""Sell_"",""""))))/4),ROUNDUP(INDEX(Upgrades!$C$3:$C$7,MATCH(P78,Upgrades!$B$3:$B$7,0))*1.15^(COUNTIF(P$4:P77,P78)-COUNTIF(P$4:P77,""Sell_""&amp;P78)))))))"),3292.0)</f>
        <v>3292</v>
      </c>
      <c r="U78" s="14">
        <f t="shared" si="10"/>
        <v>3292</v>
      </c>
      <c r="V78" s="75">
        <f t="shared" si="11"/>
        <v>1561506.422</v>
      </c>
      <c r="W78" s="76">
        <f t="shared" si="12"/>
        <v>809.657355</v>
      </c>
      <c r="X78" s="71" t="str">
        <f t="shared" si="13"/>
        <v>13m 29s</v>
      </c>
      <c r="Y78" s="77">
        <f t="shared" si="14"/>
        <v>261367</v>
      </c>
      <c r="Z78" s="17"/>
      <c r="AA78" s="13"/>
      <c r="AB78" s="13"/>
      <c r="AC78" s="13"/>
      <c r="AD78" s="13"/>
      <c r="AE78" s="13"/>
      <c r="AF78" s="13"/>
      <c r="AG78" s="13"/>
    </row>
    <row r="79">
      <c r="A79" s="12"/>
      <c r="B79" s="65">
        <f t="shared" si="2"/>
        <v>27</v>
      </c>
      <c r="C79" s="69" t="s">
        <v>13</v>
      </c>
      <c r="D79" s="14" t="b">
        <f>IFERROR(__xludf.DUMMYFUNCTION("IF(COUNTA(C79:C147)=0,"""",IFERROR(IF(ISBLANK(C79),FALSE,IF(ISBLANK(G79),1,IF(NOT(COUNTIF($AA$24:$AA$34,SUBSTITUTE(C79,""Sell_"",""""))),1,IF(C79=""Plastic_up"",IF(I79&lt;1000,1),IF(C79=""Super_Up"",IF(OR(COUNTIF(C$4:C79,""Grandma"")-COUNTIF(C$4:C79,""Sell_G"&amp;"randma"")&lt;1,COUNTIF(C$4:C79,VLOOKUP(C79,Upgrades!$F$8:$N$8,7+COUNTIF(C$4:C79,C79)))-COUNTIF(C$4:C79,""Sell_""&amp;VLOOKUP(C79,Upgrades!$F$8:$N$8,7+COUNTIF(C$4:C79,C79)))&lt;15),1),IF(REGEXMATCH(C79,""_up""),IF(COUNTIF(C$4:C79,SUBSTITUTE(C79,""_up"",""""))&lt;IFERRO"&amp;"R(VLOOKUP(C79,Upgrades!$L$3:$P$6,1+COUNTIF(C$4:C79,C79),0),999),1),IF(REGEXMATCH(C79,""Sell_""),IF(COUNTIF(C$4:C79,SUBSTITUTE(C79,""Sell_"",""""))-COUNTIF(C$4:C78,C79)&lt;1,1),FALSE)))))))))"),FALSE)</f>
        <v>0</v>
      </c>
      <c r="E79" s="71">
        <f>IFERROR(__xludf.DUMMYFUNCTION("IF(REGEXMATCH(C79,""^Sell_""),E78, IF(COUNTA(C79:C147)=0,"""",(COUNTIF(C$4:C79,""Cursor"")-COUNTIF(C$4:C79,""Sell_Cursor""))*(0.1*2^SWITCH(COUNTIF(C$4:C79,""Cursor_up""),0,0,1,1,2,2,3)+SWITCH(COUNTIF(C$4:C79,""Cursor_up""),4,0.1,0)*(ROW(C79)-4-COUNTIF(C$4"&amp;":C79,""Cursor"")-COUNTIF(C$4:C79,""*""&amp;""_up"")-2*COUNTIF(C$4:C79,""Sell_""&amp;""*"")+COUNTIF(C$4:C79,""Sell_Cursor"")-COUNTIF(C$4:C79,"""")))+(COUNTIF(C$4:C79,""Grandma"")-COUNTIF(C$4:C79,""Sell_Grandma""))*(1*2^(COUNTIF(C$4:C79,""Grandma_up"")+COUNTIF(C$4:"&amp;"C79,""Super_up"")))+(COUNTIF(C$4:C79,""Farm"")-COUNTIF(C$4:C79,""Sell_Farm""))*(8*2^COUNTIF(C$4:C79,""Farm_up""))*IF(COUNTIF(C$4:C79,""Super_up"")&gt;0,1+0.01*(COUNTIF(C$4:C79,""Grandma"")-COUNTIF(C$4:C79,""Sell_Grandma"")),1)+(COUNTIF(C$4:C79,""Mine"")-COUN"&amp;"TIF(C$4:C79,""Sell_Mine""))*((47*2^COUNTIF(C$4:C79,""Mine_up""))*IF(COUNTIF(C$4:C79,""Super_up"")&gt;1,1+0.005*(COUNTIF(C$4:C79,""Grandma"")-COUNTIF(C$4:C79,""Sell_Grandma"")),1))+(COUNTIF(C$4:C79,""Factory"")-COUNTIF(C$4:C79,""Sell_Factory""))*(260*2^COUNTI"&amp;"F(C$4:C79,""Factory_up""))))"),1017.6800000000001)</f>
        <v>1017.68</v>
      </c>
      <c r="F79" s="73">
        <f>IFERROR(__xludf.DUMMYFUNCTION("IF(COUNTA(C79:C147)=0,"""",IF(REGEXMATCH(INDEX(FILTER(C$4:C79,C$4:C79&lt;&gt;""""),ROWS(FILTER(C$4:C79,C$4:C79&lt;&gt;""""))),""^Sell_""),INDEX(FILTER(F$4:F78,C$4:C78&lt;&gt;""""),ROWS(FILTER(C$4:C78,C$4:C78&lt;&gt;""""))),$AC$5*(2^SWITCH(COUNTIF(C$4:C79,""Cursor_up""),0,0,1,1,2"&amp;",2,3)+SWITCH(COUNTIF(C$4:C79,""Cursor_up""),4,0.1,0)*(ROW(C79)-4-COUNTIF(C$4:C79,""Cursor"")-COUNTIF(C$4:C79,""*""&amp;""_up"")-2*COUNTIF(C$4:C79,""Sell_""&amp;""*"")+COUNTIF(C$4:C79,""Sell_Cursor"")-COUNTIF(C$4:C79,""""))+0.01*E79*COUNTIF(C$4:C79,""Plastic_up"")"&amp;")+E79))"),1097.68)</f>
        <v>1097.68</v>
      </c>
      <c r="G79" s="14">
        <f>IFERROR(__xludf.DUMMYFUNCTION("IF(COUNTA(C79:C147)=0,"""",IF(REGEXMATCH(C79,""_up""),VLOOKUP(C79,Upgrades!$F$3:$J$8,1+COUNTIF(C$4:C79,C79),FALSE),IF(C79="""",0,IF(REGEXMATCH(C79,""^Sell_""),-ROUNDDOWN(ROUNDUP(INDEX(Upgrades!$C$3:$C$8,MATCH(SUBSTITUTE(C79,""Sell_"",""""),Upgrades!$B$3:$"&amp;"B$8,0))*1.15^(COUNTIF(C$4:C78,SUBSTITUTE(C79,""Sell_"",""""))-COUNTIF(C$4:C78,""Sell_""&amp;SUBSTITUTE(C79,""Sell_"",""""))))/4),ROUNDUP(INDEX(Upgrades!$C$3:$C$7,MATCH(C79,Upgrades!$B$3:$B$7,0))*1.15^(COUNTIF(C$4:C78,C79)-COUNTIF(C$4:C78,""Sell_""&amp;C79)))))))"),3786.0)</f>
        <v>3786</v>
      </c>
      <c r="H79" s="14">
        <f t="shared" si="3"/>
        <v>3786</v>
      </c>
      <c r="I79" s="75">
        <f t="shared" si="4"/>
        <v>1713230.498</v>
      </c>
      <c r="J79" s="76">
        <f t="shared" si="5"/>
        <v>814.1974382</v>
      </c>
      <c r="K79" s="71" t="str">
        <f t="shared" si="6"/>
        <v>13m 34s</v>
      </c>
      <c r="L79" s="77">
        <f t="shared" si="7"/>
        <v>265153</v>
      </c>
      <c r="M79" s="51">
        <f t="shared" si="8"/>
        <v>-1.04823</v>
      </c>
      <c r="N79" s="52">
        <f>IFERROR(__xludf.DUMMYFUNCTION("IFS(AND(COUNTA(C79:C147)=0,COUNTA(P79:P147)=0),"""",OR(AND(L79&gt;=1000000,OR(Y79&gt;=1000000,COUNTA(P79:P147)=0)),AND(Y79&gt;=1000000,COUNTA(C79:C147)=0),AND(COUNTA(P79:P147)=0,O$3=TRUE)),
ROUNDDOWN((AB$1-AC$1)*MAX(INDEX(S$4:S147,MATCH(LARGE(FILTER(Y$4:Y147,Y$4:Y"&amp;"147&lt;1000000),1),Y$4:Y147)),INDEX(F$4:F147,MATCH(LARGE(FILTER(L$4:L147,L$4:L147&lt;1000000),1),L$4:L147)))),AND(L79&lt;1000000,COUNTA(C79:C147)&gt;0,O$3=FALSE),
ROUNDDOWN(INDEX(Y$4:Y147,MATCH(LARGE(FILTER(W$4:W147,W$4:W147&lt;=J79),1),W$4:W147))+(J79-LARGE(FILTER(W$4:"&amp;"W147,W$4:W147&lt;=J79),1))*INDEX(S$4:S147,MATCH(LARGE(FILTER(W$4:W147,W$4:W147&lt;=J79),1),W$4:W147))-L79),1,
ROUNDDOWN(Y79-INDEX(L$4:L147,MATCH(LARGE(FILTER(J$4:J147,J$4:J147&lt;=W79),1),J$4:J147))-(W79-LARGE(FILTER(J$4:J147,J$4:J147&lt;=W79),1))*INDEX(F$4:F147,MATC"&amp;"H(LARGE(FILTER(J$4:J147,J$4:J147&lt;=W79),1),J$4:J147))))"),1136.0)</f>
        <v>1136</v>
      </c>
      <c r="O79" s="65">
        <f t="shared" si="9"/>
        <v>27</v>
      </c>
      <c r="P79" s="69" t="s">
        <v>13</v>
      </c>
      <c r="Q79" s="14" t="b">
        <f>IFERROR(__xludf.DUMMYFUNCTION("IF(COUNTA(P79:P147)=0,"""",IFERROR(IF(ISBLANK(P79),FALSE,IF(ISBLANK(T79),1,IF(NOT(COUNTIF($AA$24:$AA$34,SUBSTITUTE(P79,""Sell_"",""""))),1,IF(P79=""Plastic_up"",IF(V79&lt;1000,1),IF(P79=""Super_Up"",IF(OR(COUNTIF(P$4:P79,""Grandma"")-COUNTIF(P$4:P79,""Sell_G"&amp;"randma"")&lt;1,COUNTIF(P$4:P79,VLOOKUP(P79,Upgrades!$F$8:$N$8,7+COUNTIF(P$4:P79,P79)))-COUNTIF(P$4:P79,""Sell_""&amp;VLOOKUP(P79,Upgrades!$F$8:$N$8,7+COUNTIF(P$4:P79,P79)))&lt;15),1),IF(REGEXMATCH(P79,""_up""),IF(COUNTIF(P$4:P79,SUBSTITUTE(P79,""_up"",""""))&lt;IFERRO"&amp;"R(VLOOKUP(P79,Upgrades!$L$3:$P$6,1+COUNTIF(P$4:P79,P79),0),999),1),IF(REGEXMATCH(P79,""Sell_""),IF(COUNTIF(P$4:P79,SUBSTITUTE(P79,""Sell_"",""""))-COUNTIF(P$4:P78,P79)&lt;1,1),FALSE)))))))))"),FALSE)</f>
        <v>0</v>
      </c>
      <c r="R79" s="71">
        <f>IFERROR(__xludf.DUMMYFUNCTION("IF(REGEXMATCH(P79,""^Sell_""),R78, IF(COUNTA(P79:P147)=0,"""",(COUNTIF(P$4:P79,""Cursor"")-COUNTIF(P$4:P79,""Sell_Cursor""))*(0.1*2^SWITCH(COUNTIF(P$4:P79,""Cursor_up""),0,0,1,1,2,2,3)+SWITCH(COUNTIF(P$4:P79,""Cursor_up""),4,0.1,0)*(ROW(P79)-4-COUNTIF(P$4"&amp;":P79,""Cursor"")-COUNTIF(P$4:P79,""*""&amp;""_up"")-2*COUNTIF(P$4:P79,""Sell_""&amp;""*"")+COUNTIF(P$4:P79,""Sell_Cursor"")-COUNTIF(P$4:P79,"""")))+(COUNTIF(P$4:P79,""Grandma"")-COUNTIF(P$4:P79,""Sell_Grandma""))*(1*2^(COUNTIF(P$4:P79,""Grandma_up"")+COUNTIF(P$4:"&amp;"P79,""Super_up"")))+(COUNTIF(P$4:P79,""Farm"")-COUNTIF(P$4:P79,""Sell_Farm""))*(8*2^COUNTIF(P$4:P79,""Farm_up""))*IF(COUNTIF(P$4:P79,""Super_up"")&gt;0,1+0.01*(COUNTIF(P$4:P79,""Grandma"")-COUNTIF(P$4:P79,""Sell_Grandma"")),1)+(COUNTIF(P$4:P79,""Mine"")-COUN"&amp;"TIF(P$4:P79,""Sell_Mine""))*((47*2^COUNTIF(P$4:P79,""Mine_up""))*IF(COUNTIF(P$4:P79,""Super_up"")&gt;1,1+0.005*(COUNTIF(P$4:P79,""Grandma"")-COUNTIF(P$4:P79,""Sell_Grandma"")),1))+(COUNTIF(P$4:P79,""Factory"")-COUNTIF(P$4:P79,""Sell_Factory""))*(260*2^COUNTI"&amp;"F(P$4:P79,""Factory_up""))))"),1017.6800000000001)</f>
        <v>1017.68</v>
      </c>
      <c r="S79" s="73">
        <f>IFERROR(__xludf.DUMMYFUNCTION("IF(COUNTA(P79:P147)=0,"""",IF(REGEXMATCH(INDEX(FILTER(P$4:P79,P$4:P79&lt;&gt;""""),ROWS(FILTER(P$4:P79,P$4:P79&lt;&gt;""""))),""^Sell_""),INDEX(FILTER(S$4:S78,P$4:P78&lt;&gt;""""),ROWS(FILTER(P$4:P78,P$4:P78&lt;&gt;""""))),$AD$5*(2^SWITCH(COUNTIF(P$4:P79,""Cursor_up""),0,0,1,1,2"&amp;",2,3)+SWITCH(COUNTIF(P$4:P79,""Cursor_up""),4,0.1,0)*(ROW(P79)-4-COUNTIF(P$4:P79,""Cursor"")-COUNTIF(P$4:P79,""*""&amp;""_up"")-2*COUNTIF(P$4:P79,""Sell_""&amp;""*"")+COUNTIF(P$4:P79,""Sell_Cursor"")-COUNTIF(P$4:P79,""""))+0.01*R79*COUNTIF(P$4:P79,""Plastic_up"")"&amp;")+R79))"),1097.68)</f>
        <v>1097.68</v>
      </c>
      <c r="T79" s="14">
        <f>IFERROR(__xludf.DUMMYFUNCTION("IF(COUNTA(P79:P147)=0,"""",IF(REGEXMATCH(P79,""_up""),VLOOKUP(P79,Upgrades!$F$3:$J$8,1+COUNTIF(P$4:P79,P79),FALSE),IF(P79="""",0,IF(REGEXMATCH(P79,""^Sell_""),-ROUNDDOWN(ROUNDUP(INDEX(Upgrades!$C$3:$C$8,MATCH(SUBSTITUTE(P79,""Sell_"",""""),Upgrades!$B$3:$"&amp;"B$8,0))*1.15^(COUNTIF(P$4:P78,SUBSTITUTE(P79,""Sell_"",""""))-COUNTIF(P$4:P78,""Sell_""&amp;SUBSTITUTE(P79,""Sell_"",""""))))/4),ROUNDUP(INDEX(Upgrades!$C$3:$C$7,MATCH(P79,Upgrades!$B$3:$B$7,0))*1.15^(COUNTIF(P$4:P78,P79)-COUNTIF(P$4:P78,""Sell_""&amp;P79)))))))"),3786.0)</f>
        <v>3786</v>
      </c>
      <c r="U79" s="14">
        <f t="shared" si="10"/>
        <v>3786</v>
      </c>
      <c r="V79" s="75">
        <f t="shared" si="11"/>
        <v>1626558.358</v>
      </c>
      <c r="W79" s="76">
        <f t="shared" si="12"/>
        <v>813.1492018</v>
      </c>
      <c r="X79" s="71" t="str">
        <f t="shared" si="13"/>
        <v>13m 33s</v>
      </c>
      <c r="Y79" s="77">
        <f t="shared" si="14"/>
        <v>265153</v>
      </c>
      <c r="Z79" s="17"/>
      <c r="AA79" s="13"/>
      <c r="AB79" s="13"/>
      <c r="AC79" s="13"/>
      <c r="AD79" s="13"/>
      <c r="AE79" s="13"/>
      <c r="AF79" s="13"/>
      <c r="AG79" s="13"/>
    </row>
    <row r="80">
      <c r="A80" s="12"/>
      <c r="B80" s="65">
        <f t="shared" si="2"/>
        <v>3</v>
      </c>
      <c r="C80" s="69" t="s">
        <v>14</v>
      </c>
      <c r="D80" s="14" t="b">
        <f>IFERROR(__xludf.DUMMYFUNCTION("IF(COUNTA(C80:C147)=0,"""",IFERROR(IF(ISBLANK(C80),FALSE,IF(ISBLANK(G80),1,IF(NOT(COUNTIF($AA$24:$AA$34,SUBSTITUTE(C80,""Sell_"",""""))),1,IF(C80=""Plastic_up"",IF(I80&lt;1000,1),IF(C80=""Super_Up"",IF(OR(COUNTIF(C$4:C80,""Grandma"")-COUNTIF(C$4:C80,""Sell_G"&amp;"randma"")&lt;1,COUNTIF(C$4:C80,VLOOKUP(C80,Upgrades!$F$8:$N$8,7+COUNTIF(C$4:C80,C80)))-COUNTIF(C$4:C80,""Sell_""&amp;VLOOKUP(C80,Upgrades!$F$8:$N$8,7+COUNTIF(C$4:C80,C80)))&lt;15),1),IF(REGEXMATCH(C80,""_up""),IF(COUNTIF(C$4:C80,SUBSTITUTE(C80,""_up"",""""))&lt;IFERRO"&amp;"R(VLOOKUP(C80,Upgrades!$L$3:$P$6,1+COUNTIF(C$4:C80,C80),0),999),1),IF(REGEXMATCH(C80,""Sell_""),IF(COUNTIF(C$4:C80,SUBSTITUTE(C80,""Sell_"",""""))-COUNTIF(C$4:C79,C80)&lt;1,1),FALSE)))))))))"),FALSE)</f>
        <v>0</v>
      </c>
      <c r="E80" s="71">
        <f>IFERROR(__xludf.DUMMYFUNCTION("IF(REGEXMATCH(C80,""^Sell_""),E79, IF(COUNTA(C80:C147)=0,"""",(COUNTIF(C$4:C80,""Cursor"")-COUNTIF(C$4:C80,""Sell_Cursor""))*(0.1*2^SWITCH(COUNTIF(C$4:C80,""Cursor_up""),0,0,1,1,2,2,3)+SWITCH(COUNTIF(C$4:C80,""Cursor_up""),4,0.1,0)*(ROW(C80)-4-COUNTIF(C$4"&amp;":C80,""Cursor"")-COUNTIF(C$4:C80,""*""&amp;""_up"")-2*COUNTIF(C$4:C80,""Sell_""&amp;""*"")+COUNTIF(C$4:C80,""Sell_Cursor"")-COUNTIF(C$4:C80,"""")))+(COUNTIF(C$4:C80,""Grandma"")-COUNTIF(C$4:C80,""Sell_Grandma""))*(1*2^(COUNTIF(C$4:C80,""Grandma_up"")+COUNTIF(C$4:"&amp;"C80,""Super_up"")))+(COUNTIF(C$4:C80,""Farm"")-COUNTIF(C$4:C80,""Sell_Farm""))*(8*2^COUNTIF(C$4:C80,""Farm_up""))*IF(COUNTIF(C$4:C80,""Super_up"")&gt;0,1+0.01*(COUNTIF(C$4:C80,""Grandma"")-COUNTIF(C$4:C80,""Sell_Grandma"")),1)+(COUNTIF(C$4:C80,""Mine"")-COUN"&amp;"TIF(C$4:C80,""Sell_Mine""))*((47*2^COUNTIF(C$4:C80,""Mine_up""))*IF(COUNTIF(C$4:C80,""Super_up"")&gt;1,1+0.005*(COUNTIF(C$4:C80,""Grandma"")-COUNTIF(C$4:C80,""Sell_Grandma"")),1))+(COUNTIF(C$4:C80,""Factory"")-COUNTIF(C$4:C80,""Sell_Factory""))*(260*2^COUNTI"&amp;"F(C$4:C80,""Factory_up""))))"),1233.68)</f>
        <v>1233.68</v>
      </c>
      <c r="F80" s="73">
        <f>IFERROR(__xludf.DUMMYFUNCTION("IF(COUNTA(C80:C147)=0,"""",IF(REGEXMATCH(INDEX(FILTER(C$4:C80,C$4:C80&lt;&gt;""""),ROWS(FILTER(C$4:C80,C$4:C80&lt;&gt;""""))),""^Sell_""),INDEX(FILTER(F$4:F79,C$4:C79&lt;&gt;""""),ROWS(FILTER(C$4:C79,C$4:C79&lt;&gt;""""))),$AC$5*(2^SWITCH(COUNTIF(C$4:C80,""Cursor_up""),0,0,1,1,2"&amp;",2,3)+SWITCH(COUNTIF(C$4:C80,""Cursor_up""),4,0.1,0)*(ROW(C80)-4-COUNTIF(C$4:C80,""Cursor"")-COUNTIF(C$4:C80,""*""&amp;""_up"")-2*COUNTIF(C$4:C80,""Sell_""&amp;""*"")+COUNTIF(C$4:C80,""Sell_Cursor"")-COUNTIF(C$4:C80,""""))+0.01*E80*COUNTIF(C$4:C80,""Plastic_up"")"&amp;")+E80))"),1313.68)</f>
        <v>1313.68</v>
      </c>
      <c r="G80" s="14">
        <f>IFERROR(__xludf.DUMMYFUNCTION("IF(COUNTA(C80:C147)=0,"""",IF(REGEXMATCH(C80,""_up""),VLOOKUP(C80,Upgrades!$F$3:$J$8,1+COUNTIF(C$4:C80,C80),FALSE),IF(C80="""",0,IF(REGEXMATCH(C80,""^Sell_""),-ROUNDDOWN(ROUNDUP(INDEX(Upgrades!$C$3:$C$8,MATCH(SUBSTITUTE(C80,""Sell_"",""""),Upgrades!$B$3:$"&amp;"B$8,0))*1.15^(COUNTIF(C$4:C79,SUBSTITUTE(C80,""Sell_"",""""))-COUNTIF(C$4:C79,""Sell_""&amp;SUBSTITUTE(C80,""Sell_"",""""))))/4),ROUNDUP(INDEX(Upgrades!$C$3:$C$7,MATCH(C80,Upgrades!$B$3:$B$7,0))*1.15^(COUNTIF(C$4:C79,C80)-COUNTIF(C$4:C79,""Sell_""&amp;C80)))))))"),50000.0)</f>
        <v>50000</v>
      </c>
      <c r="H80" s="14">
        <f t="shared" si="3"/>
        <v>50000</v>
      </c>
      <c r="I80" s="75">
        <f t="shared" si="4"/>
        <v>1782010.342</v>
      </c>
      <c r="J80" s="76">
        <f t="shared" si="5"/>
        <v>859.748054</v>
      </c>
      <c r="K80" s="71" t="str">
        <f t="shared" si="6"/>
        <v>14m 19s</v>
      </c>
      <c r="L80" s="77">
        <f t="shared" si="7"/>
        <v>315153</v>
      </c>
      <c r="M80" s="51">
        <f t="shared" si="8"/>
        <v>-1.04823</v>
      </c>
      <c r="N80" s="52">
        <f>IFERROR(__xludf.DUMMYFUNCTION("IFS(AND(COUNTA(C80:C147)=0,COUNTA(P80:P147)=0),"""",OR(AND(L80&gt;=1000000,OR(Y80&gt;=1000000,COUNTA(P80:P147)=0)),AND(Y80&gt;=1000000,COUNTA(C80:C147)=0),AND(COUNTA(P80:P147)=0,O$3=TRUE)),
ROUNDDOWN((AB$1-AC$1)*MAX(INDEX(S$4:S147,MATCH(LARGE(FILTER(Y$4:Y147,Y$4:Y"&amp;"147&lt;1000000),1),Y$4:Y147)),INDEX(F$4:F147,MATCH(LARGE(FILTER(L$4:L147,L$4:L147&lt;1000000),1),L$4:L147)))),AND(L80&lt;1000000,COUNTA(C80:C147)&gt;0,O$3=FALSE),
ROUNDDOWN(INDEX(Y$4:Y147,MATCH(LARGE(FILTER(W$4:W147,W$4:W147&lt;=J80),1),W$4:W147))+(J80-LARGE(FILTER(W$4:"&amp;"W147,W$4:W147&lt;=J80),1))*INDEX(S$4:S147,MATCH(LARGE(FILTER(W$4:W147,W$4:W147&lt;=J80),1),W$4:W147))-L80),1,
ROUNDDOWN(Y80-INDEX(L$4:L147,MATCH(LARGE(FILTER(J$4:J147,J$4:J147&lt;=W80),1),J$4:J147))-(W80-LARGE(FILTER(J$4:J147,J$4:J147&lt;=W80),1))*INDEX(F$4:F147,MATC"&amp;"H(LARGE(FILTER(J$4:J147,J$4:J147&lt;=W80),1),J$4:J147))))"),1150.0)</f>
        <v>1150</v>
      </c>
      <c r="O80" s="65">
        <f t="shared" si="9"/>
        <v>3</v>
      </c>
      <c r="P80" s="69" t="s">
        <v>14</v>
      </c>
      <c r="Q80" s="14" t="b">
        <f>IFERROR(__xludf.DUMMYFUNCTION("IF(COUNTA(P80:P147)=0,"""",IFERROR(IF(ISBLANK(P80),FALSE,IF(ISBLANK(T80),1,IF(NOT(COUNTIF($AA$24:$AA$34,SUBSTITUTE(P80,""Sell_"",""""))),1,IF(P80=""Plastic_up"",IF(V80&lt;1000,1),IF(P80=""Super_Up"",IF(OR(COUNTIF(P$4:P80,""Grandma"")-COUNTIF(P$4:P80,""Sell_G"&amp;"randma"")&lt;1,COUNTIF(P$4:P80,VLOOKUP(P80,Upgrades!$F$8:$N$8,7+COUNTIF(P$4:P80,P80)))-COUNTIF(P$4:P80,""Sell_""&amp;VLOOKUP(P80,Upgrades!$F$8:$N$8,7+COUNTIF(P$4:P80,P80)))&lt;15),1),IF(REGEXMATCH(P80,""_up""),IF(COUNTIF(P$4:P80,SUBSTITUTE(P80,""_up"",""""))&lt;IFERRO"&amp;"R(VLOOKUP(P80,Upgrades!$L$3:$P$6,1+COUNTIF(P$4:P80,P80),0),999),1),IF(REGEXMATCH(P80,""Sell_""),IF(COUNTIF(P$4:P80,SUBSTITUTE(P80,""Sell_"",""""))-COUNTIF(P$4:P79,P80)&lt;1,1),FALSE)))))))))"),FALSE)</f>
        <v>0</v>
      </c>
      <c r="R80" s="71">
        <f>IFERROR(__xludf.DUMMYFUNCTION("IF(REGEXMATCH(P80,""^Sell_""),R79, IF(COUNTA(P80:P147)=0,"""",(COUNTIF(P$4:P80,""Cursor"")-COUNTIF(P$4:P80,""Sell_Cursor""))*(0.1*2^SWITCH(COUNTIF(P$4:P80,""Cursor_up""),0,0,1,1,2,2,3)+SWITCH(COUNTIF(P$4:P80,""Cursor_up""),4,0.1,0)*(ROW(P80)-4-COUNTIF(P$4"&amp;":P80,""Cursor"")-COUNTIF(P$4:P80,""*""&amp;""_up"")-2*COUNTIF(P$4:P80,""Sell_""&amp;""*"")+COUNTIF(P$4:P80,""Sell_Cursor"")-COUNTIF(P$4:P80,"""")))+(COUNTIF(P$4:P80,""Grandma"")-COUNTIF(P$4:P80,""Sell_Grandma""))*(1*2^(COUNTIF(P$4:P80,""Grandma_up"")+COUNTIF(P$4:"&amp;"P80,""Super_up"")))+(COUNTIF(P$4:P80,""Farm"")-COUNTIF(P$4:P80,""Sell_Farm""))*(8*2^COUNTIF(P$4:P80,""Farm_up""))*IF(COUNTIF(P$4:P80,""Super_up"")&gt;0,1+0.01*(COUNTIF(P$4:P80,""Grandma"")-COUNTIF(P$4:P80,""Sell_Grandma"")),1)+(COUNTIF(P$4:P80,""Mine"")-COUN"&amp;"TIF(P$4:P80,""Sell_Mine""))*((47*2^COUNTIF(P$4:P80,""Mine_up""))*IF(COUNTIF(P$4:P80,""Super_up"")&gt;1,1+0.005*(COUNTIF(P$4:P80,""Grandma"")-COUNTIF(P$4:P80,""Sell_Grandma"")),1))+(COUNTIF(P$4:P80,""Factory"")-COUNTIF(P$4:P80,""Sell_Factory""))*(260*2^COUNTI"&amp;"F(P$4:P80,""Factory_up""))))"),1233.68)</f>
        <v>1233.68</v>
      </c>
      <c r="S80" s="73">
        <f>IFERROR(__xludf.DUMMYFUNCTION("IF(COUNTA(P80:P147)=0,"""",IF(REGEXMATCH(INDEX(FILTER(P$4:P80,P$4:P80&lt;&gt;""""),ROWS(FILTER(P$4:P80,P$4:P80&lt;&gt;""""))),""^Sell_""),INDEX(FILTER(S$4:S79,P$4:P79&lt;&gt;""""),ROWS(FILTER(P$4:P79,P$4:P79&lt;&gt;""""))),$AD$5*(2^SWITCH(COUNTIF(P$4:P80,""Cursor_up""),0,0,1,1,2"&amp;",2,3)+SWITCH(COUNTIF(P$4:P80,""Cursor_up""),4,0.1,0)*(ROW(P80)-4-COUNTIF(P$4:P80,""Cursor"")-COUNTIF(P$4:P80,""*""&amp;""_up"")-2*COUNTIF(P$4:P80,""Sell_""&amp;""*"")+COUNTIF(P$4:P80,""Sell_Cursor"")-COUNTIF(P$4:P80,""""))+0.01*R80*COUNTIF(P$4:P80,""Plastic_up"")"&amp;")+R80))"),1313.68)</f>
        <v>1313.68</v>
      </c>
      <c r="T80" s="14">
        <f>IFERROR(__xludf.DUMMYFUNCTION("IF(COUNTA(P80:P147)=0,"""",IF(REGEXMATCH(P80,""_up""),VLOOKUP(P80,Upgrades!$F$3:$J$8,1+COUNTIF(P$4:P80,P80),FALSE),IF(P80="""",0,IF(REGEXMATCH(P80,""^Sell_""),-ROUNDDOWN(ROUNDUP(INDEX(Upgrades!$C$3:$C$8,MATCH(SUBSTITUTE(P80,""Sell_"",""""),Upgrades!$B$3:$"&amp;"B$8,0))*1.15^(COUNTIF(P$4:P79,SUBSTITUTE(P80,""Sell_"",""""))-COUNTIF(P$4:P79,""Sell_""&amp;SUBSTITUTE(P80,""Sell_"",""""))))/4),ROUNDUP(INDEX(Upgrades!$C$3:$C$7,MATCH(P80,Upgrades!$B$3:$B$7,0))*1.15^(COUNTIF(P$4:P79,P80)-COUNTIF(P$4:P79,""Sell_""&amp;P80)))))))"),50000.0)</f>
        <v>50000</v>
      </c>
      <c r="U80" s="14">
        <f t="shared" si="10"/>
        <v>50000</v>
      </c>
      <c r="V80" s="75">
        <f t="shared" si="11"/>
        <v>1695254.343</v>
      </c>
      <c r="W80" s="76">
        <f t="shared" si="12"/>
        <v>858.6998177</v>
      </c>
      <c r="X80" s="71" t="str">
        <f t="shared" si="13"/>
        <v>14m 18s</v>
      </c>
      <c r="Y80" s="77">
        <f t="shared" si="14"/>
        <v>315153</v>
      </c>
      <c r="Z80" s="17"/>
      <c r="AA80" s="13"/>
      <c r="AB80" s="13"/>
      <c r="AC80" s="13"/>
      <c r="AD80" s="13"/>
      <c r="AE80" s="13"/>
      <c r="AF80" s="13"/>
      <c r="AG80" s="13"/>
    </row>
    <row r="81">
      <c r="A81" s="12"/>
      <c r="B81" s="65">
        <f t="shared" si="2"/>
        <v>28</v>
      </c>
      <c r="C81" s="69" t="s">
        <v>13</v>
      </c>
      <c r="D81" s="14" t="b">
        <f>IFERROR(__xludf.DUMMYFUNCTION("IF(COUNTA(C81:C147)=0,"""",IFERROR(IF(ISBLANK(C81),FALSE,IF(ISBLANK(G81),1,IF(NOT(COUNTIF($AA$24:$AA$34,SUBSTITUTE(C81,""Sell_"",""""))),1,IF(C81=""Plastic_up"",IF(I81&lt;1000,1),IF(C81=""Super_Up"",IF(OR(COUNTIF(C$4:C81,""Grandma"")-COUNTIF(C$4:C81,""Sell_G"&amp;"randma"")&lt;1,COUNTIF(C$4:C81,VLOOKUP(C81,Upgrades!$F$8:$N$8,7+COUNTIF(C$4:C81,C81)))-COUNTIF(C$4:C81,""Sell_""&amp;VLOOKUP(C81,Upgrades!$F$8:$N$8,7+COUNTIF(C$4:C81,C81)))&lt;15),1),IF(REGEXMATCH(C81,""_up""),IF(COUNTIF(C$4:C81,SUBSTITUTE(C81,""_up"",""""))&lt;IFERRO"&amp;"R(VLOOKUP(C81,Upgrades!$L$3:$P$6,1+COUNTIF(C$4:C81,C81),0),999),1),IF(REGEXMATCH(C81,""Sell_""),IF(COUNTIF(C$4:C81,SUBSTITUTE(C81,""Sell_"",""""))-COUNTIF(C$4:C80,C81)&lt;1,1),FALSE)))))))))"),FALSE)</f>
        <v>0</v>
      </c>
      <c r="E81" s="71">
        <f>IFERROR(__xludf.DUMMYFUNCTION("IF(REGEXMATCH(C81,""^Sell_""),E80, IF(COUNTA(C81:C147)=0,"""",(COUNTIF(C$4:C81,""Cursor"")-COUNTIF(C$4:C81,""Sell_Cursor""))*(0.1*2^SWITCH(COUNTIF(C$4:C81,""Cursor_up""),0,0,1,1,2,2,3)+SWITCH(COUNTIF(C$4:C81,""Cursor_up""),4,0.1,0)*(ROW(C81)-4-COUNTIF(C$4"&amp;":C81,""Cursor"")-COUNTIF(C$4:C81,""*""&amp;""_up"")-2*COUNTIF(C$4:C81,""Sell_""&amp;""*"")+COUNTIF(C$4:C81,""Sell_Cursor"")-COUNTIF(C$4:C81,"""")))+(COUNTIF(C$4:C81,""Grandma"")-COUNTIF(C$4:C81,""Sell_Grandma""))*(1*2^(COUNTIF(C$4:C81,""Grandma_up"")+COUNTIF(C$4:"&amp;"C81,""Super_up"")))+(COUNTIF(C$4:C81,""Farm"")-COUNTIF(C$4:C81,""Sell_Farm""))*(8*2^COUNTIF(C$4:C81,""Farm_up""))*IF(COUNTIF(C$4:C81,""Super_up"")&gt;0,1+0.01*(COUNTIF(C$4:C81,""Grandma"")-COUNTIF(C$4:C81,""Sell_Grandma"")),1)+(COUNTIF(C$4:C81,""Mine"")-COUN"&amp;"TIF(C$4:C81,""Sell_Mine""))*((47*2^COUNTIF(C$4:C81,""Mine_up""))*IF(COUNTIF(C$4:C81,""Super_up"")&gt;1,1+0.005*(COUNTIF(C$4:C81,""Grandma"")-COUNTIF(C$4:C81,""Sell_Grandma"")),1))+(COUNTIF(C$4:C81,""Factory"")-COUNTIF(C$4:C81,""Sell_Factory""))*(260*2^COUNTI"&amp;"F(C$4:C81,""Factory_up""))))"),1255.1200000000001)</f>
        <v>1255.12</v>
      </c>
      <c r="F81" s="73">
        <f>IFERROR(__xludf.DUMMYFUNCTION("IF(COUNTA(C81:C147)=0,"""",IF(REGEXMATCH(INDEX(FILTER(C$4:C81,C$4:C81&lt;&gt;""""),ROWS(FILTER(C$4:C81,C$4:C81&lt;&gt;""""))),""^Sell_""),INDEX(FILTER(F$4:F80,C$4:C80&lt;&gt;""""),ROWS(FILTER(C$4:C80,C$4:C80&lt;&gt;""""))),$AC$5*(2^SWITCH(COUNTIF(C$4:C81,""Cursor_up""),0,0,1,1,2"&amp;",2,3)+SWITCH(COUNTIF(C$4:C81,""Cursor_up""),4,0.1,0)*(ROW(C81)-4-COUNTIF(C$4:C81,""Cursor"")-COUNTIF(C$4:C81,""*""&amp;""_up"")-2*COUNTIF(C$4:C81,""Sell_""&amp;""*"")+COUNTIF(C$4:C81,""Sell_Cursor"")-COUNTIF(C$4:C81,""""))+0.01*E81*COUNTIF(C$4:C81,""Plastic_up"")"&amp;")+E81))"),1335.1200000000001)</f>
        <v>1335.12</v>
      </c>
      <c r="G81" s="14">
        <f>IFERROR(__xludf.DUMMYFUNCTION("IF(COUNTA(C81:C147)=0,"""",IF(REGEXMATCH(C81,""_up""),VLOOKUP(C81,Upgrades!$F$3:$J$8,1+COUNTIF(C$4:C81,C81),FALSE),IF(C81="""",0,IF(REGEXMATCH(C81,""^Sell_""),-ROUNDDOWN(ROUNDUP(INDEX(Upgrades!$C$3:$C$8,MATCH(SUBSTITUTE(C81,""Sell_"",""""),Upgrades!$B$3:$"&amp;"B$8,0))*1.15^(COUNTIF(C$4:C80,SUBSTITUTE(C81,""Sell_"",""""))-COUNTIF(C$4:C80,""Sell_""&amp;SUBSTITUTE(C81,""Sell_"",""""))))/4),ROUNDUP(INDEX(Upgrades!$C$3:$C$7,MATCH(C81,Upgrades!$B$3:$B$7,0))*1.15^(COUNTIF(C$4:C80,C81)-COUNTIF(C$4:C80,""Sell_""&amp;C81)))))))"),4354.0)</f>
        <v>4354</v>
      </c>
      <c r="H81" s="14">
        <f t="shared" si="3"/>
        <v>4354</v>
      </c>
      <c r="I81" s="75">
        <f t="shared" si="4"/>
        <v>1851055.335</v>
      </c>
      <c r="J81" s="76">
        <f t="shared" si="5"/>
        <v>863.0624076</v>
      </c>
      <c r="K81" s="71" t="str">
        <f t="shared" si="6"/>
        <v>14m 23s</v>
      </c>
      <c r="L81" s="77">
        <f t="shared" si="7"/>
        <v>319507</v>
      </c>
      <c r="M81" s="51">
        <f t="shared" si="8"/>
        <v>-1.04823</v>
      </c>
      <c r="N81" s="52">
        <f>IFERROR(__xludf.DUMMYFUNCTION("IFS(AND(COUNTA(C81:C147)=0,COUNTA(P81:P147)=0),"""",OR(AND(L81&gt;=1000000,OR(Y81&gt;=1000000,COUNTA(P81:P147)=0)),AND(Y81&gt;=1000000,COUNTA(C81:C147)=0),AND(COUNTA(P81:P147)=0,O$3=TRUE)),
ROUNDDOWN((AB$1-AC$1)*MAX(INDEX(S$4:S147,MATCH(LARGE(FILTER(Y$4:Y147,Y$4:Y"&amp;"147&lt;1000000),1),Y$4:Y147)),INDEX(F$4:F147,MATCH(LARGE(FILTER(L$4:L147,L$4:L147&lt;1000000),1),L$4:L147)))),AND(L81&lt;1000000,COUNTA(C81:C147)&gt;0,O$3=FALSE),
ROUNDDOWN(INDEX(Y$4:Y147,MATCH(LARGE(FILTER(W$4:W147,W$4:W147&lt;=J81),1),W$4:W147))+(J81-LARGE(FILTER(W$4:"&amp;"W147,W$4:W147&lt;=J81),1))*INDEX(S$4:S147,MATCH(LARGE(FILTER(W$4:W147,W$4:W147&lt;=J81),1),W$4:W147))-L81),1,
ROUNDDOWN(Y81-INDEX(L$4:L147,MATCH(LARGE(FILTER(J$4:J147,J$4:J147&lt;=W81),1),J$4:J147))-(W81-LARGE(FILTER(J$4:J147,J$4:J147&lt;=W81),1))*INDEX(F$4:F147,MATC"&amp;"H(LARGE(FILTER(J$4:J147,J$4:J147&lt;=W81),1),J$4:J147))))"),1377.0)</f>
        <v>1377</v>
      </c>
      <c r="O81" s="65">
        <f t="shared" si="9"/>
        <v>28</v>
      </c>
      <c r="P81" s="69" t="s">
        <v>13</v>
      </c>
      <c r="Q81" s="14" t="b">
        <f>IFERROR(__xludf.DUMMYFUNCTION("IF(COUNTA(P81:P147)=0,"""",IFERROR(IF(ISBLANK(P81),FALSE,IF(ISBLANK(T81),1,IF(NOT(COUNTIF($AA$24:$AA$34,SUBSTITUTE(P81,""Sell_"",""""))),1,IF(P81=""Plastic_up"",IF(V81&lt;1000,1),IF(P81=""Super_Up"",IF(OR(COUNTIF(P$4:P81,""Grandma"")-COUNTIF(P$4:P81,""Sell_G"&amp;"randma"")&lt;1,COUNTIF(P$4:P81,VLOOKUP(P81,Upgrades!$F$8:$N$8,7+COUNTIF(P$4:P81,P81)))-COUNTIF(P$4:P81,""Sell_""&amp;VLOOKUP(P81,Upgrades!$F$8:$N$8,7+COUNTIF(P$4:P81,P81)))&lt;15),1),IF(REGEXMATCH(P81,""_up""),IF(COUNTIF(P$4:P81,SUBSTITUTE(P81,""_up"",""""))&lt;IFERRO"&amp;"R(VLOOKUP(P81,Upgrades!$L$3:$P$6,1+COUNTIF(P$4:P81,P81),0),999),1),IF(REGEXMATCH(P81,""Sell_""),IF(COUNTIF(P$4:P81,SUBSTITUTE(P81,""Sell_"",""""))-COUNTIF(P$4:P80,P81)&lt;1,1),FALSE)))))))))"),FALSE)</f>
        <v>0</v>
      </c>
      <c r="R81" s="71">
        <f>IFERROR(__xludf.DUMMYFUNCTION("IF(REGEXMATCH(P81,""^Sell_""),R80, IF(COUNTA(P81:P147)=0,"""",(COUNTIF(P$4:P81,""Cursor"")-COUNTIF(P$4:P81,""Sell_Cursor""))*(0.1*2^SWITCH(COUNTIF(P$4:P81,""Cursor_up""),0,0,1,1,2,2,3)+SWITCH(COUNTIF(P$4:P81,""Cursor_up""),4,0.1,0)*(ROW(P81)-4-COUNTIF(P$4"&amp;":P81,""Cursor"")-COUNTIF(P$4:P81,""*""&amp;""_up"")-2*COUNTIF(P$4:P81,""Sell_""&amp;""*"")+COUNTIF(P$4:P81,""Sell_Cursor"")-COUNTIF(P$4:P81,"""")))+(COUNTIF(P$4:P81,""Grandma"")-COUNTIF(P$4:P81,""Sell_Grandma""))*(1*2^(COUNTIF(P$4:P81,""Grandma_up"")+COUNTIF(P$4:"&amp;"P81,""Super_up"")))+(COUNTIF(P$4:P81,""Farm"")-COUNTIF(P$4:P81,""Sell_Farm""))*(8*2^COUNTIF(P$4:P81,""Farm_up""))*IF(COUNTIF(P$4:P81,""Super_up"")&gt;0,1+0.01*(COUNTIF(P$4:P81,""Grandma"")-COUNTIF(P$4:P81,""Sell_Grandma"")),1)+(COUNTIF(P$4:P81,""Mine"")-COUN"&amp;"TIF(P$4:P81,""Sell_Mine""))*((47*2^COUNTIF(P$4:P81,""Mine_up""))*IF(COUNTIF(P$4:P81,""Super_up"")&gt;1,1+0.005*(COUNTIF(P$4:P81,""Grandma"")-COUNTIF(P$4:P81,""Sell_Grandma"")),1))+(COUNTIF(P$4:P81,""Factory"")-COUNTIF(P$4:P81,""Sell_Factory""))*(260*2^COUNTI"&amp;"F(P$4:P81,""Factory_up""))))"),1255.1200000000001)</f>
        <v>1255.12</v>
      </c>
      <c r="S81" s="73">
        <f>IFERROR(__xludf.DUMMYFUNCTION("IF(COUNTA(P81:P147)=0,"""",IF(REGEXMATCH(INDEX(FILTER(P$4:P81,P$4:P81&lt;&gt;""""),ROWS(FILTER(P$4:P81,P$4:P81&lt;&gt;""""))),""^Sell_""),INDEX(FILTER(S$4:S80,P$4:P80&lt;&gt;""""),ROWS(FILTER(P$4:P80,P$4:P80&lt;&gt;""""))),$AD$5*(2^SWITCH(COUNTIF(P$4:P81,""Cursor_up""),0,0,1,1,2"&amp;",2,3)+SWITCH(COUNTIF(P$4:P81,""Cursor_up""),4,0.1,0)*(ROW(P81)-4-COUNTIF(P$4:P81,""Cursor"")-COUNTIF(P$4:P81,""*""&amp;""_up"")-2*COUNTIF(P$4:P81,""Sell_""&amp;""*"")+COUNTIF(P$4:P81,""Sell_Cursor"")-COUNTIF(P$4:P81,""""))+0.01*R81*COUNTIF(P$4:P81,""Plastic_up"")"&amp;")+R81))"),1335.1200000000001)</f>
        <v>1335.12</v>
      </c>
      <c r="T81" s="14">
        <f>IFERROR(__xludf.DUMMYFUNCTION("IF(COUNTA(P81:P147)=0,"""",IF(REGEXMATCH(P81,""_up""),VLOOKUP(P81,Upgrades!$F$3:$J$8,1+COUNTIF(P$4:P81,P81),FALSE),IF(P81="""",0,IF(REGEXMATCH(P81,""^Sell_""),-ROUNDDOWN(ROUNDUP(INDEX(Upgrades!$C$3:$C$8,MATCH(SUBSTITUTE(P81,""Sell_"",""""),Upgrades!$B$3:$"&amp;"B$8,0))*1.15^(COUNTIF(P$4:P80,SUBSTITUTE(P81,""Sell_"",""""))-COUNTIF(P$4:P80,""Sell_""&amp;SUBSTITUTE(P81,""Sell_"",""""))))/4),ROUNDUP(INDEX(Upgrades!$C$3:$C$7,MATCH(P81,Upgrades!$B$3:$B$7,0))*1.15^(COUNTIF(P$4:P80,P81)-COUNTIF(P$4:P80,""Sell_""&amp;P81)))))))"),4354.0)</f>
        <v>4354</v>
      </c>
      <c r="U81" s="14">
        <f t="shared" si="10"/>
        <v>4354</v>
      </c>
      <c r="V81" s="75">
        <f t="shared" si="11"/>
        <v>1764215.477</v>
      </c>
      <c r="W81" s="76">
        <f t="shared" si="12"/>
        <v>862.0141713</v>
      </c>
      <c r="X81" s="71" t="str">
        <f t="shared" si="13"/>
        <v>14m 22s</v>
      </c>
      <c r="Y81" s="77">
        <f t="shared" si="14"/>
        <v>319507</v>
      </c>
      <c r="Z81" s="17"/>
      <c r="AA81" s="13"/>
      <c r="AB81" s="13"/>
      <c r="AC81" s="13"/>
      <c r="AD81" s="13"/>
      <c r="AE81" s="13"/>
      <c r="AF81" s="13"/>
      <c r="AG81" s="13"/>
    </row>
    <row r="82">
      <c r="A82" s="12"/>
      <c r="B82" s="65">
        <f t="shared" si="2"/>
        <v>29</v>
      </c>
      <c r="C82" s="69" t="s">
        <v>13</v>
      </c>
      <c r="D82" s="14" t="b">
        <f>IFERROR(__xludf.DUMMYFUNCTION("IF(COUNTA(C82:C147)=0,"""",IFERROR(IF(ISBLANK(C82),FALSE,IF(ISBLANK(G82),1,IF(NOT(COUNTIF($AA$24:$AA$34,SUBSTITUTE(C82,""Sell_"",""""))),1,IF(C82=""Plastic_up"",IF(I82&lt;1000,1),IF(C82=""Super_Up"",IF(OR(COUNTIF(C$4:C82,""Grandma"")-COUNTIF(C$4:C82,""Sell_G"&amp;"randma"")&lt;1,COUNTIF(C$4:C82,VLOOKUP(C82,Upgrades!$F$8:$N$8,7+COUNTIF(C$4:C82,C82)))-COUNTIF(C$4:C82,""Sell_""&amp;VLOOKUP(C82,Upgrades!$F$8:$N$8,7+COUNTIF(C$4:C82,C82)))&lt;15),1),IF(REGEXMATCH(C82,""_up""),IF(COUNTIF(C$4:C82,SUBSTITUTE(C82,""_up"",""""))&lt;IFERRO"&amp;"R(VLOOKUP(C82,Upgrades!$L$3:$P$6,1+COUNTIF(C$4:C82,C82),0),999),1),IF(REGEXMATCH(C82,""Sell_""),IF(COUNTIF(C$4:C82,SUBSTITUTE(C82,""Sell_"",""""))-COUNTIF(C$4:C81,C82)&lt;1,1),FALSE)))))))))"),FALSE)</f>
        <v>0</v>
      </c>
      <c r="E82" s="71">
        <f>IFERROR(__xludf.DUMMYFUNCTION("IF(REGEXMATCH(C82,""^Sell_""),E81, IF(COUNTA(C82:C147)=0,"""",(COUNTIF(C$4:C82,""Cursor"")-COUNTIF(C$4:C82,""Sell_Cursor""))*(0.1*2^SWITCH(COUNTIF(C$4:C82,""Cursor_up""),0,0,1,1,2,2,3)+SWITCH(COUNTIF(C$4:C82,""Cursor_up""),4,0.1,0)*(ROW(C82)-4-COUNTIF(C$4"&amp;":C82,""Cursor"")-COUNTIF(C$4:C82,""*""&amp;""_up"")-2*COUNTIF(C$4:C82,""Sell_""&amp;""*"")+COUNTIF(C$4:C82,""Sell_Cursor"")-COUNTIF(C$4:C82,"""")))+(COUNTIF(C$4:C82,""Grandma"")-COUNTIF(C$4:C82,""Sell_Grandma""))*(1*2^(COUNTIF(C$4:C82,""Grandma_up"")+COUNTIF(C$4:"&amp;"C82,""Super_up"")))+(COUNTIF(C$4:C82,""Farm"")-COUNTIF(C$4:C82,""Sell_Farm""))*(8*2^COUNTIF(C$4:C82,""Farm_up""))*IF(COUNTIF(C$4:C82,""Super_up"")&gt;0,1+0.01*(COUNTIF(C$4:C82,""Grandma"")-COUNTIF(C$4:C82,""Sell_Grandma"")),1)+(COUNTIF(C$4:C82,""Mine"")-COUN"&amp;"TIF(C$4:C82,""Sell_Mine""))*((47*2^COUNTIF(C$4:C82,""Mine_up""))*IF(COUNTIF(C$4:C82,""Super_up"")&gt;1,1+0.005*(COUNTIF(C$4:C82,""Grandma"")-COUNTIF(C$4:C82,""Sell_Grandma"")),1))+(COUNTIF(C$4:C82,""Factory"")-COUNTIF(C$4:C82,""Sell_Factory""))*(260*2^COUNTI"&amp;"F(C$4:C82,""Factory_up""))))"),1276.56)</f>
        <v>1276.56</v>
      </c>
      <c r="F82" s="73">
        <f>IFERROR(__xludf.DUMMYFUNCTION("IF(COUNTA(C82:C147)=0,"""",IF(REGEXMATCH(INDEX(FILTER(C$4:C82,C$4:C82&lt;&gt;""""),ROWS(FILTER(C$4:C82,C$4:C82&lt;&gt;""""))),""^Sell_""),INDEX(FILTER(F$4:F81,C$4:C81&lt;&gt;""""),ROWS(FILTER(C$4:C81,C$4:C81&lt;&gt;""""))),$AC$5*(2^SWITCH(COUNTIF(C$4:C82,""Cursor_up""),0,0,1,1,2"&amp;",2,3)+SWITCH(COUNTIF(C$4:C82,""Cursor_up""),4,0.1,0)*(ROW(C82)-4-COUNTIF(C$4:C82,""Cursor"")-COUNTIF(C$4:C82,""*""&amp;""_up"")-2*COUNTIF(C$4:C82,""Sell_""&amp;""*"")+COUNTIF(C$4:C82,""Sell_Cursor"")-COUNTIF(C$4:C82,""""))+0.01*E82*COUNTIF(C$4:C82,""Plastic_up"")"&amp;")+E82))"),1356.56)</f>
        <v>1356.56</v>
      </c>
      <c r="G82" s="14">
        <f>IFERROR(__xludf.DUMMYFUNCTION("IF(COUNTA(C82:C147)=0,"""",IF(REGEXMATCH(C82,""_up""),VLOOKUP(C82,Upgrades!$F$3:$J$8,1+COUNTIF(C$4:C82,C82),FALSE),IF(C82="""",0,IF(REGEXMATCH(C82,""^Sell_""),-ROUNDDOWN(ROUNDUP(INDEX(Upgrades!$C$3:$C$8,MATCH(SUBSTITUTE(C82,""Sell_"",""""),Upgrades!$B$3:$"&amp;"B$8,0))*1.15^(COUNTIF(C$4:C81,SUBSTITUTE(C82,""Sell_"",""""))-COUNTIF(C$4:C81,""Sell_""&amp;SUBSTITUTE(C82,""Sell_"",""""))))/4),ROUNDUP(INDEX(Upgrades!$C$3:$C$7,MATCH(C82,Upgrades!$B$3:$B$7,0))*1.15^(COUNTIF(C$4:C81,C82)-COUNTIF(C$4:C81,""Sell_""&amp;C82)))))))"),5007.0)</f>
        <v>5007</v>
      </c>
      <c r="H82" s="14">
        <f t="shared" si="3"/>
        <v>5007</v>
      </c>
      <c r="I82" s="75">
        <f t="shared" si="4"/>
        <v>1920400.345</v>
      </c>
      <c r="J82" s="76">
        <f t="shared" si="5"/>
        <v>866.8126323</v>
      </c>
      <c r="K82" s="71" t="str">
        <f t="shared" si="6"/>
        <v>14m 26s</v>
      </c>
      <c r="L82" s="77">
        <f t="shared" si="7"/>
        <v>324514</v>
      </c>
      <c r="M82" s="51">
        <f t="shared" si="8"/>
        <v>-1.04823</v>
      </c>
      <c r="N82" s="52">
        <f>IFERROR(__xludf.DUMMYFUNCTION("IFS(AND(COUNTA(C82:C147)=0,COUNTA(P82:P147)=0),"""",OR(AND(L82&gt;=1000000,OR(Y82&gt;=1000000,COUNTA(P82:P147)=0)),AND(Y82&gt;=1000000,COUNTA(C82:C147)=0),AND(COUNTA(P82:P147)=0,O$3=TRUE)),
ROUNDDOWN((AB$1-AC$1)*MAX(INDEX(S$4:S147,MATCH(LARGE(FILTER(Y$4:Y147,Y$4:Y"&amp;"147&lt;1000000),1),Y$4:Y147)),INDEX(F$4:F147,MATCH(LARGE(FILTER(L$4:L147,L$4:L147&lt;1000000),1),L$4:L147)))),AND(L82&lt;1000000,COUNTA(C82:C147)&gt;0,O$3=FALSE),
ROUNDDOWN(INDEX(Y$4:Y147,MATCH(LARGE(FILTER(W$4:W147,W$4:W147&lt;=J82),1),W$4:W147))+(J82-LARGE(FILTER(W$4:"&amp;"W147,W$4:W147&lt;=J82),1))*INDEX(S$4:S147,MATCH(LARGE(FILTER(W$4:W147,W$4:W147&lt;=J82),1),W$4:W147))-L82),1,
ROUNDDOWN(Y82-INDEX(L$4:L147,MATCH(LARGE(FILTER(J$4:J147,J$4:J147&lt;=W82),1),J$4:J147))-(W82-LARGE(FILTER(J$4:J147,J$4:J147&lt;=W82),1))*INDEX(F$4:F147,MATC"&amp;"H(LARGE(FILTER(J$4:J147,J$4:J147&lt;=W82),1),J$4:J147))))"),1399.0)</f>
        <v>1399</v>
      </c>
      <c r="O82" s="65">
        <f t="shared" si="9"/>
        <v>29</v>
      </c>
      <c r="P82" s="69" t="s">
        <v>13</v>
      </c>
      <c r="Q82" s="14" t="b">
        <f>IFERROR(__xludf.DUMMYFUNCTION("IF(COUNTA(P82:P147)=0,"""",IFERROR(IF(ISBLANK(P82),FALSE,IF(ISBLANK(T82),1,IF(NOT(COUNTIF($AA$24:$AA$34,SUBSTITUTE(P82,""Sell_"",""""))),1,IF(P82=""Plastic_up"",IF(V82&lt;1000,1),IF(P82=""Super_Up"",IF(OR(COUNTIF(P$4:P82,""Grandma"")-COUNTIF(P$4:P82,""Sell_G"&amp;"randma"")&lt;1,COUNTIF(P$4:P82,VLOOKUP(P82,Upgrades!$F$8:$N$8,7+COUNTIF(P$4:P82,P82)))-COUNTIF(P$4:P82,""Sell_""&amp;VLOOKUP(P82,Upgrades!$F$8:$N$8,7+COUNTIF(P$4:P82,P82)))&lt;15),1),IF(REGEXMATCH(P82,""_up""),IF(COUNTIF(P$4:P82,SUBSTITUTE(P82,""_up"",""""))&lt;IFERRO"&amp;"R(VLOOKUP(P82,Upgrades!$L$3:$P$6,1+COUNTIF(P$4:P82,P82),0),999),1),IF(REGEXMATCH(P82,""Sell_""),IF(COUNTIF(P$4:P82,SUBSTITUTE(P82,""Sell_"",""""))-COUNTIF(P$4:P81,P82)&lt;1,1),FALSE)))))))))"),FALSE)</f>
        <v>0</v>
      </c>
      <c r="R82" s="71">
        <f>IFERROR(__xludf.DUMMYFUNCTION("IF(REGEXMATCH(P82,""^Sell_""),R81, IF(COUNTA(P82:P147)=0,"""",(COUNTIF(P$4:P82,""Cursor"")-COUNTIF(P$4:P82,""Sell_Cursor""))*(0.1*2^SWITCH(COUNTIF(P$4:P82,""Cursor_up""),0,0,1,1,2,2,3)+SWITCH(COUNTIF(P$4:P82,""Cursor_up""),4,0.1,0)*(ROW(P82)-4-COUNTIF(P$4"&amp;":P82,""Cursor"")-COUNTIF(P$4:P82,""*""&amp;""_up"")-2*COUNTIF(P$4:P82,""Sell_""&amp;""*"")+COUNTIF(P$4:P82,""Sell_Cursor"")-COUNTIF(P$4:P82,"""")))+(COUNTIF(P$4:P82,""Grandma"")-COUNTIF(P$4:P82,""Sell_Grandma""))*(1*2^(COUNTIF(P$4:P82,""Grandma_up"")+COUNTIF(P$4:"&amp;"P82,""Super_up"")))+(COUNTIF(P$4:P82,""Farm"")-COUNTIF(P$4:P82,""Sell_Farm""))*(8*2^COUNTIF(P$4:P82,""Farm_up""))*IF(COUNTIF(P$4:P82,""Super_up"")&gt;0,1+0.01*(COUNTIF(P$4:P82,""Grandma"")-COUNTIF(P$4:P82,""Sell_Grandma"")),1)+(COUNTIF(P$4:P82,""Mine"")-COUN"&amp;"TIF(P$4:P82,""Sell_Mine""))*((47*2^COUNTIF(P$4:P82,""Mine_up""))*IF(COUNTIF(P$4:P82,""Super_up"")&gt;1,1+0.005*(COUNTIF(P$4:P82,""Grandma"")-COUNTIF(P$4:P82,""Sell_Grandma"")),1))+(COUNTIF(P$4:P82,""Factory"")-COUNTIF(P$4:P82,""Sell_Factory""))*(260*2^COUNTI"&amp;"F(P$4:P82,""Factory_up""))))"),1276.56)</f>
        <v>1276.56</v>
      </c>
      <c r="S82" s="73">
        <f>IFERROR(__xludf.DUMMYFUNCTION("IF(COUNTA(P82:P147)=0,"""",IF(REGEXMATCH(INDEX(FILTER(P$4:P82,P$4:P82&lt;&gt;""""),ROWS(FILTER(P$4:P82,P$4:P82&lt;&gt;""""))),""^Sell_""),INDEX(FILTER(S$4:S81,P$4:P81&lt;&gt;""""),ROWS(FILTER(P$4:P81,P$4:P81&lt;&gt;""""))),$AD$5*(2^SWITCH(COUNTIF(P$4:P82,""Cursor_up""),0,0,1,1,2"&amp;",2,3)+SWITCH(COUNTIF(P$4:P82,""Cursor_up""),4,0.1,0)*(ROW(P82)-4-COUNTIF(P$4:P82,""Cursor"")-COUNTIF(P$4:P82,""*""&amp;""_up"")-2*COUNTIF(P$4:P82,""Sell_""&amp;""*"")+COUNTIF(P$4:P82,""Sell_Cursor"")-COUNTIF(P$4:P82,""""))+0.01*R82*COUNTIF(P$4:P82,""Plastic_up"")"&amp;")+R82))"),1356.56)</f>
        <v>1356.56</v>
      </c>
      <c r="T82" s="14">
        <f>IFERROR(__xludf.DUMMYFUNCTION("IF(COUNTA(P82:P147)=0,"""",IF(REGEXMATCH(P82,""_up""),VLOOKUP(P82,Upgrades!$F$3:$J$8,1+COUNTIF(P$4:P82,P82),FALSE),IF(P82="""",0,IF(REGEXMATCH(P82,""^Sell_""),-ROUNDDOWN(ROUNDUP(INDEX(Upgrades!$C$3:$C$8,MATCH(SUBSTITUTE(P82,""Sell_"",""""),Upgrades!$B$3:$"&amp;"B$8,0))*1.15^(COUNTIF(P$4:P81,SUBSTITUTE(P82,""Sell_"",""""))-COUNTIF(P$4:P81,""Sell_""&amp;SUBSTITUTE(P82,""Sell_"",""""))))/4),ROUNDUP(INDEX(Upgrades!$C$3:$C$7,MATCH(P82,Upgrades!$B$3:$B$7,0))*1.15^(COUNTIF(P$4:P81,P82)-COUNTIF(P$4:P81,""Sell_""&amp;P82)))))))"),5007.0)</f>
        <v>5007</v>
      </c>
      <c r="U82" s="14">
        <f t="shared" si="10"/>
        <v>5007</v>
      </c>
      <c r="V82" s="75">
        <f t="shared" si="11"/>
        <v>1833476.629</v>
      </c>
      <c r="W82" s="76">
        <f t="shared" si="12"/>
        <v>865.764396</v>
      </c>
      <c r="X82" s="71" t="str">
        <f t="shared" si="13"/>
        <v>14m 25s</v>
      </c>
      <c r="Y82" s="77">
        <f t="shared" si="14"/>
        <v>324514</v>
      </c>
      <c r="Z82" s="17"/>
      <c r="AA82" s="13"/>
      <c r="AB82" s="13"/>
      <c r="AC82" s="13"/>
      <c r="AD82" s="13"/>
      <c r="AE82" s="13"/>
      <c r="AF82" s="13"/>
      <c r="AG82" s="13"/>
    </row>
    <row r="83">
      <c r="A83" s="12"/>
      <c r="B83" s="65">
        <f t="shared" si="2"/>
        <v>30</v>
      </c>
      <c r="C83" s="69" t="s">
        <v>13</v>
      </c>
      <c r="D83" s="14" t="b">
        <f>IFERROR(__xludf.DUMMYFUNCTION("IF(COUNTA(C83:C147)=0,"""",IFERROR(IF(ISBLANK(C83),FALSE,IF(ISBLANK(G83),1,IF(NOT(COUNTIF($AA$24:$AA$34,SUBSTITUTE(C83,""Sell_"",""""))),1,IF(C83=""Plastic_up"",IF(I83&lt;1000,1),IF(C83=""Super_Up"",IF(OR(COUNTIF(C$4:C83,""Grandma"")-COUNTIF(C$4:C83,""Sell_G"&amp;"randma"")&lt;1,COUNTIF(C$4:C83,VLOOKUP(C83,Upgrades!$F$8:$N$8,7+COUNTIF(C$4:C83,C83)))-COUNTIF(C$4:C83,""Sell_""&amp;VLOOKUP(C83,Upgrades!$F$8:$N$8,7+COUNTIF(C$4:C83,C83)))&lt;15),1),IF(REGEXMATCH(C83,""_up""),IF(COUNTIF(C$4:C83,SUBSTITUTE(C83,""_up"",""""))&lt;IFERRO"&amp;"R(VLOOKUP(C83,Upgrades!$L$3:$P$6,1+COUNTIF(C$4:C83,C83),0),999),1),IF(REGEXMATCH(C83,""Sell_""),IF(COUNTIF(C$4:C83,SUBSTITUTE(C83,""Sell_"",""""))-COUNTIF(C$4:C82,C83)&lt;1,1),FALSE)))))))))"),FALSE)</f>
        <v>0</v>
      </c>
      <c r="E83" s="71">
        <f>IFERROR(__xludf.DUMMYFUNCTION("IF(REGEXMATCH(C83,""^Sell_""),E82, IF(COUNTA(C83:C147)=0,"""",(COUNTIF(C$4:C83,""Cursor"")-COUNTIF(C$4:C83,""Sell_Cursor""))*(0.1*2^SWITCH(COUNTIF(C$4:C83,""Cursor_up""),0,0,1,1,2,2,3)+SWITCH(COUNTIF(C$4:C83,""Cursor_up""),4,0.1,0)*(ROW(C83)-4-COUNTIF(C$4"&amp;":C83,""Cursor"")-COUNTIF(C$4:C83,""*""&amp;""_up"")-2*COUNTIF(C$4:C83,""Sell_""&amp;""*"")+COUNTIF(C$4:C83,""Sell_Cursor"")-COUNTIF(C$4:C83,"""")))+(COUNTIF(C$4:C83,""Grandma"")-COUNTIF(C$4:C83,""Sell_Grandma""))*(1*2^(COUNTIF(C$4:C83,""Grandma_up"")+COUNTIF(C$4:"&amp;"C83,""Super_up"")))+(COUNTIF(C$4:C83,""Farm"")-COUNTIF(C$4:C83,""Sell_Farm""))*(8*2^COUNTIF(C$4:C83,""Farm_up""))*IF(COUNTIF(C$4:C83,""Super_up"")&gt;0,1+0.01*(COUNTIF(C$4:C83,""Grandma"")-COUNTIF(C$4:C83,""Sell_Grandma"")),1)+(COUNTIF(C$4:C83,""Mine"")-COUN"&amp;"TIF(C$4:C83,""Sell_Mine""))*((47*2^COUNTIF(C$4:C83,""Mine_up""))*IF(COUNTIF(C$4:C83,""Super_up"")&gt;1,1+0.005*(COUNTIF(C$4:C83,""Grandma"")-COUNTIF(C$4:C83,""Sell_Grandma"")),1))+(COUNTIF(C$4:C83,""Factory"")-COUNTIF(C$4:C83,""Sell_Factory""))*(260*2^COUNTI"&amp;"F(C$4:C83,""Factory_up""))))"),1298.0)</f>
        <v>1298</v>
      </c>
      <c r="F83" s="73">
        <f>IFERROR(__xludf.DUMMYFUNCTION("IF(COUNTA(C83:C147)=0,"""",IF(REGEXMATCH(INDEX(FILTER(C$4:C83,C$4:C83&lt;&gt;""""),ROWS(FILTER(C$4:C83,C$4:C83&lt;&gt;""""))),""^Sell_""),INDEX(FILTER(F$4:F82,C$4:C82&lt;&gt;""""),ROWS(FILTER(C$4:C82,C$4:C82&lt;&gt;""""))),$AC$5*(2^SWITCH(COUNTIF(C$4:C83,""Cursor_up""),0,0,1,1,2"&amp;",2,3)+SWITCH(COUNTIF(C$4:C83,""Cursor_up""),4,0.1,0)*(ROW(C83)-4-COUNTIF(C$4:C83,""Cursor"")-COUNTIF(C$4:C83,""*""&amp;""_up"")-2*COUNTIF(C$4:C83,""Sell_""&amp;""*"")+COUNTIF(C$4:C83,""Sell_Cursor"")-COUNTIF(C$4:C83,""""))+0.01*E83*COUNTIF(C$4:C83,""Plastic_up"")"&amp;")+E83))"),1378.0)</f>
        <v>1378</v>
      </c>
      <c r="G83" s="14">
        <f>IFERROR(__xludf.DUMMYFUNCTION("IF(COUNTA(C83:C147)=0,"""",IF(REGEXMATCH(C83,""_up""),VLOOKUP(C83,Upgrades!$F$3:$J$8,1+COUNTIF(C$4:C83,C83),FALSE),IF(C83="""",0,IF(REGEXMATCH(C83,""^Sell_""),-ROUNDDOWN(ROUNDUP(INDEX(Upgrades!$C$3:$C$8,MATCH(SUBSTITUTE(C83,""Sell_"",""""),Upgrades!$B$3:$"&amp;"B$8,0))*1.15^(COUNTIF(C$4:C82,SUBSTITUTE(C83,""Sell_"",""""))-COUNTIF(C$4:C82,""Sell_""&amp;SUBSTITUTE(C83,""Sell_"",""""))))/4),ROUNDUP(INDEX(Upgrades!$C$3:$C$7,MATCH(C83,Upgrades!$B$3:$B$7,0))*1.15^(COUNTIF(C$4:C82,C83)-COUNTIF(C$4:C82,""Sell_""&amp;C83)))))))"),5758.0)</f>
        <v>5758</v>
      </c>
      <c r="H83" s="14">
        <f t="shared" si="3"/>
        <v>5758</v>
      </c>
      <c r="I83" s="75">
        <f t="shared" si="4"/>
        <v>1990084.921</v>
      </c>
      <c r="J83" s="76">
        <f t="shared" si="5"/>
        <v>871.0571921</v>
      </c>
      <c r="K83" s="71" t="str">
        <f t="shared" si="6"/>
        <v>14m 31s</v>
      </c>
      <c r="L83" s="77">
        <f t="shared" si="7"/>
        <v>330272</v>
      </c>
      <c r="M83" s="51">
        <f t="shared" si="8"/>
        <v>-1.04823</v>
      </c>
      <c r="N83" s="52">
        <f>IFERROR(__xludf.DUMMYFUNCTION("IFS(AND(COUNTA(C83:C147)=0,COUNTA(P83:P147)=0),"""",OR(AND(L83&gt;=1000000,OR(Y83&gt;=1000000,COUNTA(P83:P147)=0)),AND(Y83&gt;=1000000,COUNTA(C83:C147)=0),AND(COUNTA(P83:P147)=0,O$3=TRUE)),
ROUNDDOWN((AB$1-AC$1)*MAX(INDEX(S$4:S147,MATCH(LARGE(FILTER(Y$4:Y147,Y$4:Y"&amp;"147&lt;1000000),1),Y$4:Y147)),INDEX(F$4:F147,MATCH(LARGE(FILTER(L$4:L147,L$4:L147&lt;1000000),1),L$4:L147)))),AND(L83&lt;1000000,COUNTA(C83:C147)&gt;0,O$3=FALSE),
ROUNDDOWN(INDEX(Y$4:Y147,MATCH(LARGE(FILTER(W$4:W147,W$4:W147&lt;=J83),1),W$4:W147))+(J83-LARGE(FILTER(W$4:"&amp;"W147,W$4:W147&lt;=J83),1))*INDEX(S$4:S147,MATCH(LARGE(FILTER(W$4:W147,W$4:W147&lt;=J83),1),W$4:W147))-L83),1,
ROUNDDOWN(Y83-INDEX(L$4:L147,MATCH(LARGE(FILTER(J$4:J147,J$4:J147&lt;=W83),1),J$4:J147))-(W83-LARGE(FILTER(J$4:J147,J$4:J147&lt;=W83),1))*INDEX(F$4:F147,MATC"&amp;"H(LARGE(FILTER(J$4:J147,J$4:J147&lt;=W83),1),J$4:J147))))"),1421.0)</f>
        <v>1421</v>
      </c>
      <c r="O83" s="65">
        <f t="shared" si="9"/>
        <v>30</v>
      </c>
      <c r="P83" s="69" t="s">
        <v>13</v>
      </c>
      <c r="Q83" s="14" t="b">
        <f>IFERROR(__xludf.DUMMYFUNCTION("IF(COUNTA(P83:P147)=0,"""",IFERROR(IF(ISBLANK(P83),FALSE,IF(ISBLANK(T83),1,IF(NOT(COUNTIF($AA$24:$AA$34,SUBSTITUTE(P83,""Sell_"",""""))),1,IF(P83=""Plastic_up"",IF(V83&lt;1000,1),IF(P83=""Super_Up"",IF(OR(COUNTIF(P$4:P83,""Grandma"")-COUNTIF(P$4:P83,""Sell_G"&amp;"randma"")&lt;1,COUNTIF(P$4:P83,VLOOKUP(P83,Upgrades!$F$8:$N$8,7+COUNTIF(P$4:P83,P83)))-COUNTIF(P$4:P83,""Sell_""&amp;VLOOKUP(P83,Upgrades!$F$8:$N$8,7+COUNTIF(P$4:P83,P83)))&lt;15),1),IF(REGEXMATCH(P83,""_up""),IF(COUNTIF(P$4:P83,SUBSTITUTE(P83,""_up"",""""))&lt;IFERRO"&amp;"R(VLOOKUP(P83,Upgrades!$L$3:$P$6,1+COUNTIF(P$4:P83,P83),0),999),1),IF(REGEXMATCH(P83,""Sell_""),IF(COUNTIF(P$4:P83,SUBSTITUTE(P83,""Sell_"",""""))-COUNTIF(P$4:P82,P83)&lt;1,1),FALSE)))))))))"),FALSE)</f>
        <v>0</v>
      </c>
      <c r="R83" s="71">
        <f>IFERROR(__xludf.DUMMYFUNCTION("IF(REGEXMATCH(P83,""^Sell_""),R82, IF(COUNTA(P83:P147)=0,"""",(COUNTIF(P$4:P83,""Cursor"")-COUNTIF(P$4:P83,""Sell_Cursor""))*(0.1*2^SWITCH(COUNTIF(P$4:P83,""Cursor_up""),0,0,1,1,2,2,3)+SWITCH(COUNTIF(P$4:P83,""Cursor_up""),4,0.1,0)*(ROW(P83)-4-COUNTIF(P$4"&amp;":P83,""Cursor"")-COUNTIF(P$4:P83,""*""&amp;""_up"")-2*COUNTIF(P$4:P83,""Sell_""&amp;""*"")+COUNTIF(P$4:P83,""Sell_Cursor"")-COUNTIF(P$4:P83,"""")))+(COUNTIF(P$4:P83,""Grandma"")-COUNTIF(P$4:P83,""Sell_Grandma""))*(1*2^(COUNTIF(P$4:P83,""Grandma_up"")+COUNTIF(P$4:"&amp;"P83,""Super_up"")))+(COUNTIF(P$4:P83,""Farm"")-COUNTIF(P$4:P83,""Sell_Farm""))*(8*2^COUNTIF(P$4:P83,""Farm_up""))*IF(COUNTIF(P$4:P83,""Super_up"")&gt;0,1+0.01*(COUNTIF(P$4:P83,""Grandma"")-COUNTIF(P$4:P83,""Sell_Grandma"")),1)+(COUNTIF(P$4:P83,""Mine"")-COUN"&amp;"TIF(P$4:P83,""Sell_Mine""))*((47*2^COUNTIF(P$4:P83,""Mine_up""))*IF(COUNTIF(P$4:P83,""Super_up"")&gt;1,1+0.005*(COUNTIF(P$4:P83,""Grandma"")-COUNTIF(P$4:P83,""Sell_Grandma"")),1))+(COUNTIF(P$4:P83,""Factory"")-COUNTIF(P$4:P83,""Sell_Factory""))*(260*2^COUNTI"&amp;"F(P$4:P83,""Factory_up""))))"),1298.0)</f>
        <v>1298</v>
      </c>
      <c r="S83" s="73">
        <f>IFERROR(__xludf.DUMMYFUNCTION("IF(COUNTA(P83:P147)=0,"""",IF(REGEXMATCH(INDEX(FILTER(P$4:P83,P$4:P83&lt;&gt;""""),ROWS(FILTER(P$4:P83,P$4:P83&lt;&gt;""""))),""^Sell_""),INDEX(FILTER(S$4:S82,P$4:P82&lt;&gt;""""),ROWS(FILTER(P$4:P82,P$4:P82&lt;&gt;""""))),$AD$5*(2^SWITCH(COUNTIF(P$4:P83,""Cursor_up""),0,0,1,1,2"&amp;",2,3)+SWITCH(COUNTIF(P$4:P83,""Cursor_up""),4,0.1,0)*(ROW(P83)-4-COUNTIF(P$4:P83,""Cursor"")-COUNTIF(P$4:P83,""*""&amp;""_up"")-2*COUNTIF(P$4:P83,""Sell_""&amp;""*"")+COUNTIF(P$4:P83,""Sell_Cursor"")-COUNTIF(P$4:P83,""""))+0.01*R83*COUNTIF(P$4:P83,""Plastic_up"")"&amp;")+R83))"),1378.0)</f>
        <v>1378</v>
      </c>
      <c r="T83" s="14">
        <f>IFERROR(__xludf.DUMMYFUNCTION("IF(COUNTA(P83:P147)=0,"""",IF(REGEXMATCH(P83,""_up""),VLOOKUP(P83,Upgrades!$F$3:$J$8,1+COUNTIF(P$4:P83,P83),FALSE),IF(P83="""",0,IF(REGEXMATCH(P83,""^Sell_""),-ROUNDDOWN(ROUNDUP(INDEX(Upgrades!$C$3:$C$8,MATCH(SUBSTITUTE(P83,""Sell_"",""""),Upgrades!$B$3:$"&amp;"B$8,0))*1.15^(COUNTIF(P$4:P82,SUBSTITUTE(P83,""Sell_"",""""))-COUNTIF(P$4:P82,""Sell_""&amp;SUBSTITUTE(P83,""Sell_"",""""))))/4),ROUNDUP(INDEX(Upgrades!$C$3:$C$7,MATCH(P83,Upgrades!$B$3:$B$7,0))*1.15^(COUNTIF(P$4:P82,P83)-COUNTIF(P$4:P82,""Sell_""&amp;P83)))))))"),5758.0)</f>
        <v>5758</v>
      </c>
      <c r="U83" s="14">
        <f t="shared" si="10"/>
        <v>5758</v>
      </c>
      <c r="V83" s="75">
        <f t="shared" si="11"/>
        <v>1903077.345</v>
      </c>
      <c r="W83" s="76">
        <f t="shared" si="12"/>
        <v>870.0089557</v>
      </c>
      <c r="X83" s="71" t="str">
        <f t="shared" si="13"/>
        <v>14m 30s</v>
      </c>
      <c r="Y83" s="77">
        <f t="shared" si="14"/>
        <v>330272</v>
      </c>
      <c r="Z83" s="17"/>
      <c r="AA83" s="13"/>
      <c r="AB83" s="13"/>
      <c r="AC83" s="13"/>
      <c r="AD83" s="13"/>
      <c r="AE83" s="13"/>
      <c r="AF83" s="13"/>
      <c r="AG83" s="13"/>
    </row>
    <row r="84">
      <c r="A84" s="12"/>
      <c r="B84" s="65">
        <f t="shared" si="2"/>
        <v>18</v>
      </c>
      <c r="C84" s="69" t="s">
        <v>16</v>
      </c>
      <c r="D84" s="14" t="b">
        <f>IFERROR(__xludf.DUMMYFUNCTION("IF(COUNTA(C84:C147)=0,"""",IFERROR(IF(ISBLANK(C84),FALSE,IF(ISBLANK(G84),1,IF(NOT(COUNTIF($AA$24:$AA$34,SUBSTITUTE(C84,""Sell_"",""""))),1,IF(C84=""Plastic_up"",IF(I84&lt;1000,1),IF(C84=""Super_Up"",IF(OR(COUNTIF(C$4:C84,""Grandma"")-COUNTIF(C$4:C84,""Sell_G"&amp;"randma"")&lt;1,COUNTIF(C$4:C84,VLOOKUP(C84,Upgrades!$F$8:$N$8,7+COUNTIF(C$4:C84,C84)))-COUNTIF(C$4:C84,""Sell_""&amp;VLOOKUP(C84,Upgrades!$F$8:$N$8,7+COUNTIF(C$4:C84,C84)))&lt;15),1),IF(REGEXMATCH(C84,""_up""),IF(COUNTIF(C$4:C84,SUBSTITUTE(C84,""_up"",""""))&lt;IFERRO"&amp;"R(VLOOKUP(C84,Upgrades!$L$3:$P$6,1+COUNTIF(C$4:C84,C84),0),999),1),IF(REGEXMATCH(C84,""Sell_""),IF(COUNTIF(C$4:C84,SUBSTITUTE(C84,""Sell_"",""""))-COUNTIF(C$4:C83,C84)&lt;1,1),FALSE)))))))))"),FALSE)</f>
        <v>0</v>
      </c>
      <c r="E84" s="71">
        <f>IFERROR(__xludf.DUMMYFUNCTION("IF(REGEXMATCH(C84,""^Sell_""),E83, IF(COUNTA(C84:C147)=0,"""",(COUNTIF(C$4:C84,""Cursor"")-COUNTIF(C$4:C84,""Sell_Cursor""))*(0.1*2^SWITCH(COUNTIF(C$4:C84,""Cursor_up""),0,0,1,1,2,2,3)+SWITCH(COUNTIF(C$4:C84,""Cursor_up""),4,0.1,0)*(ROW(C84)-4-COUNTIF(C$4"&amp;":C84,""Cursor"")-COUNTIF(C$4:C84,""*""&amp;""_up"")-2*COUNTIF(C$4:C84,""Sell_""&amp;""*"")+COUNTIF(C$4:C84,""Sell_Cursor"")-COUNTIF(C$4:C84,"""")))+(COUNTIF(C$4:C84,""Grandma"")-COUNTIF(C$4:C84,""Sell_Grandma""))*(1*2^(COUNTIF(C$4:C84,""Grandma_up"")+COUNTIF(C$4:"&amp;"C84,""Super_up"")))+(COUNTIF(C$4:C84,""Farm"")-COUNTIF(C$4:C84,""Sell_Farm""))*(8*2^COUNTIF(C$4:C84,""Farm_up""))*IF(COUNTIF(C$4:C84,""Super_up"")&gt;0,1+0.01*(COUNTIF(C$4:C84,""Grandma"")-COUNTIF(C$4:C84,""Sell_Grandma"")),1)+(COUNTIF(C$4:C84,""Mine"")-COUN"&amp;"TIF(C$4:C84,""Sell_Mine""))*((47*2^COUNTIF(C$4:C84,""Mine_up""))*IF(COUNTIF(C$4:C84,""Super_up"")&gt;1,1+0.005*(COUNTIF(C$4:C84,""Grandma"")-COUNTIF(C$4:C84,""Sell_Grandma"")),1))+(COUNTIF(C$4:C84,""Factory"")-COUNTIF(C$4:C84,""Sell_Factory""))*(260*2^COUNTI"&amp;"F(C$4:C84,""Factory_up""))))"),1339.6000000000001)</f>
        <v>1339.6</v>
      </c>
      <c r="F84" s="73">
        <f>IFERROR(__xludf.DUMMYFUNCTION("IF(COUNTA(C84:C147)=0,"""",IF(REGEXMATCH(INDEX(FILTER(C$4:C84,C$4:C84&lt;&gt;""""),ROWS(FILTER(C$4:C84,C$4:C84&lt;&gt;""""))),""^Sell_""),INDEX(FILTER(F$4:F83,C$4:C83&lt;&gt;""""),ROWS(FILTER(C$4:C83,C$4:C83&lt;&gt;""""))),$AC$5*(2^SWITCH(COUNTIF(C$4:C84,""Cursor_up""),0,0,1,1,2"&amp;",2,3)+SWITCH(COUNTIF(C$4:C84,""Cursor_up""),4,0.1,0)*(ROW(C84)-4-COUNTIF(C$4:C84,""Cursor"")-COUNTIF(C$4:C84,""*""&amp;""_up"")-2*COUNTIF(C$4:C84,""Sell_""&amp;""*"")+COUNTIF(C$4:C84,""Sell_Cursor"")-COUNTIF(C$4:C84,""""))+0.01*E84*COUNTIF(C$4:C84,""Plastic_up"")"&amp;")+E84))"),1419.6000000000001)</f>
        <v>1419.6</v>
      </c>
      <c r="G84" s="14">
        <f>IFERROR(__xludf.DUMMYFUNCTION("IF(COUNTA(C84:C147)=0,"""",IF(REGEXMATCH(C84,""_up""),VLOOKUP(C84,Upgrades!$F$3:$J$8,1+COUNTIF(C$4:C84,C84),FALSE),IF(C84="""",0,IF(REGEXMATCH(C84,""^Sell_""),-ROUNDDOWN(ROUNDUP(INDEX(Upgrades!$C$3:$C$8,MATCH(SUBSTITUTE(C84,""Sell_"",""""),Upgrades!$B$3:$"&amp;"B$8,0))*1.15^(COUNTIF(C$4:C83,SUBSTITUTE(C84,""Sell_"",""""))-COUNTIF(C$4:C83,""Sell_""&amp;SUBSTITUTE(C84,""Sell_"",""""))))/4),ROUNDUP(INDEX(Upgrades!$C$3:$C$7,MATCH(C84,Upgrades!$B$3:$B$7,0))*1.15^(COUNTIF(C$4:C83,C84)-COUNTIF(C$4:C83,""Sell_""&amp;C84)))))))"),11838.0)</f>
        <v>11838</v>
      </c>
      <c r="H84" s="14">
        <f t="shared" si="3"/>
        <v>11838</v>
      </c>
      <c r="I84" s="75">
        <f t="shared" si="4"/>
        <v>2060456.753</v>
      </c>
      <c r="J84" s="76">
        <f t="shared" si="5"/>
        <v>879.6479033</v>
      </c>
      <c r="K84" s="71" t="str">
        <f t="shared" si="6"/>
        <v>14m 39s</v>
      </c>
      <c r="L84" s="77">
        <f t="shared" si="7"/>
        <v>342110</v>
      </c>
      <c r="M84" s="51">
        <f t="shared" si="8"/>
        <v>-1.04823</v>
      </c>
      <c r="N84" s="52">
        <f>IFERROR(__xludf.DUMMYFUNCTION("IFS(AND(COUNTA(C84:C147)=0,COUNTA(P84:P147)=0),"""",OR(AND(L84&gt;=1000000,OR(Y84&gt;=1000000,COUNTA(P84:P147)=0)),AND(Y84&gt;=1000000,COUNTA(C84:C147)=0),AND(COUNTA(P84:P147)=0,O$3=TRUE)),
ROUNDDOWN((AB$1-AC$1)*MAX(INDEX(S$4:S147,MATCH(LARGE(FILTER(Y$4:Y147,Y$4:Y"&amp;"147&lt;1000000),1),Y$4:Y147)),INDEX(F$4:F147,MATCH(LARGE(FILTER(L$4:L147,L$4:L147&lt;1000000),1),L$4:L147)))),AND(L84&lt;1000000,COUNTA(C84:C147)&gt;0,O$3=FALSE),
ROUNDDOWN(INDEX(Y$4:Y147,MATCH(LARGE(FILTER(W$4:W147,W$4:W147&lt;=J84),1),W$4:W147))+(J84-LARGE(FILTER(W$4:"&amp;"W147,W$4:W147&lt;=J84),1))*INDEX(S$4:S147,MATCH(LARGE(FILTER(W$4:W147,W$4:W147&lt;=J84),1),W$4:W147))-L84),1,
ROUNDDOWN(Y84-INDEX(L$4:L147,MATCH(LARGE(FILTER(J$4:J147,J$4:J147&lt;=W84),1),J$4:J147))-(W84-LARGE(FILTER(J$4:J147,J$4:J147&lt;=W84),1))*INDEX(F$4:F147,MATC"&amp;"H(LARGE(FILTER(J$4:J147,J$4:J147&lt;=W84),1),J$4:J147))))"),1444.0)</f>
        <v>1444</v>
      </c>
      <c r="O84" s="65">
        <f t="shared" si="9"/>
        <v>18</v>
      </c>
      <c r="P84" s="69" t="s">
        <v>16</v>
      </c>
      <c r="Q84" s="14" t="b">
        <f>IFERROR(__xludf.DUMMYFUNCTION("IF(COUNTA(P84:P147)=0,"""",IFERROR(IF(ISBLANK(P84),FALSE,IF(ISBLANK(T84),1,IF(NOT(COUNTIF($AA$24:$AA$34,SUBSTITUTE(P84,""Sell_"",""""))),1,IF(P84=""Plastic_up"",IF(V84&lt;1000,1),IF(P84=""Super_Up"",IF(OR(COUNTIF(P$4:P84,""Grandma"")-COUNTIF(P$4:P84,""Sell_G"&amp;"randma"")&lt;1,COUNTIF(P$4:P84,VLOOKUP(P84,Upgrades!$F$8:$N$8,7+COUNTIF(P$4:P84,P84)))-COUNTIF(P$4:P84,""Sell_""&amp;VLOOKUP(P84,Upgrades!$F$8:$N$8,7+COUNTIF(P$4:P84,P84)))&lt;15),1),IF(REGEXMATCH(P84,""_up""),IF(COUNTIF(P$4:P84,SUBSTITUTE(P84,""_up"",""""))&lt;IFERRO"&amp;"R(VLOOKUP(P84,Upgrades!$L$3:$P$6,1+COUNTIF(P$4:P84,P84),0),999),1),IF(REGEXMATCH(P84,""Sell_""),IF(COUNTIF(P$4:P84,SUBSTITUTE(P84,""Sell_"",""""))-COUNTIF(P$4:P83,P84)&lt;1,1),FALSE)))))))))"),FALSE)</f>
        <v>0</v>
      </c>
      <c r="R84" s="71">
        <f>IFERROR(__xludf.DUMMYFUNCTION("IF(REGEXMATCH(P84,""^Sell_""),R83, IF(COUNTA(P84:P147)=0,"""",(COUNTIF(P$4:P84,""Cursor"")-COUNTIF(P$4:P84,""Sell_Cursor""))*(0.1*2^SWITCH(COUNTIF(P$4:P84,""Cursor_up""),0,0,1,1,2,2,3)+SWITCH(COUNTIF(P$4:P84,""Cursor_up""),4,0.1,0)*(ROW(P84)-4-COUNTIF(P$4"&amp;":P84,""Cursor"")-COUNTIF(P$4:P84,""*""&amp;""_up"")-2*COUNTIF(P$4:P84,""Sell_""&amp;""*"")+COUNTIF(P$4:P84,""Sell_Cursor"")-COUNTIF(P$4:P84,"""")))+(COUNTIF(P$4:P84,""Grandma"")-COUNTIF(P$4:P84,""Sell_Grandma""))*(1*2^(COUNTIF(P$4:P84,""Grandma_up"")+COUNTIF(P$4:"&amp;"P84,""Super_up"")))+(COUNTIF(P$4:P84,""Farm"")-COUNTIF(P$4:P84,""Sell_Farm""))*(8*2^COUNTIF(P$4:P84,""Farm_up""))*IF(COUNTIF(P$4:P84,""Super_up"")&gt;0,1+0.01*(COUNTIF(P$4:P84,""Grandma"")-COUNTIF(P$4:P84,""Sell_Grandma"")),1)+(COUNTIF(P$4:P84,""Mine"")-COUN"&amp;"TIF(P$4:P84,""Sell_Mine""))*((47*2^COUNTIF(P$4:P84,""Mine_up""))*IF(COUNTIF(P$4:P84,""Super_up"")&gt;1,1+0.005*(COUNTIF(P$4:P84,""Grandma"")-COUNTIF(P$4:P84,""Sell_Grandma"")),1))+(COUNTIF(P$4:P84,""Factory"")-COUNTIF(P$4:P84,""Sell_Factory""))*(260*2^COUNTI"&amp;"F(P$4:P84,""Factory_up""))))"),1339.6000000000001)</f>
        <v>1339.6</v>
      </c>
      <c r="S84" s="73">
        <f>IFERROR(__xludf.DUMMYFUNCTION("IF(COUNTA(P84:P147)=0,"""",IF(REGEXMATCH(INDEX(FILTER(P$4:P84,P$4:P84&lt;&gt;""""),ROWS(FILTER(P$4:P84,P$4:P84&lt;&gt;""""))),""^Sell_""),INDEX(FILTER(S$4:S83,P$4:P83&lt;&gt;""""),ROWS(FILTER(P$4:P83,P$4:P83&lt;&gt;""""))),$AD$5*(2^SWITCH(COUNTIF(P$4:P84,""Cursor_up""),0,0,1,1,2"&amp;",2,3)+SWITCH(COUNTIF(P$4:P84,""Cursor_up""),4,0.1,0)*(ROW(P84)-4-COUNTIF(P$4:P84,""Cursor"")-COUNTIF(P$4:P84,""*""&amp;""_up"")-2*COUNTIF(P$4:P84,""Sell_""&amp;""*"")+COUNTIF(P$4:P84,""Sell_Cursor"")-COUNTIF(P$4:P84,""""))+0.01*R84*COUNTIF(P$4:P84,""Plastic_up"")"&amp;")+R84))"),1419.6000000000001)</f>
        <v>1419.6</v>
      </c>
      <c r="T84" s="14">
        <f>IFERROR(__xludf.DUMMYFUNCTION("IF(COUNTA(P84:P147)=0,"""",IF(REGEXMATCH(P84,""_up""),VLOOKUP(P84,Upgrades!$F$3:$J$8,1+COUNTIF(P$4:P84,P84),FALSE),IF(P84="""",0,IF(REGEXMATCH(P84,""^Sell_""),-ROUNDDOWN(ROUNDUP(INDEX(Upgrades!$C$3:$C$8,MATCH(SUBSTITUTE(P84,""Sell_"",""""),Upgrades!$B$3:$"&amp;"B$8,0))*1.15^(COUNTIF(P$4:P83,SUBSTITUTE(P84,""Sell_"",""""))-COUNTIF(P$4:P83,""Sell_""&amp;SUBSTITUTE(P84,""Sell_"",""""))))/4),ROUNDUP(INDEX(Upgrades!$C$3:$C$7,MATCH(P84,Upgrades!$B$3:$B$7,0))*1.15^(COUNTIF(P$4:P83,P84)-COUNTIF(P$4:P83,""Sell_""&amp;P84)))))))"),11838.0)</f>
        <v>11838</v>
      </c>
      <c r="U84" s="14">
        <f t="shared" si="10"/>
        <v>11838</v>
      </c>
      <c r="V84" s="75">
        <f t="shared" si="11"/>
        <v>1973365.318</v>
      </c>
      <c r="W84" s="76">
        <f t="shared" si="12"/>
        <v>878.5996669</v>
      </c>
      <c r="X84" s="71" t="str">
        <f t="shared" si="13"/>
        <v>14m 38s</v>
      </c>
      <c r="Y84" s="77">
        <f t="shared" si="14"/>
        <v>342110</v>
      </c>
      <c r="Z84" s="17"/>
      <c r="AA84" s="13"/>
      <c r="AB84" s="13"/>
      <c r="AC84" s="13"/>
      <c r="AD84" s="13"/>
      <c r="AE84" s="13"/>
      <c r="AF84" s="13"/>
      <c r="AG84" s="13"/>
    </row>
    <row r="85">
      <c r="A85" s="12"/>
      <c r="B85" s="65">
        <f t="shared" si="2"/>
        <v>31</v>
      </c>
      <c r="C85" s="69" t="s">
        <v>13</v>
      </c>
      <c r="D85" s="14" t="b">
        <f>IFERROR(__xludf.DUMMYFUNCTION("IF(COUNTA(C85:C147)=0,"""",IFERROR(IF(ISBLANK(C85),FALSE,IF(ISBLANK(G85),1,IF(NOT(COUNTIF($AA$24:$AA$34,SUBSTITUTE(C85,""Sell_"",""""))),1,IF(C85=""Plastic_up"",IF(I85&lt;1000,1),IF(C85=""Super_Up"",IF(OR(COUNTIF(C$4:C85,""Grandma"")-COUNTIF(C$4:C85,""Sell_G"&amp;"randma"")&lt;1,COUNTIF(C$4:C85,VLOOKUP(C85,Upgrades!$F$8:$N$8,7+COUNTIF(C$4:C85,C85)))-COUNTIF(C$4:C85,""Sell_""&amp;VLOOKUP(C85,Upgrades!$F$8:$N$8,7+COUNTIF(C$4:C85,C85)))&lt;15),1),IF(REGEXMATCH(C85,""_up""),IF(COUNTIF(C$4:C85,SUBSTITUTE(C85,""_up"",""""))&lt;IFERRO"&amp;"R(VLOOKUP(C85,Upgrades!$L$3:$P$6,1+COUNTIF(C$4:C85,C85),0),999),1),IF(REGEXMATCH(C85,""Sell_""),IF(COUNTIF(C$4:C85,SUBSTITUTE(C85,""Sell_"",""""))-COUNTIF(C$4:C84,C85)&lt;1,1),FALSE)))))))))"),FALSE)</f>
        <v>0</v>
      </c>
      <c r="E85" s="71">
        <f>IFERROR(__xludf.DUMMYFUNCTION("IF(REGEXMATCH(C85,""^Sell_""),E84, IF(COUNTA(C85:C147)=0,"""",(COUNTIF(C$4:C85,""Cursor"")-COUNTIF(C$4:C85,""Sell_Cursor""))*(0.1*2^SWITCH(COUNTIF(C$4:C85,""Cursor_up""),0,0,1,1,2,2,3)+SWITCH(COUNTIF(C$4:C85,""Cursor_up""),4,0.1,0)*(ROW(C85)-4-COUNTIF(C$4"&amp;":C85,""Cursor"")-COUNTIF(C$4:C85,""*""&amp;""_up"")-2*COUNTIF(C$4:C85,""Sell_""&amp;""*"")+COUNTIF(C$4:C85,""Sell_Cursor"")-COUNTIF(C$4:C85,"""")))+(COUNTIF(C$4:C85,""Grandma"")-COUNTIF(C$4:C85,""Sell_Grandma""))*(1*2^(COUNTIF(C$4:C85,""Grandma_up"")+COUNTIF(C$4:"&amp;"C85,""Super_up"")))+(COUNTIF(C$4:C85,""Farm"")-COUNTIF(C$4:C85,""Sell_Farm""))*(8*2^COUNTIF(C$4:C85,""Farm_up""))*IF(COUNTIF(C$4:C85,""Super_up"")&gt;0,1+0.01*(COUNTIF(C$4:C85,""Grandma"")-COUNTIF(C$4:C85,""Sell_Grandma"")),1)+(COUNTIF(C$4:C85,""Mine"")-COUN"&amp;"TIF(C$4:C85,""Sell_Mine""))*((47*2^COUNTIF(C$4:C85,""Mine_up""))*IF(COUNTIF(C$4:C85,""Super_up"")&gt;1,1+0.005*(COUNTIF(C$4:C85,""Grandma"")-COUNTIF(C$4:C85,""Sell_Grandma"")),1))+(COUNTIF(C$4:C85,""Factory"")-COUNTIF(C$4:C85,""Sell_Factory""))*(260*2^COUNTI"&amp;"F(C$4:C85,""Factory_up""))))"),1361.3600000000001)</f>
        <v>1361.36</v>
      </c>
      <c r="F85" s="73">
        <f>IFERROR(__xludf.DUMMYFUNCTION("IF(COUNTA(C85:C147)=0,"""",IF(REGEXMATCH(INDEX(FILTER(C$4:C85,C$4:C85&lt;&gt;""""),ROWS(FILTER(C$4:C85,C$4:C85&lt;&gt;""""))),""^Sell_""),INDEX(FILTER(F$4:F84,C$4:C84&lt;&gt;""""),ROWS(FILTER(C$4:C84,C$4:C84&lt;&gt;""""))),$AC$5*(2^SWITCH(COUNTIF(C$4:C85,""Cursor_up""),0,0,1,1,2"&amp;",2,3)+SWITCH(COUNTIF(C$4:C85,""Cursor_up""),4,0.1,0)*(ROW(C85)-4-COUNTIF(C$4:C85,""Cursor"")-COUNTIF(C$4:C85,""*""&amp;""_up"")-2*COUNTIF(C$4:C85,""Sell_""&amp;""*"")+COUNTIF(C$4:C85,""Sell_Cursor"")-COUNTIF(C$4:C85,""""))+0.01*E85*COUNTIF(C$4:C85,""Plastic_up"")"&amp;")+E85))"),1441.3600000000001)</f>
        <v>1441.36</v>
      </c>
      <c r="G85" s="14">
        <f>IFERROR(__xludf.DUMMYFUNCTION("IF(COUNTA(C85:C147)=0,"""",IF(REGEXMATCH(C85,""_up""),VLOOKUP(C85,Upgrades!$F$3:$J$8,1+COUNTIF(C$4:C85,C85),FALSE),IF(C85="""",0,IF(REGEXMATCH(C85,""^Sell_""),-ROUNDDOWN(ROUNDUP(INDEX(Upgrades!$C$3:$C$8,MATCH(SUBSTITUTE(C85,""Sell_"",""""),Upgrades!$B$3:$"&amp;"B$8,0))*1.15^(COUNTIF(C$4:C84,SUBSTITUTE(C85,""Sell_"",""""))-COUNTIF(C$4:C84,""Sell_""&amp;SUBSTITUTE(C85,""Sell_"",""""))))/4),ROUNDUP(INDEX(Upgrades!$C$3:$C$7,MATCH(C85,Upgrades!$B$3:$B$7,0))*1.15^(COUNTIF(C$4:C84,C85)-COUNTIF(C$4:C84,""Sell_""&amp;C85)))))))"),6622.0)</f>
        <v>6622</v>
      </c>
      <c r="H85" s="14">
        <f t="shared" si="3"/>
        <v>6622</v>
      </c>
      <c r="I85" s="75">
        <f t="shared" si="4"/>
        <v>2131201.761</v>
      </c>
      <c r="J85" s="76">
        <f t="shared" si="5"/>
        <v>884.3125975</v>
      </c>
      <c r="K85" s="71" t="str">
        <f t="shared" si="6"/>
        <v>14m 44s</v>
      </c>
      <c r="L85" s="77">
        <f t="shared" si="7"/>
        <v>348732</v>
      </c>
      <c r="M85" s="51">
        <f t="shared" si="8"/>
        <v>-1.04823</v>
      </c>
      <c r="N85" s="52">
        <f>IFERROR(__xludf.DUMMYFUNCTION("IFS(AND(COUNTA(C85:C147)=0,COUNTA(P85:P147)=0),"""",OR(AND(L85&gt;=1000000,OR(Y85&gt;=1000000,COUNTA(P85:P147)=0)),AND(Y85&gt;=1000000,COUNTA(C85:C147)=0),AND(COUNTA(P85:P147)=0,O$3=TRUE)),
ROUNDDOWN((AB$1-AC$1)*MAX(INDEX(S$4:S147,MATCH(LARGE(FILTER(Y$4:Y147,Y$4:Y"&amp;"147&lt;1000000),1),Y$4:Y147)),INDEX(F$4:F147,MATCH(LARGE(FILTER(L$4:L147,L$4:L147&lt;1000000),1),L$4:L147)))),AND(L85&lt;1000000,COUNTA(C85:C147)&gt;0,O$3=FALSE),
ROUNDDOWN(INDEX(Y$4:Y147,MATCH(LARGE(FILTER(W$4:W147,W$4:W147&lt;=J85),1),W$4:W147))+(J85-LARGE(FILTER(W$4:"&amp;"W147,W$4:W147&lt;=J85),1))*INDEX(S$4:S147,MATCH(LARGE(FILTER(W$4:W147,W$4:W147&lt;=J85),1),W$4:W147))-L85),1,
ROUNDDOWN(Y85-INDEX(L$4:L147,MATCH(LARGE(FILTER(J$4:J147,J$4:J147&lt;=W85),1),J$4:J147))-(W85-LARGE(FILTER(J$4:J147,J$4:J147&lt;=W85),1))*INDEX(F$4:F147,MATC"&amp;"H(LARGE(FILTER(J$4:J147,J$4:J147&lt;=W85),1),J$4:J147))))"),1488.0)</f>
        <v>1488</v>
      </c>
      <c r="O85" s="65">
        <f t="shared" si="9"/>
        <v>31</v>
      </c>
      <c r="P85" s="69" t="s">
        <v>13</v>
      </c>
      <c r="Q85" s="14" t="b">
        <f>IFERROR(__xludf.DUMMYFUNCTION("IF(COUNTA(P85:P147)=0,"""",IFERROR(IF(ISBLANK(P85),FALSE,IF(ISBLANK(T85),1,IF(NOT(COUNTIF($AA$24:$AA$34,SUBSTITUTE(P85,""Sell_"",""""))),1,IF(P85=""Plastic_up"",IF(V85&lt;1000,1),IF(P85=""Super_Up"",IF(OR(COUNTIF(P$4:P85,""Grandma"")-COUNTIF(P$4:P85,""Sell_G"&amp;"randma"")&lt;1,COUNTIF(P$4:P85,VLOOKUP(P85,Upgrades!$F$8:$N$8,7+COUNTIF(P$4:P85,P85)))-COUNTIF(P$4:P85,""Sell_""&amp;VLOOKUP(P85,Upgrades!$F$8:$N$8,7+COUNTIF(P$4:P85,P85)))&lt;15),1),IF(REGEXMATCH(P85,""_up""),IF(COUNTIF(P$4:P85,SUBSTITUTE(P85,""_up"",""""))&lt;IFERRO"&amp;"R(VLOOKUP(P85,Upgrades!$L$3:$P$6,1+COUNTIF(P$4:P85,P85),0),999),1),IF(REGEXMATCH(P85,""Sell_""),IF(COUNTIF(P$4:P85,SUBSTITUTE(P85,""Sell_"",""""))-COUNTIF(P$4:P84,P85)&lt;1,1),FALSE)))))))))"),FALSE)</f>
        <v>0</v>
      </c>
      <c r="R85" s="71">
        <f>IFERROR(__xludf.DUMMYFUNCTION("IF(REGEXMATCH(P85,""^Sell_""),R84, IF(COUNTA(P85:P147)=0,"""",(COUNTIF(P$4:P85,""Cursor"")-COUNTIF(P$4:P85,""Sell_Cursor""))*(0.1*2^SWITCH(COUNTIF(P$4:P85,""Cursor_up""),0,0,1,1,2,2,3)+SWITCH(COUNTIF(P$4:P85,""Cursor_up""),4,0.1,0)*(ROW(P85)-4-COUNTIF(P$4"&amp;":P85,""Cursor"")-COUNTIF(P$4:P85,""*""&amp;""_up"")-2*COUNTIF(P$4:P85,""Sell_""&amp;""*"")+COUNTIF(P$4:P85,""Sell_Cursor"")-COUNTIF(P$4:P85,"""")))+(COUNTIF(P$4:P85,""Grandma"")-COUNTIF(P$4:P85,""Sell_Grandma""))*(1*2^(COUNTIF(P$4:P85,""Grandma_up"")+COUNTIF(P$4:"&amp;"P85,""Super_up"")))+(COUNTIF(P$4:P85,""Farm"")-COUNTIF(P$4:P85,""Sell_Farm""))*(8*2^COUNTIF(P$4:P85,""Farm_up""))*IF(COUNTIF(P$4:P85,""Super_up"")&gt;0,1+0.01*(COUNTIF(P$4:P85,""Grandma"")-COUNTIF(P$4:P85,""Sell_Grandma"")),1)+(COUNTIF(P$4:P85,""Mine"")-COUN"&amp;"TIF(P$4:P85,""Sell_Mine""))*((47*2^COUNTIF(P$4:P85,""Mine_up""))*IF(COUNTIF(P$4:P85,""Super_up"")&gt;1,1+0.005*(COUNTIF(P$4:P85,""Grandma"")-COUNTIF(P$4:P85,""Sell_Grandma"")),1))+(COUNTIF(P$4:P85,""Factory"")-COUNTIF(P$4:P85,""Sell_Factory""))*(260*2^COUNTI"&amp;"F(P$4:P85,""Factory_up""))))"),1361.3600000000001)</f>
        <v>1361.36</v>
      </c>
      <c r="S85" s="73">
        <f>IFERROR(__xludf.DUMMYFUNCTION("IF(COUNTA(P85:P147)=0,"""",IF(REGEXMATCH(INDEX(FILTER(P$4:P85,P$4:P85&lt;&gt;""""),ROWS(FILTER(P$4:P85,P$4:P85&lt;&gt;""""))),""^Sell_""),INDEX(FILTER(S$4:S84,P$4:P84&lt;&gt;""""),ROWS(FILTER(P$4:P84,P$4:P84&lt;&gt;""""))),$AD$5*(2^SWITCH(COUNTIF(P$4:P85,""Cursor_up""),0,0,1,1,2"&amp;",2,3)+SWITCH(COUNTIF(P$4:P85,""Cursor_up""),4,0.1,0)*(ROW(P85)-4-COUNTIF(P$4:P85,""Cursor"")-COUNTIF(P$4:P85,""*""&amp;""_up"")-2*COUNTIF(P$4:P85,""Sell_""&amp;""*"")+COUNTIF(P$4:P85,""Sell_Cursor"")-COUNTIF(P$4:P85,""""))+0.01*R85*COUNTIF(P$4:P85,""Plastic_up"")"&amp;")+R85))"),1441.3600000000001)</f>
        <v>1441.36</v>
      </c>
      <c r="T85" s="14">
        <f>IFERROR(__xludf.DUMMYFUNCTION("IF(COUNTA(P85:P147)=0,"""",IF(REGEXMATCH(P85,""_up""),VLOOKUP(P85,Upgrades!$F$3:$J$8,1+COUNTIF(P$4:P85,P85),FALSE),IF(P85="""",0,IF(REGEXMATCH(P85,""^Sell_""),-ROUNDDOWN(ROUNDUP(INDEX(Upgrades!$C$3:$C$8,MATCH(SUBSTITUTE(P85,""Sell_"",""""),Upgrades!$B$3:$"&amp;"B$8,0))*1.15^(COUNTIF(P$4:P84,SUBSTITUTE(P85,""Sell_"",""""))-COUNTIF(P$4:P84,""Sell_""&amp;SUBSTITUTE(P85,""Sell_"",""""))))/4),ROUNDUP(INDEX(Upgrades!$C$3:$C$7,MATCH(P85,Upgrades!$B$3:$B$7,0))*1.15^(COUNTIF(P$4:P84,P85)-COUNTIF(P$4:P84,""Sell_""&amp;P85)))))))"),6622.0)</f>
        <v>6622</v>
      </c>
      <c r="U85" s="14">
        <f t="shared" si="10"/>
        <v>6622</v>
      </c>
      <c r="V85" s="75">
        <f t="shared" si="11"/>
        <v>2044026.467</v>
      </c>
      <c r="W85" s="76">
        <f t="shared" si="12"/>
        <v>883.2643612</v>
      </c>
      <c r="X85" s="71" t="str">
        <f t="shared" si="13"/>
        <v>14m 43s</v>
      </c>
      <c r="Y85" s="77">
        <f t="shared" si="14"/>
        <v>348732</v>
      </c>
      <c r="Z85" s="17"/>
      <c r="AA85" s="13"/>
      <c r="AB85" s="13"/>
      <c r="AC85" s="13"/>
      <c r="AD85" s="13"/>
      <c r="AE85" s="13"/>
      <c r="AF85" s="13"/>
      <c r="AG85" s="13"/>
    </row>
    <row r="86">
      <c r="A86" s="12"/>
      <c r="B86" s="65">
        <f t="shared" si="2"/>
        <v>19</v>
      </c>
      <c r="C86" s="69" t="s">
        <v>16</v>
      </c>
      <c r="D86" s="14" t="b">
        <f>IFERROR(__xludf.DUMMYFUNCTION("IF(COUNTA(C86:C147)=0,"""",IFERROR(IF(ISBLANK(C86),FALSE,IF(ISBLANK(G86),1,IF(NOT(COUNTIF($AA$24:$AA$34,SUBSTITUTE(C86,""Sell_"",""""))),1,IF(C86=""Plastic_up"",IF(I86&lt;1000,1),IF(C86=""Super_Up"",IF(OR(COUNTIF(C$4:C86,""Grandma"")-COUNTIF(C$4:C86,""Sell_G"&amp;"randma"")&lt;1,COUNTIF(C$4:C86,VLOOKUP(C86,Upgrades!$F$8:$N$8,7+COUNTIF(C$4:C86,C86)))-COUNTIF(C$4:C86,""Sell_""&amp;VLOOKUP(C86,Upgrades!$F$8:$N$8,7+COUNTIF(C$4:C86,C86)))&lt;15),1),IF(REGEXMATCH(C86,""_up""),IF(COUNTIF(C$4:C86,SUBSTITUTE(C86,""_up"",""""))&lt;IFERRO"&amp;"R(VLOOKUP(C86,Upgrades!$L$3:$P$6,1+COUNTIF(C$4:C86,C86),0),999),1),IF(REGEXMATCH(C86,""Sell_""),IF(COUNTIF(C$4:C86,SUBSTITUTE(C86,""Sell_"",""""))-COUNTIF(C$4:C85,C86)&lt;1,1),FALSE)))))))))"),FALSE)</f>
        <v>0</v>
      </c>
      <c r="E86" s="71">
        <f>IFERROR(__xludf.DUMMYFUNCTION("IF(REGEXMATCH(C86,""^Sell_""),E85, IF(COUNTA(C86:C147)=0,"""",(COUNTIF(C$4:C86,""Cursor"")-COUNTIF(C$4:C86,""Sell_Cursor""))*(0.1*2^SWITCH(COUNTIF(C$4:C86,""Cursor_up""),0,0,1,1,2,2,3)+SWITCH(COUNTIF(C$4:C86,""Cursor_up""),4,0.1,0)*(ROW(C86)-4-COUNTIF(C$4"&amp;":C86,""Cursor"")-COUNTIF(C$4:C86,""*""&amp;""_up"")-2*COUNTIF(C$4:C86,""Sell_""&amp;""*"")+COUNTIF(C$4:C86,""Sell_Cursor"")-COUNTIF(C$4:C86,"""")))+(COUNTIF(C$4:C86,""Grandma"")-COUNTIF(C$4:C86,""Sell_Grandma""))*(1*2^(COUNTIF(C$4:C86,""Grandma_up"")+COUNTIF(C$4:"&amp;"C86,""Super_up"")))+(COUNTIF(C$4:C86,""Farm"")-COUNTIF(C$4:C86,""Sell_Farm""))*(8*2^COUNTIF(C$4:C86,""Farm_up""))*IF(COUNTIF(C$4:C86,""Super_up"")&gt;0,1+0.01*(COUNTIF(C$4:C86,""Grandma"")-COUNTIF(C$4:C86,""Sell_Grandma"")),1)+(COUNTIF(C$4:C86,""Mine"")-COUN"&amp;"TIF(C$4:C86,""Sell_Mine""))*((47*2^COUNTIF(C$4:C86,""Mine_up""))*IF(COUNTIF(C$4:C86,""Super_up"")&gt;1,1+0.005*(COUNTIF(C$4:C86,""Grandma"")-COUNTIF(C$4:C86,""Sell_Grandma"")),1))+(COUNTIF(C$4:C86,""Factory"")-COUNTIF(C$4:C86,""Sell_Factory""))*(260*2^COUNTI"&amp;"F(C$4:C86,""Factory_up""))))"),1403.28)</f>
        <v>1403.28</v>
      </c>
      <c r="F86" s="73">
        <f>IFERROR(__xludf.DUMMYFUNCTION("IF(COUNTA(C86:C147)=0,"""",IF(REGEXMATCH(INDEX(FILTER(C$4:C86,C$4:C86&lt;&gt;""""),ROWS(FILTER(C$4:C86,C$4:C86&lt;&gt;""""))),""^Sell_""),INDEX(FILTER(F$4:F85,C$4:C85&lt;&gt;""""),ROWS(FILTER(C$4:C85,C$4:C85&lt;&gt;""""))),$AC$5*(2^SWITCH(COUNTIF(C$4:C86,""Cursor_up""),0,0,1,1,2"&amp;",2,3)+SWITCH(COUNTIF(C$4:C86,""Cursor_up""),4,0.1,0)*(ROW(C86)-4-COUNTIF(C$4:C86,""Cursor"")-COUNTIF(C$4:C86,""*""&amp;""_up"")-2*COUNTIF(C$4:C86,""Sell_""&amp;""*"")+COUNTIF(C$4:C86,""Sell_Cursor"")-COUNTIF(C$4:C86,""""))+0.01*E86*COUNTIF(C$4:C86,""Plastic_up"")"&amp;")+E86))"),1483.28)</f>
        <v>1483.28</v>
      </c>
      <c r="G86" s="14">
        <f>IFERROR(__xludf.DUMMYFUNCTION("IF(COUNTA(C86:C147)=0,"""",IF(REGEXMATCH(C86,""_up""),VLOOKUP(C86,Upgrades!$F$3:$J$8,1+COUNTIF(C$4:C86,C86),FALSE),IF(C86="""",0,IF(REGEXMATCH(C86,""^Sell_""),-ROUNDDOWN(ROUNDUP(INDEX(Upgrades!$C$3:$C$8,MATCH(SUBSTITUTE(C86,""Sell_"",""""),Upgrades!$B$3:$"&amp;"B$8,0))*1.15^(COUNTIF(C$4:C85,SUBSTITUTE(C86,""Sell_"",""""))-COUNTIF(C$4:C85,""Sell_""&amp;SUBSTITUTE(C86,""Sell_"",""""))))/4),ROUNDUP(INDEX(Upgrades!$C$3:$C$7,MATCH(C86,Upgrades!$B$3:$B$7,0))*1.15^(COUNTIF(C$4:C85,C86)-COUNTIF(C$4:C85,""Sell_""&amp;C86)))))))"),13613.0)</f>
        <v>13613</v>
      </c>
      <c r="H86" s="14">
        <f t="shared" si="3"/>
        <v>13613</v>
      </c>
      <c r="I86" s="75">
        <f t="shared" si="4"/>
        <v>2202702.333</v>
      </c>
      <c r="J86" s="76">
        <f t="shared" si="5"/>
        <v>893.7571499</v>
      </c>
      <c r="K86" s="71" t="str">
        <f t="shared" si="6"/>
        <v>14m 53s</v>
      </c>
      <c r="L86" s="77">
        <f t="shared" si="7"/>
        <v>362345</v>
      </c>
      <c r="M86" s="51">
        <f t="shared" si="8"/>
        <v>-1.04823</v>
      </c>
      <c r="N86" s="52">
        <f>IFERROR(__xludf.DUMMYFUNCTION("IFS(AND(COUNTA(C86:C147)=0,COUNTA(P86:P147)=0),"""",OR(AND(L86&gt;=1000000,OR(Y86&gt;=1000000,COUNTA(P86:P147)=0)),AND(Y86&gt;=1000000,COUNTA(C86:C147)=0),AND(COUNTA(P86:P147)=0,O$3=TRUE)),
ROUNDDOWN((AB$1-AC$1)*MAX(INDEX(S$4:S147,MATCH(LARGE(FILTER(Y$4:Y147,Y$4:Y"&amp;"147&lt;1000000),1),Y$4:Y147)),INDEX(F$4:F147,MATCH(LARGE(FILTER(L$4:L147,L$4:L147&lt;1000000),1),L$4:L147)))),AND(L86&lt;1000000,COUNTA(C86:C147)&gt;0,O$3=FALSE),
ROUNDDOWN(INDEX(Y$4:Y147,MATCH(LARGE(FILTER(W$4:W147,W$4:W147&lt;=J86),1),W$4:W147))+(J86-LARGE(FILTER(W$4:"&amp;"W147,W$4:W147&lt;=J86),1))*INDEX(S$4:S147,MATCH(LARGE(FILTER(W$4:W147,W$4:W147&lt;=J86),1),W$4:W147))-L86),1,
ROUNDDOWN(Y86-INDEX(L$4:L147,MATCH(LARGE(FILTER(J$4:J147,J$4:J147&lt;=W86),1),J$4:J147))-(W86-LARGE(FILTER(J$4:J147,J$4:J147&lt;=W86),1))*INDEX(F$4:F147,MATC"&amp;"H(LARGE(FILTER(J$4:J147,J$4:J147&lt;=W86),1),J$4:J147))))"),1510.0)</f>
        <v>1510</v>
      </c>
      <c r="O86" s="65">
        <f t="shared" si="9"/>
        <v>19</v>
      </c>
      <c r="P86" s="69" t="s">
        <v>16</v>
      </c>
      <c r="Q86" s="14" t="b">
        <f>IFERROR(__xludf.DUMMYFUNCTION("IF(COUNTA(P86:P147)=0,"""",IFERROR(IF(ISBLANK(P86),FALSE,IF(ISBLANK(T86),1,IF(NOT(COUNTIF($AA$24:$AA$34,SUBSTITUTE(P86,""Sell_"",""""))),1,IF(P86=""Plastic_up"",IF(V86&lt;1000,1),IF(P86=""Super_Up"",IF(OR(COUNTIF(P$4:P86,""Grandma"")-COUNTIF(P$4:P86,""Sell_G"&amp;"randma"")&lt;1,COUNTIF(P$4:P86,VLOOKUP(P86,Upgrades!$F$8:$N$8,7+COUNTIF(P$4:P86,P86)))-COUNTIF(P$4:P86,""Sell_""&amp;VLOOKUP(P86,Upgrades!$F$8:$N$8,7+COUNTIF(P$4:P86,P86)))&lt;15),1),IF(REGEXMATCH(P86,""_up""),IF(COUNTIF(P$4:P86,SUBSTITUTE(P86,""_up"",""""))&lt;IFERRO"&amp;"R(VLOOKUP(P86,Upgrades!$L$3:$P$6,1+COUNTIF(P$4:P86,P86),0),999),1),IF(REGEXMATCH(P86,""Sell_""),IF(COUNTIF(P$4:P86,SUBSTITUTE(P86,""Sell_"",""""))-COUNTIF(P$4:P85,P86)&lt;1,1),FALSE)))))))))"),FALSE)</f>
        <v>0</v>
      </c>
      <c r="R86" s="71">
        <f>IFERROR(__xludf.DUMMYFUNCTION("IF(REGEXMATCH(P86,""^Sell_""),R85, IF(COUNTA(P86:P147)=0,"""",(COUNTIF(P$4:P86,""Cursor"")-COUNTIF(P$4:P86,""Sell_Cursor""))*(0.1*2^SWITCH(COUNTIF(P$4:P86,""Cursor_up""),0,0,1,1,2,2,3)+SWITCH(COUNTIF(P$4:P86,""Cursor_up""),4,0.1,0)*(ROW(P86)-4-COUNTIF(P$4"&amp;":P86,""Cursor"")-COUNTIF(P$4:P86,""*""&amp;""_up"")-2*COUNTIF(P$4:P86,""Sell_""&amp;""*"")+COUNTIF(P$4:P86,""Sell_Cursor"")-COUNTIF(P$4:P86,"""")))+(COUNTIF(P$4:P86,""Grandma"")-COUNTIF(P$4:P86,""Sell_Grandma""))*(1*2^(COUNTIF(P$4:P86,""Grandma_up"")+COUNTIF(P$4:"&amp;"P86,""Super_up"")))+(COUNTIF(P$4:P86,""Farm"")-COUNTIF(P$4:P86,""Sell_Farm""))*(8*2^COUNTIF(P$4:P86,""Farm_up""))*IF(COUNTIF(P$4:P86,""Super_up"")&gt;0,1+0.01*(COUNTIF(P$4:P86,""Grandma"")-COUNTIF(P$4:P86,""Sell_Grandma"")),1)+(COUNTIF(P$4:P86,""Mine"")-COUN"&amp;"TIF(P$4:P86,""Sell_Mine""))*((47*2^COUNTIF(P$4:P86,""Mine_up""))*IF(COUNTIF(P$4:P86,""Super_up"")&gt;1,1+0.005*(COUNTIF(P$4:P86,""Grandma"")-COUNTIF(P$4:P86,""Sell_Grandma"")),1))+(COUNTIF(P$4:P86,""Factory"")-COUNTIF(P$4:P86,""Sell_Factory""))*(260*2^COUNTI"&amp;"F(P$4:P86,""Factory_up""))))"),1403.28)</f>
        <v>1403.28</v>
      </c>
      <c r="S86" s="73">
        <f>IFERROR(__xludf.DUMMYFUNCTION("IF(COUNTA(P86:P147)=0,"""",IF(REGEXMATCH(INDEX(FILTER(P$4:P86,P$4:P86&lt;&gt;""""),ROWS(FILTER(P$4:P86,P$4:P86&lt;&gt;""""))),""^Sell_""),INDEX(FILTER(S$4:S85,P$4:P85&lt;&gt;""""),ROWS(FILTER(P$4:P85,P$4:P85&lt;&gt;""""))),$AD$5*(2^SWITCH(COUNTIF(P$4:P86,""Cursor_up""),0,0,1,1,2"&amp;",2,3)+SWITCH(COUNTIF(P$4:P86,""Cursor_up""),4,0.1,0)*(ROW(P86)-4-COUNTIF(P$4:P86,""Cursor"")-COUNTIF(P$4:P86,""*""&amp;""_up"")-2*COUNTIF(P$4:P86,""Sell_""&amp;""*"")+COUNTIF(P$4:P86,""Sell_Cursor"")-COUNTIF(P$4:P86,""""))+0.01*R86*COUNTIF(P$4:P86,""Plastic_up"")"&amp;")+R86))"),1483.28)</f>
        <v>1483.28</v>
      </c>
      <c r="T86" s="14">
        <f>IFERROR(__xludf.DUMMYFUNCTION("IF(COUNTA(P86:P147)=0,"""",IF(REGEXMATCH(P86,""_up""),VLOOKUP(P86,Upgrades!$F$3:$J$8,1+COUNTIF(P$4:P86,P86),FALSE),IF(P86="""",0,IF(REGEXMATCH(P86,""^Sell_""),-ROUNDDOWN(ROUNDUP(INDEX(Upgrades!$C$3:$C$8,MATCH(SUBSTITUTE(P86,""Sell_"",""""),Upgrades!$B$3:$"&amp;"B$8,0))*1.15^(COUNTIF(P$4:P85,SUBSTITUTE(P86,""Sell_"",""""))-COUNTIF(P$4:P85,""Sell_""&amp;SUBSTITUTE(P86,""Sell_"",""""))))/4),ROUNDUP(INDEX(Upgrades!$C$3:$C$7,MATCH(P86,Upgrades!$B$3:$B$7,0))*1.15^(COUNTIF(P$4:P85,P86)-COUNTIF(P$4:P85,""Sell_""&amp;P86)))))))"),13613.0)</f>
        <v>13613</v>
      </c>
      <c r="U86" s="14">
        <f t="shared" si="10"/>
        <v>13613</v>
      </c>
      <c r="V86" s="75">
        <f t="shared" si="11"/>
        <v>2115443.18</v>
      </c>
      <c r="W86" s="76">
        <f t="shared" si="12"/>
        <v>892.7089135</v>
      </c>
      <c r="X86" s="71" t="str">
        <f t="shared" si="13"/>
        <v>14m 52s</v>
      </c>
      <c r="Y86" s="77">
        <f t="shared" si="14"/>
        <v>362345</v>
      </c>
      <c r="Z86" s="17"/>
      <c r="AA86" s="13"/>
      <c r="AB86" s="13"/>
      <c r="AC86" s="13"/>
      <c r="AD86" s="13"/>
      <c r="AE86" s="13"/>
      <c r="AF86" s="13"/>
      <c r="AG86" s="13"/>
    </row>
    <row r="87">
      <c r="A87" s="12"/>
      <c r="B87" s="65">
        <f t="shared" si="2"/>
        <v>3</v>
      </c>
      <c r="C87" s="69" t="s">
        <v>18</v>
      </c>
      <c r="D87" s="14" t="b">
        <f>IFERROR(__xludf.DUMMYFUNCTION("IF(COUNTA(C87:C147)=0,"""",IFERROR(IF(ISBLANK(C87),FALSE,IF(ISBLANK(G87),1,IF(NOT(COUNTIF($AA$24:$AA$34,SUBSTITUTE(C87,""Sell_"",""""))),1,IF(C87=""Plastic_up"",IF(I87&lt;1000,1),IF(C87=""Super_Up"",IF(OR(COUNTIF(C$4:C87,""Grandma"")-COUNTIF(C$4:C87,""Sell_G"&amp;"randma"")&lt;1,COUNTIF(C$4:C87,VLOOKUP(C87,Upgrades!$F$8:$N$8,7+COUNTIF(C$4:C87,C87)))-COUNTIF(C$4:C87,""Sell_""&amp;VLOOKUP(C87,Upgrades!$F$8:$N$8,7+COUNTIF(C$4:C87,C87)))&lt;15),1),IF(REGEXMATCH(C87,""_up""),IF(COUNTIF(C$4:C87,SUBSTITUTE(C87,""_up"",""""))&lt;IFERRO"&amp;"R(VLOOKUP(C87,Upgrades!$L$3:$P$6,1+COUNTIF(C$4:C87,C87),0),999),1),IF(REGEXMATCH(C87,""Sell_""),IF(COUNTIF(C$4:C87,SUBSTITUTE(C87,""Sell_"",""""))-COUNTIF(C$4:C86,C87)&lt;1,1),FALSE)))))))))"),FALSE)</f>
        <v>0</v>
      </c>
      <c r="E87" s="71">
        <f>IFERROR(__xludf.DUMMYFUNCTION("IF(REGEXMATCH(C87,""^Sell_""),E86, IF(COUNTA(C87:C147)=0,"""",(COUNTIF(C$4:C87,""Cursor"")-COUNTIF(C$4:C87,""Sell_Cursor""))*(0.1*2^SWITCH(COUNTIF(C$4:C87,""Cursor_up""),0,0,1,1,2,2,3)+SWITCH(COUNTIF(C$4:C87,""Cursor_up""),4,0.1,0)*(ROW(C87)-4-COUNTIF(C$4"&amp;":C87,""Cursor"")-COUNTIF(C$4:C87,""*""&amp;""_up"")-2*COUNTIF(C$4:C87,""Sell_""&amp;""*"")+COUNTIF(C$4:C87,""Sell_Cursor"")-COUNTIF(C$4:C87,"""")))+(COUNTIF(C$4:C87,""Grandma"")-COUNTIF(C$4:C87,""Sell_Grandma""))*(1*2^(COUNTIF(C$4:C87,""Grandma_up"")+COUNTIF(C$4:"&amp;"C87,""Super_up"")))+(COUNTIF(C$4:C87,""Farm"")-COUNTIF(C$4:C87,""Sell_Farm""))*(8*2^COUNTIF(C$4:C87,""Farm_up""))*IF(COUNTIF(C$4:C87,""Super_up"")&gt;0,1+0.01*(COUNTIF(C$4:C87,""Grandma"")-COUNTIF(C$4:C87,""Sell_Grandma"")),1)+(COUNTIF(C$4:C87,""Mine"")-COUN"&amp;"TIF(C$4:C87,""Sell_Mine""))*((47*2^COUNTIF(C$4:C87,""Mine_up""))*IF(COUNTIF(C$4:C87,""Super_up"")&gt;1,1+0.005*(COUNTIF(C$4:C87,""Grandma"")-COUNTIF(C$4:C87,""Sell_Grandma"")),1))+(COUNTIF(C$4:C87,""Factory"")-COUNTIF(C$4:C87,""Sell_Factory""))*(260*2^COUNTI"&amp;"F(C$4:C87,""Factory_up""))))"),1450.28)</f>
        <v>1450.28</v>
      </c>
      <c r="F87" s="73">
        <f>IFERROR(__xludf.DUMMYFUNCTION("IF(COUNTA(C87:C147)=0,"""",IF(REGEXMATCH(INDEX(FILTER(C$4:C87,C$4:C87&lt;&gt;""""),ROWS(FILTER(C$4:C87,C$4:C87&lt;&gt;""""))),""^Sell_""),INDEX(FILTER(F$4:F86,C$4:C86&lt;&gt;""""),ROWS(FILTER(C$4:C86,C$4:C86&lt;&gt;""""))),$AC$5*(2^SWITCH(COUNTIF(C$4:C87,""Cursor_up""),0,0,1,1,2"&amp;",2,3)+SWITCH(COUNTIF(C$4:C87,""Cursor_up""),4,0.1,0)*(ROW(C87)-4-COUNTIF(C$4:C87,""Cursor"")-COUNTIF(C$4:C87,""*""&amp;""_up"")-2*COUNTIF(C$4:C87,""Sell_""&amp;""*"")+COUNTIF(C$4:C87,""Sell_Cursor"")-COUNTIF(C$4:C87,""""))+0.01*E87*COUNTIF(C$4:C87,""Plastic_up"")"&amp;")+E87))"),1530.28)</f>
        <v>1530.28</v>
      </c>
      <c r="G87" s="14">
        <f>IFERROR(__xludf.DUMMYFUNCTION("IF(COUNTA(C87:C147)=0,"""",IF(REGEXMATCH(C87,""_up""),VLOOKUP(C87,Upgrades!$F$3:$J$8,1+COUNTIF(C$4:C87,C87),FALSE),IF(C87="""",0,IF(REGEXMATCH(C87,""^Sell_""),-ROUNDDOWN(ROUNDUP(INDEX(Upgrades!$C$3:$C$8,MATCH(SUBSTITUTE(C87,""Sell_"",""""),Upgrades!$B$3:$"&amp;"B$8,0))*1.15^(COUNTIF(C$4:C86,SUBSTITUTE(C87,""Sell_"",""""))-COUNTIF(C$4:C86,""Sell_""&amp;SUBSTITUTE(C87,""Sell_"",""""))))/4),ROUNDUP(INDEX(Upgrades!$C$3:$C$7,MATCH(C87,Upgrades!$B$3:$B$7,0))*1.15^(COUNTIF(C$4:C86,C87)-COUNTIF(C$4:C86,""Sell_""&amp;C87)))))))"),15870.0)</f>
        <v>15870</v>
      </c>
      <c r="H87" s="14">
        <f t="shared" si="3"/>
        <v>15870</v>
      </c>
      <c r="I87" s="75">
        <f t="shared" si="4"/>
        <v>2275058.846</v>
      </c>
      <c r="J87" s="76">
        <f t="shared" si="5"/>
        <v>904.456411</v>
      </c>
      <c r="K87" s="71" t="str">
        <f t="shared" si="6"/>
        <v>15m 04s</v>
      </c>
      <c r="L87" s="77">
        <f t="shared" si="7"/>
        <v>378215</v>
      </c>
      <c r="M87" s="51">
        <f t="shared" si="8"/>
        <v>-1.04823</v>
      </c>
      <c r="N87" s="52">
        <f>IFERROR(__xludf.DUMMYFUNCTION("IFS(AND(COUNTA(C87:C147)=0,COUNTA(P87:P147)=0),"""",OR(AND(L87&gt;=1000000,OR(Y87&gt;=1000000,COUNTA(P87:P147)=0)),AND(Y87&gt;=1000000,COUNTA(C87:C147)=0),AND(COUNTA(P87:P147)=0,O$3=TRUE)),
ROUNDDOWN((AB$1-AC$1)*MAX(INDEX(S$4:S147,MATCH(LARGE(FILTER(Y$4:Y147,Y$4:Y"&amp;"147&lt;1000000),1),Y$4:Y147)),INDEX(F$4:F147,MATCH(LARGE(FILTER(L$4:L147,L$4:L147&lt;1000000),1),L$4:L147)))),AND(L87&lt;1000000,COUNTA(C87:C147)&gt;0,O$3=FALSE),
ROUNDDOWN(INDEX(Y$4:Y147,MATCH(LARGE(FILTER(W$4:W147,W$4:W147&lt;=J87),1),W$4:W147))+(J87-LARGE(FILTER(W$4:"&amp;"W147,W$4:W147&lt;=J87),1))*INDEX(S$4:S147,MATCH(LARGE(FILTER(W$4:W147,W$4:W147&lt;=J87),1),W$4:W147))-L87),1,
ROUNDDOWN(Y87-INDEX(L$4:L147,MATCH(LARGE(FILTER(J$4:J147,J$4:J147&lt;=W87),1),J$4:J147))-(W87-LARGE(FILTER(J$4:J147,J$4:J147&lt;=W87),1))*INDEX(F$4:F147,MATC"&amp;"H(LARGE(FILTER(J$4:J147,J$4:J147&lt;=W87),1),J$4:J147))))"),1554.0)</f>
        <v>1554</v>
      </c>
      <c r="O87" s="65">
        <f t="shared" si="9"/>
        <v>3</v>
      </c>
      <c r="P87" s="69" t="s">
        <v>18</v>
      </c>
      <c r="Q87" s="14" t="b">
        <f>IFERROR(__xludf.DUMMYFUNCTION("IF(COUNTA(P87:P147)=0,"""",IFERROR(IF(ISBLANK(P87),FALSE,IF(ISBLANK(T87),1,IF(NOT(COUNTIF($AA$24:$AA$34,SUBSTITUTE(P87,""Sell_"",""""))),1,IF(P87=""Plastic_up"",IF(V87&lt;1000,1),IF(P87=""Super_Up"",IF(OR(COUNTIF(P$4:P87,""Grandma"")-COUNTIF(P$4:P87,""Sell_G"&amp;"randma"")&lt;1,COUNTIF(P$4:P87,VLOOKUP(P87,Upgrades!$F$8:$N$8,7+COUNTIF(P$4:P87,P87)))-COUNTIF(P$4:P87,""Sell_""&amp;VLOOKUP(P87,Upgrades!$F$8:$N$8,7+COUNTIF(P$4:P87,P87)))&lt;15),1),IF(REGEXMATCH(P87,""_up""),IF(COUNTIF(P$4:P87,SUBSTITUTE(P87,""_up"",""""))&lt;IFERRO"&amp;"R(VLOOKUP(P87,Upgrades!$L$3:$P$6,1+COUNTIF(P$4:P87,P87),0),999),1),IF(REGEXMATCH(P87,""Sell_""),IF(COUNTIF(P$4:P87,SUBSTITUTE(P87,""Sell_"",""""))-COUNTIF(P$4:P86,P87)&lt;1,1),FALSE)))))))))"),FALSE)</f>
        <v>0</v>
      </c>
      <c r="R87" s="71">
        <f>IFERROR(__xludf.DUMMYFUNCTION("IF(REGEXMATCH(P87,""^Sell_""),R86, IF(COUNTA(P87:P147)=0,"""",(COUNTIF(P$4:P87,""Cursor"")-COUNTIF(P$4:P87,""Sell_Cursor""))*(0.1*2^SWITCH(COUNTIF(P$4:P87,""Cursor_up""),0,0,1,1,2,2,3)+SWITCH(COUNTIF(P$4:P87,""Cursor_up""),4,0.1,0)*(ROW(P87)-4-COUNTIF(P$4"&amp;":P87,""Cursor"")-COUNTIF(P$4:P87,""*""&amp;""_up"")-2*COUNTIF(P$4:P87,""Sell_""&amp;""*"")+COUNTIF(P$4:P87,""Sell_Cursor"")-COUNTIF(P$4:P87,"""")))+(COUNTIF(P$4:P87,""Grandma"")-COUNTIF(P$4:P87,""Sell_Grandma""))*(1*2^(COUNTIF(P$4:P87,""Grandma_up"")+COUNTIF(P$4:"&amp;"P87,""Super_up"")))+(COUNTIF(P$4:P87,""Farm"")-COUNTIF(P$4:P87,""Sell_Farm""))*(8*2^COUNTIF(P$4:P87,""Farm_up""))*IF(COUNTIF(P$4:P87,""Super_up"")&gt;0,1+0.01*(COUNTIF(P$4:P87,""Grandma"")-COUNTIF(P$4:P87,""Sell_Grandma"")),1)+(COUNTIF(P$4:P87,""Mine"")-COUN"&amp;"TIF(P$4:P87,""Sell_Mine""))*((47*2^COUNTIF(P$4:P87,""Mine_up""))*IF(COUNTIF(P$4:P87,""Super_up"")&gt;1,1+0.005*(COUNTIF(P$4:P87,""Grandma"")-COUNTIF(P$4:P87,""Sell_Grandma"")),1))+(COUNTIF(P$4:P87,""Factory"")-COUNTIF(P$4:P87,""Sell_Factory""))*(260*2^COUNTI"&amp;"F(P$4:P87,""Factory_up""))))"),1450.28)</f>
        <v>1450.28</v>
      </c>
      <c r="S87" s="73">
        <f>IFERROR(__xludf.DUMMYFUNCTION("IF(COUNTA(P87:P147)=0,"""",IF(REGEXMATCH(INDEX(FILTER(P$4:P87,P$4:P87&lt;&gt;""""),ROWS(FILTER(P$4:P87,P$4:P87&lt;&gt;""""))),""^Sell_""),INDEX(FILTER(S$4:S86,P$4:P86&lt;&gt;""""),ROWS(FILTER(P$4:P86,P$4:P86&lt;&gt;""""))),$AD$5*(2^SWITCH(COUNTIF(P$4:P87,""Cursor_up""),0,0,1,1,2"&amp;",2,3)+SWITCH(COUNTIF(P$4:P87,""Cursor_up""),4,0.1,0)*(ROW(P87)-4-COUNTIF(P$4:P87,""Cursor"")-COUNTIF(P$4:P87,""*""&amp;""_up"")-2*COUNTIF(P$4:P87,""Sell_""&amp;""*"")+COUNTIF(P$4:P87,""Sell_Cursor"")-COUNTIF(P$4:P87,""""))+0.01*R87*COUNTIF(P$4:P87,""Plastic_up"")"&amp;")+R87))"),1530.28)</f>
        <v>1530.28</v>
      </c>
      <c r="T87" s="14">
        <f>IFERROR(__xludf.DUMMYFUNCTION("IF(COUNTA(P87:P147)=0,"""",IF(REGEXMATCH(P87,""_up""),VLOOKUP(P87,Upgrades!$F$3:$J$8,1+COUNTIF(P$4:P87,P87),FALSE),IF(P87="""",0,IF(REGEXMATCH(P87,""^Sell_""),-ROUNDDOWN(ROUNDUP(INDEX(Upgrades!$C$3:$C$8,MATCH(SUBSTITUTE(P87,""Sell_"",""""),Upgrades!$B$3:$"&amp;"B$8,0))*1.15^(COUNTIF(P$4:P86,SUBSTITUTE(P87,""Sell_"",""""))-COUNTIF(P$4:P86,""Sell_""&amp;SUBSTITUTE(P87,""Sell_"",""""))))/4),ROUNDUP(INDEX(Upgrades!$C$3:$C$7,MATCH(P87,Upgrades!$B$3:$B$7,0))*1.15^(COUNTIF(P$4:P86,P87)-COUNTIF(P$4:P86,""Sell_""&amp;P87)))))))"),15870.0)</f>
        <v>15870</v>
      </c>
      <c r="U87" s="14">
        <f t="shared" si="10"/>
        <v>15870</v>
      </c>
      <c r="V87" s="75">
        <f t="shared" si="11"/>
        <v>2187715.834</v>
      </c>
      <c r="W87" s="76">
        <f t="shared" si="12"/>
        <v>903.4081746</v>
      </c>
      <c r="X87" s="71" t="str">
        <f t="shared" si="13"/>
        <v>15m 03s</v>
      </c>
      <c r="Y87" s="77">
        <f t="shared" si="14"/>
        <v>378215</v>
      </c>
      <c r="Z87" s="17"/>
      <c r="AA87" s="13"/>
      <c r="AB87" s="13"/>
      <c r="AC87" s="13"/>
      <c r="AD87" s="13"/>
      <c r="AE87" s="13"/>
      <c r="AF87" s="13"/>
      <c r="AG87" s="13"/>
    </row>
    <row r="88">
      <c r="A88" s="12"/>
      <c r="B88" s="65">
        <f t="shared" si="2"/>
        <v>32</v>
      </c>
      <c r="C88" s="69" t="s">
        <v>13</v>
      </c>
      <c r="D88" s="14" t="b">
        <f>IFERROR(__xludf.DUMMYFUNCTION("IF(COUNTA(C88:C147)=0,"""",IFERROR(IF(ISBLANK(C88),FALSE,IF(ISBLANK(G88),1,IF(NOT(COUNTIF($AA$24:$AA$34,SUBSTITUTE(C88,""Sell_"",""""))),1,IF(C88=""Plastic_up"",IF(I88&lt;1000,1),IF(C88=""Super_Up"",IF(OR(COUNTIF(C$4:C88,""Grandma"")-COUNTIF(C$4:C88,""Sell_G"&amp;"randma"")&lt;1,COUNTIF(C$4:C88,VLOOKUP(C88,Upgrades!$F$8:$N$8,7+COUNTIF(C$4:C88,C88)))-COUNTIF(C$4:C88,""Sell_""&amp;VLOOKUP(C88,Upgrades!$F$8:$N$8,7+COUNTIF(C$4:C88,C88)))&lt;15),1),IF(REGEXMATCH(C88,""_up""),IF(COUNTIF(C$4:C88,SUBSTITUTE(C88,""_up"",""""))&lt;IFERRO"&amp;"R(VLOOKUP(C88,Upgrades!$L$3:$P$6,1+COUNTIF(C$4:C88,C88),0),999),1),IF(REGEXMATCH(C88,""Sell_""),IF(COUNTIF(C$4:C88,SUBSTITUTE(C88,""Sell_"",""""))-COUNTIF(C$4:C87,C88)&lt;1,1),FALSE)))))))))"),FALSE)</f>
        <v>0</v>
      </c>
      <c r="E88" s="71">
        <f>IFERROR(__xludf.DUMMYFUNCTION("IF(REGEXMATCH(C88,""^Sell_""),E87, IF(COUNTA(C88:C147)=0,"""",(COUNTIF(C$4:C88,""Cursor"")-COUNTIF(C$4:C88,""Sell_Cursor""))*(0.1*2^SWITCH(COUNTIF(C$4:C88,""Cursor_up""),0,0,1,1,2,2,3)+SWITCH(COUNTIF(C$4:C88,""Cursor_up""),4,0.1,0)*(ROW(C88)-4-COUNTIF(C$4"&amp;":C88,""Cursor"")-COUNTIF(C$4:C88,""*""&amp;""_up"")-2*COUNTIF(C$4:C88,""Sell_""&amp;""*"")+COUNTIF(C$4:C88,""Sell_Cursor"")-COUNTIF(C$4:C88,"""")))+(COUNTIF(C$4:C88,""Grandma"")-COUNTIF(C$4:C88,""Sell_Grandma""))*(1*2^(COUNTIF(C$4:C88,""Grandma_up"")+COUNTIF(C$4:"&amp;"C88,""Super_up"")))+(COUNTIF(C$4:C88,""Farm"")-COUNTIF(C$4:C88,""Sell_Farm""))*(8*2^COUNTIF(C$4:C88,""Farm_up""))*IF(COUNTIF(C$4:C88,""Super_up"")&gt;0,1+0.01*(COUNTIF(C$4:C88,""Grandma"")-COUNTIF(C$4:C88,""Sell_Grandma"")),1)+(COUNTIF(C$4:C88,""Mine"")-COUN"&amp;"TIF(C$4:C88,""Sell_Mine""))*((47*2^COUNTIF(C$4:C88,""Mine_up""))*IF(COUNTIF(C$4:C88,""Super_up"")&gt;1,1+0.005*(COUNTIF(C$4:C88,""Grandma"")-COUNTIF(C$4:C88,""Sell_Grandma"")),1))+(COUNTIF(C$4:C88,""Factory"")-COUNTIF(C$4:C88,""Sell_Factory""))*(260*2^COUNTI"&amp;"F(C$4:C88,""Factory_up""))))"),1472.3600000000001)</f>
        <v>1472.36</v>
      </c>
      <c r="F88" s="73">
        <f>IFERROR(__xludf.DUMMYFUNCTION("IF(COUNTA(C88:C147)=0,"""",IF(REGEXMATCH(INDEX(FILTER(C$4:C88,C$4:C88&lt;&gt;""""),ROWS(FILTER(C$4:C88,C$4:C88&lt;&gt;""""))),""^Sell_""),INDEX(FILTER(F$4:F87,C$4:C87&lt;&gt;""""),ROWS(FILTER(C$4:C87,C$4:C87&lt;&gt;""""))),$AC$5*(2^SWITCH(COUNTIF(C$4:C88,""Cursor_up""),0,0,1,1,2"&amp;",2,3)+SWITCH(COUNTIF(C$4:C88,""Cursor_up""),4,0.1,0)*(ROW(C88)-4-COUNTIF(C$4:C88,""Cursor"")-COUNTIF(C$4:C88,""*""&amp;""_up"")-2*COUNTIF(C$4:C88,""Sell_""&amp;""*"")+COUNTIF(C$4:C88,""Sell_Cursor"")-COUNTIF(C$4:C88,""""))+0.01*E88*COUNTIF(C$4:C88,""Plastic_up"")"&amp;")+E88))"),1552.3600000000001)</f>
        <v>1552.36</v>
      </c>
      <c r="G88" s="14">
        <f>IFERROR(__xludf.DUMMYFUNCTION("IF(COUNTA(C88:C147)=0,"""",IF(REGEXMATCH(C88,""_up""),VLOOKUP(C88,Upgrades!$F$3:$J$8,1+COUNTIF(C$4:C88,C88),FALSE),IF(C88="""",0,IF(REGEXMATCH(C88,""^Sell_""),-ROUNDDOWN(ROUNDUP(INDEX(Upgrades!$C$3:$C$8,MATCH(SUBSTITUTE(C88,""Sell_"",""""),Upgrades!$B$3:$"&amp;"B$8,0))*1.15^(COUNTIF(C$4:C87,SUBSTITUTE(C88,""Sell_"",""""))-COUNTIF(C$4:C87,""Sell_""&amp;SUBSTITUTE(C88,""Sell_"",""""))))/4),ROUNDUP(INDEX(Upgrades!$C$3:$C$7,MATCH(C88,Upgrades!$B$3:$B$7,0))*1.15^(COUNTIF(C$4:C87,C88)-COUNTIF(C$4:C87,""Sell_""&amp;C88)))))))"),7615.0)</f>
        <v>7615</v>
      </c>
      <c r="H88" s="14">
        <f t="shared" si="3"/>
        <v>7615</v>
      </c>
      <c r="I88" s="75">
        <f t="shared" si="4"/>
        <v>2347813.455</v>
      </c>
      <c r="J88" s="76">
        <f t="shared" si="5"/>
        <v>909.4326245</v>
      </c>
      <c r="K88" s="71" t="str">
        <f t="shared" si="6"/>
        <v>15m 09s</v>
      </c>
      <c r="L88" s="77">
        <f t="shared" si="7"/>
        <v>385830</v>
      </c>
      <c r="M88" s="51">
        <f t="shared" si="8"/>
        <v>-1.04823</v>
      </c>
      <c r="N88" s="52">
        <f>IFERROR(__xludf.DUMMYFUNCTION("IFS(AND(COUNTA(C88:C147)=0,COUNTA(P88:P147)=0),"""",OR(AND(L88&gt;=1000000,OR(Y88&gt;=1000000,COUNTA(P88:P147)=0)),AND(Y88&gt;=1000000,COUNTA(C88:C147)=0),AND(COUNTA(P88:P147)=0,O$3=TRUE)),
ROUNDDOWN((AB$1-AC$1)*MAX(INDEX(S$4:S147,MATCH(LARGE(FILTER(Y$4:Y147,Y$4:Y"&amp;"147&lt;1000000),1),Y$4:Y147)),INDEX(F$4:F147,MATCH(LARGE(FILTER(L$4:L147,L$4:L147&lt;1000000),1),L$4:L147)))),AND(L88&lt;1000000,COUNTA(C88:C147)&gt;0,O$3=FALSE),
ROUNDDOWN(INDEX(Y$4:Y147,MATCH(LARGE(FILTER(W$4:W147,W$4:W147&lt;=J88),1),W$4:W147))+(J88-LARGE(FILTER(W$4:"&amp;"W147,W$4:W147&lt;=J88),1))*INDEX(S$4:S147,MATCH(LARGE(FILTER(W$4:W147,W$4:W147&lt;=J88),1),W$4:W147))-L88),1,
ROUNDDOWN(Y88-INDEX(L$4:L147,MATCH(LARGE(FILTER(J$4:J147,J$4:J147&lt;=W88),1),J$4:J147))-(W88-LARGE(FILTER(J$4:J147,J$4:J147&lt;=W88),1))*INDEX(F$4:F147,MATC"&amp;"H(LARGE(FILTER(J$4:J147,J$4:J147&lt;=W88),1),J$4:J147))))"),1604.0)</f>
        <v>1604</v>
      </c>
      <c r="O88" s="65">
        <f t="shared" si="9"/>
        <v>32</v>
      </c>
      <c r="P88" s="69" t="s">
        <v>13</v>
      </c>
      <c r="Q88" s="14" t="b">
        <f>IFERROR(__xludf.DUMMYFUNCTION("IF(COUNTA(P88:P147)=0,"""",IFERROR(IF(ISBLANK(P88),FALSE,IF(ISBLANK(T88),1,IF(NOT(COUNTIF($AA$24:$AA$34,SUBSTITUTE(P88,""Sell_"",""""))),1,IF(P88=""Plastic_up"",IF(V88&lt;1000,1),IF(P88=""Super_Up"",IF(OR(COUNTIF(P$4:P88,""Grandma"")-COUNTIF(P$4:P88,""Sell_G"&amp;"randma"")&lt;1,COUNTIF(P$4:P88,VLOOKUP(P88,Upgrades!$F$8:$N$8,7+COUNTIF(P$4:P88,P88)))-COUNTIF(P$4:P88,""Sell_""&amp;VLOOKUP(P88,Upgrades!$F$8:$N$8,7+COUNTIF(P$4:P88,P88)))&lt;15),1),IF(REGEXMATCH(P88,""_up""),IF(COUNTIF(P$4:P88,SUBSTITUTE(P88,""_up"",""""))&lt;IFERRO"&amp;"R(VLOOKUP(P88,Upgrades!$L$3:$P$6,1+COUNTIF(P$4:P88,P88),0),999),1),IF(REGEXMATCH(P88,""Sell_""),IF(COUNTIF(P$4:P88,SUBSTITUTE(P88,""Sell_"",""""))-COUNTIF(P$4:P87,P88)&lt;1,1),FALSE)))))))))"),FALSE)</f>
        <v>0</v>
      </c>
      <c r="R88" s="71">
        <f>IFERROR(__xludf.DUMMYFUNCTION("IF(REGEXMATCH(P88,""^Sell_""),R87, IF(COUNTA(P88:P147)=0,"""",(COUNTIF(P$4:P88,""Cursor"")-COUNTIF(P$4:P88,""Sell_Cursor""))*(0.1*2^SWITCH(COUNTIF(P$4:P88,""Cursor_up""),0,0,1,1,2,2,3)+SWITCH(COUNTIF(P$4:P88,""Cursor_up""),4,0.1,0)*(ROW(P88)-4-COUNTIF(P$4"&amp;":P88,""Cursor"")-COUNTIF(P$4:P88,""*""&amp;""_up"")-2*COUNTIF(P$4:P88,""Sell_""&amp;""*"")+COUNTIF(P$4:P88,""Sell_Cursor"")-COUNTIF(P$4:P88,"""")))+(COUNTIF(P$4:P88,""Grandma"")-COUNTIF(P$4:P88,""Sell_Grandma""))*(1*2^(COUNTIF(P$4:P88,""Grandma_up"")+COUNTIF(P$4:"&amp;"P88,""Super_up"")))+(COUNTIF(P$4:P88,""Farm"")-COUNTIF(P$4:P88,""Sell_Farm""))*(8*2^COUNTIF(P$4:P88,""Farm_up""))*IF(COUNTIF(P$4:P88,""Super_up"")&gt;0,1+0.01*(COUNTIF(P$4:P88,""Grandma"")-COUNTIF(P$4:P88,""Sell_Grandma"")),1)+(COUNTIF(P$4:P88,""Mine"")-COUN"&amp;"TIF(P$4:P88,""Sell_Mine""))*((47*2^COUNTIF(P$4:P88,""Mine_up""))*IF(COUNTIF(P$4:P88,""Super_up"")&gt;1,1+0.005*(COUNTIF(P$4:P88,""Grandma"")-COUNTIF(P$4:P88,""Sell_Grandma"")),1))+(COUNTIF(P$4:P88,""Factory"")-COUNTIF(P$4:P88,""Sell_Factory""))*(260*2^COUNTI"&amp;"F(P$4:P88,""Factory_up""))))"),1472.3600000000001)</f>
        <v>1472.36</v>
      </c>
      <c r="S88" s="73">
        <f>IFERROR(__xludf.DUMMYFUNCTION("IF(COUNTA(P88:P147)=0,"""",IF(REGEXMATCH(INDEX(FILTER(P$4:P88,P$4:P88&lt;&gt;""""),ROWS(FILTER(P$4:P88,P$4:P88&lt;&gt;""""))),""^Sell_""),INDEX(FILTER(S$4:S87,P$4:P87&lt;&gt;""""),ROWS(FILTER(P$4:P87,P$4:P87&lt;&gt;""""))),$AD$5*(2^SWITCH(COUNTIF(P$4:P88,""Cursor_up""),0,0,1,1,2"&amp;",2,3)+SWITCH(COUNTIF(P$4:P88,""Cursor_up""),4,0.1,0)*(ROW(P88)-4-COUNTIF(P$4:P88,""Cursor"")-COUNTIF(P$4:P88,""*""&amp;""_up"")-2*COUNTIF(P$4:P88,""Sell_""&amp;""*"")+COUNTIF(P$4:P88,""Sell_Cursor"")-COUNTIF(P$4:P88,""""))+0.01*R88*COUNTIF(P$4:P88,""Plastic_up"")"&amp;")+R88))"),1552.3600000000001)</f>
        <v>1552.36</v>
      </c>
      <c r="T88" s="14">
        <f>IFERROR(__xludf.DUMMYFUNCTION("IF(COUNTA(P88:P147)=0,"""",IF(REGEXMATCH(P88,""_up""),VLOOKUP(P88,Upgrades!$F$3:$J$8,1+COUNTIF(P$4:P88,P88),FALSE),IF(P88="""",0,IF(REGEXMATCH(P88,""^Sell_""),-ROUNDDOWN(ROUNDUP(INDEX(Upgrades!$C$3:$C$8,MATCH(SUBSTITUTE(P88,""Sell_"",""""),Upgrades!$B$3:$"&amp;"B$8,0))*1.15^(COUNTIF(P$4:P87,SUBSTITUTE(P88,""Sell_"",""""))-COUNTIF(P$4:P87,""Sell_""&amp;SUBSTITUTE(P88,""Sell_"",""""))))/4),ROUNDUP(INDEX(Upgrades!$C$3:$C$7,MATCH(P88,Upgrades!$B$3:$B$7,0))*1.15^(COUNTIF(P$4:P87,P88)-COUNTIF(P$4:P87,""Sell_""&amp;P88)))))))"),7615.0)</f>
        <v>7615</v>
      </c>
      <c r="U88" s="14">
        <f t="shared" si="10"/>
        <v>7615</v>
      </c>
      <c r="V88" s="75">
        <f t="shared" si="11"/>
        <v>2260386.586</v>
      </c>
      <c r="W88" s="76">
        <f t="shared" si="12"/>
        <v>908.3843881</v>
      </c>
      <c r="X88" s="71" t="str">
        <f t="shared" si="13"/>
        <v>15m 08s</v>
      </c>
      <c r="Y88" s="77">
        <f t="shared" si="14"/>
        <v>385830</v>
      </c>
      <c r="Z88" s="17"/>
      <c r="AA88" s="13"/>
      <c r="AB88" s="13"/>
      <c r="AC88" s="13"/>
      <c r="AD88" s="13"/>
      <c r="AE88" s="13"/>
      <c r="AF88" s="13"/>
      <c r="AG88" s="13"/>
    </row>
    <row r="89">
      <c r="A89" s="12"/>
      <c r="B89" s="65">
        <f t="shared" si="2"/>
        <v>1</v>
      </c>
      <c r="C89" s="69" t="s">
        <v>21</v>
      </c>
      <c r="D89" s="14" t="b">
        <f>IFERROR(__xludf.DUMMYFUNCTION("IF(COUNTA(C89:C147)=0,"""",IFERROR(IF(ISBLANK(C89),FALSE,IF(ISBLANK(G89),1,IF(NOT(COUNTIF($AA$24:$AA$34,SUBSTITUTE(C89,""Sell_"",""""))),1,IF(C89=""Plastic_up"",IF(I89&lt;1000,1),IF(C89=""Super_Up"",IF(OR(COUNTIF(C$4:C89,""Grandma"")-COUNTIF(C$4:C89,""Sell_G"&amp;"randma"")&lt;1,COUNTIF(C$4:C89,VLOOKUP(C89,Upgrades!$F$8:$N$8,7+COUNTIF(C$4:C89,C89)))-COUNTIF(C$4:C89,""Sell_""&amp;VLOOKUP(C89,Upgrades!$F$8:$N$8,7+COUNTIF(C$4:C89,C89)))&lt;15),1),IF(REGEXMATCH(C89,""_up""),IF(COUNTIF(C$4:C89,SUBSTITUTE(C89,""_up"",""""))&lt;IFERRO"&amp;"R(VLOOKUP(C89,Upgrades!$L$3:$P$6,1+COUNTIF(C$4:C89,C89),0),999),1),IF(REGEXMATCH(C89,""Sell_""),IF(COUNTIF(C$4:C89,SUBSTITUTE(C89,""Sell_"",""""))-COUNTIF(C$4:C88,C89)&lt;1,1),FALSE)))))))))"),FALSE)</f>
        <v>0</v>
      </c>
      <c r="E89" s="71">
        <f>IFERROR(__xludf.DUMMYFUNCTION("IF(REGEXMATCH(C89,""^Sell_""),E88, IF(COUNTA(C89:C147)=0,"""",(COUNTIF(C$4:C89,""Cursor"")-COUNTIF(C$4:C89,""Sell_Cursor""))*(0.1*2^SWITCH(COUNTIF(C$4:C89,""Cursor_up""),0,0,1,1,2,2,3)+SWITCH(COUNTIF(C$4:C89,""Cursor_up""),4,0.1,0)*(ROW(C89)-4-COUNTIF(C$4"&amp;":C89,""Cursor"")-COUNTIF(C$4:C89,""*""&amp;""_up"")-2*COUNTIF(C$4:C89,""Sell_""&amp;""*"")+COUNTIF(C$4:C89,""Sell_Cursor"")-COUNTIF(C$4:C89,"""")))+(COUNTIF(C$4:C89,""Grandma"")-COUNTIF(C$4:C89,""Sell_Grandma""))*(1*2^(COUNTIF(C$4:C89,""Grandma_up"")+COUNTIF(C$4:"&amp;"C89,""Super_up"")))+(COUNTIF(C$4:C89,""Farm"")-COUNTIF(C$4:C89,""Sell_Farm""))*(8*2^COUNTIF(C$4:C89,""Farm_up""))*IF(COUNTIF(C$4:C89,""Super_up"")&gt;0,1+0.01*(COUNTIF(C$4:C89,""Grandma"")-COUNTIF(C$4:C89,""Sell_Grandma"")),1)+(COUNTIF(C$4:C89,""Mine"")-COUN"&amp;"TIF(C$4:C89,""Sell_Mine""))*((47*2^COUNTIF(C$4:C89,""Mine_up""))*IF(COUNTIF(C$4:C89,""Super_up"")&gt;1,1+0.005*(COUNTIF(C$4:C89,""Grandma"")-COUNTIF(C$4:C89,""Sell_Grandma"")),1))+(COUNTIF(C$4:C89,""Factory"")-COUNTIF(C$4:C89,""Sell_Factory""))*(260*2^COUNTI"&amp;"F(C$4:C89,""Factory_up""))))"),1472.3600000000001)</f>
        <v>1472.36</v>
      </c>
      <c r="F89" s="73">
        <f>IFERROR(__xludf.DUMMYFUNCTION("IF(COUNTA(C89:C147)=0,"""",IF(REGEXMATCH(INDEX(FILTER(C$4:C89,C$4:C89&lt;&gt;""""),ROWS(FILTER(C$4:C89,C$4:C89&lt;&gt;""""))),""^Sell_""),INDEX(FILTER(F$4:F88,C$4:C88&lt;&gt;""""),ROWS(FILTER(C$4:C88,C$4:C88&lt;&gt;""""))),$AC$5*(2^SWITCH(COUNTIF(C$4:C89,""Cursor_up""),0,0,1,1,2"&amp;",2,3)+SWITCH(COUNTIF(C$4:C89,""Cursor_up""),4,0.1,0)*(ROW(C89)-4-COUNTIF(C$4:C89,""Cursor"")-COUNTIF(C$4:C89,""*""&amp;""_up"")-2*COUNTIF(C$4:C89,""Sell_""&amp;""*"")+COUNTIF(C$4:C89,""Sell_Cursor"")-COUNTIF(C$4:C89,""""))+0.01*E89*COUNTIF(C$4:C89,""Plastic_up"")"&amp;")+E89))"),1699.5960000000002)</f>
        <v>1699.596</v>
      </c>
      <c r="G89" s="14">
        <f>IFERROR(__xludf.DUMMYFUNCTION("IF(COUNTA(C89:C147)=0,"""",IF(REGEXMATCH(C89,""_up""),VLOOKUP(C89,Upgrades!$F$3:$J$8,1+COUNTIF(C$4:C89,C89),FALSE),IF(C89="""",0,IF(REGEXMATCH(C89,""^Sell_""),-ROUNDDOWN(ROUNDUP(INDEX(Upgrades!$C$3:$C$8,MATCH(SUBSTITUTE(C89,""Sell_"",""""),Upgrades!$B$3:$"&amp;"B$8,0))*1.15^(COUNTIF(C$4:C88,SUBSTITUTE(C89,""Sell_"",""""))-COUNTIF(C$4:C88,""Sell_""&amp;SUBSTITUTE(C89,""Sell_"",""""))))/4),ROUNDUP(INDEX(Upgrades!$C$3:$C$7,MATCH(C89,Upgrades!$B$3:$B$7,0))*1.15^(COUNTIF(C$4:C88,C89)-COUNTIF(C$4:C88,""Sell_""&amp;C89)))))))"),50000.0)</f>
        <v>50000</v>
      </c>
      <c r="H89" s="14">
        <f t="shared" si="3"/>
        <v>50000</v>
      </c>
      <c r="I89" s="75">
        <f t="shared" si="4"/>
        <v>2423144.787</v>
      </c>
      <c r="J89" s="76">
        <f t="shared" si="5"/>
        <v>941.6416482</v>
      </c>
      <c r="K89" s="71" t="str">
        <f t="shared" si="6"/>
        <v>15m 41s</v>
      </c>
      <c r="L89" s="77">
        <f t="shared" si="7"/>
        <v>435830</v>
      </c>
      <c r="M89" s="51">
        <f t="shared" si="8"/>
        <v>-1.04823</v>
      </c>
      <c r="N89" s="52">
        <f>IFERROR(__xludf.DUMMYFUNCTION("IFS(AND(COUNTA(C89:C147)=0,COUNTA(P89:P147)=0),"""",OR(AND(L89&gt;=1000000,OR(Y89&gt;=1000000,COUNTA(P89:P147)=0)),AND(Y89&gt;=1000000,COUNTA(C89:C147)=0),AND(COUNTA(P89:P147)=0,O$3=TRUE)),
ROUNDDOWN((AB$1-AC$1)*MAX(INDEX(S$4:S147,MATCH(LARGE(FILTER(Y$4:Y147,Y$4:Y"&amp;"147&lt;1000000),1),Y$4:Y147)),INDEX(F$4:F147,MATCH(LARGE(FILTER(L$4:L147,L$4:L147&lt;1000000),1),L$4:L147)))),AND(L89&lt;1000000,COUNTA(C89:C147)&gt;0,O$3=FALSE),
ROUNDDOWN(INDEX(Y$4:Y147,MATCH(LARGE(FILTER(W$4:W147,W$4:W147&lt;=J89),1),W$4:W147))+(J89-LARGE(FILTER(W$4:"&amp;"W147,W$4:W147&lt;=J89),1))*INDEX(S$4:S147,MATCH(LARGE(FILTER(W$4:W147,W$4:W147&lt;=J89),1),W$4:W147))-L89),1,
ROUNDDOWN(Y89-INDEX(L$4:L147,MATCH(LARGE(FILTER(J$4:J147,J$4:J147&lt;=W89),1),J$4:J147))-(W89-LARGE(FILTER(J$4:J147,J$4:J147&lt;=W89),1))*INDEX(F$4:F147,MATC"&amp;"H(LARGE(FILTER(J$4:J147,J$4:J147&lt;=W89),1),J$4:J147))))"),1627.0)</f>
        <v>1627</v>
      </c>
      <c r="O89" s="65">
        <f t="shared" si="9"/>
        <v>1</v>
      </c>
      <c r="P89" s="69" t="s">
        <v>21</v>
      </c>
      <c r="Q89" s="14" t="b">
        <f>IFERROR(__xludf.DUMMYFUNCTION("IF(COUNTA(P89:P147)=0,"""",IFERROR(IF(ISBLANK(P89),FALSE,IF(ISBLANK(T89),1,IF(NOT(COUNTIF($AA$24:$AA$34,SUBSTITUTE(P89,""Sell_"",""""))),1,IF(P89=""Plastic_up"",IF(V89&lt;1000,1),IF(P89=""Super_Up"",IF(OR(COUNTIF(P$4:P89,""Grandma"")-COUNTIF(P$4:P89,""Sell_G"&amp;"randma"")&lt;1,COUNTIF(P$4:P89,VLOOKUP(P89,Upgrades!$F$8:$N$8,7+COUNTIF(P$4:P89,P89)))-COUNTIF(P$4:P89,""Sell_""&amp;VLOOKUP(P89,Upgrades!$F$8:$N$8,7+COUNTIF(P$4:P89,P89)))&lt;15),1),IF(REGEXMATCH(P89,""_up""),IF(COUNTIF(P$4:P89,SUBSTITUTE(P89,""_up"",""""))&lt;IFERRO"&amp;"R(VLOOKUP(P89,Upgrades!$L$3:$P$6,1+COUNTIF(P$4:P89,P89),0),999),1),IF(REGEXMATCH(P89,""Sell_""),IF(COUNTIF(P$4:P89,SUBSTITUTE(P89,""Sell_"",""""))-COUNTIF(P$4:P88,P89)&lt;1,1),FALSE)))))))))"),FALSE)</f>
        <v>0</v>
      </c>
      <c r="R89" s="71">
        <f>IFERROR(__xludf.DUMMYFUNCTION("IF(REGEXMATCH(P89,""^Sell_""),R88, IF(COUNTA(P89:P147)=0,"""",(COUNTIF(P$4:P89,""Cursor"")-COUNTIF(P$4:P89,""Sell_Cursor""))*(0.1*2^SWITCH(COUNTIF(P$4:P89,""Cursor_up""),0,0,1,1,2,2,3)+SWITCH(COUNTIF(P$4:P89,""Cursor_up""),4,0.1,0)*(ROW(P89)-4-COUNTIF(P$4"&amp;":P89,""Cursor"")-COUNTIF(P$4:P89,""*""&amp;""_up"")-2*COUNTIF(P$4:P89,""Sell_""&amp;""*"")+COUNTIF(P$4:P89,""Sell_Cursor"")-COUNTIF(P$4:P89,"""")))+(COUNTIF(P$4:P89,""Grandma"")-COUNTIF(P$4:P89,""Sell_Grandma""))*(1*2^(COUNTIF(P$4:P89,""Grandma_up"")+COUNTIF(P$4:"&amp;"P89,""Super_up"")))+(COUNTIF(P$4:P89,""Farm"")-COUNTIF(P$4:P89,""Sell_Farm""))*(8*2^COUNTIF(P$4:P89,""Farm_up""))*IF(COUNTIF(P$4:P89,""Super_up"")&gt;0,1+0.01*(COUNTIF(P$4:P89,""Grandma"")-COUNTIF(P$4:P89,""Sell_Grandma"")),1)+(COUNTIF(P$4:P89,""Mine"")-COUN"&amp;"TIF(P$4:P89,""Sell_Mine""))*((47*2^COUNTIF(P$4:P89,""Mine_up""))*IF(COUNTIF(P$4:P89,""Super_up"")&gt;1,1+0.005*(COUNTIF(P$4:P89,""Grandma"")-COUNTIF(P$4:P89,""Sell_Grandma"")),1))+(COUNTIF(P$4:P89,""Factory"")-COUNTIF(P$4:P89,""Sell_Factory""))*(260*2^COUNTI"&amp;"F(P$4:P89,""Factory_up""))))"),1472.3600000000001)</f>
        <v>1472.36</v>
      </c>
      <c r="S89" s="73">
        <f>IFERROR(__xludf.DUMMYFUNCTION("IF(COUNTA(P89:P147)=0,"""",IF(REGEXMATCH(INDEX(FILTER(P$4:P89,P$4:P89&lt;&gt;""""),ROWS(FILTER(P$4:P89,P$4:P89&lt;&gt;""""))),""^Sell_""),INDEX(FILTER(S$4:S88,P$4:P88&lt;&gt;""""),ROWS(FILTER(P$4:P88,P$4:P88&lt;&gt;""""))),$AD$5*(2^SWITCH(COUNTIF(P$4:P89,""Cursor_up""),0,0,1,1,2"&amp;",2,3)+SWITCH(COUNTIF(P$4:P89,""Cursor_up""),4,0.1,0)*(ROW(P89)-4-COUNTIF(P$4:P89,""Cursor"")-COUNTIF(P$4:P89,""*""&amp;""_up"")-2*COUNTIF(P$4:P89,""Sell_""&amp;""*"")+COUNTIF(P$4:P89,""Sell_Cursor"")-COUNTIF(P$4:P89,""""))+0.01*R89*COUNTIF(P$4:P89,""Plastic_up"")"&amp;")+R89))"),1699.5960000000002)</f>
        <v>1699.596</v>
      </c>
      <c r="T89" s="14">
        <f>IFERROR(__xludf.DUMMYFUNCTION("IF(COUNTA(P89:P147)=0,"""",IF(REGEXMATCH(P89,""_up""),VLOOKUP(P89,Upgrades!$F$3:$J$8,1+COUNTIF(P$4:P89,P89),FALSE),IF(P89="""",0,IF(REGEXMATCH(P89,""^Sell_""),-ROUNDDOWN(ROUNDUP(INDEX(Upgrades!$C$3:$C$8,MATCH(SUBSTITUTE(P89,""Sell_"",""""),Upgrades!$B$3:$"&amp;"B$8,0))*1.15^(COUNTIF(P$4:P88,SUBSTITUTE(P89,""Sell_"",""""))-COUNTIF(P$4:P88,""Sell_""&amp;SUBSTITUTE(P89,""Sell_"",""""))))/4),ROUNDUP(INDEX(Upgrades!$C$3:$C$7,MATCH(P89,Upgrades!$B$3:$B$7,0))*1.15^(COUNTIF(P$4:P88,P89)-COUNTIF(P$4:P88,""Sell_""&amp;P89)))))))"),50000.0)</f>
        <v>50000</v>
      </c>
      <c r="U89" s="14">
        <f t="shared" si="10"/>
        <v>50000</v>
      </c>
      <c r="V89" s="75">
        <f t="shared" si="11"/>
        <v>2335634.058</v>
      </c>
      <c r="W89" s="76">
        <f t="shared" si="12"/>
        <v>940.5934118</v>
      </c>
      <c r="X89" s="71" t="str">
        <f t="shared" si="13"/>
        <v>15m 40s</v>
      </c>
      <c r="Y89" s="77">
        <f t="shared" si="14"/>
        <v>435830</v>
      </c>
      <c r="Z89" s="17"/>
      <c r="AA89" s="13"/>
      <c r="AB89" s="13"/>
      <c r="AC89" s="13"/>
      <c r="AD89" s="13"/>
      <c r="AE89" s="13"/>
      <c r="AF89" s="13"/>
      <c r="AG89" s="13"/>
    </row>
    <row r="90">
      <c r="A90" s="12"/>
      <c r="B90" s="65">
        <f t="shared" si="2"/>
        <v>22</v>
      </c>
      <c r="C90" s="69" t="s">
        <v>10</v>
      </c>
      <c r="D90" s="14" t="b">
        <f>IFERROR(__xludf.DUMMYFUNCTION("IF(COUNTA(C90:C147)=0,"""",IFERROR(IF(ISBLANK(C90),FALSE,IF(ISBLANK(G90),1,IF(NOT(COUNTIF($AA$24:$AA$34,SUBSTITUTE(C90,""Sell_"",""""))),1,IF(C90=""Plastic_up"",IF(I90&lt;1000,1),IF(C90=""Super_Up"",IF(OR(COUNTIF(C$4:C90,""Grandma"")-COUNTIF(C$4:C90,""Sell_G"&amp;"randma"")&lt;1,COUNTIF(C$4:C90,VLOOKUP(C90,Upgrades!$F$8:$N$8,7+COUNTIF(C$4:C90,C90)))-COUNTIF(C$4:C90,""Sell_""&amp;VLOOKUP(C90,Upgrades!$F$8:$N$8,7+COUNTIF(C$4:C90,C90)))&lt;15),1),IF(REGEXMATCH(C90,""_up""),IF(COUNTIF(C$4:C90,SUBSTITUTE(C90,""_up"",""""))&lt;IFERRO"&amp;"R(VLOOKUP(C90,Upgrades!$L$3:$P$6,1+COUNTIF(C$4:C90,C90),0),999),1),IF(REGEXMATCH(C90,""Sell_""),IF(COUNTIF(C$4:C90,SUBSTITUTE(C90,""Sell_"",""""))-COUNTIF(C$4:C89,C90)&lt;1,1),FALSE)))))))))"),FALSE)</f>
        <v>0</v>
      </c>
      <c r="E90" s="71">
        <f>IFERROR(__xludf.DUMMYFUNCTION("IF(REGEXMATCH(C90,""^Sell_""),E89, IF(COUNTA(C90:C147)=0,"""",(COUNTIF(C$4:C90,""Cursor"")-COUNTIF(C$4:C90,""Sell_Cursor""))*(0.1*2^SWITCH(COUNTIF(C$4:C90,""Cursor_up""),0,0,1,1,2,2,3)+SWITCH(COUNTIF(C$4:C90,""Cursor_up""),4,0.1,0)*(ROW(C90)-4-COUNTIF(C$4"&amp;":C90,""Cursor"")-COUNTIF(C$4:C90,""*""&amp;""_up"")-2*COUNTIF(C$4:C90,""Sell_""&amp;""*"")+COUNTIF(C$4:C90,""Sell_Cursor"")-COUNTIF(C$4:C90,"""")))+(COUNTIF(C$4:C90,""Grandma"")-COUNTIF(C$4:C90,""Sell_Grandma""))*(1*2^(COUNTIF(C$4:C90,""Grandma_up"")+COUNTIF(C$4:"&amp;"C90,""Super_up"")))+(COUNTIF(C$4:C90,""Farm"")-COUNTIF(C$4:C90,""Sell_Farm""))*(8*2^COUNTIF(C$4:C90,""Farm_up""))*IF(COUNTIF(C$4:C90,""Super_up"")&gt;0,1+0.01*(COUNTIF(C$4:C90,""Grandma"")-COUNTIF(C$4:C90,""Sell_Grandma"")),1)+(COUNTIF(C$4:C90,""Mine"")-COUN"&amp;"TIF(C$4:C90,""Sell_Mine""))*((47*2^COUNTIF(C$4:C90,""Mine_up""))*IF(COUNTIF(C$4:C90,""Super_up"")&gt;1,1+0.005*(COUNTIF(C$4:C90,""Grandma"")-COUNTIF(C$4:C90,""Sell_Grandma"")),1))+(COUNTIF(C$4:C90,""Factory"")-COUNTIF(C$4:C90,""Sell_Factory""))*(260*2^COUNTI"&amp;"F(C$4:C90,""Factory_up""))))"),1473.16)</f>
        <v>1473.16</v>
      </c>
      <c r="F90" s="73">
        <f>IFERROR(__xludf.DUMMYFUNCTION("IF(COUNTA(C90:C147)=0,"""",IF(REGEXMATCH(INDEX(FILTER(C$4:C90,C$4:C90&lt;&gt;""""),ROWS(FILTER(C$4:C90,C$4:C90&lt;&gt;""""))),""^Sell_""),INDEX(FILTER(F$4:F89,C$4:C89&lt;&gt;""""),ROWS(FILTER(C$4:C89,C$4:C89&lt;&gt;""""))),$AC$5*(2^SWITCH(COUNTIF(C$4:C90,""Cursor_up""),0,0,1,1,2"&amp;",2,3)+SWITCH(COUNTIF(C$4:C90,""Cursor_up""),4,0.1,0)*(ROW(C90)-4-COUNTIF(C$4:C90,""Cursor"")-COUNTIF(C$4:C90,""*""&amp;""_up"")-2*COUNTIF(C$4:C90,""Sell_""&amp;""*"")+COUNTIF(C$4:C90,""Sell_Cursor"")-COUNTIF(C$4:C90,""""))+0.01*E90*COUNTIF(C$4:C90,""Plastic_up"")"&amp;")+E90))"),1700.476)</f>
        <v>1700.476</v>
      </c>
      <c r="G90" s="14">
        <f>IFERROR(__xludf.DUMMYFUNCTION("IF(COUNTA(C90:C147)=0,"""",IF(REGEXMATCH(C90,""_up""),VLOOKUP(C90,Upgrades!$F$3:$J$8,1+COUNTIF(C$4:C90,C90),FALSE),IF(C90="""",0,IF(REGEXMATCH(C90,""^Sell_""),-ROUNDDOWN(ROUNDUP(INDEX(Upgrades!$C$3:$C$8,MATCH(SUBSTITUTE(C90,""Sell_"",""""),Upgrades!$B$3:$"&amp;"B$8,0))*1.15^(COUNTIF(C$4:C89,SUBSTITUTE(C90,""Sell_"",""""))-COUNTIF(C$4:C89,""Sell_""&amp;SUBSTITUTE(C90,""Sell_"",""""))))/4),ROUNDUP(INDEX(Upgrades!$C$3:$C$7,MATCH(C90,Upgrades!$B$3:$B$7,0))*1.15^(COUNTIF(C$4:C89,C90)-COUNTIF(C$4:C89,""Sell_""&amp;C90)))))))"),283.0)</f>
        <v>283</v>
      </c>
      <c r="H90" s="14">
        <f t="shared" si="3"/>
        <v>283</v>
      </c>
      <c r="I90" s="75">
        <f t="shared" si="4"/>
        <v>2637157.506</v>
      </c>
      <c r="J90" s="76">
        <f t="shared" si="5"/>
        <v>941.8081584</v>
      </c>
      <c r="K90" s="71" t="str">
        <f t="shared" si="6"/>
        <v>15m 41s</v>
      </c>
      <c r="L90" s="77">
        <f t="shared" si="7"/>
        <v>436113</v>
      </c>
      <c r="M90" s="51">
        <f t="shared" si="8"/>
        <v>-1.04823</v>
      </c>
      <c r="N90" s="52">
        <f>IFERROR(__xludf.DUMMYFUNCTION("IFS(AND(COUNTA(C90:C147)=0,COUNTA(P90:P147)=0),"""",OR(AND(L90&gt;=1000000,OR(Y90&gt;=1000000,COUNTA(P90:P147)=0)),AND(Y90&gt;=1000000,COUNTA(C90:C147)=0),AND(COUNTA(P90:P147)=0,O$3=TRUE)),
ROUNDDOWN((AB$1-AC$1)*MAX(INDEX(S$4:S147,MATCH(LARGE(FILTER(Y$4:Y147,Y$4:Y"&amp;"147&lt;1000000),1),Y$4:Y147)),INDEX(F$4:F147,MATCH(LARGE(FILTER(L$4:L147,L$4:L147&lt;1000000),1),L$4:L147)))),AND(L90&lt;1000000,COUNTA(C90:C147)&gt;0,O$3=FALSE),
ROUNDDOWN(INDEX(Y$4:Y147,MATCH(LARGE(FILTER(W$4:W147,W$4:W147&lt;=J90),1),W$4:W147))+(J90-LARGE(FILTER(W$4:"&amp;"W147,W$4:W147&lt;=J90),1))*INDEX(S$4:S147,MATCH(LARGE(FILTER(W$4:W147,W$4:W147&lt;=J90),1),W$4:W147))-L90),1,
ROUNDDOWN(Y90-INDEX(L$4:L147,MATCH(LARGE(FILTER(J$4:J147,J$4:J147&lt;=W90),1),J$4:J147))-(W90-LARGE(FILTER(J$4:J147,J$4:J147&lt;=W90),1))*INDEX(F$4:F147,MATC"&amp;"H(LARGE(FILTER(J$4:J147,J$4:J147&lt;=W90),1),J$4:J147))))"),1651.0)</f>
        <v>1651</v>
      </c>
      <c r="O90" s="65">
        <f t="shared" si="9"/>
        <v>22</v>
      </c>
      <c r="P90" s="69" t="s">
        <v>10</v>
      </c>
      <c r="Q90" s="14" t="b">
        <f>IFERROR(__xludf.DUMMYFUNCTION("IF(COUNTA(P90:P147)=0,"""",IFERROR(IF(ISBLANK(P90),FALSE,IF(ISBLANK(T90),1,IF(NOT(COUNTIF($AA$24:$AA$34,SUBSTITUTE(P90,""Sell_"",""""))),1,IF(P90=""Plastic_up"",IF(V90&lt;1000,1),IF(P90=""Super_Up"",IF(OR(COUNTIF(P$4:P90,""Grandma"")-COUNTIF(P$4:P90,""Sell_G"&amp;"randma"")&lt;1,COUNTIF(P$4:P90,VLOOKUP(P90,Upgrades!$F$8:$N$8,7+COUNTIF(P$4:P90,P90)))-COUNTIF(P$4:P90,""Sell_""&amp;VLOOKUP(P90,Upgrades!$F$8:$N$8,7+COUNTIF(P$4:P90,P90)))&lt;15),1),IF(REGEXMATCH(P90,""_up""),IF(COUNTIF(P$4:P90,SUBSTITUTE(P90,""_up"",""""))&lt;IFERRO"&amp;"R(VLOOKUP(P90,Upgrades!$L$3:$P$6,1+COUNTIF(P$4:P90,P90),0),999),1),IF(REGEXMATCH(P90,""Sell_""),IF(COUNTIF(P$4:P90,SUBSTITUTE(P90,""Sell_"",""""))-COUNTIF(P$4:P89,P90)&lt;1,1),FALSE)))))))))"),FALSE)</f>
        <v>0</v>
      </c>
      <c r="R90" s="71">
        <f>IFERROR(__xludf.DUMMYFUNCTION("IF(REGEXMATCH(P90,""^Sell_""),R89, IF(COUNTA(P90:P147)=0,"""",(COUNTIF(P$4:P90,""Cursor"")-COUNTIF(P$4:P90,""Sell_Cursor""))*(0.1*2^SWITCH(COUNTIF(P$4:P90,""Cursor_up""),0,0,1,1,2,2,3)+SWITCH(COUNTIF(P$4:P90,""Cursor_up""),4,0.1,0)*(ROW(P90)-4-COUNTIF(P$4"&amp;":P90,""Cursor"")-COUNTIF(P$4:P90,""*""&amp;""_up"")-2*COUNTIF(P$4:P90,""Sell_""&amp;""*"")+COUNTIF(P$4:P90,""Sell_Cursor"")-COUNTIF(P$4:P90,"""")))+(COUNTIF(P$4:P90,""Grandma"")-COUNTIF(P$4:P90,""Sell_Grandma""))*(1*2^(COUNTIF(P$4:P90,""Grandma_up"")+COUNTIF(P$4:"&amp;"P90,""Super_up"")))+(COUNTIF(P$4:P90,""Farm"")-COUNTIF(P$4:P90,""Sell_Farm""))*(8*2^COUNTIF(P$4:P90,""Farm_up""))*IF(COUNTIF(P$4:P90,""Super_up"")&gt;0,1+0.01*(COUNTIF(P$4:P90,""Grandma"")-COUNTIF(P$4:P90,""Sell_Grandma"")),1)+(COUNTIF(P$4:P90,""Mine"")-COUN"&amp;"TIF(P$4:P90,""Sell_Mine""))*((47*2^COUNTIF(P$4:P90,""Mine_up""))*IF(COUNTIF(P$4:P90,""Super_up"")&gt;1,1+0.005*(COUNTIF(P$4:P90,""Grandma"")-COUNTIF(P$4:P90,""Sell_Grandma"")),1))+(COUNTIF(P$4:P90,""Factory"")-COUNTIF(P$4:P90,""Sell_Factory""))*(260*2^COUNTI"&amp;"F(P$4:P90,""Factory_up""))))"),1473.16)</f>
        <v>1473.16</v>
      </c>
      <c r="S90" s="73">
        <f>IFERROR(__xludf.DUMMYFUNCTION("IF(COUNTA(P90:P147)=0,"""",IF(REGEXMATCH(INDEX(FILTER(P$4:P90,P$4:P90&lt;&gt;""""),ROWS(FILTER(P$4:P90,P$4:P90&lt;&gt;""""))),""^Sell_""),INDEX(FILTER(S$4:S89,P$4:P89&lt;&gt;""""),ROWS(FILTER(P$4:P89,P$4:P89&lt;&gt;""""))),$AD$5*(2^SWITCH(COUNTIF(P$4:P90,""Cursor_up""),0,0,1,1,2"&amp;",2,3)+SWITCH(COUNTIF(P$4:P90,""Cursor_up""),4,0.1,0)*(ROW(P90)-4-COUNTIF(P$4:P90,""Cursor"")-COUNTIF(P$4:P90,""*""&amp;""_up"")-2*COUNTIF(P$4:P90,""Sell_""&amp;""*"")+COUNTIF(P$4:P90,""Sell_Cursor"")-COUNTIF(P$4:P90,""""))+0.01*R90*COUNTIF(P$4:P90,""Plastic_up"")"&amp;")+R90))"),1700.476)</f>
        <v>1700.476</v>
      </c>
      <c r="T90" s="14">
        <f>IFERROR(__xludf.DUMMYFUNCTION("IF(COUNTA(P90:P147)=0,"""",IF(REGEXMATCH(P90,""_up""),VLOOKUP(P90,Upgrades!$F$3:$J$8,1+COUNTIF(P$4:P90,P90),FALSE),IF(P90="""",0,IF(REGEXMATCH(P90,""^Sell_""),-ROUNDDOWN(ROUNDUP(INDEX(Upgrades!$C$3:$C$8,MATCH(SUBSTITUTE(P90,""Sell_"",""""),Upgrades!$B$3:$"&amp;"B$8,0))*1.15^(COUNTIF(P$4:P89,SUBSTITUTE(P90,""Sell_"",""""))-COUNTIF(P$4:P89,""Sell_""&amp;SUBSTITUTE(P90,""Sell_"",""""))))/4),ROUNDUP(INDEX(Upgrades!$C$3:$C$7,MATCH(P90,Upgrades!$B$3:$B$7,0))*1.15^(COUNTIF(P$4:P89,P90)-COUNTIF(P$4:P89,""Sell_""&amp;P90)))))))"),283.0)</f>
        <v>283</v>
      </c>
      <c r="U90" s="14">
        <f t="shared" si="10"/>
        <v>283</v>
      </c>
      <c r="V90" s="75">
        <f t="shared" si="11"/>
        <v>2549408.58</v>
      </c>
      <c r="W90" s="76">
        <f t="shared" si="12"/>
        <v>940.759922</v>
      </c>
      <c r="X90" s="71" t="str">
        <f t="shared" si="13"/>
        <v>15m 40s</v>
      </c>
      <c r="Y90" s="77">
        <f t="shared" si="14"/>
        <v>436113</v>
      </c>
      <c r="Z90" s="17"/>
      <c r="AA90" s="13"/>
      <c r="AB90" s="13"/>
      <c r="AC90" s="13"/>
      <c r="AD90" s="13"/>
      <c r="AE90" s="13"/>
      <c r="AF90" s="13"/>
      <c r="AG90" s="13"/>
    </row>
    <row r="91">
      <c r="A91" s="12"/>
      <c r="B91" s="65">
        <f t="shared" si="2"/>
        <v>20</v>
      </c>
      <c r="C91" s="69" t="s">
        <v>16</v>
      </c>
      <c r="D91" s="14" t="b">
        <f>IFERROR(__xludf.DUMMYFUNCTION("IF(COUNTA(C91:C147)=0,"""",IFERROR(IF(ISBLANK(C91),FALSE,IF(ISBLANK(G91),1,IF(NOT(COUNTIF($AA$24:$AA$34,SUBSTITUTE(C91,""Sell_"",""""))),1,IF(C91=""Plastic_up"",IF(I91&lt;1000,1),IF(C91=""Super_Up"",IF(OR(COUNTIF(C$4:C91,""Grandma"")-COUNTIF(C$4:C91,""Sell_G"&amp;"randma"")&lt;1,COUNTIF(C$4:C91,VLOOKUP(C91,Upgrades!$F$8:$N$8,7+COUNTIF(C$4:C91,C91)))-COUNTIF(C$4:C91,""Sell_""&amp;VLOOKUP(C91,Upgrades!$F$8:$N$8,7+COUNTIF(C$4:C91,C91)))&lt;15),1),IF(REGEXMATCH(C91,""_up""),IF(COUNTIF(C$4:C91,SUBSTITUTE(C91,""_up"",""""))&lt;IFERRO"&amp;"R(VLOOKUP(C91,Upgrades!$L$3:$P$6,1+COUNTIF(C$4:C91,C91),0),999),1),IF(REGEXMATCH(C91,""Sell_""),IF(COUNTIF(C$4:C91,SUBSTITUTE(C91,""Sell_"",""""))-COUNTIF(C$4:C90,C91)&lt;1,1),FALSE)))))))))"),FALSE)</f>
        <v>0</v>
      </c>
      <c r="E91" s="71">
        <f>IFERROR(__xludf.DUMMYFUNCTION("IF(REGEXMATCH(C91,""^Sell_""),E90, IF(COUNTA(C91:C147)=0,"""",(COUNTIF(C$4:C91,""Cursor"")-COUNTIF(C$4:C91,""Sell_Cursor""))*(0.1*2^SWITCH(COUNTIF(C$4:C91,""Cursor_up""),0,0,1,1,2,2,3)+SWITCH(COUNTIF(C$4:C91,""Cursor_up""),4,0.1,0)*(ROW(C91)-4-COUNTIF(C$4"&amp;":C91,""Cursor"")-COUNTIF(C$4:C91,""*""&amp;""_up"")-2*COUNTIF(C$4:C91,""Sell_""&amp;""*"")+COUNTIF(C$4:C91,""Sell_Cursor"")-COUNTIF(C$4:C91,"""")))+(COUNTIF(C$4:C91,""Grandma"")-COUNTIF(C$4:C91,""Sell_Grandma""))*(1*2^(COUNTIF(C$4:C91,""Grandma_up"")+COUNTIF(C$4:"&amp;"C91,""Super_up"")))+(COUNTIF(C$4:C91,""Farm"")-COUNTIF(C$4:C91,""Sell_Farm""))*(8*2^COUNTIF(C$4:C91,""Farm_up""))*IF(COUNTIF(C$4:C91,""Super_up"")&gt;0,1+0.01*(COUNTIF(C$4:C91,""Grandma"")-COUNTIF(C$4:C91,""Sell_Grandma"")),1)+(COUNTIF(C$4:C91,""Mine"")-COUN"&amp;"TIF(C$4:C91,""Sell_Mine""))*((47*2^COUNTIF(C$4:C91,""Mine_up""))*IF(COUNTIF(C$4:C91,""Super_up"")&gt;1,1+0.005*(COUNTIF(C$4:C91,""Grandma"")-COUNTIF(C$4:C91,""Sell_Grandma"")),1))+(COUNTIF(C$4:C91,""Factory"")-COUNTIF(C$4:C91,""Sell_Factory""))*(260*2^COUNTI"&amp;"F(C$4:C91,""Factory_up""))))"),1515.4)</f>
        <v>1515.4</v>
      </c>
      <c r="F91" s="73">
        <f>IFERROR(__xludf.DUMMYFUNCTION("IF(COUNTA(C91:C147)=0,"""",IF(REGEXMATCH(INDEX(FILTER(C$4:C91,C$4:C91&lt;&gt;""""),ROWS(FILTER(C$4:C91,C$4:C91&lt;&gt;""""))),""^Sell_""),INDEX(FILTER(F$4:F90,C$4:C90&lt;&gt;""""),ROWS(FILTER(C$4:C90,C$4:C90&lt;&gt;""""))),$AC$5*(2^SWITCH(COUNTIF(C$4:C91,""Cursor_up""),0,0,1,1,2"&amp;",2,3)+SWITCH(COUNTIF(C$4:C91,""Cursor_up""),4,0.1,0)*(ROW(C91)-4-COUNTIF(C$4:C91,""Cursor"")-COUNTIF(C$4:C91,""*""&amp;""_up"")-2*COUNTIF(C$4:C91,""Sell_""&amp;""*"")+COUNTIF(C$4:C91,""Sell_Cursor"")-COUNTIF(C$4:C91,""""))+0.01*E91*COUNTIF(C$4:C91,""Plastic_up"")"&amp;")+E91))"),1746.94)</f>
        <v>1746.94</v>
      </c>
      <c r="G91" s="14">
        <f>IFERROR(__xludf.DUMMYFUNCTION("IF(COUNTA(C91:C147)=0,"""",IF(REGEXMATCH(C91,""_up""),VLOOKUP(C91,Upgrades!$F$3:$J$8,1+COUNTIF(C$4:C91,C91),FALSE),IF(C91="""",0,IF(REGEXMATCH(C91,""^Sell_""),-ROUNDDOWN(ROUNDUP(INDEX(Upgrades!$C$3:$C$8,MATCH(SUBSTITUTE(C91,""Sell_"",""""),Upgrades!$B$3:$"&amp;"B$8,0))*1.15^(COUNTIF(C$4:C90,SUBSTITUTE(C91,""Sell_"",""""))-COUNTIF(C$4:C90,""Sell_""&amp;SUBSTITUTE(C91,""Sell_"",""""))))/4),ROUNDUP(INDEX(Upgrades!$C$3:$C$7,MATCH(C91,Upgrades!$B$3:$B$7,0))*1.15^(COUNTIF(C$4:C90,C91)-COUNTIF(C$4:C90,""Sell_""&amp;C91)))))))"),15655.0)</f>
        <v>15655</v>
      </c>
      <c r="H91" s="14">
        <f t="shared" si="3"/>
        <v>15655</v>
      </c>
      <c r="I91" s="75">
        <f t="shared" si="4"/>
        <v>2853338.296</v>
      </c>
      <c r="J91" s="76">
        <f t="shared" si="5"/>
        <v>951.0144041</v>
      </c>
      <c r="K91" s="71" t="str">
        <f t="shared" si="6"/>
        <v>15m 51s</v>
      </c>
      <c r="L91" s="77">
        <f t="shared" si="7"/>
        <v>451768</v>
      </c>
      <c r="M91" s="51">
        <f t="shared" si="8"/>
        <v>-1.04823</v>
      </c>
      <c r="N91" s="52">
        <f>IFERROR(__xludf.DUMMYFUNCTION("IFS(AND(COUNTA(C91:C147)=0,COUNTA(P91:P147)=0),"""",OR(AND(L91&gt;=1000000,OR(Y91&gt;=1000000,COUNTA(P91:P147)=0)),AND(Y91&gt;=1000000,COUNTA(C91:C147)=0),AND(COUNTA(P91:P147)=0,O$3=TRUE)),
ROUNDDOWN((AB$1-AC$1)*MAX(INDEX(S$4:S147,MATCH(LARGE(FILTER(Y$4:Y147,Y$4:Y"&amp;"147&lt;1000000),1),Y$4:Y147)),INDEX(F$4:F147,MATCH(LARGE(FILTER(L$4:L147,L$4:L147&lt;1000000),1),L$4:L147)))),AND(L91&lt;1000000,COUNTA(C91:C147)&gt;0,O$3=FALSE),
ROUNDDOWN(INDEX(Y$4:Y147,MATCH(LARGE(FILTER(W$4:W147,W$4:W147&lt;=J91),1),W$4:W147))+(J91-LARGE(FILTER(W$4:"&amp;"W147,W$4:W147&lt;=J91),1))*INDEX(S$4:S147,MATCH(LARGE(FILTER(W$4:W147,W$4:W147&lt;=J91),1),W$4:W147))-L91),1,
ROUNDDOWN(Y91-INDEX(L$4:L147,MATCH(LARGE(FILTER(J$4:J147,J$4:J147&lt;=W91),1),J$4:J147))-(W91-LARGE(FILTER(J$4:J147,J$4:J147&lt;=W91),1))*INDEX(F$4:F147,MATC"&amp;"H(LARGE(FILTER(J$4:J147,J$4:J147&lt;=W91),1),J$4:J147))))"),1782.0)</f>
        <v>1782</v>
      </c>
      <c r="O91" s="65">
        <f t="shared" si="9"/>
        <v>20</v>
      </c>
      <c r="P91" s="69" t="s">
        <v>16</v>
      </c>
      <c r="Q91" s="14" t="b">
        <f>IFERROR(__xludf.DUMMYFUNCTION("IF(COUNTA(P91:P147)=0,"""",IFERROR(IF(ISBLANK(P91),FALSE,IF(ISBLANK(T91),1,IF(NOT(COUNTIF($AA$24:$AA$34,SUBSTITUTE(P91,""Sell_"",""""))),1,IF(P91=""Plastic_up"",IF(V91&lt;1000,1),IF(P91=""Super_Up"",IF(OR(COUNTIF(P$4:P91,""Grandma"")-COUNTIF(P$4:P91,""Sell_G"&amp;"randma"")&lt;1,COUNTIF(P$4:P91,VLOOKUP(P91,Upgrades!$F$8:$N$8,7+COUNTIF(P$4:P91,P91)))-COUNTIF(P$4:P91,""Sell_""&amp;VLOOKUP(P91,Upgrades!$F$8:$N$8,7+COUNTIF(P$4:P91,P91)))&lt;15),1),IF(REGEXMATCH(P91,""_up""),IF(COUNTIF(P$4:P91,SUBSTITUTE(P91,""_up"",""""))&lt;IFERRO"&amp;"R(VLOOKUP(P91,Upgrades!$L$3:$P$6,1+COUNTIF(P$4:P91,P91),0),999),1),IF(REGEXMATCH(P91,""Sell_""),IF(COUNTIF(P$4:P91,SUBSTITUTE(P91,""Sell_"",""""))-COUNTIF(P$4:P90,P91)&lt;1,1),FALSE)))))))))"),FALSE)</f>
        <v>0</v>
      </c>
      <c r="R91" s="71">
        <f>IFERROR(__xludf.DUMMYFUNCTION("IF(REGEXMATCH(P91,""^Sell_""),R90, IF(COUNTA(P91:P147)=0,"""",(COUNTIF(P$4:P91,""Cursor"")-COUNTIF(P$4:P91,""Sell_Cursor""))*(0.1*2^SWITCH(COUNTIF(P$4:P91,""Cursor_up""),0,0,1,1,2,2,3)+SWITCH(COUNTIF(P$4:P91,""Cursor_up""),4,0.1,0)*(ROW(P91)-4-COUNTIF(P$4"&amp;":P91,""Cursor"")-COUNTIF(P$4:P91,""*""&amp;""_up"")-2*COUNTIF(P$4:P91,""Sell_""&amp;""*"")+COUNTIF(P$4:P91,""Sell_Cursor"")-COUNTIF(P$4:P91,"""")))+(COUNTIF(P$4:P91,""Grandma"")-COUNTIF(P$4:P91,""Sell_Grandma""))*(1*2^(COUNTIF(P$4:P91,""Grandma_up"")+COUNTIF(P$4:"&amp;"P91,""Super_up"")))+(COUNTIF(P$4:P91,""Farm"")-COUNTIF(P$4:P91,""Sell_Farm""))*(8*2^COUNTIF(P$4:P91,""Farm_up""))*IF(COUNTIF(P$4:P91,""Super_up"")&gt;0,1+0.01*(COUNTIF(P$4:P91,""Grandma"")-COUNTIF(P$4:P91,""Sell_Grandma"")),1)+(COUNTIF(P$4:P91,""Mine"")-COUN"&amp;"TIF(P$4:P91,""Sell_Mine""))*((47*2^COUNTIF(P$4:P91,""Mine_up""))*IF(COUNTIF(P$4:P91,""Super_up"")&gt;1,1+0.005*(COUNTIF(P$4:P91,""Grandma"")-COUNTIF(P$4:P91,""Sell_Grandma"")),1))+(COUNTIF(P$4:P91,""Factory"")-COUNTIF(P$4:P91,""Sell_Factory""))*(260*2^COUNTI"&amp;"F(P$4:P91,""Factory_up""))))"),1515.4)</f>
        <v>1515.4</v>
      </c>
      <c r="S91" s="73">
        <f>IFERROR(__xludf.DUMMYFUNCTION("IF(COUNTA(P91:P147)=0,"""",IF(REGEXMATCH(INDEX(FILTER(P$4:P91,P$4:P91&lt;&gt;""""),ROWS(FILTER(P$4:P91,P$4:P91&lt;&gt;""""))),""^Sell_""),INDEX(FILTER(S$4:S90,P$4:P90&lt;&gt;""""),ROWS(FILTER(P$4:P90,P$4:P90&lt;&gt;""""))),$AD$5*(2^SWITCH(COUNTIF(P$4:P91,""Cursor_up""),0,0,1,1,2"&amp;",2,3)+SWITCH(COUNTIF(P$4:P91,""Cursor_up""),4,0.1,0)*(ROW(P91)-4-COUNTIF(P$4:P91,""Cursor"")-COUNTIF(P$4:P91,""*""&amp;""_up"")-2*COUNTIF(P$4:P91,""Sell_""&amp;""*"")+COUNTIF(P$4:P91,""Sell_Cursor"")-COUNTIF(P$4:P91,""""))+0.01*R91*COUNTIF(P$4:P91,""Plastic_up"")"&amp;")+R91))"),1746.94)</f>
        <v>1746.94</v>
      </c>
      <c r="T91" s="14">
        <f>IFERROR(__xludf.DUMMYFUNCTION("IF(COUNTA(P91:P147)=0,"""",IF(REGEXMATCH(P91,""_up""),VLOOKUP(P91,Upgrades!$F$3:$J$8,1+COUNTIF(P$4:P91,P91),FALSE),IF(P91="""",0,IF(REGEXMATCH(P91,""^Sell_""),-ROUNDDOWN(ROUNDUP(INDEX(Upgrades!$C$3:$C$8,MATCH(SUBSTITUTE(P91,""Sell_"",""""),Upgrades!$B$3:$"&amp;"B$8,0))*1.15^(COUNTIF(P$4:P90,SUBSTITUTE(P91,""Sell_"",""""))-COUNTIF(P$4:P90,""Sell_""&amp;SUBSTITUTE(P91,""Sell_"",""""))))/4),ROUNDUP(INDEX(Upgrades!$C$3:$C$7,MATCH(P91,Upgrades!$B$3:$B$7,0))*1.15^(COUNTIF(P$4:P90,P91)-COUNTIF(P$4:P90,""Sell_""&amp;P91)))))))"),15655.0)</f>
        <v>15655</v>
      </c>
      <c r="U91" s="14">
        <f t="shared" si="10"/>
        <v>15655</v>
      </c>
      <c r="V91" s="75">
        <f t="shared" si="11"/>
        <v>2765351.089</v>
      </c>
      <c r="W91" s="76">
        <f t="shared" si="12"/>
        <v>949.9661678</v>
      </c>
      <c r="X91" s="71" t="str">
        <f t="shared" si="13"/>
        <v>15m 49s</v>
      </c>
      <c r="Y91" s="77">
        <f t="shared" si="14"/>
        <v>451768</v>
      </c>
      <c r="Z91" s="17"/>
      <c r="AA91" s="13"/>
      <c r="AB91" s="13"/>
      <c r="AC91" s="13"/>
      <c r="AD91" s="13"/>
      <c r="AE91" s="13"/>
      <c r="AF91" s="13"/>
      <c r="AG91" s="13"/>
    </row>
    <row r="92">
      <c r="A92" s="12"/>
      <c r="B92" s="65">
        <f t="shared" si="2"/>
        <v>33</v>
      </c>
      <c r="C92" s="69" t="s">
        <v>13</v>
      </c>
      <c r="D92" s="14" t="b">
        <f>IFERROR(__xludf.DUMMYFUNCTION("IF(COUNTA(C92:C147)=0,"""",IFERROR(IF(ISBLANK(C92),FALSE,IF(ISBLANK(G92),1,IF(NOT(COUNTIF($AA$24:$AA$34,SUBSTITUTE(C92,""Sell_"",""""))),1,IF(C92=""Plastic_up"",IF(I92&lt;1000,1),IF(C92=""Super_Up"",IF(OR(COUNTIF(C$4:C92,""Grandma"")-COUNTIF(C$4:C92,""Sell_G"&amp;"randma"")&lt;1,COUNTIF(C$4:C92,VLOOKUP(C92,Upgrades!$F$8:$N$8,7+COUNTIF(C$4:C92,C92)))-COUNTIF(C$4:C92,""Sell_""&amp;VLOOKUP(C92,Upgrades!$F$8:$N$8,7+COUNTIF(C$4:C92,C92)))&lt;15),1),IF(REGEXMATCH(C92,""_up""),IF(COUNTIF(C$4:C92,SUBSTITUTE(C92,""_up"",""""))&lt;IFERRO"&amp;"R(VLOOKUP(C92,Upgrades!$L$3:$P$6,1+COUNTIF(C$4:C92,C92),0),999),1),IF(REGEXMATCH(C92,""Sell_""),IF(COUNTIF(C$4:C92,SUBSTITUTE(C92,""Sell_"",""""))-COUNTIF(C$4:C91,C92)&lt;1,1),FALSE)))))))))"),FALSE)</f>
        <v>0</v>
      </c>
      <c r="E92" s="71">
        <f>IFERROR(__xludf.DUMMYFUNCTION("IF(REGEXMATCH(C92,""^Sell_""),E91, IF(COUNTA(C92:C147)=0,"""",(COUNTIF(C$4:C92,""Cursor"")-COUNTIF(C$4:C92,""Sell_Cursor""))*(0.1*2^SWITCH(COUNTIF(C$4:C92,""Cursor_up""),0,0,1,1,2,2,3)+SWITCH(COUNTIF(C$4:C92,""Cursor_up""),4,0.1,0)*(ROW(C92)-4-COUNTIF(C$4"&amp;":C92,""Cursor"")-COUNTIF(C$4:C92,""*""&amp;""_up"")-2*COUNTIF(C$4:C92,""Sell_""&amp;""*"")+COUNTIF(C$4:C92,""Sell_Cursor"")-COUNTIF(C$4:C92,"""")))+(COUNTIF(C$4:C92,""Grandma"")-COUNTIF(C$4:C92,""Sell_Grandma""))*(1*2^(COUNTIF(C$4:C92,""Grandma_up"")+COUNTIF(C$4:"&amp;"C92,""Super_up"")))+(COUNTIF(C$4:C92,""Farm"")-COUNTIF(C$4:C92,""Sell_Farm""))*(8*2^COUNTIF(C$4:C92,""Farm_up""))*IF(COUNTIF(C$4:C92,""Super_up"")&gt;0,1+0.01*(COUNTIF(C$4:C92,""Grandma"")-COUNTIF(C$4:C92,""Sell_Grandma"")),1)+(COUNTIF(C$4:C92,""Mine"")-COUN"&amp;"TIF(C$4:C92,""Sell_Mine""))*((47*2^COUNTIF(C$4:C92,""Mine_up""))*IF(COUNTIF(C$4:C92,""Super_up"")&gt;1,1+0.005*(COUNTIF(C$4:C92,""Grandma"")-COUNTIF(C$4:C92,""Sell_Grandma"")),1))+(COUNTIF(C$4:C92,""Factory"")-COUNTIF(C$4:C92,""Sell_Factory""))*(260*2^COUNTI"&amp;"F(C$4:C92,""Factory_up""))))"),1537.8000000000002)</f>
        <v>1537.8</v>
      </c>
      <c r="F92" s="73">
        <f>IFERROR(__xludf.DUMMYFUNCTION("IF(COUNTA(C92:C147)=0,"""",IF(REGEXMATCH(INDEX(FILTER(C$4:C92,C$4:C92&lt;&gt;""""),ROWS(FILTER(C$4:C92,C$4:C92&lt;&gt;""""))),""^Sell_""),INDEX(FILTER(F$4:F91,C$4:C91&lt;&gt;""""),ROWS(FILTER(C$4:C91,C$4:C91&lt;&gt;""""))),$AC$5*(2^SWITCH(COUNTIF(C$4:C92,""Cursor_up""),0,0,1,1,2"&amp;",2,3)+SWITCH(COUNTIF(C$4:C92,""Cursor_up""),4,0.1,0)*(ROW(C92)-4-COUNTIF(C$4:C92,""Cursor"")-COUNTIF(C$4:C92,""*""&amp;""_up"")-2*COUNTIF(C$4:C92,""Sell_""&amp;""*"")+COUNTIF(C$4:C92,""Sell_Cursor"")-COUNTIF(C$4:C92,""""))+0.01*E92*COUNTIF(C$4:C92,""Plastic_up"")"&amp;")+E92))"),1771.5800000000002)</f>
        <v>1771.58</v>
      </c>
      <c r="G92" s="14">
        <f>IFERROR(__xludf.DUMMYFUNCTION("IF(COUNTA(C92:C147)=0,"""",IF(REGEXMATCH(C92,""_up""),VLOOKUP(C92,Upgrades!$F$3:$J$8,1+COUNTIF(C$4:C92,C92),FALSE),IF(C92="""",0,IF(REGEXMATCH(C92,""^Sell_""),-ROUNDDOWN(ROUNDUP(INDEX(Upgrades!$C$3:$C$8,MATCH(SUBSTITUTE(C92,""Sell_"",""""),Upgrades!$B$3:$"&amp;"B$8,0))*1.15^(COUNTIF(C$4:C91,SUBSTITUTE(C92,""Sell_"",""""))-COUNTIF(C$4:C91,""Sell_""&amp;SUBSTITUTE(C92,""Sell_"",""""))))/4),ROUNDUP(INDEX(Upgrades!$C$3:$C$7,MATCH(C92,Upgrades!$B$3:$B$7,0))*1.15^(COUNTIF(C$4:C91,C92)-COUNTIF(C$4:C91,""Sell_""&amp;C92)))))))"),8757.0)</f>
        <v>8757</v>
      </c>
      <c r="H92" s="14">
        <f t="shared" si="3"/>
        <v>8757</v>
      </c>
      <c r="I92" s="75">
        <f t="shared" si="4"/>
        <v>3074696.827</v>
      </c>
      <c r="J92" s="76">
        <f t="shared" si="5"/>
        <v>956.0271693</v>
      </c>
      <c r="K92" s="71" t="str">
        <f t="shared" si="6"/>
        <v>15m 56s</v>
      </c>
      <c r="L92" s="77">
        <f t="shared" si="7"/>
        <v>460525</v>
      </c>
      <c r="M92" s="51">
        <f t="shared" si="8"/>
        <v>-1.04823</v>
      </c>
      <c r="N92" s="52">
        <f>IFERROR(__xludf.DUMMYFUNCTION("IFS(AND(COUNTA(C92:C147)=0,COUNTA(P92:P147)=0),"""",OR(AND(L92&gt;=1000000,OR(Y92&gt;=1000000,COUNTA(P92:P147)=0)),AND(Y92&gt;=1000000,COUNTA(C92:C147)=0),AND(COUNTA(P92:P147)=0,O$3=TRUE)),
ROUNDDOWN((AB$1-AC$1)*MAX(INDEX(S$4:S147,MATCH(LARGE(FILTER(Y$4:Y147,Y$4:Y"&amp;"147&lt;1000000),1),Y$4:Y147)),INDEX(F$4:F147,MATCH(LARGE(FILTER(L$4:L147,L$4:L147&lt;1000000),1),L$4:L147)))),AND(L92&lt;1000000,COUNTA(C92:C147)&gt;0,O$3=FALSE),
ROUNDDOWN(INDEX(Y$4:Y147,MATCH(LARGE(FILTER(W$4:W147,W$4:W147&lt;=J92),1),W$4:W147))+(J92-LARGE(FILTER(W$4:"&amp;"W147,W$4:W147&lt;=J92),1))*INDEX(S$4:S147,MATCH(LARGE(FILTER(W$4:W147,W$4:W147&lt;=J92),1),W$4:W147))-L92),1,
ROUNDDOWN(Y92-INDEX(L$4:L147,MATCH(LARGE(FILTER(J$4:J147,J$4:J147&lt;=W92),1),J$4:J147))-(W92-LARGE(FILTER(J$4:J147,J$4:J147&lt;=W92),1))*INDEX(F$4:F147,MATC"&amp;"H(LARGE(FILTER(J$4:J147,J$4:J147&lt;=W92),1),J$4:J147))))"),1831.0)</f>
        <v>1831</v>
      </c>
      <c r="O92" s="65">
        <f t="shared" si="9"/>
        <v>33</v>
      </c>
      <c r="P92" s="69" t="s">
        <v>13</v>
      </c>
      <c r="Q92" s="14" t="b">
        <f>IFERROR(__xludf.DUMMYFUNCTION("IF(COUNTA(P92:P147)=0,"""",IFERROR(IF(ISBLANK(P92),FALSE,IF(ISBLANK(T92),1,IF(NOT(COUNTIF($AA$24:$AA$34,SUBSTITUTE(P92,""Sell_"",""""))),1,IF(P92=""Plastic_up"",IF(V92&lt;1000,1),IF(P92=""Super_Up"",IF(OR(COUNTIF(P$4:P92,""Grandma"")-COUNTIF(P$4:P92,""Sell_G"&amp;"randma"")&lt;1,COUNTIF(P$4:P92,VLOOKUP(P92,Upgrades!$F$8:$N$8,7+COUNTIF(P$4:P92,P92)))-COUNTIF(P$4:P92,""Sell_""&amp;VLOOKUP(P92,Upgrades!$F$8:$N$8,7+COUNTIF(P$4:P92,P92)))&lt;15),1),IF(REGEXMATCH(P92,""_up""),IF(COUNTIF(P$4:P92,SUBSTITUTE(P92,""_up"",""""))&lt;IFERRO"&amp;"R(VLOOKUP(P92,Upgrades!$L$3:$P$6,1+COUNTIF(P$4:P92,P92),0),999),1),IF(REGEXMATCH(P92,""Sell_""),IF(COUNTIF(P$4:P92,SUBSTITUTE(P92,""Sell_"",""""))-COUNTIF(P$4:P91,P92)&lt;1,1),FALSE)))))))))"),FALSE)</f>
        <v>0</v>
      </c>
      <c r="R92" s="71">
        <f>IFERROR(__xludf.DUMMYFUNCTION("IF(REGEXMATCH(P92,""^Sell_""),R91, IF(COUNTA(P92:P147)=0,"""",(COUNTIF(P$4:P92,""Cursor"")-COUNTIF(P$4:P92,""Sell_Cursor""))*(0.1*2^SWITCH(COUNTIF(P$4:P92,""Cursor_up""),0,0,1,1,2,2,3)+SWITCH(COUNTIF(P$4:P92,""Cursor_up""),4,0.1,0)*(ROW(P92)-4-COUNTIF(P$4"&amp;":P92,""Cursor"")-COUNTIF(P$4:P92,""*""&amp;""_up"")-2*COUNTIF(P$4:P92,""Sell_""&amp;""*"")+COUNTIF(P$4:P92,""Sell_Cursor"")-COUNTIF(P$4:P92,"""")))+(COUNTIF(P$4:P92,""Grandma"")-COUNTIF(P$4:P92,""Sell_Grandma""))*(1*2^(COUNTIF(P$4:P92,""Grandma_up"")+COUNTIF(P$4:"&amp;"P92,""Super_up"")))+(COUNTIF(P$4:P92,""Farm"")-COUNTIF(P$4:P92,""Sell_Farm""))*(8*2^COUNTIF(P$4:P92,""Farm_up""))*IF(COUNTIF(P$4:P92,""Super_up"")&gt;0,1+0.01*(COUNTIF(P$4:P92,""Grandma"")-COUNTIF(P$4:P92,""Sell_Grandma"")),1)+(COUNTIF(P$4:P92,""Mine"")-COUN"&amp;"TIF(P$4:P92,""Sell_Mine""))*((47*2^COUNTIF(P$4:P92,""Mine_up""))*IF(COUNTIF(P$4:P92,""Super_up"")&gt;1,1+0.005*(COUNTIF(P$4:P92,""Grandma"")-COUNTIF(P$4:P92,""Sell_Grandma"")),1))+(COUNTIF(P$4:P92,""Factory"")-COUNTIF(P$4:P92,""Sell_Factory""))*(260*2^COUNTI"&amp;"F(P$4:P92,""Factory_up""))))"),1537.8000000000002)</f>
        <v>1537.8</v>
      </c>
      <c r="S92" s="73">
        <f>IFERROR(__xludf.DUMMYFUNCTION("IF(COUNTA(P92:P147)=0,"""",IF(REGEXMATCH(INDEX(FILTER(P$4:P92,P$4:P92&lt;&gt;""""),ROWS(FILTER(P$4:P92,P$4:P92&lt;&gt;""""))),""^Sell_""),INDEX(FILTER(S$4:S91,P$4:P91&lt;&gt;""""),ROWS(FILTER(P$4:P91,P$4:P91&lt;&gt;""""))),$AD$5*(2^SWITCH(COUNTIF(P$4:P92,""Cursor_up""),0,0,1,1,2"&amp;",2,3)+SWITCH(COUNTIF(P$4:P92,""Cursor_up""),4,0.1,0)*(ROW(P92)-4-COUNTIF(P$4:P92,""Cursor"")-COUNTIF(P$4:P92,""*""&amp;""_up"")-2*COUNTIF(P$4:P92,""Sell_""&amp;""*"")+COUNTIF(P$4:P92,""Sell_Cursor"")-COUNTIF(P$4:P92,""""))+0.01*R92*COUNTIF(P$4:P92,""Plastic_up"")"&amp;")+R92))"),1771.5800000000002)</f>
        <v>1771.58</v>
      </c>
      <c r="T92" s="14">
        <f>IFERROR(__xludf.DUMMYFUNCTION("IF(COUNTA(P92:P147)=0,"""",IF(REGEXMATCH(P92,""_up""),VLOOKUP(P92,Upgrades!$F$3:$J$8,1+COUNTIF(P$4:P92,P92),FALSE),IF(P92="""",0,IF(REGEXMATCH(P92,""^Sell_""),-ROUNDDOWN(ROUNDUP(INDEX(Upgrades!$C$3:$C$8,MATCH(SUBSTITUTE(P92,""Sell_"",""""),Upgrades!$B$3:$"&amp;"B$8,0))*1.15^(COUNTIF(P$4:P91,SUBSTITUTE(P92,""Sell_"",""""))-COUNTIF(P$4:P91,""Sell_""&amp;SUBSTITUTE(P92,""Sell_"",""""))))/4),ROUNDUP(INDEX(Upgrades!$C$3:$C$7,MATCH(P92,Upgrades!$B$3:$B$7,0))*1.15^(COUNTIF(P$4:P91,P92)-COUNTIF(P$4:P91,""Sell_""&amp;P92)))))))"),8757.0)</f>
        <v>8757</v>
      </c>
      <c r="U92" s="14">
        <f t="shared" si="10"/>
        <v>8757</v>
      </c>
      <c r="V92" s="75">
        <f t="shared" si="11"/>
        <v>2986466.912</v>
      </c>
      <c r="W92" s="76">
        <f t="shared" si="12"/>
        <v>954.9789329</v>
      </c>
      <c r="X92" s="71" t="str">
        <f t="shared" si="13"/>
        <v>15m 54s</v>
      </c>
      <c r="Y92" s="77">
        <f t="shared" si="14"/>
        <v>460525</v>
      </c>
      <c r="Z92" s="17"/>
      <c r="AA92" s="13"/>
      <c r="AB92" s="13"/>
      <c r="AC92" s="13"/>
      <c r="AD92" s="13"/>
      <c r="AE92" s="13"/>
      <c r="AF92" s="13"/>
      <c r="AG92" s="13"/>
    </row>
    <row r="93">
      <c r="A93" s="12"/>
      <c r="B93" s="65">
        <f t="shared" si="2"/>
        <v>4</v>
      </c>
      <c r="C93" s="69" t="s">
        <v>18</v>
      </c>
      <c r="D93" s="14" t="b">
        <f>IFERROR(__xludf.DUMMYFUNCTION("IF(COUNTA(C93:C147)=0,"""",IFERROR(IF(ISBLANK(C93),FALSE,IF(ISBLANK(G93),1,IF(NOT(COUNTIF($AA$24:$AA$34,SUBSTITUTE(C93,""Sell_"",""""))),1,IF(C93=""Plastic_up"",IF(I93&lt;1000,1),IF(C93=""Super_Up"",IF(OR(COUNTIF(C$4:C93,""Grandma"")-COUNTIF(C$4:C93,""Sell_G"&amp;"randma"")&lt;1,COUNTIF(C$4:C93,VLOOKUP(C93,Upgrades!$F$8:$N$8,7+COUNTIF(C$4:C93,C93)))-COUNTIF(C$4:C93,""Sell_""&amp;VLOOKUP(C93,Upgrades!$F$8:$N$8,7+COUNTIF(C$4:C93,C93)))&lt;15),1),IF(REGEXMATCH(C93,""_up""),IF(COUNTIF(C$4:C93,SUBSTITUTE(C93,""_up"",""""))&lt;IFERRO"&amp;"R(VLOOKUP(C93,Upgrades!$L$3:$P$6,1+COUNTIF(C$4:C93,C93),0),999),1),IF(REGEXMATCH(C93,""Sell_""),IF(COUNTIF(C$4:C93,SUBSTITUTE(C93,""Sell_"",""""))-COUNTIF(C$4:C92,C93)&lt;1,1),FALSE)))))))))"),FALSE)</f>
        <v>0</v>
      </c>
      <c r="E93" s="71">
        <f>IFERROR(__xludf.DUMMYFUNCTION("IF(REGEXMATCH(C93,""^Sell_""),E92, IF(COUNTA(C93:C147)=0,"""",(COUNTIF(C$4:C93,""Cursor"")-COUNTIF(C$4:C93,""Sell_Cursor""))*(0.1*2^SWITCH(COUNTIF(C$4:C93,""Cursor_up""),0,0,1,1,2,2,3)+SWITCH(COUNTIF(C$4:C93,""Cursor_up""),4,0.1,0)*(ROW(C93)-4-COUNTIF(C$4"&amp;":C93,""Cursor"")-COUNTIF(C$4:C93,""*""&amp;""_up"")-2*COUNTIF(C$4:C93,""Sell_""&amp;""*"")+COUNTIF(C$4:C93,""Sell_Cursor"")-COUNTIF(C$4:C93,"""")))+(COUNTIF(C$4:C93,""Grandma"")-COUNTIF(C$4:C93,""Sell_Grandma""))*(1*2^(COUNTIF(C$4:C93,""Grandma_up"")+COUNTIF(C$4:"&amp;"C93,""Super_up"")))+(COUNTIF(C$4:C93,""Farm"")-COUNTIF(C$4:C93,""Sell_Farm""))*(8*2^COUNTIF(C$4:C93,""Farm_up""))*IF(COUNTIF(C$4:C93,""Super_up"")&gt;0,1+0.01*(COUNTIF(C$4:C93,""Grandma"")-COUNTIF(C$4:C93,""Sell_Grandma"")),1)+(COUNTIF(C$4:C93,""Mine"")-COUN"&amp;"TIF(C$4:C93,""Sell_Mine""))*((47*2^COUNTIF(C$4:C93,""Mine_up""))*IF(COUNTIF(C$4:C93,""Super_up"")&gt;1,1+0.005*(COUNTIF(C$4:C93,""Grandma"")-COUNTIF(C$4:C93,""Sell_Grandma"")),1))+(COUNTIF(C$4:C93,""Factory"")-COUNTIF(C$4:C93,""Sell_Factory""))*(260*2^COUNTI"&amp;"F(C$4:C93,""Factory_up""))))"),1584.8000000000002)</f>
        <v>1584.8</v>
      </c>
      <c r="F93" s="73">
        <f>IFERROR(__xludf.DUMMYFUNCTION("IF(COUNTA(C93:C147)=0,"""",IF(REGEXMATCH(INDEX(FILTER(C$4:C93,C$4:C93&lt;&gt;""""),ROWS(FILTER(C$4:C93,C$4:C93&lt;&gt;""""))),""^Sell_""),INDEX(FILTER(F$4:F92,C$4:C92&lt;&gt;""""),ROWS(FILTER(C$4:C92,C$4:C92&lt;&gt;""""))),$AC$5*(2^SWITCH(COUNTIF(C$4:C93,""Cursor_up""),0,0,1,1,2"&amp;",2,3)+SWITCH(COUNTIF(C$4:C93,""Cursor_up""),4,0.1,0)*(ROW(C93)-4-COUNTIF(C$4:C93,""Cursor"")-COUNTIF(C$4:C93,""*""&amp;""_up"")-2*COUNTIF(C$4:C93,""Sell_""&amp;""*"")+COUNTIF(C$4:C93,""Sell_Cursor"")-COUNTIF(C$4:C93,""""))+0.01*E93*COUNTIF(C$4:C93,""Plastic_up"")"&amp;")+E93))"),1823.2800000000002)</f>
        <v>1823.28</v>
      </c>
      <c r="G93" s="14">
        <f>IFERROR(__xludf.DUMMYFUNCTION("IF(COUNTA(C93:C147)=0,"""",IF(REGEXMATCH(C93,""_up""),VLOOKUP(C93,Upgrades!$F$3:$J$8,1+COUNTIF(C$4:C93,C93),FALSE),IF(C93="""",0,IF(REGEXMATCH(C93,""^Sell_""),-ROUNDDOWN(ROUNDUP(INDEX(Upgrades!$C$3:$C$8,MATCH(SUBSTITUTE(C93,""Sell_"",""""),Upgrades!$B$3:$"&amp;"B$8,0))*1.15^(COUNTIF(C$4:C92,SUBSTITUTE(C93,""Sell_"",""""))-COUNTIF(C$4:C92,""Sell_""&amp;SUBSTITUTE(C93,""Sell_"",""""))))/4),ROUNDUP(INDEX(Upgrades!$C$3:$C$7,MATCH(C93,Upgrades!$B$3:$B$7,0))*1.15^(COUNTIF(C$4:C92,C93)-COUNTIF(C$4:C92,""Sell_""&amp;C93)))))))"),18251.0)</f>
        <v>18251</v>
      </c>
      <c r="H93" s="14">
        <f t="shared" si="3"/>
        <v>18251</v>
      </c>
      <c r="I93" s="75">
        <f t="shared" si="4"/>
        <v>3300605.284</v>
      </c>
      <c r="J93" s="76">
        <f t="shared" si="5"/>
        <v>966.3292725</v>
      </c>
      <c r="K93" s="71" t="str">
        <f t="shared" si="6"/>
        <v>16m 06s</v>
      </c>
      <c r="L93" s="77">
        <f t="shared" si="7"/>
        <v>478776</v>
      </c>
      <c r="M93" s="51">
        <f t="shared" si="8"/>
        <v>-1.04823</v>
      </c>
      <c r="N93" s="52">
        <f>IFERROR(__xludf.DUMMYFUNCTION("IFS(AND(COUNTA(C93:C147)=0,COUNTA(P93:P147)=0),"""",OR(AND(L93&gt;=1000000,OR(Y93&gt;=1000000,COUNTA(P93:P147)=0)),AND(Y93&gt;=1000000,COUNTA(C93:C147)=0),AND(COUNTA(P93:P147)=0,O$3=TRUE)),
ROUNDDOWN((AB$1-AC$1)*MAX(INDEX(S$4:S147,MATCH(LARGE(FILTER(Y$4:Y147,Y$4:Y"&amp;"147&lt;1000000),1),Y$4:Y147)),INDEX(F$4:F147,MATCH(LARGE(FILTER(L$4:L147,L$4:L147&lt;1000000),1),L$4:L147)))),AND(L93&lt;1000000,COUNTA(C93:C147)&gt;0,O$3=FALSE),
ROUNDDOWN(INDEX(Y$4:Y147,MATCH(LARGE(FILTER(W$4:W147,W$4:W147&lt;=J93),1),W$4:W147))+(J93-LARGE(FILTER(W$4:"&amp;"W147,W$4:W147&lt;=J93),1))*INDEX(S$4:S147,MATCH(LARGE(FILTER(W$4:W147,W$4:W147&lt;=J93),1),W$4:W147))-L93),1,
ROUNDDOWN(Y93-INDEX(L$4:L147,MATCH(LARGE(FILTER(J$4:J147,J$4:J147&lt;=W93),1),J$4:J147))-(W93-LARGE(FILTER(J$4:J147,J$4:J147&lt;=W93),1))*INDEX(F$4:F147,MATC"&amp;"H(LARGE(FILTER(J$4:J147,J$4:J147&lt;=W93),1),J$4:J147))))"),1857.0)</f>
        <v>1857</v>
      </c>
      <c r="O93" s="65">
        <f t="shared" si="9"/>
        <v>4</v>
      </c>
      <c r="P93" s="69" t="s">
        <v>18</v>
      </c>
      <c r="Q93" s="14" t="b">
        <f>IFERROR(__xludf.DUMMYFUNCTION("IF(COUNTA(P93:P147)=0,"""",IFERROR(IF(ISBLANK(P93),FALSE,IF(ISBLANK(T93),1,IF(NOT(COUNTIF($AA$24:$AA$34,SUBSTITUTE(P93,""Sell_"",""""))),1,IF(P93=""Plastic_up"",IF(V93&lt;1000,1),IF(P93=""Super_Up"",IF(OR(COUNTIF(P$4:P93,""Grandma"")-COUNTIF(P$4:P93,""Sell_G"&amp;"randma"")&lt;1,COUNTIF(P$4:P93,VLOOKUP(P93,Upgrades!$F$8:$N$8,7+COUNTIF(P$4:P93,P93)))-COUNTIF(P$4:P93,""Sell_""&amp;VLOOKUP(P93,Upgrades!$F$8:$N$8,7+COUNTIF(P$4:P93,P93)))&lt;15),1),IF(REGEXMATCH(P93,""_up""),IF(COUNTIF(P$4:P93,SUBSTITUTE(P93,""_up"",""""))&lt;IFERRO"&amp;"R(VLOOKUP(P93,Upgrades!$L$3:$P$6,1+COUNTIF(P$4:P93,P93),0),999),1),IF(REGEXMATCH(P93,""Sell_""),IF(COUNTIF(P$4:P93,SUBSTITUTE(P93,""Sell_"",""""))-COUNTIF(P$4:P92,P93)&lt;1,1),FALSE)))))))))"),FALSE)</f>
        <v>0</v>
      </c>
      <c r="R93" s="71">
        <f>IFERROR(__xludf.DUMMYFUNCTION("IF(REGEXMATCH(P93,""^Sell_""),R92, IF(COUNTA(P93:P147)=0,"""",(COUNTIF(P$4:P93,""Cursor"")-COUNTIF(P$4:P93,""Sell_Cursor""))*(0.1*2^SWITCH(COUNTIF(P$4:P93,""Cursor_up""),0,0,1,1,2,2,3)+SWITCH(COUNTIF(P$4:P93,""Cursor_up""),4,0.1,0)*(ROW(P93)-4-COUNTIF(P$4"&amp;":P93,""Cursor"")-COUNTIF(P$4:P93,""*""&amp;""_up"")-2*COUNTIF(P$4:P93,""Sell_""&amp;""*"")+COUNTIF(P$4:P93,""Sell_Cursor"")-COUNTIF(P$4:P93,"""")))+(COUNTIF(P$4:P93,""Grandma"")-COUNTIF(P$4:P93,""Sell_Grandma""))*(1*2^(COUNTIF(P$4:P93,""Grandma_up"")+COUNTIF(P$4:"&amp;"P93,""Super_up"")))+(COUNTIF(P$4:P93,""Farm"")-COUNTIF(P$4:P93,""Sell_Farm""))*(8*2^COUNTIF(P$4:P93,""Farm_up""))*IF(COUNTIF(P$4:P93,""Super_up"")&gt;0,1+0.01*(COUNTIF(P$4:P93,""Grandma"")-COUNTIF(P$4:P93,""Sell_Grandma"")),1)+(COUNTIF(P$4:P93,""Mine"")-COUN"&amp;"TIF(P$4:P93,""Sell_Mine""))*((47*2^COUNTIF(P$4:P93,""Mine_up""))*IF(COUNTIF(P$4:P93,""Super_up"")&gt;1,1+0.005*(COUNTIF(P$4:P93,""Grandma"")-COUNTIF(P$4:P93,""Sell_Grandma"")),1))+(COUNTIF(P$4:P93,""Factory"")-COUNTIF(P$4:P93,""Sell_Factory""))*(260*2^COUNTI"&amp;"F(P$4:P93,""Factory_up""))))"),1584.8000000000002)</f>
        <v>1584.8</v>
      </c>
      <c r="S93" s="73">
        <f>IFERROR(__xludf.DUMMYFUNCTION("IF(COUNTA(P93:P147)=0,"""",IF(REGEXMATCH(INDEX(FILTER(P$4:P93,P$4:P93&lt;&gt;""""),ROWS(FILTER(P$4:P93,P$4:P93&lt;&gt;""""))),""^Sell_""),INDEX(FILTER(S$4:S92,P$4:P92&lt;&gt;""""),ROWS(FILTER(P$4:P92,P$4:P92&lt;&gt;""""))),$AD$5*(2^SWITCH(COUNTIF(P$4:P93,""Cursor_up""),0,0,1,1,2"&amp;",2,3)+SWITCH(COUNTIF(P$4:P93,""Cursor_up""),4,0.1,0)*(ROW(P93)-4-COUNTIF(P$4:P93,""Cursor"")-COUNTIF(P$4:P93,""*""&amp;""_up"")-2*COUNTIF(P$4:P93,""Sell_""&amp;""*"")+COUNTIF(P$4:P93,""Sell_Cursor"")-COUNTIF(P$4:P93,""""))+0.01*R93*COUNTIF(P$4:P93,""Plastic_up"")"&amp;")+R93))"),1823.2800000000002)</f>
        <v>1823.28</v>
      </c>
      <c r="T93" s="14">
        <f>IFERROR(__xludf.DUMMYFUNCTION("IF(COUNTA(P93:P147)=0,"""",IF(REGEXMATCH(P93,""_up""),VLOOKUP(P93,Upgrades!$F$3:$J$8,1+COUNTIF(P$4:P93,P93),FALSE),IF(P93="""",0,IF(REGEXMATCH(P93,""^Sell_""),-ROUNDDOWN(ROUNDUP(INDEX(Upgrades!$C$3:$C$8,MATCH(SUBSTITUTE(P93,""Sell_"",""""),Upgrades!$B$3:$"&amp;"B$8,0))*1.15^(COUNTIF(P$4:P92,SUBSTITUTE(P93,""Sell_"",""""))-COUNTIF(P$4:P92,""Sell_""&amp;SUBSTITUTE(P93,""Sell_"",""""))))/4),ROUNDUP(INDEX(Upgrades!$C$3:$C$7,MATCH(P93,Upgrades!$B$3:$B$7,0))*1.15^(COUNTIF(P$4:P92,P93)-COUNTIF(P$4:P92,""Sell_""&amp;P93)))))))"),18251.0)</f>
        <v>18251</v>
      </c>
      <c r="U93" s="14">
        <f t="shared" si="10"/>
        <v>18251</v>
      </c>
      <c r="V93" s="75">
        <f t="shared" si="11"/>
        <v>3212130.312</v>
      </c>
      <c r="W93" s="76">
        <f t="shared" si="12"/>
        <v>965.2810362</v>
      </c>
      <c r="X93" s="71" t="str">
        <f t="shared" si="13"/>
        <v>16m 05s</v>
      </c>
      <c r="Y93" s="77">
        <f t="shared" si="14"/>
        <v>478776</v>
      </c>
      <c r="Z93" s="17"/>
      <c r="AA93" s="13"/>
      <c r="AB93" s="13"/>
      <c r="AC93" s="13"/>
      <c r="AD93" s="13"/>
      <c r="AE93" s="13"/>
      <c r="AF93" s="13"/>
      <c r="AG93" s="13"/>
    </row>
    <row r="94">
      <c r="A94" s="12"/>
      <c r="B94" s="65">
        <f t="shared" si="2"/>
        <v>23</v>
      </c>
      <c r="C94" s="69" t="s">
        <v>10</v>
      </c>
      <c r="D94" s="14" t="b">
        <f>IFERROR(__xludf.DUMMYFUNCTION("IF(COUNTA(C94:C147)=0,"""",IFERROR(IF(ISBLANK(C94),FALSE,IF(ISBLANK(G94),1,IF(NOT(COUNTIF($AA$24:$AA$34,SUBSTITUTE(C94,""Sell_"",""""))),1,IF(C94=""Plastic_up"",IF(I94&lt;1000,1),IF(C94=""Super_Up"",IF(OR(COUNTIF(C$4:C94,""Grandma"")-COUNTIF(C$4:C94,""Sell_G"&amp;"randma"")&lt;1,COUNTIF(C$4:C94,VLOOKUP(C94,Upgrades!$F$8:$N$8,7+COUNTIF(C$4:C94,C94)))-COUNTIF(C$4:C94,""Sell_""&amp;VLOOKUP(C94,Upgrades!$F$8:$N$8,7+COUNTIF(C$4:C94,C94)))&lt;15),1),IF(REGEXMATCH(C94,""_up""),IF(COUNTIF(C$4:C94,SUBSTITUTE(C94,""_up"",""""))&lt;IFERRO"&amp;"R(VLOOKUP(C94,Upgrades!$L$3:$P$6,1+COUNTIF(C$4:C94,C94),0),999),1),IF(REGEXMATCH(C94,""Sell_""),IF(COUNTIF(C$4:C94,SUBSTITUTE(C94,""Sell_"",""""))-COUNTIF(C$4:C93,C94)&lt;1,1),FALSE)))))))))"),FALSE)</f>
        <v>0</v>
      </c>
      <c r="E94" s="71">
        <f>IFERROR(__xludf.DUMMYFUNCTION("IF(REGEXMATCH(C94,""^Sell_""),E93, IF(COUNTA(C94:C147)=0,"""",(COUNTIF(C$4:C94,""Cursor"")-COUNTIF(C$4:C94,""Sell_Cursor""))*(0.1*2^SWITCH(COUNTIF(C$4:C94,""Cursor_up""),0,0,1,1,2,2,3)+SWITCH(COUNTIF(C$4:C94,""Cursor_up""),4,0.1,0)*(ROW(C94)-4-COUNTIF(C$4"&amp;":C94,""Cursor"")-COUNTIF(C$4:C94,""*""&amp;""_up"")-2*COUNTIF(C$4:C94,""Sell_""&amp;""*"")+COUNTIF(C$4:C94,""Sell_Cursor"")-COUNTIF(C$4:C94,"""")))+(COUNTIF(C$4:C94,""Grandma"")-COUNTIF(C$4:C94,""Sell_Grandma""))*(1*2^(COUNTIF(C$4:C94,""Grandma_up"")+COUNTIF(C$4:"&amp;"C94,""Super_up"")))+(COUNTIF(C$4:C94,""Farm"")-COUNTIF(C$4:C94,""Sell_Farm""))*(8*2^COUNTIF(C$4:C94,""Farm_up""))*IF(COUNTIF(C$4:C94,""Super_up"")&gt;0,1+0.01*(COUNTIF(C$4:C94,""Grandma"")-COUNTIF(C$4:C94,""Sell_Grandma"")),1)+(COUNTIF(C$4:C94,""Mine"")-COUN"&amp;"TIF(C$4:C94,""Sell_Mine""))*((47*2^COUNTIF(C$4:C94,""Mine_up""))*IF(COUNTIF(C$4:C94,""Super_up"")&gt;1,1+0.005*(COUNTIF(C$4:C94,""Grandma"")-COUNTIF(C$4:C94,""Sell_Grandma"")),1))+(COUNTIF(C$4:C94,""Factory"")-COUNTIF(C$4:C94,""Sell_Factory""))*(260*2^COUNTI"&amp;"F(C$4:C94,""Factory_up""))))"),1585.6)</f>
        <v>1585.6</v>
      </c>
      <c r="F94" s="73">
        <f>IFERROR(__xludf.DUMMYFUNCTION("IF(COUNTA(C94:C147)=0,"""",IF(REGEXMATCH(INDEX(FILTER(C$4:C94,C$4:C94&lt;&gt;""""),ROWS(FILTER(C$4:C94,C$4:C94&lt;&gt;""""))),""^Sell_""),INDEX(FILTER(F$4:F93,C$4:C93&lt;&gt;""""),ROWS(FILTER(C$4:C93,C$4:C93&lt;&gt;""""))),$AC$5*(2^SWITCH(COUNTIF(C$4:C94,""Cursor_up""),0,0,1,1,2"&amp;",2,3)+SWITCH(COUNTIF(C$4:C94,""Cursor_up""),4,0.1,0)*(ROW(C94)-4-COUNTIF(C$4:C94,""Cursor"")-COUNTIF(C$4:C94,""*""&amp;""_up"")-2*COUNTIF(C$4:C94,""Sell_""&amp;""*"")+COUNTIF(C$4:C94,""Sell_Cursor"")-COUNTIF(C$4:C94,""""))+0.01*E94*COUNTIF(C$4:C94,""Plastic_up"")"&amp;")+E94))"),1824.1599999999999)</f>
        <v>1824.16</v>
      </c>
      <c r="G94" s="14">
        <f>IFERROR(__xludf.DUMMYFUNCTION("IF(COUNTA(C94:C147)=0,"""",IF(REGEXMATCH(C94,""_up""),VLOOKUP(C94,Upgrades!$F$3:$J$8,1+COUNTIF(C$4:C94,C94),FALSE),IF(C94="""",0,IF(REGEXMATCH(C94,""^Sell_""),-ROUNDDOWN(ROUNDUP(INDEX(Upgrades!$C$3:$C$8,MATCH(SUBSTITUTE(C94,""Sell_"",""""),Upgrades!$B$3:$"&amp;"B$8,0))*1.15^(COUNTIF(C$4:C93,SUBSTITUTE(C94,""Sell_"",""""))-COUNTIF(C$4:C93,""Sell_""&amp;SUBSTITUTE(C94,""Sell_"",""""))))/4),ROUNDUP(INDEX(Upgrades!$C$3:$C$7,MATCH(C94,Upgrades!$B$3:$B$7,0))*1.15^(COUNTIF(C$4:C93,C94)-COUNTIF(C$4:C93,""Sell_""&amp;C94)))))))"),325.0)</f>
        <v>325</v>
      </c>
      <c r="H94" s="14">
        <f t="shared" si="3"/>
        <v>325</v>
      </c>
      <c r="I94" s="75">
        <f t="shared" si="4"/>
        <v>3531097.998</v>
      </c>
      <c r="J94" s="76">
        <f t="shared" si="5"/>
        <v>966.5075227</v>
      </c>
      <c r="K94" s="71" t="str">
        <f t="shared" si="6"/>
        <v>16m 06s</v>
      </c>
      <c r="L94" s="77">
        <f t="shared" si="7"/>
        <v>479101</v>
      </c>
      <c r="M94" s="51">
        <f t="shared" si="8"/>
        <v>-1.04823</v>
      </c>
      <c r="N94" s="52">
        <f>IFERROR(__xludf.DUMMYFUNCTION("IFS(AND(COUNTA(C94:C147)=0,COUNTA(P94:P147)=0),"""",OR(AND(L94&gt;=1000000,OR(Y94&gt;=1000000,COUNTA(P94:P147)=0)),AND(Y94&gt;=1000000,COUNTA(C94:C147)=0),AND(COUNTA(P94:P147)=0,O$3=TRUE)),
ROUNDDOWN((AB$1-AC$1)*MAX(INDEX(S$4:S147,MATCH(LARGE(FILTER(Y$4:Y147,Y$4:Y"&amp;"147&lt;1000000),1),Y$4:Y147)),INDEX(F$4:F147,MATCH(LARGE(FILTER(L$4:L147,L$4:L147&lt;1000000),1),L$4:L147)))),AND(L94&lt;1000000,COUNTA(C94:C147)&gt;0,O$3=FALSE),
ROUNDDOWN(INDEX(Y$4:Y147,MATCH(LARGE(FILTER(W$4:W147,W$4:W147&lt;=J94),1),W$4:W147))+(J94-LARGE(FILTER(W$4:"&amp;"W147,W$4:W147&lt;=J94),1))*INDEX(S$4:S147,MATCH(LARGE(FILTER(W$4:W147,W$4:W147&lt;=J94),1),W$4:W147))-L94),1,
ROUNDDOWN(Y94-INDEX(L$4:L147,MATCH(LARGE(FILTER(J$4:J147,J$4:J147&lt;=W94),1),J$4:J147))-(W94-LARGE(FILTER(J$4:J147,J$4:J147&lt;=W94),1))*INDEX(F$4:F147,MATC"&amp;"H(LARGE(FILTER(J$4:J147,J$4:J147&lt;=W94),1),J$4:J147))))"),1866.0)</f>
        <v>1866</v>
      </c>
      <c r="O94" s="65">
        <f t="shared" si="9"/>
        <v>23</v>
      </c>
      <c r="P94" s="69" t="s">
        <v>10</v>
      </c>
      <c r="Q94" s="14" t="b">
        <f>IFERROR(__xludf.DUMMYFUNCTION("IF(COUNTA(P94:P147)=0,"""",IFERROR(IF(ISBLANK(P94),FALSE,IF(ISBLANK(T94),1,IF(NOT(COUNTIF($AA$24:$AA$34,SUBSTITUTE(P94,""Sell_"",""""))),1,IF(P94=""Plastic_up"",IF(V94&lt;1000,1),IF(P94=""Super_Up"",IF(OR(COUNTIF(P$4:P94,""Grandma"")-COUNTIF(P$4:P94,""Sell_G"&amp;"randma"")&lt;1,COUNTIF(P$4:P94,VLOOKUP(P94,Upgrades!$F$8:$N$8,7+COUNTIF(P$4:P94,P94)))-COUNTIF(P$4:P94,""Sell_""&amp;VLOOKUP(P94,Upgrades!$F$8:$N$8,7+COUNTIF(P$4:P94,P94)))&lt;15),1),IF(REGEXMATCH(P94,""_up""),IF(COUNTIF(P$4:P94,SUBSTITUTE(P94,""_up"",""""))&lt;IFERRO"&amp;"R(VLOOKUP(P94,Upgrades!$L$3:$P$6,1+COUNTIF(P$4:P94,P94),0),999),1),IF(REGEXMATCH(P94,""Sell_""),IF(COUNTIF(P$4:P94,SUBSTITUTE(P94,""Sell_"",""""))-COUNTIF(P$4:P93,P94)&lt;1,1),FALSE)))))))))"),FALSE)</f>
        <v>0</v>
      </c>
      <c r="R94" s="71">
        <f>IFERROR(__xludf.DUMMYFUNCTION("IF(REGEXMATCH(P94,""^Sell_""),R93, IF(COUNTA(P94:P147)=0,"""",(COUNTIF(P$4:P94,""Cursor"")-COUNTIF(P$4:P94,""Sell_Cursor""))*(0.1*2^SWITCH(COUNTIF(P$4:P94,""Cursor_up""),0,0,1,1,2,2,3)+SWITCH(COUNTIF(P$4:P94,""Cursor_up""),4,0.1,0)*(ROW(P94)-4-COUNTIF(P$4"&amp;":P94,""Cursor"")-COUNTIF(P$4:P94,""*""&amp;""_up"")-2*COUNTIF(P$4:P94,""Sell_""&amp;""*"")+COUNTIF(P$4:P94,""Sell_Cursor"")-COUNTIF(P$4:P94,"""")))+(COUNTIF(P$4:P94,""Grandma"")-COUNTIF(P$4:P94,""Sell_Grandma""))*(1*2^(COUNTIF(P$4:P94,""Grandma_up"")+COUNTIF(P$4:"&amp;"P94,""Super_up"")))+(COUNTIF(P$4:P94,""Farm"")-COUNTIF(P$4:P94,""Sell_Farm""))*(8*2^COUNTIF(P$4:P94,""Farm_up""))*IF(COUNTIF(P$4:P94,""Super_up"")&gt;0,1+0.01*(COUNTIF(P$4:P94,""Grandma"")-COUNTIF(P$4:P94,""Sell_Grandma"")),1)+(COUNTIF(P$4:P94,""Mine"")-COUN"&amp;"TIF(P$4:P94,""Sell_Mine""))*((47*2^COUNTIF(P$4:P94,""Mine_up""))*IF(COUNTIF(P$4:P94,""Super_up"")&gt;1,1+0.005*(COUNTIF(P$4:P94,""Grandma"")-COUNTIF(P$4:P94,""Sell_Grandma"")),1))+(COUNTIF(P$4:P94,""Factory"")-COUNTIF(P$4:P94,""Sell_Factory""))*(260*2^COUNTI"&amp;"F(P$4:P94,""Factory_up""))))"),1585.6)</f>
        <v>1585.6</v>
      </c>
      <c r="S94" s="73">
        <f>IFERROR(__xludf.DUMMYFUNCTION("IF(COUNTA(P94:P147)=0,"""",IF(REGEXMATCH(INDEX(FILTER(P$4:P94,P$4:P94&lt;&gt;""""),ROWS(FILTER(P$4:P94,P$4:P94&lt;&gt;""""))),""^Sell_""),INDEX(FILTER(S$4:S93,P$4:P93&lt;&gt;""""),ROWS(FILTER(P$4:P93,P$4:P93&lt;&gt;""""))),$AD$5*(2^SWITCH(COUNTIF(P$4:P94,""Cursor_up""),0,0,1,1,2"&amp;",2,3)+SWITCH(COUNTIF(P$4:P94,""Cursor_up""),4,0.1,0)*(ROW(P94)-4-COUNTIF(P$4:P94,""Cursor"")-COUNTIF(P$4:P94,""*""&amp;""_up"")-2*COUNTIF(P$4:P94,""Sell_""&amp;""*"")+COUNTIF(P$4:P94,""Sell_Cursor"")-COUNTIF(P$4:P94,""""))+0.01*R94*COUNTIF(P$4:P94,""Plastic_up"")"&amp;")+R94))"),1824.1599999999999)</f>
        <v>1824.16</v>
      </c>
      <c r="T94" s="14">
        <f>IFERROR(__xludf.DUMMYFUNCTION("IF(COUNTA(P94:P147)=0,"""",IF(REGEXMATCH(P94,""_up""),VLOOKUP(P94,Upgrades!$F$3:$J$8,1+COUNTIF(P$4:P94,P94),FALSE),IF(P94="""",0,IF(REGEXMATCH(P94,""^Sell_""),-ROUNDDOWN(ROUNDUP(INDEX(Upgrades!$C$3:$C$8,MATCH(SUBSTITUTE(P94,""Sell_"",""""),Upgrades!$B$3:$"&amp;"B$8,0))*1.15^(COUNTIF(P$4:P93,SUBSTITUTE(P94,""Sell_"",""""))-COUNTIF(P$4:P93,""Sell_""&amp;SUBSTITUTE(P94,""Sell_"",""""))))/4),ROUNDUP(INDEX(Upgrades!$C$3:$C$7,MATCH(P94,Upgrades!$B$3:$B$7,0))*1.15^(COUNTIF(P$4:P93,P94)-COUNTIF(P$4:P93,""Sell_""&amp;P94)))))))"),325.0)</f>
        <v>325</v>
      </c>
      <c r="U94" s="14">
        <f t="shared" si="10"/>
        <v>325</v>
      </c>
      <c r="V94" s="75">
        <f t="shared" si="11"/>
        <v>3442373.043</v>
      </c>
      <c r="W94" s="76">
        <f t="shared" si="12"/>
        <v>965.4592863</v>
      </c>
      <c r="X94" s="71" t="str">
        <f t="shared" si="13"/>
        <v>16m 05s</v>
      </c>
      <c r="Y94" s="77">
        <f t="shared" si="14"/>
        <v>479101</v>
      </c>
      <c r="Z94" s="17"/>
      <c r="AA94" s="13"/>
      <c r="AB94" s="13"/>
      <c r="AC94" s="13"/>
      <c r="AD94" s="13"/>
      <c r="AE94" s="13"/>
      <c r="AF94" s="13"/>
      <c r="AG94" s="13"/>
    </row>
    <row r="95">
      <c r="A95" s="12"/>
      <c r="B95" s="65">
        <f t="shared" si="2"/>
        <v>21</v>
      </c>
      <c r="C95" s="69" t="s">
        <v>16</v>
      </c>
      <c r="D95" s="14" t="b">
        <f>IFERROR(__xludf.DUMMYFUNCTION("IF(COUNTA(C95:C147)=0,"""",IFERROR(IF(ISBLANK(C95),FALSE,IF(ISBLANK(G95),1,IF(NOT(COUNTIF($AA$24:$AA$34,SUBSTITUTE(C95,""Sell_"",""""))),1,IF(C95=""Plastic_up"",IF(I95&lt;1000,1),IF(C95=""Super_Up"",IF(OR(COUNTIF(C$4:C95,""Grandma"")-COUNTIF(C$4:C95,""Sell_G"&amp;"randma"")&lt;1,COUNTIF(C$4:C95,VLOOKUP(C95,Upgrades!$F$8:$N$8,7+COUNTIF(C$4:C95,C95)))-COUNTIF(C$4:C95,""Sell_""&amp;VLOOKUP(C95,Upgrades!$F$8:$N$8,7+COUNTIF(C$4:C95,C95)))&lt;15),1),IF(REGEXMATCH(C95,""_up""),IF(COUNTIF(C$4:C95,SUBSTITUTE(C95,""_up"",""""))&lt;IFERRO"&amp;"R(VLOOKUP(C95,Upgrades!$L$3:$P$6,1+COUNTIF(C$4:C95,C95),0),999),1),IF(REGEXMATCH(C95,""Sell_""),IF(COUNTIF(C$4:C95,SUBSTITUTE(C95,""Sell_"",""""))-COUNTIF(C$4:C94,C95)&lt;1,1),FALSE)))))))))"),FALSE)</f>
        <v>0</v>
      </c>
      <c r="E95" s="71">
        <f>IFERROR(__xludf.DUMMYFUNCTION("IF(REGEXMATCH(C95,""^Sell_""),E94, IF(COUNTA(C95:C147)=0,"""",(COUNTIF(C$4:C95,""Cursor"")-COUNTIF(C$4:C95,""Sell_Cursor""))*(0.1*2^SWITCH(COUNTIF(C$4:C95,""Cursor_up""),0,0,1,1,2,2,3)+SWITCH(COUNTIF(C$4:C95,""Cursor_up""),4,0.1,0)*(ROW(C95)-4-COUNTIF(C$4"&amp;":C95,""Cursor"")-COUNTIF(C$4:C95,""*""&amp;""_up"")-2*COUNTIF(C$4:C95,""Sell_""&amp;""*"")+COUNTIF(C$4:C95,""Sell_Cursor"")-COUNTIF(C$4:C95,"""")))+(COUNTIF(C$4:C95,""Grandma"")-COUNTIF(C$4:C95,""Sell_Grandma""))*(1*2^(COUNTIF(C$4:C95,""Grandma_up"")+COUNTIF(C$4:"&amp;"C95,""Super_up"")))+(COUNTIF(C$4:C95,""Farm"")-COUNTIF(C$4:C95,""Sell_Farm""))*(8*2^COUNTIF(C$4:C95,""Farm_up""))*IF(COUNTIF(C$4:C95,""Super_up"")&gt;0,1+0.01*(COUNTIF(C$4:C95,""Grandma"")-COUNTIF(C$4:C95,""Sell_Grandma"")),1)+(COUNTIF(C$4:C95,""Mine"")-COUN"&amp;"TIF(C$4:C95,""Sell_Mine""))*((47*2^COUNTIF(C$4:C95,""Mine_up""))*IF(COUNTIF(C$4:C95,""Super_up"")&gt;1,1+0.005*(COUNTIF(C$4:C95,""Grandma"")-COUNTIF(C$4:C95,""Sell_Grandma"")),1))+(COUNTIF(C$4:C95,""Factory"")-COUNTIF(C$4:C95,""Sell_Factory""))*(260*2^COUNTI"&amp;"F(C$4:C95,""Factory_up""))))"),1628.1599999999999)</f>
        <v>1628.16</v>
      </c>
      <c r="F95" s="73">
        <f>IFERROR(__xludf.DUMMYFUNCTION("IF(COUNTA(C95:C147)=0,"""",IF(REGEXMATCH(INDEX(FILTER(C$4:C95,C$4:C95&lt;&gt;""""),ROWS(FILTER(C$4:C95,C$4:C95&lt;&gt;""""))),""^Sell_""),INDEX(FILTER(F$4:F94,C$4:C94&lt;&gt;""""),ROWS(FILTER(C$4:C94,C$4:C94&lt;&gt;""""))),$AC$5*(2^SWITCH(COUNTIF(C$4:C95,""Cursor_up""),0,0,1,1,2"&amp;",2,3)+SWITCH(COUNTIF(C$4:C95,""Cursor_up""),4,0.1,0)*(ROW(C95)-4-COUNTIF(C$4:C95,""Cursor"")-COUNTIF(C$4:C95,""*""&amp;""_up"")-2*COUNTIF(C$4:C95,""Sell_""&amp;""*"")+COUNTIF(C$4:C95,""Sell_Cursor"")-COUNTIF(C$4:C95,""""))+0.01*E95*COUNTIF(C$4:C95,""Plastic_up"")"&amp;")+E95))"),1870.9759999999999)</f>
        <v>1870.976</v>
      </c>
      <c r="G95" s="14">
        <f>IFERROR(__xludf.DUMMYFUNCTION("IF(COUNTA(C95:C147)=0,"""",IF(REGEXMATCH(C95,""_up""),VLOOKUP(C95,Upgrades!$F$3:$J$8,1+COUNTIF(C$4:C95,C95),FALSE),IF(C95="""",0,IF(REGEXMATCH(C95,""^Sell_""),-ROUNDDOWN(ROUNDUP(INDEX(Upgrades!$C$3:$C$8,MATCH(SUBSTITUTE(C95,""Sell_"",""""),Upgrades!$B$3:$"&amp;"B$8,0))*1.15^(COUNTIF(C$4:C94,SUBSTITUTE(C95,""Sell_"",""""))-COUNTIF(C$4:C94,""Sell_""&amp;SUBSTITUTE(C95,""Sell_"",""""))))/4),ROUNDUP(INDEX(Upgrades!$C$3:$C$7,MATCH(C95,Upgrades!$B$3:$B$7,0))*1.15^(COUNTIF(C$4:C94,C95)-COUNTIF(C$4:C94,""Sell_""&amp;C95)))))))"),18004.0)</f>
        <v>18004</v>
      </c>
      <c r="H95" s="14">
        <f t="shared" si="3"/>
        <v>18004</v>
      </c>
      <c r="I95" s="75">
        <f t="shared" si="4"/>
        <v>3764022.56</v>
      </c>
      <c r="J95" s="76">
        <f t="shared" si="5"/>
        <v>976.377271</v>
      </c>
      <c r="K95" s="71" t="str">
        <f t="shared" si="6"/>
        <v>16m 16s</v>
      </c>
      <c r="L95" s="77">
        <f t="shared" si="7"/>
        <v>497105</v>
      </c>
      <c r="M95" s="51">
        <f t="shared" si="8"/>
        <v>-1.04823</v>
      </c>
      <c r="N95" s="52">
        <f>IFERROR(__xludf.DUMMYFUNCTION("IFS(AND(COUNTA(C95:C147)=0,COUNTA(P95:P147)=0),"""",OR(AND(L95&gt;=1000000,OR(Y95&gt;=1000000,COUNTA(P95:P147)=0)),AND(Y95&gt;=1000000,COUNTA(C95:C147)=0),AND(COUNTA(P95:P147)=0,O$3=TRUE)),
ROUNDDOWN((AB$1-AC$1)*MAX(INDEX(S$4:S147,MATCH(LARGE(FILTER(Y$4:Y147,Y$4:Y"&amp;"147&lt;1000000),1),Y$4:Y147)),INDEX(F$4:F147,MATCH(LARGE(FILTER(L$4:L147,L$4:L147&lt;1000000),1),L$4:L147)))),AND(L95&lt;1000000,COUNTA(C95:C147)&gt;0,O$3=FALSE),
ROUNDDOWN(INDEX(Y$4:Y147,MATCH(LARGE(FILTER(W$4:W147,W$4:W147&lt;=J95),1),W$4:W147))+(J95-LARGE(FILTER(W$4:"&amp;"W147,W$4:W147&lt;=J95),1))*INDEX(S$4:S147,MATCH(LARGE(FILTER(W$4:W147,W$4:W147&lt;=J95),1),W$4:W147))-L95),1,
ROUNDDOWN(Y95-INDEX(L$4:L147,MATCH(LARGE(FILTER(J$4:J147,J$4:J147&lt;=W95),1),J$4:J147))-(W95-LARGE(FILTER(J$4:J147,J$4:J147&lt;=W95),1))*INDEX(F$4:F147,MATC"&amp;"H(LARGE(FILTER(J$4:J147,J$4:J147&lt;=W95),1),J$4:J147))))"),1912.0)</f>
        <v>1912</v>
      </c>
      <c r="O95" s="65">
        <f t="shared" si="9"/>
        <v>21</v>
      </c>
      <c r="P95" s="69" t="s">
        <v>16</v>
      </c>
      <c r="Q95" s="14" t="b">
        <f>IFERROR(__xludf.DUMMYFUNCTION("IF(COUNTA(P95:P147)=0,"""",IFERROR(IF(ISBLANK(P95),FALSE,IF(ISBLANK(T95),1,IF(NOT(COUNTIF($AA$24:$AA$34,SUBSTITUTE(P95,""Sell_"",""""))),1,IF(P95=""Plastic_up"",IF(V95&lt;1000,1),IF(P95=""Super_Up"",IF(OR(COUNTIF(P$4:P95,""Grandma"")-COUNTIF(P$4:P95,""Sell_G"&amp;"randma"")&lt;1,COUNTIF(P$4:P95,VLOOKUP(P95,Upgrades!$F$8:$N$8,7+COUNTIF(P$4:P95,P95)))-COUNTIF(P$4:P95,""Sell_""&amp;VLOOKUP(P95,Upgrades!$F$8:$N$8,7+COUNTIF(P$4:P95,P95)))&lt;15),1),IF(REGEXMATCH(P95,""_up""),IF(COUNTIF(P$4:P95,SUBSTITUTE(P95,""_up"",""""))&lt;IFERRO"&amp;"R(VLOOKUP(P95,Upgrades!$L$3:$P$6,1+COUNTIF(P$4:P95,P95),0),999),1),IF(REGEXMATCH(P95,""Sell_""),IF(COUNTIF(P$4:P95,SUBSTITUTE(P95,""Sell_"",""""))-COUNTIF(P$4:P94,P95)&lt;1,1),FALSE)))))))))"),FALSE)</f>
        <v>0</v>
      </c>
      <c r="R95" s="71">
        <f>IFERROR(__xludf.DUMMYFUNCTION("IF(REGEXMATCH(P95,""^Sell_""),R94, IF(COUNTA(P95:P147)=0,"""",(COUNTIF(P$4:P95,""Cursor"")-COUNTIF(P$4:P95,""Sell_Cursor""))*(0.1*2^SWITCH(COUNTIF(P$4:P95,""Cursor_up""),0,0,1,1,2,2,3)+SWITCH(COUNTIF(P$4:P95,""Cursor_up""),4,0.1,0)*(ROW(P95)-4-COUNTIF(P$4"&amp;":P95,""Cursor"")-COUNTIF(P$4:P95,""*""&amp;""_up"")-2*COUNTIF(P$4:P95,""Sell_""&amp;""*"")+COUNTIF(P$4:P95,""Sell_Cursor"")-COUNTIF(P$4:P95,"""")))+(COUNTIF(P$4:P95,""Grandma"")-COUNTIF(P$4:P95,""Sell_Grandma""))*(1*2^(COUNTIF(P$4:P95,""Grandma_up"")+COUNTIF(P$4:"&amp;"P95,""Super_up"")))+(COUNTIF(P$4:P95,""Farm"")-COUNTIF(P$4:P95,""Sell_Farm""))*(8*2^COUNTIF(P$4:P95,""Farm_up""))*IF(COUNTIF(P$4:P95,""Super_up"")&gt;0,1+0.01*(COUNTIF(P$4:P95,""Grandma"")-COUNTIF(P$4:P95,""Sell_Grandma"")),1)+(COUNTIF(P$4:P95,""Mine"")-COUN"&amp;"TIF(P$4:P95,""Sell_Mine""))*((47*2^COUNTIF(P$4:P95,""Mine_up""))*IF(COUNTIF(P$4:P95,""Super_up"")&gt;1,1+0.005*(COUNTIF(P$4:P95,""Grandma"")-COUNTIF(P$4:P95,""Sell_Grandma"")),1))+(COUNTIF(P$4:P95,""Factory"")-COUNTIF(P$4:P95,""Sell_Factory""))*(260*2^COUNTI"&amp;"F(P$4:P95,""Factory_up""))))"),1628.1599999999999)</f>
        <v>1628.16</v>
      </c>
      <c r="S95" s="73">
        <f>IFERROR(__xludf.DUMMYFUNCTION("IF(COUNTA(P95:P147)=0,"""",IF(REGEXMATCH(INDEX(FILTER(P$4:P95,P$4:P95&lt;&gt;""""),ROWS(FILTER(P$4:P95,P$4:P95&lt;&gt;""""))),""^Sell_""),INDEX(FILTER(S$4:S94,P$4:P94&lt;&gt;""""),ROWS(FILTER(P$4:P94,P$4:P94&lt;&gt;""""))),$AD$5*(2^SWITCH(COUNTIF(P$4:P95,""Cursor_up""),0,0,1,1,2"&amp;",2,3)+SWITCH(COUNTIF(P$4:P95,""Cursor_up""),4,0.1,0)*(ROW(P95)-4-COUNTIF(P$4:P95,""Cursor"")-COUNTIF(P$4:P95,""*""&amp;""_up"")-2*COUNTIF(P$4:P95,""Sell_""&amp;""*"")+COUNTIF(P$4:P95,""Sell_Cursor"")-COUNTIF(P$4:P95,""""))+0.01*R95*COUNTIF(P$4:P95,""Plastic_up"")"&amp;")+R95))"),1870.9759999999999)</f>
        <v>1870.976</v>
      </c>
      <c r="T95" s="14">
        <f>IFERROR(__xludf.DUMMYFUNCTION("IF(COUNTA(P95:P147)=0,"""",IF(REGEXMATCH(P95,""_up""),VLOOKUP(P95,Upgrades!$F$3:$J$8,1+COUNTIF(P$4:P95,P95),FALSE),IF(P95="""",0,IF(REGEXMATCH(P95,""^Sell_""),-ROUNDDOWN(ROUNDUP(INDEX(Upgrades!$C$3:$C$8,MATCH(SUBSTITUTE(P95,""Sell_"",""""),Upgrades!$B$3:$"&amp;"B$8,0))*1.15^(COUNTIF(P$4:P94,SUBSTITUTE(P95,""Sell_"",""""))-COUNTIF(P$4:P94,""Sell_""&amp;SUBSTITUTE(P95,""Sell_"",""""))))/4),ROUNDUP(INDEX(Upgrades!$C$3:$C$7,MATCH(P95,Upgrades!$B$3:$B$7,0))*1.15^(COUNTIF(P$4:P94,P95)-COUNTIF(P$4:P94,""Sell_""&amp;P95)))))))"),18004.0)</f>
        <v>18004</v>
      </c>
      <c r="U95" s="14">
        <f t="shared" si="10"/>
        <v>18004</v>
      </c>
      <c r="V95" s="75">
        <f t="shared" si="11"/>
        <v>3675047.537</v>
      </c>
      <c r="W95" s="76">
        <f t="shared" si="12"/>
        <v>975.3290346</v>
      </c>
      <c r="X95" s="71" t="str">
        <f t="shared" si="13"/>
        <v>16m 15s</v>
      </c>
      <c r="Y95" s="77">
        <f t="shared" si="14"/>
        <v>497105</v>
      </c>
      <c r="Z95" s="17"/>
      <c r="AA95" s="13"/>
      <c r="AB95" s="13"/>
      <c r="AC95" s="13"/>
      <c r="AD95" s="13"/>
      <c r="AE95" s="13"/>
      <c r="AF95" s="13"/>
      <c r="AG95" s="13"/>
    </row>
    <row r="96">
      <c r="A96" s="12"/>
      <c r="B96" s="65">
        <f t="shared" si="2"/>
        <v>34</v>
      </c>
      <c r="C96" s="69" t="s">
        <v>13</v>
      </c>
      <c r="D96" s="14" t="b">
        <f>IFERROR(__xludf.DUMMYFUNCTION("IF(COUNTA(C96:C147)=0,"""",IFERROR(IF(ISBLANK(C96),FALSE,IF(ISBLANK(G96),1,IF(NOT(COUNTIF($AA$24:$AA$34,SUBSTITUTE(C96,""Sell_"",""""))),1,IF(C96=""Plastic_up"",IF(I96&lt;1000,1),IF(C96=""Super_Up"",IF(OR(COUNTIF(C$4:C96,""Grandma"")-COUNTIF(C$4:C96,""Sell_G"&amp;"randma"")&lt;1,COUNTIF(C$4:C96,VLOOKUP(C96,Upgrades!$F$8:$N$8,7+COUNTIF(C$4:C96,C96)))-COUNTIF(C$4:C96,""Sell_""&amp;VLOOKUP(C96,Upgrades!$F$8:$N$8,7+COUNTIF(C$4:C96,C96)))&lt;15),1),IF(REGEXMATCH(C96,""_up""),IF(COUNTIF(C$4:C96,SUBSTITUTE(C96,""_up"",""""))&lt;IFERRO"&amp;"R(VLOOKUP(C96,Upgrades!$L$3:$P$6,1+COUNTIF(C$4:C96,C96),0),999),1),IF(REGEXMATCH(C96,""Sell_""),IF(COUNTIF(C$4:C96,SUBSTITUTE(C96,""Sell_"",""""))-COUNTIF(C$4:C95,C96)&lt;1,1),FALSE)))))))))"),FALSE)</f>
        <v>0</v>
      </c>
      <c r="E96" s="71">
        <f>IFERROR(__xludf.DUMMYFUNCTION("IF(REGEXMATCH(C96,""^Sell_""),E95, IF(COUNTA(C96:C147)=0,"""",(COUNTIF(C$4:C96,""Cursor"")-COUNTIF(C$4:C96,""Sell_Cursor""))*(0.1*2^SWITCH(COUNTIF(C$4:C96,""Cursor_up""),0,0,1,1,2,2,3)+SWITCH(COUNTIF(C$4:C96,""Cursor_up""),4,0.1,0)*(ROW(C96)-4-COUNTIF(C$4"&amp;":C96,""Cursor"")-COUNTIF(C$4:C96,""*""&amp;""_up"")-2*COUNTIF(C$4:C96,""Sell_""&amp;""*"")+COUNTIF(C$4:C96,""Sell_Cursor"")-COUNTIF(C$4:C96,"""")))+(COUNTIF(C$4:C96,""Grandma"")-COUNTIF(C$4:C96,""Sell_Grandma""))*(1*2^(COUNTIF(C$4:C96,""Grandma_up"")+COUNTIF(C$4:"&amp;"C96,""Super_up"")))+(COUNTIF(C$4:C96,""Farm"")-COUNTIF(C$4:C96,""Sell_Farm""))*(8*2^COUNTIF(C$4:C96,""Farm_up""))*IF(COUNTIF(C$4:C96,""Super_up"")&gt;0,1+0.01*(COUNTIF(C$4:C96,""Grandma"")-COUNTIF(C$4:C96,""Sell_Grandma"")),1)+(COUNTIF(C$4:C96,""Mine"")-COUN"&amp;"TIF(C$4:C96,""Sell_Mine""))*((47*2^COUNTIF(C$4:C96,""Mine_up""))*IF(COUNTIF(C$4:C96,""Super_up"")&gt;1,1+0.005*(COUNTIF(C$4:C96,""Grandma"")-COUNTIF(C$4:C96,""Sell_Grandma"")),1))+(COUNTIF(C$4:C96,""Factory"")-COUNTIF(C$4:C96,""Sell_Factory""))*(260*2^COUNTI"&amp;"F(C$4:C96,""Factory_up""))))"),1650.88)</f>
        <v>1650.88</v>
      </c>
      <c r="F96" s="73">
        <f>IFERROR(__xludf.DUMMYFUNCTION("IF(COUNTA(C96:C147)=0,"""",IF(REGEXMATCH(INDEX(FILTER(C$4:C96,C$4:C96&lt;&gt;""""),ROWS(FILTER(C$4:C96,C$4:C96&lt;&gt;""""))),""^Sell_""),INDEX(FILTER(F$4:F95,C$4:C95&lt;&gt;""""),ROWS(FILTER(C$4:C95,C$4:C95&lt;&gt;""""))),$AC$5*(2^SWITCH(COUNTIF(C$4:C96,""Cursor_up""),0,0,1,1,2"&amp;",2,3)+SWITCH(COUNTIF(C$4:C96,""Cursor_up""),4,0.1,0)*(ROW(C96)-4-COUNTIF(C$4:C96,""Cursor"")-COUNTIF(C$4:C96,""*""&amp;""_up"")-2*COUNTIF(C$4:C96,""Sell_""&amp;""*"")+COUNTIF(C$4:C96,""Sell_Cursor"")-COUNTIF(C$4:C96,""""))+0.01*E96*COUNTIF(C$4:C96,""Plastic_up"")"&amp;")+E96))"),1895.968)</f>
        <v>1895.968</v>
      </c>
      <c r="G96" s="14">
        <f>IFERROR(__xludf.DUMMYFUNCTION("IF(COUNTA(C96:C147)=0,"""",IF(REGEXMATCH(C96,""_up""),VLOOKUP(C96,Upgrades!$F$3:$J$8,1+COUNTIF(C$4:C96,C96),FALSE),IF(C96="""",0,IF(REGEXMATCH(C96,""^Sell_""),-ROUNDDOWN(ROUNDUP(INDEX(Upgrades!$C$3:$C$8,MATCH(SUBSTITUTE(C96,""Sell_"",""""),Upgrades!$B$3:$"&amp;"B$8,0))*1.15^(COUNTIF(C$4:C95,SUBSTITUTE(C96,""Sell_"",""""))-COUNTIF(C$4:C95,""Sell_""&amp;SUBSTITUTE(C96,""Sell_"",""""))))/4),ROUNDUP(INDEX(Upgrades!$C$3:$C$7,MATCH(C96,Upgrades!$B$3:$B$7,0))*1.15^(COUNTIF(C$4:C95,C96)-COUNTIF(C$4:C95,""Sell_""&amp;C96)))))))"),10070.0)</f>
        <v>10070</v>
      </c>
      <c r="H96" s="14">
        <f t="shared" si="3"/>
        <v>10070</v>
      </c>
      <c r="I96" s="75">
        <f t="shared" si="4"/>
        <v>4002409.472</v>
      </c>
      <c r="J96" s="76">
        <f t="shared" si="5"/>
        <v>981.7594886</v>
      </c>
      <c r="K96" s="71" t="str">
        <f t="shared" si="6"/>
        <v>16m 21s</v>
      </c>
      <c r="L96" s="77">
        <f t="shared" si="7"/>
        <v>507175</v>
      </c>
      <c r="M96" s="51">
        <f t="shared" si="8"/>
        <v>-1.04823</v>
      </c>
      <c r="N96" s="52">
        <f>IFERROR(__xludf.DUMMYFUNCTION("IFS(AND(COUNTA(C96:C147)=0,COUNTA(P96:P147)=0),"""",OR(AND(L96&gt;=1000000,OR(Y96&gt;=1000000,COUNTA(P96:P147)=0)),AND(Y96&gt;=1000000,COUNTA(C96:C147)=0),AND(COUNTA(P96:P147)=0,O$3=TRUE)),
ROUNDDOWN((AB$1-AC$1)*MAX(INDEX(S$4:S147,MATCH(LARGE(FILTER(Y$4:Y147,Y$4:Y"&amp;"147&lt;1000000),1),Y$4:Y147)),INDEX(F$4:F147,MATCH(LARGE(FILTER(L$4:L147,L$4:L147&lt;1000000),1),L$4:L147)))),AND(L96&lt;1000000,COUNTA(C96:C147)&gt;0,O$3=FALSE),
ROUNDDOWN(INDEX(Y$4:Y147,MATCH(LARGE(FILTER(W$4:W147,W$4:W147&lt;=J96),1),W$4:W147))+(J96-LARGE(FILTER(W$4:"&amp;"W147,W$4:W147&lt;=J96),1))*INDEX(S$4:S147,MATCH(LARGE(FILTER(W$4:W147,W$4:W147&lt;=J96),1),W$4:W147))-L96),1,
ROUNDDOWN(Y96-INDEX(L$4:L147,MATCH(LARGE(FILTER(J$4:J147,J$4:J147&lt;=W96),1),J$4:J147))-(W96-LARGE(FILTER(J$4:J147,J$4:J147&lt;=W96),1))*INDEX(F$4:F147,MATC"&amp;"H(LARGE(FILTER(J$4:J147,J$4:J147&lt;=W96),1),J$4:J147))))"),1961.0)</f>
        <v>1961</v>
      </c>
      <c r="O96" s="65">
        <f t="shared" si="9"/>
        <v>34</v>
      </c>
      <c r="P96" s="69" t="s">
        <v>13</v>
      </c>
      <c r="Q96" s="14" t="b">
        <f>IFERROR(__xludf.DUMMYFUNCTION("IF(COUNTA(P96:P147)=0,"""",IFERROR(IF(ISBLANK(P96),FALSE,IF(ISBLANK(T96),1,IF(NOT(COUNTIF($AA$24:$AA$34,SUBSTITUTE(P96,""Sell_"",""""))),1,IF(P96=""Plastic_up"",IF(V96&lt;1000,1),IF(P96=""Super_Up"",IF(OR(COUNTIF(P$4:P96,""Grandma"")-COUNTIF(P$4:P96,""Sell_G"&amp;"randma"")&lt;1,COUNTIF(P$4:P96,VLOOKUP(P96,Upgrades!$F$8:$N$8,7+COUNTIF(P$4:P96,P96)))-COUNTIF(P$4:P96,""Sell_""&amp;VLOOKUP(P96,Upgrades!$F$8:$N$8,7+COUNTIF(P$4:P96,P96)))&lt;15),1),IF(REGEXMATCH(P96,""_up""),IF(COUNTIF(P$4:P96,SUBSTITUTE(P96,""_up"",""""))&lt;IFERRO"&amp;"R(VLOOKUP(P96,Upgrades!$L$3:$P$6,1+COUNTIF(P$4:P96,P96),0),999),1),IF(REGEXMATCH(P96,""Sell_""),IF(COUNTIF(P$4:P96,SUBSTITUTE(P96,""Sell_"",""""))-COUNTIF(P$4:P95,P96)&lt;1,1),FALSE)))))))))"),FALSE)</f>
        <v>0</v>
      </c>
      <c r="R96" s="71">
        <f>IFERROR(__xludf.DUMMYFUNCTION("IF(REGEXMATCH(P96,""^Sell_""),R95, IF(COUNTA(P96:P147)=0,"""",(COUNTIF(P$4:P96,""Cursor"")-COUNTIF(P$4:P96,""Sell_Cursor""))*(0.1*2^SWITCH(COUNTIF(P$4:P96,""Cursor_up""),0,0,1,1,2,2,3)+SWITCH(COUNTIF(P$4:P96,""Cursor_up""),4,0.1,0)*(ROW(P96)-4-COUNTIF(P$4"&amp;":P96,""Cursor"")-COUNTIF(P$4:P96,""*""&amp;""_up"")-2*COUNTIF(P$4:P96,""Sell_""&amp;""*"")+COUNTIF(P$4:P96,""Sell_Cursor"")-COUNTIF(P$4:P96,"""")))+(COUNTIF(P$4:P96,""Grandma"")-COUNTIF(P$4:P96,""Sell_Grandma""))*(1*2^(COUNTIF(P$4:P96,""Grandma_up"")+COUNTIF(P$4:"&amp;"P96,""Super_up"")))+(COUNTIF(P$4:P96,""Farm"")-COUNTIF(P$4:P96,""Sell_Farm""))*(8*2^COUNTIF(P$4:P96,""Farm_up""))*IF(COUNTIF(P$4:P96,""Super_up"")&gt;0,1+0.01*(COUNTIF(P$4:P96,""Grandma"")-COUNTIF(P$4:P96,""Sell_Grandma"")),1)+(COUNTIF(P$4:P96,""Mine"")-COUN"&amp;"TIF(P$4:P96,""Sell_Mine""))*((47*2^COUNTIF(P$4:P96,""Mine_up""))*IF(COUNTIF(P$4:P96,""Super_up"")&gt;1,1+0.005*(COUNTIF(P$4:P96,""Grandma"")-COUNTIF(P$4:P96,""Sell_Grandma"")),1))+(COUNTIF(P$4:P96,""Factory"")-COUNTIF(P$4:P96,""Sell_Factory""))*(260*2^COUNTI"&amp;"F(P$4:P96,""Factory_up""))))"),1650.88)</f>
        <v>1650.88</v>
      </c>
      <c r="S96" s="73">
        <f>IFERROR(__xludf.DUMMYFUNCTION("IF(COUNTA(P96:P147)=0,"""",IF(REGEXMATCH(INDEX(FILTER(P$4:P96,P$4:P96&lt;&gt;""""),ROWS(FILTER(P$4:P96,P$4:P96&lt;&gt;""""))),""^Sell_""),INDEX(FILTER(S$4:S95,P$4:P95&lt;&gt;""""),ROWS(FILTER(P$4:P95,P$4:P95&lt;&gt;""""))),$AD$5*(2^SWITCH(COUNTIF(P$4:P96,""Cursor_up""),0,0,1,1,2"&amp;",2,3)+SWITCH(COUNTIF(P$4:P96,""Cursor_up""),4,0.1,0)*(ROW(P96)-4-COUNTIF(P$4:P96,""Cursor"")-COUNTIF(P$4:P96,""*""&amp;""_up"")-2*COUNTIF(P$4:P96,""Sell_""&amp;""*"")+COUNTIF(P$4:P96,""Sell_Cursor"")-COUNTIF(P$4:P96,""""))+0.01*R96*COUNTIF(P$4:P96,""Plastic_up"")"&amp;")+R96))"),1895.968)</f>
        <v>1895.968</v>
      </c>
      <c r="T96" s="14">
        <f>IFERROR(__xludf.DUMMYFUNCTION("IF(COUNTA(P96:P147)=0,"""",IF(REGEXMATCH(P96,""_up""),VLOOKUP(P96,Upgrades!$F$3:$J$8,1+COUNTIF(P$4:P96,P96),FALSE),IF(P96="""",0,IF(REGEXMATCH(P96,""^Sell_""),-ROUNDDOWN(ROUNDUP(INDEX(Upgrades!$C$3:$C$8,MATCH(SUBSTITUTE(P96,""Sell_"",""""),Upgrades!$B$3:$"&amp;"B$8,0))*1.15^(COUNTIF(P$4:P95,SUBSTITUTE(P96,""Sell_"",""""))-COUNTIF(P$4:P95,""Sell_""&amp;SUBSTITUTE(P96,""Sell_"",""""))))/4),ROUNDUP(INDEX(Upgrades!$C$3:$C$7,MATCH(P96,Upgrades!$B$3:$B$7,0))*1.15^(COUNTIF(P$4:P95,P96)-COUNTIF(P$4:P95,""Sell_""&amp;P96)))))))"),10070.0)</f>
        <v>10070</v>
      </c>
      <c r="U96" s="14">
        <f t="shared" si="10"/>
        <v>10070</v>
      </c>
      <c r="V96" s="75">
        <f t="shared" si="11"/>
        <v>3913179.921</v>
      </c>
      <c r="W96" s="76">
        <f t="shared" si="12"/>
        <v>980.7112522</v>
      </c>
      <c r="X96" s="71" t="str">
        <f t="shared" si="13"/>
        <v>16m 20s</v>
      </c>
      <c r="Y96" s="77">
        <f t="shared" si="14"/>
        <v>507175</v>
      </c>
      <c r="Z96" s="17"/>
      <c r="AA96" s="13"/>
      <c r="AB96" s="13"/>
      <c r="AC96" s="13"/>
      <c r="AD96" s="13"/>
      <c r="AE96" s="13"/>
      <c r="AF96" s="13"/>
      <c r="AG96" s="13"/>
    </row>
    <row r="97">
      <c r="A97" s="12"/>
      <c r="B97" s="65">
        <f t="shared" si="2"/>
        <v>5</v>
      </c>
      <c r="C97" s="69" t="s">
        <v>18</v>
      </c>
      <c r="D97" s="14" t="b">
        <f>IFERROR(__xludf.DUMMYFUNCTION("IF(COUNTA(C97:C147)=0,"""",IFERROR(IF(ISBLANK(C97),FALSE,IF(ISBLANK(G97),1,IF(NOT(COUNTIF($AA$24:$AA$34,SUBSTITUTE(C97,""Sell_"",""""))),1,IF(C97=""Plastic_up"",IF(I97&lt;1000,1),IF(C97=""Super_Up"",IF(OR(COUNTIF(C$4:C97,""Grandma"")-COUNTIF(C$4:C97,""Sell_G"&amp;"randma"")&lt;1,COUNTIF(C$4:C97,VLOOKUP(C97,Upgrades!$F$8:$N$8,7+COUNTIF(C$4:C97,C97)))-COUNTIF(C$4:C97,""Sell_""&amp;VLOOKUP(C97,Upgrades!$F$8:$N$8,7+COUNTIF(C$4:C97,C97)))&lt;15),1),IF(REGEXMATCH(C97,""_up""),IF(COUNTIF(C$4:C97,SUBSTITUTE(C97,""_up"",""""))&lt;IFERRO"&amp;"R(VLOOKUP(C97,Upgrades!$L$3:$P$6,1+COUNTIF(C$4:C97,C97),0),999),1),IF(REGEXMATCH(C97,""Sell_""),IF(COUNTIF(C$4:C97,SUBSTITUTE(C97,""Sell_"",""""))-COUNTIF(C$4:C96,C97)&lt;1,1),FALSE)))))))))"),FALSE)</f>
        <v>0</v>
      </c>
      <c r="E97" s="71">
        <f>IFERROR(__xludf.DUMMYFUNCTION("IF(REGEXMATCH(C97,""^Sell_""),E96, IF(COUNTA(C97:C147)=0,"""",(COUNTIF(C$4:C97,""Cursor"")-COUNTIF(C$4:C97,""Sell_Cursor""))*(0.1*2^SWITCH(COUNTIF(C$4:C97,""Cursor_up""),0,0,1,1,2,2,3)+SWITCH(COUNTIF(C$4:C97,""Cursor_up""),4,0.1,0)*(ROW(C97)-4-COUNTIF(C$4"&amp;":C97,""Cursor"")-COUNTIF(C$4:C97,""*""&amp;""_up"")-2*COUNTIF(C$4:C97,""Sell_""&amp;""*"")+COUNTIF(C$4:C97,""Sell_Cursor"")-COUNTIF(C$4:C97,"""")))+(COUNTIF(C$4:C97,""Grandma"")-COUNTIF(C$4:C97,""Sell_Grandma""))*(1*2^(COUNTIF(C$4:C97,""Grandma_up"")+COUNTIF(C$4:"&amp;"C97,""Super_up"")))+(COUNTIF(C$4:C97,""Farm"")-COUNTIF(C$4:C97,""Sell_Farm""))*(8*2^COUNTIF(C$4:C97,""Farm_up""))*IF(COUNTIF(C$4:C97,""Super_up"")&gt;0,1+0.01*(COUNTIF(C$4:C97,""Grandma"")-COUNTIF(C$4:C97,""Sell_Grandma"")),1)+(COUNTIF(C$4:C97,""Mine"")-COUN"&amp;"TIF(C$4:C97,""Sell_Mine""))*((47*2^COUNTIF(C$4:C97,""Mine_up""))*IF(COUNTIF(C$4:C97,""Super_up"")&gt;1,1+0.005*(COUNTIF(C$4:C97,""Grandma"")-COUNTIF(C$4:C97,""Sell_Grandma"")),1))+(COUNTIF(C$4:C97,""Factory"")-COUNTIF(C$4:C97,""Sell_Factory""))*(260*2^COUNTI"&amp;"F(C$4:C97,""Factory_up""))))"),1697.88)</f>
        <v>1697.88</v>
      </c>
      <c r="F97" s="73">
        <f>IFERROR(__xludf.DUMMYFUNCTION("IF(COUNTA(C97:C147)=0,"""",IF(REGEXMATCH(INDEX(FILTER(C$4:C97,C$4:C97&lt;&gt;""""),ROWS(FILTER(C$4:C97,C$4:C97&lt;&gt;""""))),""^Sell_""),INDEX(FILTER(F$4:F96,C$4:C96&lt;&gt;""""),ROWS(FILTER(C$4:C96,C$4:C96&lt;&gt;""""))),$AC$5*(2^SWITCH(COUNTIF(C$4:C97,""Cursor_up""),0,0,1,1,2"&amp;",2,3)+SWITCH(COUNTIF(C$4:C97,""Cursor_up""),4,0.1,0)*(ROW(C97)-4-COUNTIF(C$4:C97,""Cursor"")-COUNTIF(C$4:C97,""*""&amp;""_up"")-2*COUNTIF(C$4:C97,""Sell_""&amp;""*"")+COUNTIF(C$4:C97,""Sell_Cursor"")-COUNTIF(C$4:C97,""""))+0.01*E97*COUNTIF(C$4:C97,""Plastic_up"")"&amp;")+E97))"),1947.6680000000001)</f>
        <v>1947.668</v>
      </c>
      <c r="G97" s="14">
        <f>IFERROR(__xludf.DUMMYFUNCTION("IF(COUNTA(C97:C147)=0,"""",IF(REGEXMATCH(C97,""_up""),VLOOKUP(C97,Upgrades!$F$3:$J$8,1+COUNTIF(C$4:C97,C97),FALSE),IF(C97="""",0,IF(REGEXMATCH(C97,""^Sell_""),-ROUNDDOWN(ROUNDUP(INDEX(Upgrades!$C$3:$C$8,MATCH(SUBSTITUTE(C97,""Sell_"",""""),Upgrades!$B$3:$"&amp;"B$8,0))*1.15^(COUNTIF(C$4:C96,SUBSTITUTE(C97,""Sell_"",""""))-COUNTIF(C$4:C96,""Sell_""&amp;SUBSTITUTE(C97,""Sell_"",""""))))/4),ROUNDUP(INDEX(Upgrades!$C$3:$C$7,MATCH(C97,Upgrades!$B$3:$B$7,0))*1.15^(COUNTIF(C$4:C96,C97)-COUNTIF(C$4:C96,""Sell_""&amp;C97)))))))"),20989.0)</f>
        <v>20989</v>
      </c>
      <c r="H97" s="14">
        <f t="shared" si="3"/>
        <v>20989</v>
      </c>
      <c r="I97" s="75">
        <f t="shared" si="4"/>
        <v>4245740.148</v>
      </c>
      <c r="J97" s="76">
        <f t="shared" si="5"/>
        <v>992.8298231</v>
      </c>
      <c r="K97" s="71" t="str">
        <f t="shared" si="6"/>
        <v>16m 32s</v>
      </c>
      <c r="L97" s="77">
        <f t="shared" si="7"/>
        <v>528164</v>
      </c>
      <c r="M97" s="51">
        <f t="shared" si="8"/>
        <v>-1.04823</v>
      </c>
      <c r="N97" s="52">
        <f>IFERROR(__xludf.DUMMYFUNCTION("IFS(AND(COUNTA(C97:C147)=0,COUNTA(P97:P147)=0),"""",OR(AND(L97&gt;=1000000,OR(Y97&gt;=1000000,COUNTA(P97:P147)=0)),AND(Y97&gt;=1000000,COUNTA(C97:C147)=0),AND(COUNTA(P97:P147)=0,O$3=TRUE)),
ROUNDDOWN((AB$1-AC$1)*MAX(INDEX(S$4:S147,MATCH(LARGE(FILTER(Y$4:Y147,Y$4:Y"&amp;"147&lt;1000000),1),Y$4:Y147)),INDEX(F$4:F147,MATCH(LARGE(FILTER(L$4:L147,L$4:L147&lt;1000000),1),L$4:L147)))),AND(L97&lt;1000000,COUNTA(C97:C147)&gt;0,O$3=FALSE),
ROUNDDOWN(INDEX(Y$4:Y147,MATCH(LARGE(FILTER(W$4:W147,W$4:W147&lt;=J97),1),W$4:W147))+(J97-LARGE(FILTER(W$4:"&amp;"W147,W$4:W147&lt;=J97),1))*INDEX(S$4:S147,MATCH(LARGE(FILTER(W$4:W147,W$4:W147&lt;=J97),1),W$4:W147))-L97),1,
ROUNDDOWN(Y97-INDEX(L$4:L147,MATCH(LARGE(FILTER(J$4:J147,J$4:J147&lt;=W97),1),J$4:J147))-(W97-LARGE(FILTER(J$4:J147,J$4:J147&lt;=W97),1))*INDEX(F$4:F147,MATC"&amp;"H(LARGE(FILTER(J$4:J147,J$4:J147&lt;=W97),1),J$4:J147))))"),1987.0)</f>
        <v>1987</v>
      </c>
      <c r="O97" s="65">
        <f t="shared" si="9"/>
        <v>5</v>
      </c>
      <c r="P97" s="69" t="s">
        <v>18</v>
      </c>
      <c r="Q97" s="14" t="b">
        <f>IFERROR(__xludf.DUMMYFUNCTION("IF(COUNTA(P97:P147)=0,"""",IFERROR(IF(ISBLANK(P97),FALSE,IF(ISBLANK(T97),1,IF(NOT(COUNTIF($AA$24:$AA$34,SUBSTITUTE(P97,""Sell_"",""""))),1,IF(P97=""Plastic_up"",IF(V97&lt;1000,1),IF(P97=""Super_Up"",IF(OR(COUNTIF(P$4:P97,""Grandma"")-COUNTIF(P$4:P97,""Sell_G"&amp;"randma"")&lt;1,COUNTIF(P$4:P97,VLOOKUP(P97,Upgrades!$F$8:$N$8,7+COUNTIF(P$4:P97,P97)))-COUNTIF(P$4:P97,""Sell_""&amp;VLOOKUP(P97,Upgrades!$F$8:$N$8,7+COUNTIF(P$4:P97,P97)))&lt;15),1),IF(REGEXMATCH(P97,""_up""),IF(COUNTIF(P$4:P97,SUBSTITUTE(P97,""_up"",""""))&lt;IFERRO"&amp;"R(VLOOKUP(P97,Upgrades!$L$3:$P$6,1+COUNTIF(P$4:P97,P97),0),999),1),IF(REGEXMATCH(P97,""Sell_""),IF(COUNTIF(P$4:P97,SUBSTITUTE(P97,""Sell_"",""""))-COUNTIF(P$4:P96,P97)&lt;1,1),FALSE)))))))))"),FALSE)</f>
        <v>0</v>
      </c>
      <c r="R97" s="71">
        <f>IFERROR(__xludf.DUMMYFUNCTION("IF(REGEXMATCH(P97,""^Sell_""),R96, IF(COUNTA(P97:P147)=0,"""",(COUNTIF(P$4:P97,""Cursor"")-COUNTIF(P$4:P97,""Sell_Cursor""))*(0.1*2^SWITCH(COUNTIF(P$4:P97,""Cursor_up""),0,0,1,1,2,2,3)+SWITCH(COUNTIF(P$4:P97,""Cursor_up""),4,0.1,0)*(ROW(P97)-4-COUNTIF(P$4"&amp;":P97,""Cursor"")-COUNTIF(P$4:P97,""*""&amp;""_up"")-2*COUNTIF(P$4:P97,""Sell_""&amp;""*"")+COUNTIF(P$4:P97,""Sell_Cursor"")-COUNTIF(P$4:P97,"""")))+(COUNTIF(P$4:P97,""Grandma"")-COUNTIF(P$4:P97,""Sell_Grandma""))*(1*2^(COUNTIF(P$4:P97,""Grandma_up"")+COUNTIF(P$4:"&amp;"P97,""Super_up"")))+(COUNTIF(P$4:P97,""Farm"")-COUNTIF(P$4:P97,""Sell_Farm""))*(8*2^COUNTIF(P$4:P97,""Farm_up""))*IF(COUNTIF(P$4:P97,""Super_up"")&gt;0,1+0.01*(COUNTIF(P$4:P97,""Grandma"")-COUNTIF(P$4:P97,""Sell_Grandma"")),1)+(COUNTIF(P$4:P97,""Mine"")-COUN"&amp;"TIF(P$4:P97,""Sell_Mine""))*((47*2^COUNTIF(P$4:P97,""Mine_up""))*IF(COUNTIF(P$4:P97,""Super_up"")&gt;1,1+0.005*(COUNTIF(P$4:P97,""Grandma"")-COUNTIF(P$4:P97,""Sell_Grandma"")),1))+(COUNTIF(P$4:P97,""Factory"")-COUNTIF(P$4:P97,""Sell_Factory""))*(260*2^COUNTI"&amp;"F(P$4:P97,""Factory_up""))))"),1697.88)</f>
        <v>1697.88</v>
      </c>
      <c r="S97" s="73">
        <f>IFERROR(__xludf.DUMMYFUNCTION("IF(COUNTA(P97:P147)=0,"""",IF(REGEXMATCH(INDEX(FILTER(P$4:P97,P$4:P97&lt;&gt;""""),ROWS(FILTER(P$4:P97,P$4:P97&lt;&gt;""""))),""^Sell_""),INDEX(FILTER(S$4:S96,P$4:P96&lt;&gt;""""),ROWS(FILTER(P$4:P96,P$4:P96&lt;&gt;""""))),$AD$5*(2^SWITCH(COUNTIF(P$4:P97,""Cursor_up""),0,0,1,1,2"&amp;",2,3)+SWITCH(COUNTIF(P$4:P97,""Cursor_up""),4,0.1,0)*(ROW(P97)-4-COUNTIF(P$4:P97,""Cursor"")-COUNTIF(P$4:P97,""*""&amp;""_up"")-2*COUNTIF(P$4:P97,""Sell_""&amp;""*"")+COUNTIF(P$4:P97,""Sell_Cursor"")-COUNTIF(P$4:P97,""""))+0.01*R97*COUNTIF(P$4:P97,""Plastic_up"")"&amp;")+R97))"),1947.6680000000001)</f>
        <v>1947.668</v>
      </c>
      <c r="T97" s="14">
        <f>IFERROR(__xludf.DUMMYFUNCTION("IF(COUNTA(P97:P147)=0,"""",IF(REGEXMATCH(P97,""_up""),VLOOKUP(P97,Upgrades!$F$3:$J$8,1+COUNTIF(P$4:P97,P97),FALSE),IF(P97="""",0,IF(REGEXMATCH(P97,""^Sell_""),-ROUNDDOWN(ROUNDUP(INDEX(Upgrades!$C$3:$C$8,MATCH(SUBSTITUTE(P97,""Sell_"",""""),Upgrades!$B$3:$"&amp;"B$8,0))*1.15^(COUNTIF(P$4:P96,SUBSTITUTE(P97,""Sell_"",""""))-COUNTIF(P$4:P96,""Sell_""&amp;SUBSTITUTE(P97,""Sell_"",""""))))/4),ROUNDUP(INDEX(Upgrades!$C$3:$C$7,MATCH(P97,Upgrades!$B$3:$B$7,0))*1.15^(COUNTIF(P$4:P96,P97)-COUNTIF(P$4:P96,""Sell_""&amp;P97)))))))"),20989.0)</f>
        <v>20989</v>
      </c>
      <c r="U97" s="14">
        <f t="shared" si="10"/>
        <v>20989</v>
      </c>
      <c r="V97" s="75">
        <f t="shared" si="11"/>
        <v>4156253.686</v>
      </c>
      <c r="W97" s="76">
        <f t="shared" si="12"/>
        <v>991.7815868</v>
      </c>
      <c r="X97" s="71" t="str">
        <f t="shared" si="13"/>
        <v>16m 31s</v>
      </c>
      <c r="Y97" s="77">
        <f t="shared" si="14"/>
        <v>528164</v>
      </c>
      <c r="Z97" s="17"/>
      <c r="AA97" s="13"/>
      <c r="AB97" s="13"/>
      <c r="AC97" s="13"/>
      <c r="AD97" s="13"/>
      <c r="AE97" s="13"/>
      <c r="AF97" s="13"/>
      <c r="AG97" s="13"/>
    </row>
    <row r="98">
      <c r="A98" s="12"/>
      <c r="B98" s="65">
        <f t="shared" si="2"/>
        <v>24</v>
      </c>
      <c r="C98" s="69" t="s">
        <v>10</v>
      </c>
      <c r="D98" s="14" t="b">
        <f>IFERROR(__xludf.DUMMYFUNCTION("IF(COUNTA(C98:C147)=0,"""",IFERROR(IF(ISBLANK(C98),FALSE,IF(ISBLANK(G98),1,IF(NOT(COUNTIF($AA$24:$AA$34,SUBSTITUTE(C98,""Sell_"",""""))),1,IF(C98=""Plastic_up"",IF(I98&lt;1000,1),IF(C98=""Super_Up"",IF(OR(COUNTIF(C$4:C98,""Grandma"")-COUNTIF(C$4:C98,""Sell_G"&amp;"randma"")&lt;1,COUNTIF(C$4:C98,VLOOKUP(C98,Upgrades!$F$8:$N$8,7+COUNTIF(C$4:C98,C98)))-COUNTIF(C$4:C98,""Sell_""&amp;VLOOKUP(C98,Upgrades!$F$8:$N$8,7+COUNTIF(C$4:C98,C98)))&lt;15),1),IF(REGEXMATCH(C98,""_up""),IF(COUNTIF(C$4:C98,SUBSTITUTE(C98,""_up"",""""))&lt;IFERRO"&amp;"R(VLOOKUP(C98,Upgrades!$L$3:$P$6,1+COUNTIF(C$4:C98,C98),0),999),1),IF(REGEXMATCH(C98,""Sell_""),IF(COUNTIF(C$4:C98,SUBSTITUTE(C98,""Sell_"",""""))-COUNTIF(C$4:C97,C98)&lt;1,1),FALSE)))))))))"),FALSE)</f>
        <v>0</v>
      </c>
      <c r="E98" s="71">
        <f>IFERROR(__xludf.DUMMYFUNCTION("IF(REGEXMATCH(C98,""^Sell_""),E97, IF(COUNTA(C98:C147)=0,"""",(COUNTIF(C$4:C98,""Cursor"")-COUNTIF(C$4:C98,""Sell_Cursor""))*(0.1*2^SWITCH(COUNTIF(C$4:C98,""Cursor_up""),0,0,1,1,2,2,3)+SWITCH(COUNTIF(C$4:C98,""Cursor_up""),4,0.1,0)*(ROW(C98)-4-COUNTIF(C$4"&amp;":C98,""Cursor"")-COUNTIF(C$4:C98,""*""&amp;""_up"")-2*COUNTIF(C$4:C98,""Sell_""&amp;""*"")+COUNTIF(C$4:C98,""Sell_Cursor"")-COUNTIF(C$4:C98,"""")))+(COUNTIF(C$4:C98,""Grandma"")-COUNTIF(C$4:C98,""Sell_Grandma""))*(1*2^(COUNTIF(C$4:C98,""Grandma_up"")+COUNTIF(C$4:"&amp;"C98,""Super_up"")))+(COUNTIF(C$4:C98,""Farm"")-COUNTIF(C$4:C98,""Sell_Farm""))*(8*2^COUNTIF(C$4:C98,""Farm_up""))*IF(COUNTIF(C$4:C98,""Super_up"")&gt;0,1+0.01*(COUNTIF(C$4:C98,""Grandma"")-COUNTIF(C$4:C98,""Sell_Grandma"")),1)+(COUNTIF(C$4:C98,""Mine"")-COUN"&amp;"TIF(C$4:C98,""Sell_Mine""))*((47*2^COUNTIF(C$4:C98,""Mine_up""))*IF(COUNTIF(C$4:C98,""Super_up"")&gt;1,1+0.005*(COUNTIF(C$4:C98,""Grandma"")-COUNTIF(C$4:C98,""Sell_Grandma"")),1))+(COUNTIF(C$4:C98,""Factory"")-COUNTIF(C$4:C98,""Sell_Factory""))*(260*2^COUNTI"&amp;"F(C$4:C98,""Factory_up""))))"),1698.68)</f>
        <v>1698.68</v>
      </c>
      <c r="F98" s="73">
        <f>IFERROR(__xludf.DUMMYFUNCTION("IF(COUNTA(C98:C147)=0,"""",IF(REGEXMATCH(INDEX(FILTER(C$4:C98,C$4:C98&lt;&gt;""""),ROWS(FILTER(C$4:C98,C$4:C98&lt;&gt;""""))),""^Sell_""),INDEX(FILTER(F$4:F97,C$4:C97&lt;&gt;""""),ROWS(FILTER(C$4:C97,C$4:C97&lt;&gt;""""))),$AC$5*(2^SWITCH(COUNTIF(C$4:C98,""Cursor_up""),0,0,1,1,2"&amp;",2,3)+SWITCH(COUNTIF(C$4:C98,""Cursor_up""),4,0.1,0)*(ROW(C98)-4-COUNTIF(C$4:C98,""Cursor"")-COUNTIF(C$4:C98,""*""&amp;""_up"")-2*COUNTIF(C$4:C98,""Sell_""&amp;""*"")+COUNTIF(C$4:C98,""Sell_Cursor"")-COUNTIF(C$4:C98,""""))+0.01*E98*COUNTIF(C$4:C98,""Plastic_up"")"&amp;")+E98))"),1948.548)</f>
        <v>1948.548</v>
      </c>
      <c r="G98" s="14">
        <f>IFERROR(__xludf.DUMMYFUNCTION("IF(COUNTA(C98:C147)=0,"""",IF(REGEXMATCH(C98,""_up""),VLOOKUP(C98,Upgrades!$F$3:$J$8,1+COUNTIF(C$4:C98,C98),FALSE),IF(C98="""",0,IF(REGEXMATCH(C98,""^Sell_""),-ROUNDDOWN(ROUNDUP(INDEX(Upgrades!$C$3:$C$8,MATCH(SUBSTITUTE(C98,""Sell_"",""""),Upgrades!$B$3:$"&amp;"B$8,0))*1.15^(COUNTIF(C$4:C97,SUBSTITUTE(C98,""Sell_"",""""))-COUNTIF(C$4:C97,""Sell_""&amp;SUBSTITUTE(C98,""Sell_"",""""))))/4),ROUNDUP(INDEX(Upgrades!$C$3:$C$7,MATCH(C98,Upgrades!$B$3:$B$7,0))*1.15^(COUNTIF(C$4:C97,C98)-COUNTIF(C$4:C97,""Sell_""&amp;C98)))))))"),374.0)</f>
        <v>374</v>
      </c>
      <c r="H98" s="14">
        <f t="shared" si="3"/>
        <v>374</v>
      </c>
      <c r="I98" s="75">
        <f t="shared" si="4"/>
        <v>4493785.089</v>
      </c>
      <c r="J98" s="76">
        <f t="shared" si="5"/>
        <v>993.0218476</v>
      </c>
      <c r="K98" s="71" t="str">
        <f t="shared" si="6"/>
        <v>16m 33s</v>
      </c>
      <c r="L98" s="77">
        <f t="shared" si="7"/>
        <v>528538</v>
      </c>
      <c r="M98" s="51">
        <f t="shared" si="8"/>
        <v>-1.04823</v>
      </c>
      <c r="N98" s="52">
        <f>IFERROR(__xludf.DUMMYFUNCTION("IFS(AND(COUNTA(C98:C147)=0,COUNTA(P98:P147)=0),"""",OR(AND(L98&gt;=1000000,OR(Y98&gt;=1000000,COUNTA(P98:P147)=0)),AND(Y98&gt;=1000000,COUNTA(C98:C147)=0),AND(COUNTA(P98:P147)=0,O$3=TRUE)),
ROUNDDOWN((AB$1-AC$1)*MAX(INDEX(S$4:S147,MATCH(LARGE(FILTER(Y$4:Y147,Y$4:Y"&amp;"147&lt;1000000),1),Y$4:Y147)),INDEX(F$4:F147,MATCH(LARGE(FILTER(L$4:L147,L$4:L147&lt;1000000),1),L$4:L147)))),AND(L98&lt;1000000,COUNTA(C98:C147)&gt;0,O$3=FALSE),
ROUNDDOWN(INDEX(Y$4:Y147,MATCH(LARGE(FILTER(W$4:W147,W$4:W147&lt;=J98),1),W$4:W147))+(J98-LARGE(FILTER(W$4:"&amp;"W147,W$4:W147&lt;=J98),1))*INDEX(S$4:S147,MATCH(LARGE(FILTER(W$4:W147,W$4:W147&lt;=J98),1),W$4:W147))-L98),1,
ROUNDDOWN(Y98-INDEX(L$4:L147,MATCH(LARGE(FILTER(J$4:J147,J$4:J147&lt;=W98),1),J$4:J147))-(W98-LARGE(FILTER(J$4:J147,J$4:J147&lt;=W98),1))*INDEX(F$4:F147,MATC"&amp;"H(LARGE(FILTER(J$4:J147,J$4:J147&lt;=W98),1),J$4:J147))))"),1997.0)</f>
        <v>1997</v>
      </c>
      <c r="O98" s="65">
        <f t="shared" si="9"/>
        <v>24</v>
      </c>
      <c r="P98" s="69" t="s">
        <v>10</v>
      </c>
      <c r="Q98" s="14" t="b">
        <f>IFERROR(__xludf.DUMMYFUNCTION("IF(COUNTA(P98:P147)=0,"""",IFERROR(IF(ISBLANK(P98),FALSE,IF(ISBLANK(T98),1,IF(NOT(COUNTIF($AA$24:$AA$34,SUBSTITUTE(P98,""Sell_"",""""))),1,IF(P98=""Plastic_up"",IF(V98&lt;1000,1),IF(P98=""Super_Up"",IF(OR(COUNTIF(P$4:P98,""Grandma"")-COUNTIF(P$4:P98,""Sell_G"&amp;"randma"")&lt;1,COUNTIF(P$4:P98,VLOOKUP(P98,Upgrades!$F$8:$N$8,7+COUNTIF(P$4:P98,P98)))-COUNTIF(P$4:P98,""Sell_""&amp;VLOOKUP(P98,Upgrades!$F$8:$N$8,7+COUNTIF(P$4:P98,P98)))&lt;15),1),IF(REGEXMATCH(P98,""_up""),IF(COUNTIF(P$4:P98,SUBSTITUTE(P98,""_up"",""""))&lt;IFERRO"&amp;"R(VLOOKUP(P98,Upgrades!$L$3:$P$6,1+COUNTIF(P$4:P98,P98),0),999),1),IF(REGEXMATCH(P98,""Sell_""),IF(COUNTIF(P$4:P98,SUBSTITUTE(P98,""Sell_"",""""))-COUNTIF(P$4:P97,P98)&lt;1,1),FALSE)))))))))"),FALSE)</f>
        <v>0</v>
      </c>
      <c r="R98" s="71">
        <f>IFERROR(__xludf.DUMMYFUNCTION("IF(REGEXMATCH(P98,""^Sell_""),R97, IF(COUNTA(P98:P147)=0,"""",(COUNTIF(P$4:P98,""Cursor"")-COUNTIF(P$4:P98,""Sell_Cursor""))*(0.1*2^SWITCH(COUNTIF(P$4:P98,""Cursor_up""),0,0,1,1,2,2,3)+SWITCH(COUNTIF(P$4:P98,""Cursor_up""),4,0.1,0)*(ROW(P98)-4-COUNTIF(P$4"&amp;":P98,""Cursor"")-COUNTIF(P$4:P98,""*""&amp;""_up"")-2*COUNTIF(P$4:P98,""Sell_""&amp;""*"")+COUNTIF(P$4:P98,""Sell_Cursor"")-COUNTIF(P$4:P98,"""")))+(COUNTIF(P$4:P98,""Grandma"")-COUNTIF(P$4:P98,""Sell_Grandma""))*(1*2^(COUNTIF(P$4:P98,""Grandma_up"")+COUNTIF(P$4:"&amp;"P98,""Super_up"")))+(COUNTIF(P$4:P98,""Farm"")-COUNTIF(P$4:P98,""Sell_Farm""))*(8*2^COUNTIF(P$4:P98,""Farm_up""))*IF(COUNTIF(P$4:P98,""Super_up"")&gt;0,1+0.01*(COUNTIF(P$4:P98,""Grandma"")-COUNTIF(P$4:P98,""Sell_Grandma"")),1)+(COUNTIF(P$4:P98,""Mine"")-COUN"&amp;"TIF(P$4:P98,""Sell_Mine""))*((47*2^COUNTIF(P$4:P98,""Mine_up""))*IF(COUNTIF(P$4:P98,""Super_up"")&gt;1,1+0.005*(COUNTIF(P$4:P98,""Grandma"")-COUNTIF(P$4:P98,""Sell_Grandma"")),1))+(COUNTIF(P$4:P98,""Factory"")-COUNTIF(P$4:P98,""Sell_Factory""))*(260*2^COUNTI"&amp;"F(P$4:P98,""Factory_up""))))"),1698.68)</f>
        <v>1698.68</v>
      </c>
      <c r="S98" s="73">
        <f>IFERROR(__xludf.DUMMYFUNCTION("IF(COUNTA(P98:P147)=0,"""",IF(REGEXMATCH(INDEX(FILTER(P$4:P98,P$4:P98&lt;&gt;""""),ROWS(FILTER(P$4:P98,P$4:P98&lt;&gt;""""))),""^Sell_""),INDEX(FILTER(S$4:S97,P$4:P97&lt;&gt;""""),ROWS(FILTER(P$4:P97,P$4:P97&lt;&gt;""""))),$AD$5*(2^SWITCH(COUNTIF(P$4:P98,""Cursor_up""),0,0,1,1,2"&amp;",2,3)+SWITCH(COUNTIF(P$4:P98,""Cursor_up""),4,0.1,0)*(ROW(P98)-4-COUNTIF(P$4:P98,""Cursor"")-COUNTIF(P$4:P98,""*""&amp;""_up"")-2*COUNTIF(P$4:P98,""Sell_""&amp;""*"")+COUNTIF(P$4:P98,""Sell_Cursor"")-COUNTIF(P$4:P98,""""))+0.01*R98*COUNTIF(P$4:P98,""Plastic_up"")"&amp;")+R98))"),1948.548)</f>
        <v>1948.548</v>
      </c>
      <c r="T98" s="14">
        <f>IFERROR(__xludf.DUMMYFUNCTION("IF(COUNTA(P98:P147)=0,"""",IF(REGEXMATCH(P98,""_up""),VLOOKUP(P98,Upgrades!$F$3:$J$8,1+COUNTIF(P$4:P98,P98),FALSE),IF(P98="""",0,IF(REGEXMATCH(P98,""^Sell_""),-ROUNDDOWN(ROUNDUP(INDEX(Upgrades!$C$3:$C$8,MATCH(SUBSTITUTE(P98,""Sell_"",""""),Upgrades!$B$3:$"&amp;"B$8,0))*1.15^(COUNTIF(P$4:P97,SUBSTITUTE(P98,""Sell_"",""""))-COUNTIF(P$4:P97,""Sell_""&amp;SUBSTITUTE(P98,""Sell_"",""""))))/4),ROUNDUP(INDEX(Upgrades!$C$3:$C$7,MATCH(P98,Upgrades!$B$3:$B$7,0))*1.15^(COUNTIF(P$4:P97,P98)-COUNTIF(P$4:P97,""Sell_""&amp;P98)))))))"),374.0)</f>
        <v>374</v>
      </c>
      <c r="U98" s="14">
        <f t="shared" si="10"/>
        <v>374</v>
      </c>
      <c r="V98" s="75">
        <f t="shared" si="11"/>
        <v>4404036.791</v>
      </c>
      <c r="W98" s="76">
        <f t="shared" si="12"/>
        <v>991.9736113</v>
      </c>
      <c r="X98" s="71" t="str">
        <f t="shared" si="13"/>
        <v>16m 31s</v>
      </c>
      <c r="Y98" s="77">
        <f t="shared" si="14"/>
        <v>528538</v>
      </c>
      <c r="Z98" s="17"/>
      <c r="AA98" s="13"/>
      <c r="AB98" s="13"/>
      <c r="AC98" s="13"/>
      <c r="AD98" s="13"/>
      <c r="AE98" s="13"/>
      <c r="AF98" s="13"/>
      <c r="AG98" s="13"/>
    </row>
    <row r="99">
      <c r="A99" s="12"/>
      <c r="B99" s="65">
        <f t="shared" si="2"/>
        <v>6</v>
      </c>
      <c r="C99" s="69" t="s">
        <v>18</v>
      </c>
      <c r="D99" s="14" t="b">
        <f>IFERROR(__xludf.DUMMYFUNCTION("IF(COUNTA(C99:C147)=0,"""",IFERROR(IF(ISBLANK(C99),FALSE,IF(ISBLANK(G99),1,IF(NOT(COUNTIF($AA$24:$AA$34,SUBSTITUTE(C99,""Sell_"",""""))),1,IF(C99=""Plastic_up"",IF(I99&lt;1000,1),IF(C99=""Super_Up"",IF(OR(COUNTIF(C$4:C99,""Grandma"")-COUNTIF(C$4:C99,""Sell_G"&amp;"randma"")&lt;1,COUNTIF(C$4:C99,VLOOKUP(C99,Upgrades!$F$8:$N$8,7+COUNTIF(C$4:C99,C99)))-COUNTIF(C$4:C99,""Sell_""&amp;VLOOKUP(C99,Upgrades!$F$8:$N$8,7+COUNTIF(C$4:C99,C99)))&lt;15),1),IF(REGEXMATCH(C99,""_up""),IF(COUNTIF(C$4:C99,SUBSTITUTE(C99,""_up"",""""))&lt;IFERRO"&amp;"R(VLOOKUP(C99,Upgrades!$L$3:$P$6,1+COUNTIF(C$4:C99,C99),0),999),1),IF(REGEXMATCH(C99,""Sell_""),IF(COUNTIF(C$4:C99,SUBSTITUTE(C99,""Sell_"",""""))-COUNTIF(C$4:C98,C99)&lt;1,1),FALSE)))))))))"),FALSE)</f>
        <v>0</v>
      </c>
      <c r="E99" s="71">
        <f>IFERROR(__xludf.DUMMYFUNCTION("IF(REGEXMATCH(C99,""^Sell_""),E98, IF(COUNTA(C99:C147)=0,"""",(COUNTIF(C$4:C99,""Cursor"")-COUNTIF(C$4:C99,""Sell_Cursor""))*(0.1*2^SWITCH(COUNTIF(C$4:C99,""Cursor_up""),0,0,1,1,2,2,3)+SWITCH(COUNTIF(C$4:C99,""Cursor_up""),4,0.1,0)*(ROW(C99)-4-COUNTIF(C$4"&amp;":C99,""Cursor"")-COUNTIF(C$4:C99,""*""&amp;""_up"")-2*COUNTIF(C$4:C99,""Sell_""&amp;""*"")+COUNTIF(C$4:C99,""Sell_Cursor"")-COUNTIF(C$4:C99,"""")))+(COUNTIF(C$4:C99,""Grandma"")-COUNTIF(C$4:C99,""Sell_Grandma""))*(1*2^(COUNTIF(C$4:C99,""Grandma_up"")+COUNTIF(C$4:"&amp;"C99,""Super_up"")))+(COUNTIF(C$4:C99,""Farm"")-COUNTIF(C$4:C99,""Sell_Farm""))*(8*2^COUNTIF(C$4:C99,""Farm_up""))*IF(COUNTIF(C$4:C99,""Super_up"")&gt;0,1+0.01*(COUNTIF(C$4:C99,""Grandma"")-COUNTIF(C$4:C99,""Sell_Grandma"")),1)+(COUNTIF(C$4:C99,""Mine"")-COUN"&amp;"TIF(C$4:C99,""Sell_Mine""))*((47*2^COUNTIF(C$4:C99,""Mine_up""))*IF(COUNTIF(C$4:C99,""Super_up"")&gt;1,1+0.005*(COUNTIF(C$4:C99,""Grandma"")-COUNTIF(C$4:C99,""Sell_Grandma"")),1))+(COUNTIF(C$4:C99,""Factory"")-COUNTIF(C$4:C99,""Sell_Factory""))*(260*2^COUNTI"&amp;"F(C$4:C99,""Factory_up""))))"),1745.68)</f>
        <v>1745.68</v>
      </c>
      <c r="F99" s="73">
        <f>IFERROR(__xludf.DUMMYFUNCTION("IF(COUNTA(C99:C147)=0,"""",IF(REGEXMATCH(INDEX(FILTER(C$4:C99,C$4:C99&lt;&gt;""""),ROWS(FILTER(C$4:C99,C$4:C99&lt;&gt;""""))),""^Sell_""),INDEX(FILTER(F$4:F98,C$4:C98&lt;&gt;""""),ROWS(FILTER(C$4:C98,C$4:C98&lt;&gt;""""))),$AC$5*(2^SWITCH(COUNTIF(C$4:C99,""Cursor_up""),0,0,1,1,2"&amp;",2,3)+SWITCH(COUNTIF(C$4:C99,""Cursor_up""),4,0.1,0)*(ROW(C99)-4-COUNTIF(C$4:C99,""Cursor"")-COUNTIF(C$4:C99,""*""&amp;""_up"")-2*COUNTIF(C$4:C99,""Sell_""&amp;""*"")+COUNTIF(C$4:C99,""Sell_Cursor"")-COUNTIF(C$4:C99,""""))+0.01*E99*COUNTIF(C$4:C99,""Plastic_up"")"&amp;")+E99))"),2000.248)</f>
        <v>2000.248</v>
      </c>
      <c r="G99" s="14">
        <f>IFERROR(__xludf.DUMMYFUNCTION("IF(COUNTA(C99:C147)=0,"""",IF(REGEXMATCH(C99,""_up""),VLOOKUP(C99,Upgrades!$F$3:$J$8,1+COUNTIF(C$4:C99,C99),FALSE),IF(C99="""",0,IF(REGEXMATCH(C99,""^Sell_""),-ROUNDDOWN(ROUNDUP(INDEX(Upgrades!$C$3:$C$8,MATCH(SUBSTITUTE(C99,""Sell_"",""""),Upgrades!$B$3:$"&amp;"B$8,0))*1.15^(COUNTIF(C$4:C98,SUBSTITUTE(C99,""Sell_"",""""))-COUNTIF(C$4:C98,""Sell_""&amp;SUBSTITUTE(C99,""Sell_"",""""))))/4),ROUNDUP(INDEX(Upgrades!$C$3:$C$7,MATCH(C99,Upgrades!$B$3:$B$7,0))*1.15^(COUNTIF(C$4:C98,C99)-COUNTIF(C$4:C98,""Sell_""&amp;C99)))))))"),24137.0)</f>
        <v>24137</v>
      </c>
      <c r="H99" s="14">
        <f t="shared" si="3"/>
        <v>24137</v>
      </c>
      <c r="I99" s="75">
        <f t="shared" si="4"/>
        <v>4745004.63</v>
      </c>
      <c r="J99" s="76">
        <f t="shared" si="5"/>
        <v>1005.40902</v>
      </c>
      <c r="K99" s="71" t="str">
        <f t="shared" si="6"/>
        <v>16m 45s</v>
      </c>
      <c r="L99" s="77">
        <f t="shared" si="7"/>
        <v>552675</v>
      </c>
      <c r="M99" s="51">
        <f t="shared" si="8"/>
        <v>-1.04823</v>
      </c>
      <c r="N99" s="52">
        <f>IFERROR(__xludf.DUMMYFUNCTION("IFS(AND(COUNTA(C99:C147)=0,COUNTA(P99:P147)=0),"""",OR(AND(L99&gt;=1000000,OR(Y99&gt;=1000000,COUNTA(P99:P147)=0)),AND(Y99&gt;=1000000,COUNTA(C99:C147)=0),AND(COUNTA(P99:P147)=0,O$3=TRUE)),
ROUNDDOWN((AB$1-AC$1)*MAX(INDEX(S$4:S147,MATCH(LARGE(FILTER(Y$4:Y147,Y$4:Y"&amp;"147&lt;1000000),1),Y$4:Y147)),INDEX(F$4:F147,MATCH(LARGE(FILTER(L$4:L147,L$4:L147&lt;1000000),1),L$4:L147)))),AND(L99&lt;1000000,COUNTA(C99:C147)&gt;0,O$3=FALSE),
ROUNDDOWN(INDEX(Y$4:Y147,MATCH(LARGE(FILTER(W$4:W147,W$4:W147&lt;=J99),1),W$4:W147))+(J99-LARGE(FILTER(W$4:"&amp;"W147,W$4:W147&lt;=J99),1))*INDEX(S$4:S147,MATCH(LARGE(FILTER(W$4:W147,W$4:W147&lt;=J99),1),W$4:W147))-L99),1,
ROUNDDOWN(Y99-INDEX(L$4:L147,MATCH(LARGE(FILTER(J$4:J147,J$4:J147&lt;=W99),1),J$4:J147))-(W99-LARGE(FILTER(J$4:J147,J$4:J147&lt;=W99),1))*INDEX(F$4:F147,MATC"&amp;"H(LARGE(FILTER(J$4:J147,J$4:J147&lt;=W99),1),J$4:J147))))"),2042.0)</f>
        <v>2042</v>
      </c>
      <c r="O99" s="65">
        <f t="shared" si="9"/>
        <v>6</v>
      </c>
      <c r="P99" s="69" t="s">
        <v>18</v>
      </c>
      <c r="Q99" s="14" t="b">
        <f>IFERROR(__xludf.DUMMYFUNCTION("IF(COUNTA(P99:P147)=0,"""",IFERROR(IF(ISBLANK(P99),FALSE,IF(ISBLANK(T99),1,IF(NOT(COUNTIF($AA$24:$AA$34,SUBSTITUTE(P99,""Sell_"",""""))),1,IF(P99=""Plastic_up"",IF(V99&lt;1000,1),IF(P99=""Super_Up"",IF(OR(COUNTIF(P$4:P99,""Grandma"")-COUNTIF(P$4:P99,""Sell_G"&amp;"randma"")&lt;1,COUNTIF(P$4:P99,VLOOKUP(P99,Upgrades!$F$8:$N$8,7+COUNTIF(P$4:P99,P99)))-COUNTIF(P$4:P99,""Sell_""&amp;VLOOKUP(P99,Upgrades!$F$8:$N$8,7+COUNTIF(P$4:P99,P99)))&lt;15),1),IF(REGEXMATCH(P99,""_up""),IF(COUNTIF(P$4:P99,SUBSTITUTE(P99,""_up"",""""))&lt;IFERRO"&amp;"R(VLOOKUP(P99,Upgrades!$L$3:$P$6,1+COUNTIF(P$4:P99,P99),0),999),1),IF(REGEXMATCH(P99,""Sell_""),IF(COUNTIF(P$4:P99,SUBSTITUTE(P99,""Sell_"",""""))-COUNTIF(P$4:P98,P99)&lt;1,1),FALSE)))))))))"),FALSE)</f>
        <v>0</v>
      </c>
      <c r="R99" s="71">
        <f>IFERROR(__xludf.DUMMYFUNCTION("IF(REGEXMATCH(P99,""^Sell_""),R98, IF(COUNTA(P99:P147)=0,"""",(COUNTIF(P$4:P99,""Cursor"")-COUNTIF(P$4:P99,""Sell_Cursor""))*(0.1*2^SWITCH(COUNTIF(P$4:P99,""Cursor_up""),0,0,1,1,2,2,3)+SWITCH(COUNTIF(P$4:P99,""Cursor_up""),4,0.1,0)*(ROW(P99)-4-COUNTIF(P$4"&amp;":P99,""Cursor"")-COUNTIF(P$4:P99,""*""&amp;""_up"")-2*COUNTIF(P$4:P99,""Sell_""&amp;""*"")+COUNTIF(P$4:P99,""Sell_Cursor"")-COUNTIF(P$4:P99,"""")))+(COUNTIF(P$4:P99,""Grandma"")-COUNTIF(P$4:P99,""Sell_Grandma""))*(1*2^(COUNTIF(P$4:P99,""Grandma_up"")+COUNTIF(P$4:"&amp;"P99,""Super_up"")))+(COUNTIF(P$4:P99,""Farm"")-COUNTIF(P$4:P99,""Sell_Farm""))*(8*2^COUNTIF(P$4:P99,""Farm_up""))*IF(COUNTIF(P$4:P99,""Super_up"")&gt;0,1+0.01*(COUNTIF(P$4:P99,""Grandma"")-COUNTIF(P$4:P99,""Sell_Grandma"")),1)+(COUNTIF(P$4:P99,""Mine"")-COUN"&amp;"TIF(P$4:P99,""Sell_Mine""))*((47*2^COUNTIF(P$4:P99,""Mine_up""))*IF(COUNTIF(P$4:P99,""Super_up"")&gt;1,1+0.005*(COUNTIF(P$4:P99,""Grandma"")-COUNTIF(P$4:P99,""Sell_Grandma"")),1))+(COUNTIF(P$4:P99,""Factory"")-COUNTIF(P$4:P99,""Sell_Factory""))*(260*2^COUNTI"&amp;"F(P$4:P99,""Factory_up""))))"),1745.68)</f>
        <v>1745.68</v>
      </c>
      <c r="S99" s="73">
        <f>IFERROR(__xludf.DUMMYFUNCTION("IF(COUNTA(P99:P147)=0,"""",IF(REGEXMATCH(INDEX(FILTER(P$4:P99,P$4:P99&lt;&gt;""""),ROWS(FILTER(P$4:P99,P$4:P99&lt;&gt;""""))),""^Sell_""),INDEX(FILTER(S$4:S98,P$4:P98&lt;&gt;""""),ROWS(FILTER(P$4:P98,P$4:P98&lt;&gt;""""))),$AD$5*(2^SWITCH(COUNTIF(P$4:P99,""Cursor_up""),0,0,1,1,2"&amp;",2,3)+SWITCH(COUNTIF(P$4:P99,""Cursor_up""),4,0.1,0)*(ROW(P99)-4-COUNTIF(P$4:P99,""Cursor"")-COUNTIF(P$4:P99,""*""&amp;""_up"")-2*COUNTIF(P$4:P99,""Sell_""&amp;""*"")+COUNTIF(P$4:P99,""Sell_Cursor"")-COUNTIF(P$4:P99,""""))+0.01*R99*COUNTIF(P$4:P99,""Plastic_up"")"&amp;")+R99))"),2000.248)</f>
        <v>2000.248</v>
      </c>
      <c r="T99" s="14">
        <f>IFERROR(__xludf.DUMMYFUNCTION("IF(COUNTA(P99:P147)=0,"""",IF(REGEXMATCH(P99,""_up""),VLOOKUP(P99,Upgrades!$F$3:$J$8,1+COUNTIF(P$4:P99,P99),FALSE),IF(P99="""",0,IF(REGEXMATCH(P99,""^Sell_""),-ROUNDDOWN(ROUNDUP(INDEX(Upgrades!$C$3:$C$8,MATCH(SUBSTITUTE(P99,""Sell_"",""""),Upgrades!$B$3:$"&amp;"B$8,0))*1.15^(COUNTIF(P$4:P98,SUBSTITUTE(P99,""Sell_"",""""))-COUNTIF(P$4:P98,""Sell_""&amp;SUBSTITUTE(P99,""Sell_"",""""))))/4),ROUNDUP(INDEX(Upgrades!$C$3:$C$7,MATCH(P99,Upgrades!$B$3:$B$7,0))*1.15^(COUNTIF(P$4:P98,P99)-COUNTIF(P$4:P98,""Sell_""&amp;P99)))))))"),24137.0)</f>
        <v>24137</v>
      </c>
      <c r="U99" s="14">
        <f t="shared" si="10"/>
        <v>24137</v>
      </c>
      <c r="V99" s="75">
        <f t="shared" si="11"/>
        <v>4654994.411</v>
      </c>
      <c r="W99" s="76">
        <f t="shared" si="12"/>
        <v>1004.360784</v>
      </c>
      <c r="X99" s="71" t="str">
        <f t="shared" si="13"/>
        <v>16m 44s</v>
      </c>
      <c r="Y99" s="77">
        <f t="shared" si="14"/>
        <v>552675</v>
      </c>
      <c r="Z99" s="17"/>
      <c r="AA99" s="13"/>
      <c r="AB99" s="13"/>
      <c r="AC99" s="13"/>
      <c r="AD99" s="13"/>
      <c r="AE99" s="13"/>
      <c r="AF99" s="13"/>
      <c r="AG99" s="13"/>
    </row>
    <row r="100">
      <c r="A100" s="12"/>
      <c r="B100" s="65">
        <f t="shared" si="2"/>
        <v>1</v>
      </c>
      <c r="C100" s="69" t="s">
        <v>19</v>
      </c>
      <c r="D100" s="14" t="b">
        <f>IFERROR(__xludf.DUMMYFUNCTION("IF(COUNTA(C100:C147)=0,"""",IFERROR(IF(ISBLANK(C100),FALSE,IF(ISBLANK(G100),1,IF(NOT(COUNTIF($AA$24:$AA$34,SUBSTITUTE(C100,""Sell_"",""""))),1,IF(C100=""Plastic_up"",IF(I100&lt;1000,1),IF(C100=""Super_Up"",IF(OR(COUNTIF(C$4:C100,""Grandma"")-COUNTIF(C$4:C100"&amp;",""Sell_Grandma"")&lt;1,COUNTIF(C$4:C100,VLOOKUP(C100,Upgrades!$F$8:$N$8,7+COUNTIF(C$4:C100,C100)))-COUNTIF(C$4:C100,""Sell_""&amp;VLOOKUP(C100,Upgrades!$F$8:$N$8,7+COUNTIF(C$4:C100,C100)))&lt;15),1),IF(REGEXMATCH(C100,""_up""),IF(COUNTIF(C$4:C100,SUBSTITUTE(C100,"&amp;"""_up"",""""))&lt;IFERROR(VLOOKUP(C100,Upgrades!$L$3:$P$6,1+COUNTIF(C$4:C100,C100),0),999),1),IF(REGEXMATCH(C100,""Sell_""),IF(COUNTIF(C$4:C100,SUBSTITUTE(C100,""Sell_"",""""))-COUNTIF(C$4:C99,C100)&lt;1,1),FALSE)))))))))"),FALSE)</f>
        <v>0</v>
      </c>
      <c r="E100" s="71">
        <f>IFERROR(__xludf.DUMMYFUNCTION("IF(REGEXMATCH(C100,""^Sell_""),E99, IF(COUNTA(C100:C147)=0,"""",(COUNTIF(C$4:C100,""Cursor"")-COUNTIF(C$4:C100,""Sell_Cursor""))*(0.1*2^SWITCH(COUNTIF(C$4:C100,""Cursor_up""),0,0,1,1,2,2,3)+SWITCH(COUNTIF(C$4:C100,""Cursor_up""),4,0.1,0)*(ROW(C100)-4-COUN"&amp;"TIF(C$4:C100,""Cursor"")-COUNTIF(C$4:C100,""*""&amp;""_up"")-2*COUNTIF(C$4:C100,""Sell_""&amp;""*"")+COUNTIF(C$4:C100,""Sell_Cursor"")-COUNTIF(C$4:C100,"""")))+(COUNTIF(C$4:C100,""Grandma"")-COUNTIF(C$4:C100,""Sell_Grandma""))*(1*2^(COUNTIF(C$4:C100,""Grandma_up"&amp;""")+COUNTIF(C$4:C100,""Super_up"")))+(COUNTIF(C$4:C100,""Farm"")-COUNTIF(C$4:C100,""Sell_Farm""))*(8*2^COUNTIF(C$4:C100,""Farm_up""))*IF(COUNTIF(C$4:C100,""Super_up"")&gt;0,1+0.01*(COUNTIF(C$4:C100,""Grandma"")-COUNTIF(C$4:C100,""Sell_Grandma"")),1)+(COUNTIF"&amp;"(C$4:C100,""Mine"")-COUNTIF(C$4:C100,""Sell_Mine""))*((47*2^COUNTIF(C$4:C100,""Mine_up""))*IF(COUNTIF(C$4:C100,""Super_up"")&gt;1,1+0.005*(COUNTIF(C$4:C100,""Grandma"")-COUNTIF(C$4:C100,""Sell_Grandma"")),1))+(COUNTIF(C$4:C100,""Factory"")-COUNTIF(C$4:C100,"&amp;"""Sell_Factory""))*(260*2^COUNTIF(C$4:C100,""Factory_up""))))"),2027.68)</f>
        <v>2027.68</v>
      </c>
      <c r="F100" s="73">
        <f>IFERROR(__xludf.DUMMYFUNCTION("IF(COUNTA(C100:C147)=0,"""",IF(REGEXMATCH(INDEX(FILTER(C$4:C100,C$4:C100&lt;&gt;""""),ROWS(FILTER(C$4:C100,C$4:C100&lt;&gt;""""))),""^Sell_""),INDEX(FILTER(F$4:F99,C$4:C99&lt;&gt;""""),ROWS(FILTER(C$4:C99,C$4:C99&lt;&gt;""""))),$AC$5*(2^SWITCH(COUNTIF(C$4:C100,""Cursor_up""),0,0"&amp;",1,1,2,2,3)+SWITCH(COUNTIF(C$4:C100,""Cursor_up""),4,0.1,0)*(ROW(C100)-4-COUNTIF(C$4:C100,""Cursor"")-COUNTIF(C$4:C100,""*""&amp;""_up"")-2*COUNTIF(C$4:C100,""Sell_""&amp;""*"")+COUNTIF(C$4:C100,""Sell_Cursor"")-COUNTIF(C$4:C100,""""))+0.01*E100*COUNTIF(C$4:C100,"&amp;"""Plastic_up""))+E100))"),2310.4480000000003)</f>
        <v>2310.448</v>
      </c>
      <c r="G100" s="14">
        <f>IFERROR(__xludf.DUMMYFUNCTION("IF(COUNTA(C100:C147)=0,"""",IF(REGEXMATCH(C100,""_up""),VLOOKUP(C100,Upgrades!$F$3:$J$8,1+COUNTIF(C$4:C100,C100),FALSE),IF(C100="""",0,IF(REGEXMATCH(C100,""^Sell_""),-ROUNDDOWN(ROUNDUP(INDEX(Upgrades!$C$3:$C$8,MATCH(SUBSTITUTE(C100,""Sell_"",""""),Upgrade"&amp;"s!$B$3:$B$8,0))*1.15^(COUNTIF(C$4:C99,SUBSTITUTE(C100,""Sell_"",""""))-COUNTIF(C$4:C99,""Sell_""&amp;SUBSTITUTE(C100,""Sell_"",""""))))/4),ROUNDUP(INDEX(Upgrades!$C$3:$C$7,MATCH(C100,Upgrades!$B$3:$B$7,0))*1.15^(COUNTIF(C$4:C99,C100)-COUNTIF(C$4:C99,""Sell_"""&amp;"&amp;C100)))))))"),120000.0)</f>
        <v>120000</v>
      </c>
      <c r="H100" s="14">
        <f t="shared" si="3"/>
        <v>120000</v>
      </c>
      <c r="I100" s="75">
        <f t="shared" si="4"/>
        <v>5016221.78</v>
      </c>
      <c r="J100" s="76">
        <f t="shared" si="5"/>
        <v>1065.401581</v>
      </c>
      <c r="K100" s="71" t="str">
        <f t="shared" si="6"/>
        <v>17m 45s</v>
      </c>
      <c r="L100" s="77">
        <f t="shared" si="7"/>
        <v>672675</v>
      </c>
      <c r="M100" s="51">
        <f t="shared" si="8"/>
        <v>-1.04823</v>
      </c>
      <c r="N100" s="52">
        <f>IFERROR(__xludf.DUMMYFUNCTION("IFS(AND(COUNTA(C100:C147)=0,COUNTA(P100:P147)=0),"""",OR(AND(L100&gt;=1000000,OR(Y100&gt;=1000000,COUNTA(P100:P147)=0)),AND(Y100&gt;=1000000,COUNTA(C100:C147)=0),AND(COUNTA(P100:P147)=0,O$3=TRUE)),
ROUNDDOWN((AB$1-AC$1)*MAX(INDEX(S$4:S147,MATCH(LARGE(FILTER(Y$4:Y1"&amp;"47,Y$4:Y147&lt;1000000),1),Y$4:Y147)),INDEX(F$4:F147,MATCH(LARGE(FILTER(L$4:L147,L$4:L147&lt;1000000),1),L$4:L147)))),AND(L100&lt;1000000,COUNTA(C100:C147)&gt;0,O$3=FALSE),
ROUNDDOWN(INDEX(Y$4:Y147,MATCH(LARGE(FILTER(W$4:W147,W$4:W147&lt;=J100),1),W$4:W147))+(J100-LARGE"&amp;"(FILTER(W$4:W147,W$4:W147&lt;=J100),1))*INDEX(S$4:S147,MATCH(LARGE(FILTER(W$4:W147,W$4:W147&lt;=J100),1),W$4:W147))-L100),1,
ROUNDDOWN(Y100-INDEX(L$4:L147,MATCH(LARGE(FILTER(J$4:J147,J$4:J147&lt;=W100),1),J$4:J147))-(W100-LARGE(FILTER(J$4:J147,J$4:J147&lt;=W100),1))*"&amp;"INDEX(F$4:F147,MATCH(LARGE(FILTER(J$4:J147,J$4:J147&lt;=W100),1),J$4:J147))))"),2096.0)</f>
        <v>2096</v>
      </c>
      <c r="O100" s="65">
        <f t="shared" si="9"/>
        <v>1</v>
      </c>
      <c r="P100" s="69" t="s">
        <v>19</v>
      </c>
      <c r="Q100" s="14" t="b">
        <f>IFERROR(__xludf.DUMMYFUNCTION("IF(COUNTA(P100:P147)=0,"""",IFERROR(IF(ISBLANK(P100),FALSE,IF(ISBLANK(T100),1,IF(NOT(COUNTIF($AA$24:$AA$34,SUBSTITUTE(P100,""Sell_"",""""))),1,IF(P100=""Plastic_up"",IF(V100&lt;1000,1),IF(P100=""Super_Up"",IF(OR(COUNTIF(P$4:P100,""Grandma"")-COUNTIF(P$4:P100"&amp;",""Sell_Grandma"")&lt;1,COUNTIF(P$4:P100,VLOOKUP(P100,Upgrades!$F$8:$N$8,7+COUNTIF(P$4:P100,P100)))-COUNTIF(P$4:P100,""Sell_""&amp;VLOOKUP(P100,Upgrades!$F$8:$N$8,7+COUNTIF(P$4:P100,P100)))&lt;15),1),IF(REGEXMATCH(P100,""_up""),IF(COUNTIF(P$4:P100,SUBSTITUTE(P100,"&amp;"""_up"",""""))&lt;IFERROR(VLOOKUP(P100,Upgrades!$L$3:$P$6,1+COUNTIF(P$4:P100,P100),0),999),1),IF(REGEXMATCH(P100,""Sell_""),IF(COUNTIF(P$4:P100,SUBSTITUTE(P100,""Sell_"",""""))-COUNTIF(P$4:P99,P100)&lt;1,1),FALSE)))))))))"),FALSE)</f>
        <v>0</v>
      </c>
      <c r="R100" s="71">
        <f>IFERROR(__xludf.DUMMYFUNCTION("IF(REGEXMATCH(P100,""^Sell_""),R99, IF(COUNTA(P100:P147)=0,"""",(COUNTIF(P$4:P100,""Cursor"")-COUNTIF(P$4:P100,""Sell_Cursor""))*(0.1*2^SWITCH(COUNTIF(P$4:P100,""Cursor_up""),0,0,1,1,2,2,3)+SWITCH(COUNTIF(P$4:P100,""Cursor_up""),4,0.1,0)*(ROW(P100)-4-COUN"&amp;"TIF(P$4:P100,""Cursor"")-COUNTIF(P$4:P100,""*""&amp;""_up"")-2*COUNTIF(P$4:P100,""Sell_""&amp;""*"")+COUNTIF(P$4:P100,""Sell_Cursor"")-COUNTIF(P$4:P100,"""")))+(COUNTIF(P$4:P100,""Grandma"")-COUNTIF(P$4:P100,""Sell_Grandma""))*(1*2^(COUNTIF(P$4:P100,""Grandma_up"&amp;""")+COUNTIF(P$4:P100,""Super_up"")))+(COUNTIF(P$4:P100,""Farm"")-COUNTIF(P$4:P100,""Sell_Farm""))*(8*2^COUNTIF(P$4:P100,""Farm_up""))*IF(COUNTIF(P$4:P100,""Super_up"")&gt;0,1+0.01*(COUNTIF(P$4:P100,""Grandma"")-COUNTIF(P$4:P100,""Sell_Grandma"")),1)+(COUNTIF"&amp;"(P$4:P100,""Mine"")-COUNTIF(P$4:P100,""Sell_Mine""))*((47*2^COUNTIF(P$4:P100,""Mine_up""))*IF(COUNTIF(P$4:P100,""Super_up"")&gt;1,1+0.005*(COUNTIF(P$4:P100,""Grandma"")-COUNTIF(P$4:P100,""Sell_Grandma"")),1))+(COUNTIF(P$4:P100,""Factory"")-COUNTIF(P$4:P100,"&amp;"""Sell_Factory""))*(260*2^COUNTIF(P$4:P100,""Factory_up""))))"),2027.68)</f>
        <v>2027.68</v>
      </c>
      <c r="S100" s="73">
        <f>IFERROR(__xludf.DUMMYFUNCTION("IF(COUNTA(P100:P147)=0,"""",IF(REGEXMATCH(INDEX(FILTER(P$4:P100,P$4:P100&lt;&gt;""""),ROWS(FILTER(P$4:P100,P$4:P100&lt;&gt;""""))),""^Sell_""),INDEX(FILTER(S$4:S99,P$4:P99&lt;&gt;""""),ROWS(FILTER(P$4:P99,P$4:P99&lt;&gt;""""))),$AD$5*(2^SWITCH(COUNTIF(P$4:P100,""Cursor_up""),0,0"&amp;",1,1,2,2,3)+SWITCH(COUNTIF(P$4:P100,""Cursor_up""),4,0.1,0)*(ROW(P100)-4-COUNTIF(P$4:P100,""Cursor"")-COUNTIF(P$4:P100,""*""&amp;""_up"")-2*COUNTIF(P$4:P100,""Sell_""&amp;""*"")+COUNTIF(P$4:P100,""Sell_Cursor"")-COUNTIF(P$4:P100,""""))+0.01*R100*COUNTIF(P$4:P100,"&amp;"""Plastic_up""))+R100))"),2310.4480000000003)</f>
        <v>2310.448</v>
      </c>
      <c r="T100" s="14">
        <f>IFERROR(__xludf.DUMMYFUNCTION("IF(COUNTA(P100:P147)=0,"""",IF(REGEXMATCH(P100,""_up""),VLOOKUP(P100,Upgrades!$F$3:$J$8,1+COUNTIF(P$4:P100,P100),FALSE),IF(P100="""",0,IF(REGEXMATCH(P100,""^Sell_""),-ROUNDDOWN(ROUNDUP(INDEX(Upgrades!$C$3:$C$8,MATCH(SUBSTITUTE(P100,""Sell_"",""""),Upgrade"&amp;"s!$B$3:$B$8,0))*1.15^(COUNTIF(P$4:P99,SUBSTITUTE(P100,""Sell_"",""""))-COUNTIF(P$4:P99,""Sell_""&amp;SUBSTITUTE(P100,""Sell_"",""""))))/4),ROUNDUP(INDEX(Upgrades!$C$3:$C$7,MATCH(P100,Upgrades!$B$3:$B$7,0))*1.15^(COUNTIF(P$4:P99,P100)-COUNTIF(P$4:P99,""Sell_"""&amp;"&amp;P100)))))))"),120000.0)</f>
        <v>120000</v>
      </c>
      <c r="U100" s="14">
        <f t="shared" si="10"/>
        <v>120000</v>
      </c>
      <c r="V100" s="75">
        <f t="shared" si="11"/>
        <v>4925944.713</v>
      </c>
      <c r="W100" s="76">
        <f t="shared" si="12"/>
        <v>1064.353345</v>
      </c>
      <c r="X100" s="71" t="str">
        <f t="shared" si="13"/>
        <v>17m 44s</v>
      </c>
      <c r="Y100" s="77">
        <f t="shared" si="14"/>
        <v>672675</v>
      </c>
      <c r="Z100" s="17"/>
      <c r="AA100" s="13"/>
      <c r="AB100" s="13"/>
      <c r="AC100" s="13"/>
      <c r="AD100" s="13"/>
      <c r="AE100" s="13"/>
      <c r="AF100" s="13"/>
      <c r="AG100" s="13"/>
    </row>
    <row r="101">
      <c r="A101" s="12"/>
      <c r="B101" s="65">
        <f t="shared" si="2"/>
        <v>7</v>
      </c>
      <c r="C101" s="69" t="s">
        <v>18</v>
      </c>
      <c r="D101" s="14" t="b">
        <f>IFERROR(__xludf.DUMMYFUNCTION("IF(COUNTA(C101:C147)=0,"""",IFERROR(IF(ISBLANK(C101),FALSE,IF(ISBLANK(G101),1,IF(NOT(COUNTIF($AA$24:$AA$34,SUBSTITUTE(C101,""Sell_"",""""))),1,IF(C101=""Plastic_up"",IF(I101&lt;1000,1),IF(C101=""Super_Up"",IF(OR(COUNTIF(C$4:C101,""Grandma"")-COUNTIF(C$4:C101"&amp;",""Sell_Grandma"")&lt;1,COUNTIF(C$4:C101,VLOOKUP(C101,Upgrades!$F$8:$N$8,7+COUNTIF(C$4:C101,C101)))-COUNTIF(C$4:C101,""Sell_""&amp;VLOOKUP(C101,Upgrades!$F$8:$N$8,7+COUNTIF(C$4:C101,C101)))&lt;15),1),IF(REGEXMATCH(C101,""_up""),IF(COUNTIF(C$4:C101,SUBSTITUTE(C101,"&amp;"""_up"",""""))&lt;IFERROR(VLOOKUP(C101,Upgrades!$L$3:$P$6,1+COUNTIF(C$4:C101,C101),0),999),1),IF(REGEXMATCH(C101,""Sell_""),IF(COUNTIF(C$4:C101,SUBSTITUTE(C101,""Sell_"",""""))-COUNTIF(C$4:C100,C101)&lt;1,1),FALSE)))))))))"),FALSE)</f>
        <v>0</v>
      </c>
      <c r="E101" s="71">
        <f>IFERROR(__xludf.DUMMYFUNCTION("IF(REGEXMATCH(C101,""^Sell_""),E100, IF(COUNTA(C101:C147)=0,"""",(COUNTIF(C$4:C101,""Cursor"")-COUNTIF(C$4:C101,""Sell_Cursor""))*(0.1*2^SWITCH(COUNTIF(C$4:C101,""Cursor_up""),0,0,1,1,2,2,3)+SWITCH(COUNTIF(C$4:C101,""Cursor_up""),4,0.1,0)*(ROW(C101)-4-COU"&amp;"NTIF(C$4:C101,""Cursor"")-COUNTIF(C$4:C101,""*""&amp;""_up"")-2*COUNTIF(C$4:C101,""Sell_""&amp;""*"")+COUNTIF(C$4:C101,""Sell_Cursor"")-COUNTIF(C$4:C101,"""")))+(COUNTIF(C$4:C101,""Grandma"")-COUNTIF(C$4:C101,""Sell_Grandma""))*(1*2^(COUNTIF(C$4:C101,""Grandma_up"&amp;""")+COUNTIF(C$4:C101,""Super_up"")))+(COUNTIF(C$4:C101,""Farm"")-COUNTIF(C$4:C101,""Sell_Farm""))*(8*2^COUNTIF(C$4:C101,""Farm_up""))*IF(COUNTIF(C$4:C101,""Super_up"")&gt;0,1+0.01*(COUNTIF(C$4:C101,""Grandma"")-COUNTIF(C$4:C101,""Sell_Grandma"")),1)+(COUNTIF"&amp;"(C$4:C101,""Mine"")-COUNTIF(C$4:C101,""Sell_Mine""))*((47*2^COUNTIF(C$4:C101,""Mine_up""))*IF(COUNTIF(C$4:C101,""Super_up"")&gt;1,1+0.005*(COUNTIF(C$4:C101,""Grandma"")-COUNTIF(C$4:C101,""Sell_Grandma"")),1))+(COUNTIF(C$4:C101,""Factory"")-COUNTIF(C$4:C101,"&amp;"""Sell_Factory""))*(260*2^COUNTIF(C$4:C101,""Factory_up""))))"),2121.6800000000003)</f>
        <v>2121.68</v>
      </c>
      <c r="F101" s="73">
        <f>IFERROR(__xludf.DUMMYFUNCTION("IF(COUNTA(C101:C147)=0,"""",IF(REGEXMATCH(INDEX(FILTER(C$4:C101,C$4:C101&lt;&gt;""""),ROWS(FILTER(C$4:C101,C$4:C101&lt;&gt;""""))),""^Sell_""),INDEX(FILTER(F$4:F100,C$4:C100&lt;&gt;""""),ROWS(FILTER(C$4:C100,C$4:C100&lt;&gt;""""))),$AC$5*(2^SWITCH(COUNTIF(C$4:C101,""Cursor_up"")"&amp;",0,0,1,1,2,2,3)+SWITCH(COUNTIF(C$4:C101,""Cursor_up""),4,0.1,0)*(ROW(C101)-4-COUNTIF(C$4:C101,""Cursor"")-COUNTIF(C$4:C101,""*""&amp;""_up"")-2*COUNTIF(C$4:C101,""Sell_""&amp;""*"")+COUNTIF(C$4:C101,""Sell_Cursor"")-COUNTIF(C$4:C101,""""))+0.01*E101*COUNTIF(C$4:C"&amp;"101,""Plastic_up""))+E101))"),2413.8480000000004)</f>
        <v>2413.848</v>
      </c>
      <c r="G101" s="14">
        <f>IFERROR(__xludf.DUMMYFUNCTION("IF(COUNTA(C101:C147)=0,"""",IF(REGEXMATCH(C101,""_up""),VLOOKUP(C101,Upgrades!$F$3:$J$8,1+COUNTIF(C$4:C101,C101),FALSE),IF(C101="""",0,IF(REGEXMATCH(C101,""^Sell_""),-ROUNDDOWN(ROUNDUP(INDEX(Upgrades!$C$3:$C$8,MATCH(SUBSTITUTE(C101,""Sell_"",""""),Upgrade"&amp;"s!$B$3:$B$8,0))*1.15^(COUNTIF(C$4:C100,SUBSTITUTE(C101,""Sell_"",""""))-COUNTIF(C$4:C100,""Sell_""&amp;SUBSTITUTE(C101,""Sell_"",""""))))/4),ROUNDUP(INDEX(Upgrades!$C$3:$C$7,MATCH(C101,Upgrades!$B$3:$B$7,0))*1.15^(COUNTIF(C$4:C100,C101)-COUNTIF(C$4:C100,""Sel"&amp;"l_""&amp;C101)))))))"),27757.0)</f>
        <v>27757</v>
      </c>
      <c r="H101" s="14">
        <f t="shared" si="3"/>
        <v>27757</v>
      </c>
      <c r="I101" s="75">
        <f t="shared" si="4"/>
        <v>5320880.34</v>
      </c>
      <c r="J101" s="76">
        <f t="shared" si="5"/>
        <v>1077.415268</v>
      </c>
      <c r="K101" s="71" t="str">
        <f t="shared" si="6"/>
        <v>17m 57s</v>
      </c>
      <c r="L101" s="77">
        <f t="shared" si="7"/>
        <v>700432</v>
      </c>
      <c r="M101" s="51">
        <f t="shared" si="8"/>
        <v>-1.04823</v>
      </c>
      <c r="N101" s="52">
        <f>IFERROR(__xludf.DUMMYFUNCTION("IFS(AND(COUNTA(C101:C147)=0,COUNTA(P101:P147)=0),"""",OR(AND(L101&gt;=1000000,OR(Y101&gt;=1000000,COUNTA(P101:P147)=0)),AND(Y101&gt;=1000000,COUNTA(C101:C147)=0),AND(COUNTA(P101:P147)=0,O$3=TRUE)),
ROUNDDOWN((AB$1-AC$1)*MAX(INDEX(S$4:S147,MATCH(LARGE(FILTER(Y$4:Y1"&amp;"47,Y$4:Y147&lt;1000000),1),Y$4:Y147)),INDEX(F$4:F147,MATCH(LARGE(FILTER(L$4:L147,L$4:L147&lt;1000000),1),L$4:L147)))),AND(L101&lt;1000000,COUNTA(C101:C147)&gt;0,O$3=FALSE),
ROUNDDOWN(INDEX(Y$4:Y147,MATCH(LARGE(FILTER(W$4:W147,W$4:W147&lt;=J101),1),W$4:W147))+(J101-LARGE"&amp;"(FILTER(W$4:W147,W$4:W147&lt;=J101),1))*INDEX(S$4:S147,MATCH(LARGE(FILTER(W$4:W147,W$4:W147&lt;=J101),1),W$4:W147))-L101),1,
ROUNDDOWN(Y101-INDEX(L$4:L147,MATCH(LARGE(FILTER(J$4:J147,J$4:J147&lt;=W101),1),J$4:J147))-(W101-LARGE(FILTER(J$4:J147,J$4:J147&lt;=W101),1))*"&amp;"INDEX(F$4:F147,MATCH(LARGE(FILTER(J$4:J147,J$4:J147&lt;=W101),1),J$4:J147))))"),2421.0)</f>
        <v>2421</v>
      </c>
      <c r="O101" s="65">
        <f t="shared" si="9"/>
        <v>7</v>
      </c>
      <c r="P101" s="69" t="s">
        <v>18</v>
      </c>
      <c r="Q101" s="14" t="b">
        <f>IFERROR(__xludf.DUMMYFUNCTION("IF(COUNTA(P101:P147)=0,"""",IFERROR(IF(ISBLANK(P101),FALSE,IF(ISBLANK(T101),1,IF(NOT(COUNTIF($AA$24:$AA$34,SUBSTITUTE(P101,""Sell_"",""""))),1,IF(P101=""Plastic_up"",IF(V101&lt;1000,1),IF(P101=""Super_Up"",IF(OR(COUNTIF(P$4:P101,""Grandma"")-COUNTIF(P$4:P101"&amp;",""Sell_Grandma"")&lt;1,COUNTIF(P$4:P101,VLOOKUP(P101,Upgrades!$F$8:$N$8,7+COUNTIF(P$4:P101,P101)))-COUNTIF(P$4:P101,""Sell_""&amp;VLOOKUP(P101,Upgrades!$F$8:$N$8,7+COUNTIF(P$4:P101,P101)))&lt;15),1),IF(REGEXMATCH(P101,""_up""),IF(COUNTIF(P$4:P101,SUBSTITUTE(P101,"&amp;"""_up"",""""))&lt;IFERROR(VLOOKUP(P101,Upgrades!$L$3:$P$6,1+COUNTIF(P$4:P101,P101),0),999),1),IF(REGEXMATCH(P101,""Sell_""),IF(COUNTIF(P$4:P101,SUBSTITUTE(P101,""Sell_"",""""))-COUNTIF(P$4:P100,P101)&lt;1,1),FALSE)))))))))"),FALSE)</f>
        <v>0</v>
      </c>
      <c r="R101" s="71">
        <f>IFERROR(__xludf.DUMMYFUNCTION("IF(REGEXMATCH(P101,""^Sell_""),R100, IF(COUNTA(P101:P147)=0,"""",(COUNTIF(P$4:P101,""Cursor"")-COUNTIF(P$4:P101,""Sell_Cursor""))*(0.1*2^SWITCH(COUNTIF(P$4:P101,""Cursor_up""),0,0,1,1,2,2,3)+SWITCH(COUNTIF(P$4:P101,""Cursor_up""),4,0.1,0)*(ROW(P101)-4-COU"&amp;"NTIF(P$4:P101,""Cursor"")-COUNTIF(P$4:P101,""*""&amp;""_up"")-2*COUNTIF(P$4:P101,""Sell_""&amp;""*"")+COUNTIF(P$4:P101,""Sell_Cursor"")-COUNTIF(P$4:P101,"""")))+(COUNTIF(P$4:P101,""Grandma"")-COUNTIF(P$4:P101,""Sell_Grandma""))*(1*2^(COUNTIF(P$4:P101,""Grandma_up"&amp;""")+COUNTIF(P$4:P101,""Super_up"")))+(COUNTIF(P$4:P101,""Farm"")-COUNTIF(P$4:P101,""Sell_Farm""))*(8*2^COUNTIF(P$4:P101,""Farm_up""))*IF(COUNTIF(P$4:P101,""Super_up"")&gt;0,1+0.01*(COUNTIF(P$4:P101,""Grandma"")-COUNTIF(P$4:P101,""Sell_Grandma"")),1)+(COUNTIF"&amp;"(P$4:P101,""Mine"")-COUNTIF(P$4:P101,""Sell_Mine""))*((47*2^COUNTIF(P$4:P101,""Mine_up""))*IF(COUNTIF(P$4:P101,""Super_up"")&gt;1,1+0.005*(COUNTIF(P$4:P101,""Grandma"")-COUNTIF(P$4:P101,""Sell_Grandma"")),1))+(COUNTIF(P$4:P101,""Factory"")-COUNTIF(P$4:P101,"&amp;"""Sell_Factory""))*(260*2^COUNTIF(P$4:P101,""Factory_up""))))"),2121.6800000000003)</f>
        <v>2121.68</v>
      </c>
      <c r="S101" s="73">
        <f>IFERROR(__xludf.DUMMYFUNCTION("IF(COUNTA(P101:P147)=0,"""",IF(REGEXMATCH(INDEX(FILTER(P$4:P101,P$4:P101&lt;&gt;""""),ROWS(FILTER(P$4:P101,P$4:P101&lt;&gt;""""))),""^Sell_""),INDEX(FILTER(S$4:S100,P$4:P100&lt;&gt;""""),ROWS(FILTER(P$4:P100,P$4:P100&lt;&gt;""""))),$AD$5*(2^SWITCH(COUNTIF(P$4:P101,""Cursor_up"")"&amp;",0,0,1,1,2,2,3)+SWITCH(COUNTIF(P$4:P101,""Cursor_up""),4,0.1,0)*(ROW(P101)-4-COUNTIF(P$4:P101,""Cursor"")-COUNTIF(P$4:P101,""*""&amp;""_up"")-2*COUNTIF(P$4:P101,""Sell_""&amp;""*"")+COUNTIF(P$4:P101,""Sell_Cursor"")-COUNTIF(P$4:P101,""""))+0.01*R101*COUNTIF(P$4:P"&amp;"101,""Plastic_up""))+R101))"),2413.8480000000004)</f>
        <v>2413.848</v>
      </c>
      <c r="T101" s="14">
        <f>IFERROR(__xludf.DUMMYFUNCTION("IF(COUNTA(P101:P147)=0,"""",IF(REGEXMATCH(P101,""_up""),VLOOKUP(P101,Upgrades!$F$3:$J$8,1+COUNTIF(P$4:P101,P101),FALSE),IF(P101="""",0,IF(REGEXMATCH(P101,""^Sell_""),-ROUNDDOWN(ROUNDUP(INDEX(Upgrades!$C$3:$C$8,MATCH(SUBSTITUTE(P101,""Sell_"",""""),Upgrade"&amp;"s!$B$3:$B$8,0))*1.15^(COUNTIF(P$4:P100,SUBSTITUTE(P101,""Sell_"",""""))-COUNTIF(P$4:P100,""Sell_""&amp;SUBSTITUTE(P101,""Sell_"",""""))))/4),ROUNDUP(INDEX(Upgrades!$C$3:$C$7,MATCH(P101,Upgrades!$B$3:$B$7,0))*1.15^(COUNTIF(P$4:P100,P101)-COUNTIF(P$4:P100,""Sel"&amp;"l_""&amp;P101)))))))"),27757.0)</f>
        <v>27757</v>
      </c>
      <c r="U101" s="14">
        <f t="shared" si="10"/>
        <v>27757</v>
      </c>
      <c r="V101" s="75">
        <f t="shared" si="11"/>
        <v>5230306.866</v>
      </c>
      <c r="W101" s="76">
        <f t="shared" si="12"/>
        <v>1076.367032</v>
      </c>
      <c r="X101" s="71" t="str">
        <f t="shared" si="13"/>
        <v>17m 56s</v>
      </c>
      <c r="Y101" s="77">
        <f t="shared" si="14"/>
        <v>700432</v>
      </c>
      <c r="Z101" s="17"/>
      <c r="AA101" s="13"/>
      <c r="AB101" s="13"/>
      <c r="AC101" s="13"/>
      <c r="AD101" s="13"/>
      <c r="AE101" s="13"/>
      <c r="AF101" s="13"/>
      <c r="AG101" s="13"/>
    </row>
    <row r="102">
      <c r="A102" s="12"/>
      <c r="B102" s="65">
        <f t="shared" si="2"/>
        <v>8</v>
      </c>
      <c r="C102" s="69" t="s">
        <v>18</v>
      </c>
      <c r="D102" s="14" t="b">
        <f>IFERROR(__xludf.DUMMYFUNCTION("IF(COUNTA(C102:C147)=0,"""",IFERROR(IF(ISBLANK(C102),FALSE,IF(ISBLANK(G102),1,IF(NOT(COUNTIF($AA$24:$AA$34,SUBSTITUTE(C102,""Sell_"",""""))),1,IF(C102=""Plastic_up"",IF(I102&lt;1000,1),IF(C102=""Super_Up"",IF(OR(COUNTIF(C$4:C102,""Grandma"")-COUNTIF(C$4:C102"&amp;",""Sell_Grandma"")&lt;1,COUNTIF(C$4:C102,VLOOKUP(C102,Upgrades!$F$8:$N$8,7+COUNTIF(C$4:C102,C102)))-COUNTIF(C$4:C102,""Sell_""&amp;VLOOKUP(C102,Upgrades!$F$8:$N$8,7+COUNTIF(C$4:C102,C102)))&lt;15),1),IF(REGEXMATCH(C102,""_up""),IF(COUNTIF(C$4:C102,SUBSTITUTE(C102,"&amp;"""_up"",""""))&lt;IFERROR(VLOOKUP(C102,Upgrades!$L$3:$P$6,1+COUNTIF(C$4:C102,C102),0),999),1),IF(REGEXMATCH(C102,""Sell_""),IF(COUNTIF(C$4:C102,SUBSTITUTE(C102,""Sell_"",""""))-COUNTIF(C$4:C101,C102)&lt;1,1),FALSE)))))))))"),FALSE)</f>
        <v>0</v>
      </c>
      <c r="E102" s="71">
        <f>IFERROR(__xludf.DUMMYFUNCTION("IF(REGEXMATCH(C102,""^Sell_""),E101, IF(COUNTA(C102:C147)=0,"""",(COUNTIF(C$4:C102,""Cursor"")-COUNTIF(C$4:C102,""Sell_Cursor""))*(0.1*2^SWITCH(COUNTIF(C$4:C102,""Cursor_up""),0,0,1,1,2,2,3)+SWITCH(COUNTIF(C$4:C102,""Cursor_up""),4,0.1,0)*(ROW(C102)-4-COU"&amp;"NTIF(C$4:C102,""Cursor"")-COUNTIF(C$4:C102,""*""&amp;""_up"")-2*COUNTIF(C$4:C102,""Sell_""&amp;""*"")+COUNTIF(C$4:C102,""Sell_Cursor"")-COUNTIF(C$4:C102,"""")))+(COUNTIF(C$4:C102,""Grandma"")-COUNTIF(C$4:C102,""Sell_Grandma""))*(1*2^(COUNTIF(C$4:C102,""Grandma_up"&amp;""")+COUNTIF(C$4:C102,""Super_up"")))+(COUNTIF(C$4:C102,""Farm"")-COUNTIF(C$4:C102,""Sell_Farm""))*(8*2^COUNTIF(C$4:C102,""Farm_up""))*IF(COUNTIF(C$4:C102,""Super_up"")&gt;0,1+0.01*(COUNTIF(C$4:C102,""Grandma"")-COUNTIF(C$4:C102,""Sell_Grandma"")),1)+(COUNTIF"&amp;"(C$4:C102,""Mine"")-COUNTIF(C$4:C102,""Sell_Mine""))*((47*2^COUNTIF(C$4:C102,""Mine_up""))*IF(COUNTIF(C$4:C102,""Super_up"")&gt;1,1+0.005*(COUNTIF(C$4:C102,""Grandma"")-COUNTIF(C$4:C102,""Sell_Grandma"")),1))+(COUNTIF(C$4:C102,""Factory"")-COUNTIF(C$4:C102,"&amp;"""Sell_Factory""))*(260*2^COUNTIF(C$4:C102,""Factory_up""))))"),2215.6800000000003)</f>
        <v>2215.68</v>
      </c>
      <c r="F102" s="73">
        <f>IFERROR(__xludf.DUMMYFUNCTION("IF(COUNTA(C102:C147)=0,"""",IF(REGEXMATCH(INDEX(FILTER(C$4:C102,C$4:C102&lt;&gt;""""),ROWS(FILTER(C$4:C102,C$4:C102&lt;&gt;""""))),""^Sell_""),INDEX(FILTER(F$4:F101,C$4:C101&lt;&gt;""""),ROWS(FILTER(C$4:C101,C$4:C101&lt;&gt;""""))),$AC$5*(2^SWITCH(COUNTIF(C$4:C102,""Cursor_up"")"&amp;",0,0,1,1,2,2,3)+SWITCH(COUNTIF(C$4:C102,""Cursor_up""),4,0.1,0)*(ROW(C102)-4-COUNTIF(C$4:C102,""Cursor"")-COUNTIF(C$4:C102,""*""&amp;""_up"")-2*COUNTIF(C$4:C102,""Sell_""&amp;""*"")+COUNTIF(C$4:C102,""Sell_Cursor"")-COUNTIF(C$4:C102,""""))+0.01*E102*COUNTIF(C$4:C"&amp;"102,""Plastic_up""))+E102))"),2517.2480000000005)</f>
        <v>2517.248</v>
      </c>
      <c r="G102" s="14">
        <f>IFERROR(__xludf.DUMMYFUNCTION("IF(COUNTA(C102:C147)=0,"""",IF(REGEXMATCH(C102,""_up""),VLOOKUP(C102,Upgrades!$F$3:$J$8,1+COUNTIF(C$4:C102,C102),FALSE),IF(C102="""",0,IF(REGEXMATCH(C102,""^Sell_""),-ROUNDDOWN(ROUNDUP(INDEX(Upgrades!$C$3:$C$8,MATCH(SUBSTITUTE(C102,""Sell_"",""""),Upgrade"&amp;"s!$B$3:$B$8,0))*1.15^(COUNTIF(C$4:C101,SUBSTITUTE(C102,""Sell_"",""""))-COUNTIF(C$4:C101,""Sell_""&amp;SUBSTITUTE(C102,""Sell_"",""""))))/4),ROUNDUP(INDEX(Upgrades!$C$3:$C$7,MATCH(C102,Upgrades!$B$3:$B$7,0))*1.15^(COUNTIF(C$4:C101,C102)-COUNTIF(C$4:C101,""Sel"&amp;"l_""&amp;C102)))))))"),31921.0)</f>
        <v>31921</v>
      </c>
      <c r="H102" s="14">
        <f t="shared" si="3"/>
        <v>31921</v>
      </c>
      <c r="I102" s="75">
        <f t="shared" si="4"/>
        <v>5639530.267</v>
      </c>
      <c r="J102" s="76">
        <f t="shared" si="5"/>
        <v>1090.639382</v>
      </c>
      <c r="K102" s="71" t="str">
        <f t="shared" si="6"/>
        <v>18m 10s</v>
      </c>
      <c r="L102" s="77">
        <f t="shared" si="7"/>
        <v>732353</v>
      </c>
      <c r="M102" s="51">
        <f t="shared" si="8"/>
        <v>-1.04823</v>
      </c>
      <c r="N102" s="52">
        <f>IFERROR(__xludf.DUMMYFUNCTION("IFS(AND(COUNTA(C102:C147)=0,COUNTA(P102:P147)=0),"""",OR(AND(L102&gt;=1000000,OR(Y102&gt;=1000000,COUNTA(P102:P147)=0)),AND(Y102&gt;=1000000,COUNTA(C102:C147)=0),AND(COUNTA(P102:P147)=0,O$3=TRUE)),
ROUNDDOWN((AB$1-AC$1)*MAX(INDEX(S$4:S147,MATCH(LARGE(FILTER(Y$4:Y1"&amp;"47,Y$4:Y147&lt;1000000),1),Y$4:Y147)),INDEX(F$4:F147,MATCH(LARGE(FILTER(L$4:L147,L$4:L147&lt;1000000),1),L$4:L147)))),AND(L102&lt;1000000,COUNTA(C102:C147)&gt;0,O$3=FALSE),
ROUNDDOWN(INDEX(Y$4:Y147,MATCH(LARGE(FILTER(W$4:W147,W$4:W147&lt;=J102),1),W$4:W147))+(J102-LARGE"&amp;"(FILTER(W$4:W147,W$4:W147&lt;=J102),1))*INDEX(S$4:S147,MATCH(LARGE(FILTER(W$4:W147,W$4:W147&lt;=J102),1),W$4:W147))-L102),1,
ROUNDDOWN(Y102-INDEX(L$4:L147,MATCH(LARGE(FILTER(J$4:J147,J$4:J147&lt;=W102),1),J$4:J147))-(W102-LARGE(FILTER(J$4:J147,J$4:J147&lt;=W102),1))*"&amp;"INDEX(F$4:F147,MATCH(LARGE(FILTER(J$4:J147,J$4:J147&lt;=W102),1),J$4:J147))))"),2530.0)</f>
        <v>2530</v>
      </c>
      <c r="O102" s="65">
        <f t="shared" si="9"/>
        <v>8</v>
      </c>
      <c r="P102" s="69" t="s">
        <v>18</v>
      </c>
      <c r="Q102" s="14" t="b">
        <f>IFERROR(__xludf.DUMMYFUNCTION("IF(COUNTA(P102:P147)=0,"""",IFERROR(IF(ISBLANK(P102),FALSE,IF(ISBLANK(T102),1,IF(NOT(COUNTIF($AA$24:$AA$34,SUBSTITUTE(P102,""Sell_"",""""))),1,IF(P102=""Plastic_up"",IF(V102&lt;1000,1),IF(P102=""Super_Up"",IF(OR(COUNTIF(P$4:P102,""Grandma"")-COUNTIF(P$4:P102"&amp;",""Sell_Grandma"")&lt;1,COUNTIF(P$4:P102,VLOOKUP(P102,Upgrades!$F$8:$N$8,7+COUNTIF(P$4:P102,P102)))-COUNTIF(P$4:P102,""Sell_""&amp;VLOOKUP(P102,Upgrades!$F$8:$N$8,7+COUNTIF(P$4:P102,P102)))&lt;15),1),IF(REGEXMATCH(P102,""_up""),IF(COUNTIF(P$4:P102,SUBSTITUTE(P102,"&amp;"""_up"",""""))&lt;IFERROR(VLOOKUP(P102,Upgrades!$L$3:$P$6,1+COUNTIF(P$4:P102,P102),0),999),1),IF(REGEXMATCH(P102,""Sell_""),IF(COUNTIF(P$4:P102,SUBSTITUTE(P102,""Sell_"",""""))-COUNTIF(P$4:P101,P102)&lt;1,1),FALSE)))))))))"),FALSE)</f>
        <v>0</v>
      </c>
      <c r="R102" s="71">
        <f>IFERROR(__xludf.DUMMYFUNCTION("IF(REGEXMATCH(P102,""^Sell_""),R101, IF(COUNTA(P102:P147)=0,"""",(COUNTIF(P$4:P102,""Cursor"")-COUNTIF(P$4:P102,""Sell_Cursor""))*(0.1*2^SWITCH(COUNTIF(P$4:P102,""Cursor_up""),0,0,1,1,2,2,3)+SWITCH(COUNTIF(P$4:P102,""Cursor_up""),4,0.1,0)*(ROW(P102)-4-COU"&amp;"NTIF(P$4:P102,""Cursor"")-COUNTIF(P$4:P102,""*""&amp;""_up"")-2*COUNTIF(P$4:P102,""Sell_""&amp;""*"")+COUNTIF(P$4:P102,""Sell_Cursor"")-COUNTIF(P$4:P102,"""")))+(COUNTIF(P$4:P102,""Grandma"")-COUNTIF(P$4:P102,""Sell_Grandma""))*(1*2^(COUNTIF(P$4:P102,""Grandma_up"&amp;""")+COUNTIF(P$4:P102,""Super_up"")))+(COUNTIF(P$4:P102,""Farm"")-COUNTIF(P$4:P102,""Sell_Farm""))*(8*2^COUNTIF(P$4:P102,""Farm_up""))*IF(COUNTIF(P$4:P102,""Super_up"")&gt;0,1+0.01*(COUNTIF(P$4:P102,""Grandma"")-COUNTIF(P$4:P102,""Sell_Grandma"")),1)+(COUNTIF"&amp;"(P$4:P102,""Mine"")-COUNTIF(P$4:P102,""Sell_Mine""))*((47*2^COUNTIF(P$4:P102,""Mine_up""))*IF(COUNTIF(P$4:P102,""Super_up"")&gt;1,1+0.005*(COUNTIF(P$4:P102,""Grandma"")-COUNTIF(P$4:P102,""Sell_Grandma"")),1))+(COUNTIF(P$4:P102,""Factory"")-COUNTIF(P$4:P102,"&amp;"""Sell_Factory""))*(260*2^COUNTIF(P$4:P102,""Factory_up""))))"),2215.6800000000003)</f>
        <v>2215.68</v>
      </c>
      <c r="S102" s="73">
        <f>IFERROR(__xludf.DUMMYFUNCTION("IF(COUNTA(P102:P147)=0,"""",IF(REGEXMATCH(INDEX(FILTER(P$4:P102,P$4:P102&lt;&gt;""""),ROWS(FILTER(P$4:P102,P$4:P102&lt;&gt;""""))),""^Sell_""),INDEX(FILTER(S$4:S101,P$4:P101&lt;&gt;""""),ROWS(FILTER(P$4:P101,P$4:P101&lt;&gt;""""))),$AD$5*(2^SWITCH(COUNTIF(P$4:P102,""Cursor_up"")"&amp;",0,0,1,1,2,2,3)+SWITCH(COUNTIF(P$4:P102,""Cursor_up""),4,0.1,0)*(ROW(P102)-4-COUNTIF(P$4:P102,""Cursor"")-COUNTIF(P$4:P102,""*""&amp;""_up"")-2*COUNTIF(P$4:P102,""Sell_""&amp;""*"")+COUNTIF(P$4:P102,""Sell_Cursor"")-COUNTIF(P$4:P102,""""))+0.01*R102*COUNTIF(P$4:P"&amp;"102,""Plastic_up""))+R102))"),2517.2480000000005)</f>
        <v>2517.248</v>
      </c>
      <c r="T102" s="14">
        <f>IFERROR(__xludf.DUMMYFUNCTION("IF(COUNTA(P102:P147)=0,"""",IF(REGEXMATCH(P102,""_up""),VLOOKUP(P102,Upgrades!$F$3:$J$8,1+COUNTIF(P$4:P102,P102),FALSE),IF(P102="""",0,IF(REGEXMATCH(P102,""^Sell_""),-ROUNDDOWN(ROUNDUP(INDEX(Upgrades!$C$3:$C$8,MATCH(SUBSTITUTE(P102,""Sell_"",""""),Upgrade"&amp;"s!$B$3:$B$8,0))*1.15^(COUNTIF(P$4:P101,SUBSTITUTE(P102,""Sell_"",""""))-COUNTIF(P$4:P101,""Sell_""&amp;SUBSTITUTE(P102,""Sell_"",""""))))/4),ROUNDUP(INDEX(Upgrades!$C$3:$C$7,MATCH(P102,Upgrades!$B$3:$B$7,0))*1.15^(COUNTIF(P$4:P101,P102)-COUNTIF(P$4:P101,""Sel"&amp;"l_""&amp;P102)))))))"),31921.0)</f>
        <v>31921</v>
      </c>
      <c r="U102" s="14">
        <f t="shared" si="10"/>
        <v>31921</v>
      </c>
      <c r="V102" s="75">
        <f t="shared" si="11"/>
        <v>5548650.532</v>
      </c>
      <c r="W102" s="76">
        <f t="shared" si="12"/>
        <v>1089.591146</v>
      </c>
      <c r="X102" s="71" t="str">
        <f t="shared" si="13"/>
        <v>18m 09s</v>
      </c>
      <c r="Y102" s="77">
        <f t="shared" si="14"/>
        <v>732353</v>
      </c>
      <c r="Z102" s="17"/>
      <c r="AA102" s="13"/>
      <c r="AB102" s="13"/>
      <c r="AC102" s="13"/>
      <c r="AD102" s="13"/>
      <c r="AE102" s="13"/>
      <c r="AF102" s="13"/>
      <c r="AG102" s="13"/>
    </row>
    <row r="103">
      <c r="A103" s="12"/>
      <c r="B103" s="65">
        <f t="shared" si="2"/>
        <v>9</v>
      </c>
      <c r="C103" s="69" t="s">
        <v>18</v>
      </c>
      <c r="D103" s="14" t="b">
        <f>IFERROR(__xludf.DUMMYFUNCTION("IF(COUNTA(C103:C147)=0,"""",IFERROR(IF(ISBLANK(C103),FALSE,IF(ISBLANK(G103),1,IF(NOT(COUNTIF($AA$24:$AA$34,SUBSTITUTE(C103,""Sell_"",""""))),1,IF(C103=""Plastic_up"",IF(I103&lt;1000,1),IF(C103=""Super_Up"",IF(OR(COUNTIF(C$4:C103,""Grandma"")-COUNTIF(C$4:C103"&amp;",""Sell_Grandma"")&lt;1,COUNTIF(C$4:C103,VLOOKUP(C103,Upgrades!$F$8:$N$8,7+COUNTIF(C$4:C103,C103)))-COUNTIF(C$4:C103,""Sell_""&amp;VLOOKUP(C103,Upgrades!$F$8:$N$8,7+COUNTIF(C$4:C103,C103)))&lt;15),1),IF(REGEXMATCH(C103,""_up""),IF(COUNTIF(C$4:C103,SUBSTITUTE(C103,"&amp;"""_up"",""""))&lt;IFERROR(VLOOKUP(C103,Upgrades!$L$3:$P$6,1+COUNTIF(C$4:C103,C103),0),999),1),IF(REGEXMATCH(C103,""Sell_""),IF(COUNTIF(C$4:C103,SUBSTITUTE(C103,""Sell_"",""""))-COUNTIF(C$4:C102,C103)&lt;1,1),FALSE)))))))))"),FALSE)</f>
        <v>0</v>
      </c>
      <c r="E103" s="71">
        <f>IFERROR(__xludf.DUMMYFUNCTION("IF(REGEXMATCH(C103,""^Sell_""),E102, IF(COUNTA(C103:C147)=0,"""",(COUNTIF(C$4:C103,""Cursor"")-COUNTIF(C$4:C103,""Sell_Cursor""))*(0.1*2^SWITCH(COUNTIF(C$4:C103,""Cursor_up""),0,0,1,1,2,2,3)+SWITCH(COUNTIF(C$4:C103,""Cursor_up""),4,0.1,0)*(ROW(C103)-4-COU"&amp;"NTIF(C$4:C103,""Cursor"")-COUNTIF(C$4:C103,""*""&amp;""_up"")-2*COUNTIF(C$4:C103,""Sell_""&amp;""*"")+COUNTIF(C$4:C103,""Sell_Cursor"")-COUNTIF(C$4:C103,"""")))+(COUNTIF(C$4:C103,""Grandma"")-COUNTIF(C$4:C103,""Sell_Grandma""))*(1*2^(COUNTIF(C$4:C103,""Grandma_up"&amp;""")+COUNTIF(C$4:C103,""Super_up"")))+(COUNTIF(C$4:C103,""Farm"")-COUNTIF(C$4:C103,""Sell_Farm""))*(8*2^COUNTIF(C$4:C103,""Farm_up""))*IF(COUNTIF(C$4:C103,""Super_up"")&gt;0,1+0.01*(COUNTIF(C$4:C103,""Grandma"")-COUNTIF(C$4:C103,""Sell_Grandma"")),1)+(COUNTIF"&amp;"(C$4:C103,""Mine"")-COUNTIF(C$4:C103,""Sell_Mine""))*((47*2^COUNTIF(C$4:C103,""Mine_up""))*IF(COUNTIF(C$4:C103,""Super_up"")&gt;1,1+0.005*(COUNTIF(C$4:C103,""Grandma"")-COUNTIF(C$4:C103,""Sell_Grandma"")),1))+(COUNTIF(C$4:C103,""Factory"")-COUNTIF(C$4:C103,"&amp;"""Sell_Factory""))*(260*2^COUNTIF(C$4:C103,""Factory_up""))))"),2309.6800000000003)</f>
        <v>2309.68</v>
      </c>
      <c r="F103" s="73">
        <f>IFERROR(__xludf.DUMMYFUNCTION("IF(COUNTA(C103:C147)=0,"""",IF(REGEXMATCH(INDEX(FILTER(C$4:C103,C$4:C103&lt;&gt;""""),ROWS(FILTER(C$4:C103,C$4:C103&lt;&gt;""""))),""^Sell_""),INDEX(FILTER(F$4:F102,C$4:C102&lt;&gt;""""),ROWS(FILTER(C$4:C102,C$4:C102&lt;&gt;""""))),$AC$5*(2^SWITCH(COUNTIF(C$4:C103,""Cursor_up"")"&amp;",0,0,1,1,2,2,3)+SWITCH(COUNTIF(C$4:C103,""Cursor_up""),4,0.1,0)*(ROW(C103)-4-COUNTIF(C$4:C103,""Cursor"")-COUNTIF(C$4:C103,""*""&amp;""_up"")-2*COUNTIF(C$4:C103,""Sell_""&amp;""*"")+COUNTIF(C$4:C103,""Sell_Cursor"")-COUNTIF(C$4:C103,""""))+0.01*E103*COUNTIF(C$4:C"&amp;"103,""Plastic_up""))+E103))"),2620.648)</f>
        <v>2620.648</v>
      </c>
      <c r="G103" s="14">
        <f>IFERROR(__xludf.DUMMYFUNCTION("IF(COUNTA(C103:C147)=0,"""",IF(REGEXMATCH(C103,""_up""),VLOOKUP(C103,Upgrades!$F$3:$J$8,1+COUNTIF(C$4:C103,C103),FALSE),IF(C103="""",0,IF(REGEXMATCH(C103,""^Sell_""),-ROUNDDOWN(ROUNDUP(INDEX(Upgrades!$C$3:$C$8,MATCH(SUBSTITUTE(C103,""Sell_"",""""),Upgrade"&amp;"s!$B$3:$B$8,0))*1.15^(COUNTIF(C$4:C102,SUBSTITUTE(C103,""Sell_"",""""))-COUNTIF(C$4:C102,""Sell_""&amp;SUBSTITUTE(C103,""Sell_"",""""))))/4),ROUNDUP(INDEX(Upgrades!$C$3:$C$7,MATCH(C103,Upgrades!$B$3:$B$7,0))*1.15^(COUNTIF(C$4:C102,C103)-COUNTIF(C$4:C102,""Sel"&amp;"l_""&amp;C103)))))))"),36709.0)</f>
        <v>36709</v>
      </c>
      <c r="H103" s="14">
        <f t="shared" si="3"/>
        <v>36709</v>
      </c>
      <c r="I103" s="75">
        <f t="shared" si="4"/>
        <v>5972829.967</v>
      </c>
      <c r="J103" s="76">
        <f t="shared" si="5"/>
        <v>1105.222371</v>
      </c>
      <c r="K103" s="71" t="str">
        <f t="shared" si="6"/>
        <v>18m 25s</v>
      </c>
      <c r="L103" s="77">
        <f t="shared" si="7"/>
        <v>769062</v>
      </c>
      <c r="M103" s="51">
        <f t="shared" si="8"/>
        <v>-1.04823</v>
      </c>
      <c r="N103" s="52">
        <f>IFERROR(__xludf.DUMMYFUNCTION("IFS(AND(COUNTA(C103:C147)=0,COUNTA(P103:P147)=0),"""",OR(AND(L103&gt;=1000000,OR(Y103&gt;=1000000,COUNTA(P103:P147)=0)),AND(Y103&gt;=1000000,COUNTA(C103:C147)=0),AND(COUNTA(P103:P147)=0,O$3=TRUE)),
ROUNDDOWN((AB$1-AC$1)*MAX(INDEX(S$4:S147,MATCH(LARGE(FILTER(Y$4:Y1"&amp;"47,Y$4:Y147&lt;1000000),1),Y$4:Y147)),INDEX(F$4:F147,MATCH(LARGE(FILTER(L$4:L147,L$4:L147&lt;1000000),1),L$4:L147)))),AND(L103&lt;1000000,COUNTA(C103:C147)&gt;0,O$3=FALSE),
ROUNDDOWN(INDEX(Y$4:Y147,MATCH(LARGE(FILTER(W$4:W147,W$4:W147&lt;=J103),1),W$4:W147))+(J103-LARGE"&amp;"(FILTER(W$4:W147,W$4:W147&lt;=J103),1))*INDEX(S$4:S147,MATCH(LARGE(FILTER(W$4:W147,W$4:W147&lt;=J103),1),W$4:W147))-L103),1,
ROUNDDOWN(Y103-INDEX(L$4:L147,MATCH(LARGE(FILTER(J$4:J147,J$4:J147&lt;=W103),1),J$4:J147))-(W103-LARGE(FILTER(J$4:J147,J$4:J147&lt;=W103),1))*"&amp;"INDEX(F$4:F147,MATCH(LARGE(FILTER(J$4:J147,J$4:J147&lt;=W103),1),J$4:J147))))"),2638.0)</f>
        <v>2638</v>
      </c>
      <c r="O103" s="65">
        <f t="shared" si="9"/>
        <v>9</v>
      </c>
      <c r="P103" s="69" t="s">
        <v>18</v>
      </c>
      <c r="Q103" s="14" t="b">
        <f>IFERROR(__xludf.DUMMYFUNCTION("IF(COUNTA(P103:P147)=0,"""",IFERROR(IF(ISBLANK(P103),FALSE,IF(ISBLANK(T103),1,IF(NOT(COUNTIF($AA$24:$AA$34,SUBSTITUTE(P103,""Sell_"",""""))),1,IF(P103=""Plastic_up"",IF(V103&lt;1000,1),IF(P103=""Super_Up"",IF(OR(COUNTIF(P$4:P103,""Grandma"")-COUNTIF(P$4:P103"&amp;",""Sell_Grandma"")&lt;1,COUNTIF(P$4:P103,VLOOKUP(P103,Upgrades!$F$8:$N$8,7+COUNTIF(P$4:P103,P103)))-COUNTIF(P$4:P103,""Sell_""&amp;VLOOKUP(P103,Upgrades!$F$8:$N$8,7+COUNTIF(P$4:P103,P103)))&lt;15),1),IF(REGEXMATCH(P103,""_up""),IF(COUNTIF(P$4:P103,SUBSTITUTE(P103,"&amp;"""_up"",""""))&lt;IFERROR(VLOOKUP(P103,Upgrades!$L$3:$P$6,1+COUNTIF(P$4:P103,P103),0),999),1),IF(REGEXMATCH(P103,""Sell_""),IF(COUNTIF(P$4:P103,SUBSTITUTE(P103,""Sell_"",""""))-COUNTIF(P$4:P102,P103)&lt;1,1),FALSE)))))))))"),FALSE)</f>
        <v>0</v>
      </c>
      <c r="R103" s="71">
        <f>IFERROR(__xludf.DUMMYFUNCTION("IF(REGEXMATCH(P103,""^Sell_""),R102, IF(COUNTA(P103:P147)=0,"""",(COUNTIF(P$4:P103,""Cursor"")-COUNTIF(P$4:P103,""Sell_Cursor""))*(0.1*2^SWITCH(COUNTIF(P$4:P103,""Cursor_up""),0,0,1,1,2,2,3)+SWITCH(COUNTIF(P$4:P103,""Cursor_up""),4,0.1,0)*(ROW(P103)-4-COU"&amp;"NTIF(P$4:P103,""Cursor"")-COUNTIF(P$4:P103,""*""&amp;""_up"")-2*COUNTIF(P$4:P103,""Sell_""&amp;""*"")+COUNTIF(P$4:P103,""Sell_Cursor"")-COUNTIF(P$4:P103,"""")))+(COUNTIF(P$4:P103,""Grandma"")-COUNTIF(P$4:P103,""Sell_Grandma""))*(1*2^(COUNTIF(P$4:P103,""Grandma_up"&amp;""")+COUNTIF(P$4:P103,""Super_up"")))+(COUNTIF(P$4:P103,""Farm"")-COUNTIF(P$4:P103,""Sell_Farm""))*(8*2^COUNTIF(P$4:P103,""Farm_up""))*IF(COUNTIF(P$4:P103,""Super_up"")&gt;0,1+0.01*(COUNTIF(P$4:P103,""Grandma"")-COUNTIF(P$4:P103,""Sell_Grandma"")),1)+(COUNTIF"&amp;"(P$4:P103,""Mine"")-COUNTIF(P$4:P103,""Sell_Mine""))*((47*2^COUNTIF(P$4:P103,""Mine_up""))*IF(COUNTIF(P$4:P103,""Super_up"")&gt;1,1+0.005*(COUNTIF(P$4:P103,""Grandma"")-COUNTIF(P$4:P103,""Sell_Grandma"")),1))+(COUNTIF(P$4:P103,""Factory"")-COUNTIF(P$4:P103,"&amp;"""Sell_Factory""))*(260*2^COUNTIF(P$4:P103,""Factory_up""))))"),2309.6800000000003)</f>
        <v>2309.68</v>
      </c>
      <c r="S103" s="73">
        <f>IFERROR(__xludf.DUMMYFUNCTION("IF(COUNTA(P103:P147)=0,"""",IF(REGEXMATCH(INDEX(FILTER(P$4:P103,P$4:P103&lt;&gt;""""),ROWS(FILTER(P$4:P103,P$4:P103&lt;&gt;""""))),""^Sell_""),INDEX(FILTER(S$4:S102,P$4:P102&lt;&gt;""""),ROWS(FILTER(P$4:P102,P$4:P102&lt;&gt;""""))),$AD$5*(2^SWITCH(COUNTIF(P$4:P103,""Cursor_up"")"&amp;",0,0,1,1,2,2,3)+SWITCH(COUNTIF(P$4:P103,""Cursor_up""),4,0.1,0)*(ROW(P103)-4-COUNTIF(P$4:P103,""Cursor"")-COUNTIF(P$4:P103,""*""&amp;""_up"")-2*COUNTIF(P$4:P103,""Sell_""&amp;""*"")+COUNTIF(P$4:P103,""Sell_Cursor"")-COUNTIF(P$4:P103,""""))+0.01*R103*COUNTIF(P$4:P"&amp;"103,""Plastic_up""))+R103))"),2620.648)</f>
        <v>2620.648</v>
      </c>
      <c r="T103" s="14">
        <f>IFERROR(__xludf.DUMMYFUNCTION("IF(COUNTA(P103:P147)=0,"""",IF(REGEXMATCH(P103,""_up""),VLOOKUP(P103,Upgrades!$F$3:$J$8,1+COUNTIF(P$4:P103,P103),FALSE),IF(P103="""",0,IF(REGEXMATCH(P103,""^Sell_""),-ROUNDDOWN(ROUNDUP(INDEX(Upgrades!$C$3:$C$8,MATCH(SUBSTITUTE(P103,""Sell_"",""""),Upgrade"&amp;"s!$B$3:$B$8,0))*1.15^(COUNTIF(P$4:P102,SUBSTITUTE(P103,""Sell_"",""""))-COUNTIF(P$4:P102,""Sell_""&amp;SUBSTITUTE(P103,""Sell_"",""""))))/4),ROUNDUP(INDEX(Upgrades!$C$3:$C$7,MATCH(P103,Upgrades!$B$3:$B$7,0))*1.15^(COUNTIF(P$4:P102,P103)-COUNTIF(P$4:P102,""Sel"&amp;"l_""&amp;P103)))))))"),36709.0)</f>
        <v>36709</v>
      </c>
      <c r="U103" s="14">
        <f t="shared" si="10"/>
        <v>36709</v>
      </c>
      <c r="V103" s="75">
        <f t="shared" si="11"/>
        <v>5881634.117</v>
      </c>
      <c r="W103" s="76">
        <f t="shared" si="12"/>
        <v>1104.174135</v>
      </c>
      <c r="X103" s="71" t="str">
        <f t="shared" si="13"/>
        <v>18m 24s</v>
      </c>
      <c r="Y103" s="77">
        <f t="shared" si="14"/>
        <v>769062</v>
      </c>
      <c r="Z103" s="17"/>
      <c r="AA103" s="13"/>
      <c r="AB103" s="13"/>
      <c r="AC103" s="13"/>
      <c r="AD103" s="13"/>
      <c r="AE103" s="13"/>
      <c r="AF103" s="13"/>
      <c r="AG103" s="13"/>
    </row>
    <row r="104">
      <c r="A104" s="12"/>
      <c r="B104" s="65">
        <f t="shared" si="2"/>
        <v>10</v>
      </c>
      <c r="C104" s="69" t="s">
        <v>18</v>
      </c>
      <c r="D104" s="14" t="b">
        <f>IFERROR(__xludf.DUMMYFUNCTION("IF(COUNTA(C104:C147)=0,"""",IFERROR(IF(ISBLANK(C104),FALSE,IF(ISBLANK(G104),1,IF(NOT(COUNTIF($AA$24:$AA$34,SUBSTITUTE(C104,""Sell_"",""""))),1,IF(C104=""Plastic_up"",IF(I104&lt;1000,1),IF(C104=""Super_Up"",IF(OR(COUNTIF(C$4:C104,""Grandma"")-COUNTIF(C$4:C104"&amp;",""Sell_Grandma"")&lt;1,COUNTIF(C$4:C104,VLOOKUP(C104,Upgrades!$F$8:$N$8,7+COUNTIF(C$4:C104,C104)))-COUNTIF(C$4:C104,""Sell_""&amp;VLOOKUP(C104,Upgrades!$F$8:$N$8,7+COUNTIF(C$4:C104,C104)))&lt;15),1),IF(REGEXMATCH(C104,""_up""),IF(COUNTIF(C$4:C104,SUBSTITUTE(C104,"&amp;"""_up"",""""))&lt;IFERROR(VLOOKUP(C104,Upgrades!$L$3:$P$6,1+COUNTIF(C$4:C104,C104),0),999),1),IF(REGEXMATCH(C104,""Sell_""),IF(COUNTIF(C$4:C104,SUBSTITUTE(C104,""Sell_"",""""))-COUNTIF(C$4:C103,C104)&lt;1,1),FALSE)))))))))"),FALSE)</f>
        <v>0</v>
      </c>
      <c r="E104" s="71">
        <f>IFERROR(__xludf.DUMMYFUNCTION("IF(REGEXMATCH(C104,""^Sell_""),E103, IF(COUNTA(C104:C147)=0,"""",(COUNTIF(C$4:C104,""Cursor"")-COUNTIF(C$4:C104,""Sell_Cursor""))*(0.1*2^SWITCH(COUNTIF(C$4:C104,""Cursor_up""),0,0,1,1,2,2,3)+SWITCH(COUNTIF(C$4:C104,""Cursor_up""),4,0.1,0)*(ROW(C104)-4-COU"&amp;"NTIF(C$4:C104,""Cursor"")-COUNTIF(C$4:C104,""*""&amp;""_up"")-2*COUNTIF(C$4:C104,""Sell_""&amp;""*"")+COUNTIF(C$4:C104,""Sell_Cursor"")-COUNTIF(C$4:C104,"""")))+(COUNTIF(C$4:C104,""Grandma"")-COUNTIF(C$4:C104,""Sell_Grandma""))*(1*2^(COUNTIF(C$4:C104,""Grandma_up"&amp;""")+COUNTIF(C$4:C104,""Super_up"")))+(COUNTIF(C$4:C104,""Farm"")-COUNTIF(C$4:C104,""Sell_Farm""))*(8*2^COUNTIF(C$4:C104,""Farm_up""))*IF(COUNTIF(C$4:C104,""Super_up"")&gt;0,1+0.01*(COUNTIF(C$4:C104,""Grandma"")-COUNTIF(C$4:C104,""Sell_Grandma"")),1)+(COUNTIF"&amp;"(C$4:C104,""Mine"")-COUNTIF(C$4:C104,""Sell_Mine""))*((47*2^COUNTIF(C$4:C104,""Mine_up""))*IF(COUNTIF(C$4:C104,""Super_up"")&gt;1,1+0.005*(COUNTIF(C$4:C104,""Grandma"")-COUNTIF(C$4:C104,""Sell_Grandma"")),1))+(COUNTIF(C$4:C104,""Factory"")-COUNTIF(C$4:C104,"&amp;"""Sell_Factory""))*(260*2^COUNTIF(C$4:C104,""Factory_up""))))"),2403.6800000000003)</f>
        <v>2403.68</v>
      </c>
      <c r="F104" s="73">
        <f>IFERROR(__xludf.DUMMYFUNCTION("IF(COUNTA(C104:C147)=0,"""",IF(REGEXMATCH(INDEX(FILTER(C$4:C104,C$4:C104&lt;&gt;""""),ROWS(FILTER(C$4:C104,C$4:C104&lt;&gt;""""))),""^Sell_""),INDEX(FILTER(F$4:F103,C$4:C103&lt;&gt;""""),ROWS(FILTER(C$4:C103,C$4:C103&lt;&gt;""""))),$AC$5*(2^SWITCH(COUNTIF(C$4:C104,""Cursor_up"")"&amp;",0,0,1,1,2,2,3)+SWITCH(COUNTIF(C$4:C104,""Cursor_up""),4,0.1,0)*(ROW(C104)-4-COUNTIF(C$4:C104,""Cursor"")-COUNTIF(C$4:C104,""*""&amp;""_up"")-2*COUNTIF(C$4:C104,""Sell_""&amp;""*"")+COUNTIF(C$4:C104,""Sell_Cursor"")-COUNTIF(C$4:C104,""""))+0.01*E104*COUNTIF(C$4:C"&amp;"104,""Plastic_up""))+E104))"),2724.0480000000002)</f>
        <v>2724.048</v>
      </c>
      <c r="G104" s="14">
        <f>IFERROR(__xludf.DUMMYFUNCTION("IF(COUNTA(C104:C147)=0,"""",IF(REGEXMATCH(C104,""_up""),VLOOKUP(C104,Upgrades!$F$3:$J$8,1+COUNTIF(C$4:C104,C104),FALSE),IF(C104="""",0,IF(REGEXMATCH(C104,""^Sell_""),-ROUNDDOWN(ROUNDUP(INDEX(Upgrades!$C$3:$C$8,MATCH(SUBSTITUTE(C104,""Sell_"",""""),Upgrade"&amp;"s!$B$3:$B$8,0))*1.15^(COUNTIF(C$4:C103,SUBSTITUTE(C104,""Sell_"",""""))-COUNTIF(C$4:C103,""Sell_""&amp;SUBSTITUTE(C104,""Sell_"",""""))))/4),ROUNDUP(INDEX(Upgrades!$C$3:$C$7,MATCH(C104,Upgrades!$B$3:$B$7,0))*1.15^(COUNTIF(C$4:C103,C104)-COUNTIF(C$4:C103,""Sel"&amp;"l_""&amp;C104)))))))"),42215.0)</f>
        <v>42215</v>
      </c>
      <c r="H104" s="14">
        <f t="shared" si="3"/>
        <v>42215</v>
      </c>
      <c r="I104" s="75">
        <f t="shared" si="4"/>
        <v>6321528.02</v>
      </c>
      <c r="J104" s="76">
        <f t="shared" si="5"/>
        <v>1121.330982</v>
      </c>
      <c r="K104" s="71" t="str">
        <f t="shared" si="6"/>
        <v>18m 41s</v>
      </c>
      <c r="L104" s="77">
        <f t="shared" si="7"/>
        <v>811277</v>
      </c>
      <c r="M104" s="51">
        <f t="shared" si="8"/>
        <v>-1.04823</v>
      </c>
      <c r="N104" s="52">
        <f>IFERROR(__xludf.DUMMYFUNCTION("IFS(AND(COUNTA(C104:C147)=0,COUNTA(P104:P147)=0),"""",OR(AND(L104&gt;=1000000,OR(Y104&gt;=1000000,COUNTA(P104:P147)=0)),AND(Y104&gt;=1000000,COUNTA(C104:C147)=0),AND(COUNTA(P104:P147)=0,O$3=TRUE)),
ROUNDDOWN((AB$1-AC$1)*MAX(INDEX(S$4:S147,MATCH(LARGE(FILTER(Y$4:Y1"&amp;"47,Y$4:Y147&lt;1000000),1),Y$4:Y147)),INDEX(F$4:F147,MATCH(LARGE(FILTER(L$4:L147,L$4:L147&lt;1000000),1),L$4:L147)))),AND(L104&lt;1000000,COUNTA(C104:C147)&gt;0,O$3=FALSE),
ROUNDDOWN(INDEX(Y$4:Y147,MATCH(LARGE(FILTER(W$4:W147,W$4:W147&lt;=J104),1),W$4:W147))+(J104-LARGE"&amp;"(FILTER(W$4:W147,W$4:W147&lt;=J104),1))*INDEX(S$4:S147,MATCH(LARGE(FILTER(W$4:W147,W$4:W147&lt;=J104),1),W$4:W147))-L104),1,
ROUNDDOWN(Y104-INDEX(L$4:L147,MATCH(LARGE(FILTER(J$4:J147,J$4:J147&lt;=W104),1),J$4:J147))-(W104-LARGE(FILTER(J$4:J147,J$4:J147&lt;=W104),1))*"&amp;"INDEX(F$4:F147,MATCH(LARGE(FILTER(J$4:J147,J$4:J147&lt;=W104),1),J$4:J147))))"),2747.0)</f>
        <v>2747</v>
      </c>
      <c r="O104" s="65">
        <f t="shared" si="9"/>
        <v>10</v>
      </c>
      <c r="P104" s="69" t="s">
        <v>18</v>
      </c>
      <c r="Q104" s="14" t="b">
        <f>IFERROR(__xludf.DUMMYFUNCTION("IF(COUNTA(P104:P147)=0,"""",IFERROR(IF(ISBLANK(P104),FALSE,IF(ISBLANK(T104),1,IF(NOT(COUNTIF($AA$24:$AA$34,SUBSTITUTE(P104,""Sell_"",""""))),1,IF(P104=""Plastic_up"",IF(V104&lt;1000,1),IF(P104=""Super_Up"",IF(OR(COUNTIF(P$4:P104,""Grandma"")-COUNTIF(P$4:P104"&amp;",""Sell_Grandma"")&lt;1,COUNTIF(P$4:P104,VLOOKUP(P104,Upgrades!$F$8:$N$8,7+COUNTIF(P$4:P104,P104)))-COUNTIF(P$4:P104,""Sell_""&amp;VLOOKUP(P104,Upgrades!$F$8:$N$8,7+COUNTIF(P$4:P104,P104)))&lt;15),1),IF(REGEXMATCH(P104,""_up""),IF(COUNTIF(P$4:P104,SUBSTITUTE(P104,"&amp;"""_up"",""""))&lt;IFERROR(VLOOKUP(P104,Upgrades!$L$3:$P$6,1+COUNTIF(P$4:P104,P104),0),999),1),IF(REGEXMATCH(P104,""Sell_""),IF(COUNTIF(P$4:P104,SUBSTITUTE(P104,""Sell_"",""""))-COUNTIF(P$4:P103,P104)&lt;1,1),FALSE)))))))))"),FALSE)</f>
        <v>0</v>
      </c>
      <c r="R104" s="71">
        <f>IFERROR(__xludf.DUMMYFUNCTION("IF(REGEXMATCH(P104,""^Sell_""),R103, IF(COUNTA(P104:P147)=0,"""",(COUNTIF(P$4:P104,""Cursor"")-COUNTIF(P$4:P104,""Sell_Cursor""))*(0.1*2^SWITCH(COUNTIF(P$4:P104,""Cursor_up""),0,0,1,1,2,2,3)+SWITCH(COUNTIF(P$4:P104,""Cursor_up""),4,0.1,0)*(ROW(P104)-4-COU"&amp;"NTIF(P$4:P104,""Cursor"")-COUNTIF(P$4:P104,""*""&amp;""_up"")-2*COUNTIF(P$4:P104,""Sell_""&amp;""*"")+COUNTIF(P$4:P104,""Sell_Cursor"")-COUNTIF(P$4:P104,"""")))+(COUNTIF(P$4:P104,""Grandma"")-COUNTIF(P$4:P104,""Sell_Grandma""))*(1*2^(COUNTIF(P$4:P104,""Grandma_up"&amp;""")+COUNTIF(P$4:P104,""Super_up"")))+(COUNTIF(P$4:P104,""Farm"")-COUNTIF(P$4:P104,""Sell_Farm""))*(8*2^COUNTIF(P$4:P104,""Farm_up""))*IF(COUNTIF(P$4:P104,""Super_up"")&gt;0,1+0.01*(COUNTIF(P$4:P104,""Grandma"")-COUNTIF(P$4:P104,""Sell_Grandma"")),1)+(COUNTIF"&amp;"(P$4:P104,""Mine"")-COUNTIF(P$4:P104,""Sell_Mine""))*((47*2^COUNTIF(P$4:P104,""Mine_up""))*IF(COUNTIF(P$4:P104,""Super_up"")&gt;1,1+0.005*(COUNTIF(P$4:P104,""Grandma"")-COUNTIF(P$4:P104,""Sell_Grandma"")),1))+(COUNTIF(P$4:P104,""Factory"")-COUNTIF(P$4:P104,"&amp;"""Sell_Factory""))*(260*2^COUNTIF(P$4:P104,""Factory_up""))))"),2403.6800000000003)</f>
        <v>2403.68</v>
      </c>
      <c r="S104" s="73">
        <f>IFERROR(__xludf.DUMMYFUNCTION("IF(COUNTA(P104:P147)=0,"""",IF(REGEXMATCH(INDEX(FILTER(P$4:P104,P$4:P104&lt;&gt;""""),ROWS(FILTER(P$4:P104,P$4:P104&lt;&gt;""""))),""^Sell_""),INDEX(FILTER(S$4:S103,P$4:P103&lt;&gt;""""),ROWS(FILTER(P$4:P103,P$4:P103&lt;&gt;""""))),$AD$5*(2^SWITCH(COUNTIF(P$4:P104,""Cursor_up"")"&amp;",0,0,1,1,2,2,3)+SWITCH(COUNTIF(P$4:P104,""Cursor_up""),4,0.1,0)*(ROW(P104)-4-COUNTIF(P$4:P104,""Cursor"")-COUNTIF(P$4:P104,""*""&amp;""_up"")-2*COUNTIF(P$4:P104,""Sell_""&amp;""*"")+COUNTIF(P$4:P104,""Sell_Cursor"")-COUNTIF(P$4:P104,""""))+0.01*R104*COUNTIF(P$4:P"&amp;"104,""Plastic_up""))+R104))"),2724.0480000000002)</f>
        <v>2724.048</v>
      </c>
      <c r="T104" s="14">
        <f>IFERROR(__xludf.DUMMYFUNCTION("IF(COUNTA(P104:P147)=0,"""",IF(REGEXMATCH(P104,""_up""),VLOOKUP(P104,Upgrades!$F$3:$J$8,1+COUNTIF(P$4:P104,P104),FALSE),IF(P104="""",0,IF(REGEXMATCH(P104,""^Sell_""),-ROUNDDOWN(ROUNDUP(INDEX(Upgrades!$C$3:$C$8,MATCH(SUBSTITUTE(P104,""Sell_"",""""),Upgrade"&amp;"s!$B$3:$B$8,0))*1.15^(COUNTIF(P$4:P103,SUBSTITUTE(P104,""Sell_"",""""))-COUNTIF(P$4:P103,""Sell_""&amp;SUBSTITUTE(P104,""Sell_"",""""))))/4),ROUNDUP(INDEX(Upgrades!$C$3:$C$7,MATCH(P104,Upgrades!$B$3:$B$7,0))*1.15^(COUNTIF(P$4:P103,P104)-COUNTIF(P$4:P103,""Sel"&amp;"l_""&amp;P104)))))))"),42215.0)</f>
        <v>42215</v>
      </c>
      <c r="U104" s="14">
        <f t="shared" si="10"/>
        <v>42215</v>
      </c>
      <c r="V104" s="75">
        <f t="shared" si="11"/>
        <v>6230006.202</v>
      </c>
      <c r="W104" s="76">
        <f t="shared" si="12"/>
        <v>1120.282746</v>
      </c>
      <c r="X104" s="71" t="str">
        <f t="shared" si="13"/>
        <v>18m 40s</v>
      </c>
      <c r="Y104" s="77">
        <f t="shared" si="14"/>
        <v>811277</v>
      </c>
      <c r="Z104" s="17"/>
      <c r="AA104" s="13"/>
      <c r="AB104" s="13"/>
      <c r="AC104" s="13"/>
      <c r="AD104" s="13"/>
      <c r="AE104" s="13"/>
      <c r="AF104" s="13"/>
      <c r="AG104" s="13"/>
    </row>
    <row r="105">
      <c r="A105" s="12"/>
      <c r="B105" s="65">
        <f t="shared" si="2"/>
        <v>22</v>
      </c>
      <c r="C105" s="69" t="s">
        <v>16</v>
      </c>
      <c r="D105" s="14" t="b">
        <f>IFERROR(__xludf.DUMMYFUNCTION("IF(COUNTA(C105:C147)=0,"""",IFERROR(IF(ISBLANK(C105),FALSE,IF(ISBLANK(G105),1,IF(NOT(COUNTIF($AA$24:$AA$34,SUBSTITUTE(C105,""Sell_"",""""))),1,IF(C105=""Plastic_up"",IF(I105&lt;1000,1),IF(C105=""Super_Up"",IF(OR(COUNTIF(C$4:C105,""Grandma"")-COUNTIF(C$4:C105"&amp;",""Sell_Grandma"")&lt;1,COUNTIF(C$4:C105,VLOOKUP(C105,Upgrades!$F$8:$N$8,7+COUNTIF(C$4:C105,C105)))-COUNTIF(C$4:C105,""Sell_""&amp;VLOOKUP(C105,Upgrades!$F$8:$N$8,7+COUNTIF(C$4:C105,C105)))&lt;15),1),IF(REGEXMATCH(C105,""_up""),IF(COUNTIF(C$4:C105,SUBSTITUTE(C105,"&amp;"""_up"",""""))&lt;IFERROR(VLOOKUP(C105,Upgrades!$L$3:$P$6,1+COUNTIF(C$4:C105,C105),0),999),1),IF(REGEXMATCH(C105,""Sell_""),IF(COUNTIF(C$4:C105,SUBSTITUTE(C105,""Sell_"",""""))-COUNTIF(C$4:C104,C105)&lt;1,1),FALSE)))))))))"),FALSE)</f>
        <v>0</v>
      </c>
      <c r="E105" s="71">
        <f>IFERROR(__xludf.DUMMYFUNCTION("IF(REGEXMATCH(C105,""^Sell_""),E104, IF(COUNTA(C105:C147)=0,"""",(COUNTIF(C$4:C105,""Cursor"")-COUNTIF(C$4:C105,""Sell_Cursor""))*(0.1*2^SWITCH(COUNTIF(C$4:C105,""Cursor_up""),0,0,1,1,2,2,3)+SWITCH(COUNTIF(C$4:C105,""Cursor_up""),4,0.1,0)*(ROW(C105)-4-COU"&amp;"NTIF(C$4:C105,""Cursor"")-COUNTIF(C$4:C105,""*""&amp;""_up"")-2*COUNTIF(C$4:C105,""Sell_""&amp;""*"")+COUNTIF(C$4:C105,""Sell_Cursor"")-COUNTIF(C$4:C105,"""")))+(COUNTIF(C$4:C105,""Grandma"")-COUNTIF(C$4:C105,""Sell_Grandma""))*(1*2^(COUNTIF(C$4:C105,""Grandma_up"&amp;""")+COUNTIF(C$4:C105,""Super_up"")))+(COUNTIF(C$4:C105,""Farm"")-COUNTIF(C$4:C105,""Sell_Farm""))*(8*2^COUNTIF(C$4:C105,""Farm_up""))*IF(COUNTIF(C$4:C105,""Super_up"")&gt;0,1+0.01*(COUNTIF(C$4:C105,""Grandma"")-COUNTIF(C$4:C105,""Sell_Grandma"")),1)+(COUNTIF"&amp;"(C$4:C105,""Mine"")-COUNTIF(C$4:C105,""Sell_Mine""))*((47*2^COUNTIF(C$4:C105,""Mine_up""))*IF(COUNTIF(C$4:C105,""Super_up"")&gt;1,1+0.005*(COUNTIF(C$4:C105,""Grandma"")-COUNTIF(C$4:C105,""Sell_Grandma"")),1))+(COUNTIF(C$4:C105,""Factory"")-COUNTIF(C$4:C105,"&amp;"""Sell_Factory""))*(260*2^COUNTIF(C$4:C105,""Factory_up""))))"),2446.56)</f>
        <v>2446.56</v>
      </c>
      <c r="F105" s="73">
        <f>IFERROR(__xludf.DUMMYFUNCTION("IF(COUNTA(C105:C147)=0,"""",IF(REGEXMATCH(INDEX(FILTER(C$4:C105,C$4:C105&lt;&gt;""""),ROWS(FILTER(C$4:C105,C$4:C105&lt;&gt;""""))),""^Sell_""),INDEX(FILTER(F$4:F104,C$4:C104&lt;&gt;""""),ROWS(FILTER(C$4:C104,C$4:C104&lt;&gt;""""))),$AC$5*(2^SWITCH(COUNTIF(C$4:C105,""Cursor_up"")"&amp;",0,0,1,1,2,2,3)+SWITCH(COUNTIF(C$4:C105,""Cursor_up""),4,0.1,0)*(ROW(C105)-4-COUNTIF(C$4:C105,""Cursor"")-COUNTIF(C$4:C105,""*""&amp;""_up"")-2*COUNTIF(C$4:C105,""Sell_""&amp;""*"")+COUNTIF(C$4:C105,""Sell_Cursor"")-COUNTIF(C$4:C105,""""))+0.01*E105*COUNTIF(C$4:C"&amp;"105,""Plastic_up""))+E105))"),2771.216)</f>
        <v>2771.216</v>
      </c>
      <c r="G105" s="14">
        <f>IFERROR(__xludf.DUMMYFUNCTION("IF(COUNTA(C105:C147)=0,"""",IF(REGEXMATCH(C105,""_up""),VLOOKUP(C105,Upgrades!$F$3:$J$8,1+COUNTIF(C$4:C105,C105),FALSE),IF(C105="""",0,IF(REGEXMATCH(C105,""^Sell_""),-ROUNDDOWN(ROUNDUP(INDEX(Upgrades!$C$3:$C$8,MATCH(SUBSTITUTE(C105,""Sell_"",""""),Upgrade"&amp;"s!$B$3:$B$8,0))*1.15^(COUNTIF(C$4:C104,SUBSTITUTE(C105,""Sell_"",""""))-COUNTIF(C$4:C104,""Sell_""&amp;SUBSTITUTE(C105,""Sell_"",""""))))/4),ROUNDUP(INDEX(Upgrades!$C$3:$C$7,MATCH(C105,Upgrades!$B$3:$B$7,0))*1.15^(COUNTIF(C$4:C104,C105)-COUNTIF(C$4:C104,""Sel"&amp;"l_""&amp;C105)))))))"),20704.0)</f>
        <v>20704</v>
      </c>
      <c r="H105" s="14">
        <f t="shared" si="3"/>
        <v>20704</v>
      </c>
      <c r="I105" s="75">
        <f t="shared" si="4"/>
        <v>6683201.526</v>
      </c>
      <c r="J105" s="76">
        <f t="shared" si="5"/>
        <v>1128.931436</v>
      </c>
      <c r="K105" s="71" t="str">
        <f t="shared" si="6"/>
        <v>18m 48s</v>
      </c>
      <c r="L105" s="77">
        <f t="shared" si="7"/>
        <v>831981</v>
      </c>
      <c r="M105" s="51">
        <f t="shared" si="8"/>
        <v>-1.04823</v>
      </c>
      <c r="N105" s="52">
        <f>IFERROR(__xludf.DUMMYFUNCTION("IFS(AND(COUNTA(C105:C147)=0,COUNTA(P105:P147)=0),"""",OR(AND(L105&gt;=1000000,OR(Y105&gt;=1000000,COUNTA(P105:P147)=0)),AND(Y105&gt;=1000000,COUNTA(C105:C147)=0),AND(COUNTA(P105:P147)=0,O$3=TRUE)),
ROUNDDOWN((AB$1-AC$1)*MAX(INDEX(S$4:S147,MATCH(LARGE(FILTER(Y$4:Y1"&amp;"47,Y$4:Y147&lt;1000000),1),Y$4:Y147)),INDEX(F$4:F147,MATCH(LARGE(FILTER(L$4:L147,L$4:L147&lt;1000000),1),L$4:L147)))),AND(L105&lt;1000000,COUNTA(C105:C147)&gt;0,O$3=FALSE),
ROUNDDOWN(INDEX(Y$4:Y147,MATCH(LARGE(FILTER(W$4:W147,W$4:W147&lt;=J105),1),W$4:W147))+(J105-LARGE"&amp;"(FILTER(W$4:W147,W$4:W147&lt;=J105),1))*INDEX(S$4:S147,MATCH(LARGE(FILTER(W$4:W147,W$4:W147&lt;=J105),1),W$4:W147))-L105),1,
ROUNDDOWN(Y105-INDEX(L$4:L147,MATCH(LARGE(FILTER(J$4:J147,J$4:J147&lt;=W105),1),J$4:J147))-(W105-LARGE(FILTER(J$4:J147,J$4:J147&lt;=W105),1))*"&amp;"INDEX(F$4:F147,MATCH(LARGE(FILTER(J$4:J147,J$4:J147&lt;=W105),1),J$4:J147))))"),2855.0)</f>
        <v>2855</v>
      </c>
      <c r="O105" s="65">
        <f t="shared" si="9"/>
        <v>22</v>
      </c>
      <c r="P105" s="69" t="s">
        <v>16</v>
      </c>
      <c r="Q105" s="14" t="b">
        <f>IFERROR(__xludf.DUMMYFUNCTION("IF(COUNTA(P105:P147)=0,"""",IFERROR(IF(ISBLANK(P105),FALSE,IF(ISBLANK(T105),1,IF(NOT(COUNTIF($AA$24:$AA$34,SUBSTITUTE(P105,""Sell_"",""""))),1,IF(P105=""Plastic_up"",IF(V105&lt;1000,1),IF(P105=""Super_Up"",IF(OR(COUNTIF(P$4:P105,""Grandma"")-COUNTIF(P$4:P105"&amp;",""Sell_Grandma"")&lt;1,COUNTIF(P$4:P105,VLOOKUP(P105,Upgrades!$F$8:$N$8,7+COUNTIF(P$4:P105,P105)))-COUNTIF(P$4:P105,""Sell_""&amp;VLOOKUP(P105,Upgrades!$F$8:$N$8,7+COUNTIF(P$4:P105,P105)))&lt;15),1),IF(REGEXMATCH(P105,""_up""),IF(COUNTIF(P$4:P105,SUBSTITUTE(P105,"&amp;"""_up"",""""))&lt;IFERROR(VLOOKUP(P105,Upgrades!$L$3:$P$6,1+COUNTIF(P$4:P105,P105),0),999),1),IF(REGEXMATCH(P105,""Sell_""),IF(COUNTIF(P$4:P105,SUBSTITUTE(P105,""Sell_"",""""))-COUNTIF(P$4:P104,P105)&lt;1,1),FALSE)))))))))"),FALSE)</f>
        <v>0</v>
      </c>
      <c r="R105" s="71">
        <f>IFERROR(__xludf.DUMMYFUNCTION("IF(REGEXMATCH(P105,""^Sell_""),R104, IF(COUNTA(P105:P147)=0,"""",(COUNTIF(P$4:P105,""Cursor"")-COUNTIF(P$4:P105,""Sell_Cursor""))*(0.1*2^SWITCH(COUNTIF(P$4:P105,""Cursor_up""),0,0,1,1,2,2,3)+SWITCH(COUNTIF(P$4:P105,""Cursor_up""),4,0.1,0)*(ROW(P105)-4-COU"&amp;"NTIF(P$4:P105,""Cursor"")-COUNTIF(P$4:P105,""*""&amp;""_up"")-2*COUNTIF(P$4:P105,""Sell_""&amp;""*"")+COUNTIF(P$4:P105,""Sell_Cursor"")-COUNTIF(P$4:P105,"""")))+(COUNTIF(P$4:P105,""Grandma"")-COUNTIF(P$4:P105,""Sell_Grandma""))*(1*2^(COUNTIF(P$4:P105,""Grandma_up"&amp;""")+COUNTIF(P$4:P105,""Super_up"")))+(COUNTIF(P$4:P105,""Farm"")-COUNTIF(P$4:P105,""Sell_Farm""))*(8*2^COUNTIF(P$4:P105,""Farm_up""))*IF(COUNTIF(P$4:P105,""Super_up"")&gt;0,1+0.01*(COUNTIF(P$4:P105,""Grandma"")-COUNTIF(P$4:P105,""Sell_Grandma"")),1)+(COUNTIF"&amp;"(P$4:P105,""Mine"")-COUNTIF(P$4:P105,""Sell_Mine""))*((47*2^COUNTIF(P$4:P105,""Mine_up""))*IF(COUNTIF(P$4:P105,""Super_up"")&gt;1,1+0.005*(COUNTIF(P$4:P105,""Grandma"")-COUNTIF(P$4:P105,""Sell_Grandma"")),1))+(COUNTIF(P$4:P105,""Factory"")-COUNTIF(P$4:P105,"&amp;"""Sell_Factory""))*(260*2^COUNTIF(P$4:P105,""Factory_up""))))"),2446.56)</f>
        <v>2446.56</v>
      </c>
      <c r="S105" s="73">
        <f>IFERROR(__xludf.DUMMYFUNCTION("IF(COUNTA(P105:P147)=0,"""",IF(REGEXMATCH(INDEX(FILTER(P$4:P105,P$4:P105&lt;&gt;""""),ROWS(FILTER(P$4:P105,P$4:P105&lt;&gt;""""))),""^Sell_""),INDEX(FILTER(S$4:S104,P$4:P104&lt;&gt;""""),ROWS(FILTER(P$4:P104,P$4:P104&lt;&gt;""""))),$AD$5*(2^SWITCH(COUNTIF(P$4:P105,""Cursor_up"")"&amp;",0,0,1,1,2,2,3)+SWITCH(COUNTIF(P$4:P105,""Cursor_up""),4,0.1,0)*(ROW(P105)-4-COUNTIF(P$4:P105,""Cursor"")-COUNTIF(P$4:P105,""*""&amp;""_up"")-2*COUNTIF(P$4:P105,""Sell_""&amp;""*"")+COUNTIF(P$4:P105,""Sell_Cursor"")-COUNTIF(P$4:P105,""""))+0.01*R105*COUNTIF(P$4:P"&amp;"105,""Plastic_up""))+R105))"),2771.216)</f>
        <v>2771.216</v>
      </c>
      <c r="T105" s="14">
        <f>IFERROR(__xludf.DUMMYFUNCTION("IF(COUNTA(P105:P147)=0,"""",IF(REGEXMATCH(P105,""_up""),VLOOKUP(P105,Upgrades!$F$3:$J$8,1+COUNTIF(P$4:P105,P105),FALSE),IF(P105="""",0,IF(REGEXMATCH(P105,""^Sell_""),-ROUNDDOWN(ROUNDUP(INDEX(Upgrades!$C$3:$C$8,MATCH(SUBSTITUTE(P105,""Sell_"",""""),Upgrade"&amp;"s!$B$3:$B$8,0))*1.15^(COUNTIF(P$4:P104,SUBSTITUTE(P105,""Sell_"",""""))-COUNTIF(P$4:P104,""Sell_""&amp;SUBSTITUTE(P105,""Sell_"",""""))))/4),ROUNDUP(INDEX(Upgrades!$C$3:$C$7,MATCH(P105,Upgrades!$B$3:$B$7,0))*1.15^(COUNTIF(P$4:P104,P105)-COUNTIF(P$4:P104,""Sel"&amp;"l_""&amp;P105)))))))"),20704.0)</f>
        <v>20704</v>
      </c>
      <c r="U105" s="14">
        <f t="shared" si="10"/>
        <v>20704</v>
      </c>
      <c r="V105" s="75">
        <f t="shared" si="11"/>
        <v>6591343.887</v>
      </c>
      <c r="W105" s="76">
        <f t="shared" si="12"/>
        <v>1127.883199</v>
      </c>
      <c r="X105" s="71" t="str">
        <f t="shared" si="13"/>
        <v>18m 47s</v>
      </c>
      <c r="Y105" s="77">
        <f t="shared" si="14"/>
        <v>831981</v>
      </c>
      <c r="Z105" s="17"/>
      <c r="AA105" s="13"/>
      <c r="AB105" s="13"/>
      <c r="AC105" s="13"/>
      <c r="AD105" s="13"/>
      <c r="AE105" s="13"/>
      <c r="AF105" s="13"/>
      <c r="AG105" s="13"/>
    </row>
    <row r="106">
      <c r="A106" s="12"/>
      <c r="B106" s="65">
        <f t="shared" si="2"/>
        <v>25</v>
      </c>
      <c r="C106" s="69" t="s">
        <v>10</v>
      </c>
      <c r="D106" s="14" t="b">
        <f>IFERROR(__xludf.DUMMYFUNCTION("IF(COUNTA(C106:C147)=0,"""",IFERROR(IF(ISBLANK(C106),FALSE,IF(ISBLANK(G106),1,IF(NOT(COUNTIF($AA$24:$AA$34,SUBSTITUTE(C106,""Sell_"",""""))),1,IF(C106=""Plastic_up"",IF(I106&lt;1000,1),IF(C106=""Super_Up"",IF(OR(COUNTIF(C$4:C106,""Grandma"")-COUNTIF(C$4:C106"&amp;",""Sell_Grandma"")&lt;1,COUNTIF(C$4:C106,VLOOKUP(C106,Upgrades!$F$8:$N$8,7+COUNTIF(C$4:C106,C106)))-COUNTIF(C$4:C106,""Sell_""&amp;VLOOKUP(C106,Upgrades!$F$8:$N$8,7+COUNTIF(C$4:C106,C106)))&lt;15),1),IF(REGEXMATCH(C106,""_up""),IF(COUNTIF(C$4:C106,SUBSTITUTE(C106,"&amp;"""_up"",""""))&lt;IFERROR(VLOOKUP(C106,Upgrades!$L$3:$P$6,1+COUNTIF(C$4:C106,C106),0),999),1),IF(REGEXMATCH(C106,""Sell_""),IF(COUNTIF(C$4:C106,SUBSTITUTE(C106,""Sell_"",""""))-COUNTIF(C$4:C105,C106)&lt;1,1),FALSE)))))))))"),FALSE)</f>
        <v>0</v>
      </c>
      <c r="E106" s="71">
        <f>IFERROR(__xludf.DUMMYFUNCTION("IF(REGEXMATCH(C106,""^Sell_""),E105, IF(COUNTA(C106:C147)=0,"""",(COUNTIF(C$4:C106,""Cursor"")-COUNTIF(C$4:C106,""Sell_Cursor""))*(0.1*2^SWITCH(COUNTIF(C$4:C106,""Cursor_up""),0,0,1,1,2,2,3)+SWITCH(COUNTIF(C$4:C106,""Cursor_up""),4,0.1,0)*(ROW(C106)-4-COU"&amp;"NTIF(C$4:C106,""Cursor"")-COUNTIF(C$4:C106,""*""&amp;""_up"")-2*COUNTIF(C$4:C106,""Sell_""&amp;""*"")+COUNTIF(C$4:C106,""Sell_Cursor"")-COUNTIF(C$4:C106,"""")))+(COUNTIF(C$4:C106,""Grandma"")-COUNTIF(C$4:C106,""Sell_Grandma""))*(1*2^(COUNTIF(C$4:C106,""Grandma_up"&amp;""")+COUNTIF(C$4:C106,""Super_up"")))+(COUNTIF(C$4:C106,""Farm"")-COUNTIF(C$4:C106,""Sell_Farm""))*(8*2^COUNTIF(C$4:C106,""Farm_up""))*IF(COUNTIF(C$4:C106,""Super_up"")&gt;0,1+0.01*(COUNTIF(C$4:C106,""Grandma"")-COUNTIF(C$4:C106,""Sell_Grandma"")),1)+(COUNTIF"&amp;"(C$4:C106,""Mine"")-COUNTIF(C$4:C106,""Sell_Mine""))*((47*2^COUNTIF(C$4:C106,""Mine_up""))*IF(COUNTIF(C$4:C106,""Super_up"")&gt;1,1+0.005*(COUNTIF(C$4:C106,""Grandma"")-COUNTIF(C$4:C106,""Sell_Grandma"")),1))+(COUNTIF(C$4:C106,""Factory"")-COUNTIF(C$4:C106,"&amp;"""Sell_Factory""))*(260*2^COUNTIF(C$4:C106,""Factory_up""))))"),2447.36)</f>
        <v>2447.36</v>
      </c>
      <c r="F106" s="73">
        <f>IFERROR(__xludf.DUMMYFUNCTION("IF(COUNTA(C106:C147)=0,"""",IF(REGEXMATCH(INDEX(FILTER(C$4:C106,C$4:C106&lt;&gt;""""),ROWS(FILTER(C$4:C106,C$4:C106&lt;&gt;""""))),""^Sell_""),INDEX(FILTER(F$4:F105,C$4:C105&lt;&gt;""""),ROWS(FILTER(C$4:C105,C$4:C105&lt;&gt;""""))),$AC$5*(2^SWITCH(COUNTIF(C$4:C106,""Cursor_up"")"&amp;",0,0,1,1,2,2,3)+SWITCH(COUNTIF(C$4:C106,""Cursor_up""),4,0.1,0)*(ROW(C106)-4-COUNTIF(C$4:C106,""Cursor"")-COUNTIF(C$4:C106,""*""&amp;""_up"")-2*COUNTIF(C$4:C106,""Sell_""&amp;""*"")+COUNTIF(C$4:C106,""Sell_Cursor"")-COUNTIF(C$4:C106,""""))+0.01*E106*COUNTIF(C$4:C"&amp;"106,""Plastic_up""))+E106))"),2772.096)</f>
        <v>2772.096</v>
      </c>
      <c r="G106" s="14">
        <f>IFERROR(__xludf.DUMMYFUNCTION("IF(COUNTA(C106:C147)=0,"""",IF(REGEXMATCH(C106,""_up""),VLOOKUP(C106,Upgrades!$F$3:$J$8,1+COUNTIF(C$4:C106,C106),FALSE),IF(C106="""",0,IF(REGEXMATCH(C106,""^Sell_""),-ROUNDDOWN(ROUNDUP(INDEX(Upgrades!$C$3:$C$8,MATCH(SUBSTITUTE(C106,""Sell_"",""""),Upgrade"&amp;"s!$B$3:$B$8,0))*1.15^(COUNTIF(C$4:C105,SUBSTITUTE(C106,""Sell_"",""""))-COUNTIF(C$4:C105,""Sell_""&amp;SUBSTITUTE(C106,""Sell_"",""""))))/4),ROUNDUP(INDEX(Upgrades!$C$3:$C$7,MATCH(C106,Upgrades!$B$3:$B$7,0))*1.15^(COUNTIF(C$4:C105,C106)-COUNTIF(C$4:C105,""Sel"&amp;"l_""&amp;C106)))))))"),430.0)</f>
        <v>430</v>
      </c>
      <c r="H106" s="14">
        <f t="shared" si="3"/>
        <v>430</v>
      </c>
      <c r="I106" s="75">
        <f t="shared" si="4"/>
        <v>7049766.266</v>
      </c>
      <c r="J106" s="76">
        <f t="shared" si="5"/>
        <v>1129.086602</v>
      </c>
      <c r="K106" s="71" t="str">
        <f t="shared" si="6"/>
        <v>18m 49s</v>
      </c>
      <c r="L106" s="77">
        <f t="shared" si="7"/>
        <v>832411</v>
      </c>
      <c r="M106" s="51">
        <f t="shared" si="8"/>
        <v>-1.04823</v>
      </c>
      <c r="N106" s="52">
        <f>IFERROR(__xludf.DUMMYFUNCTION("IFS(AND(COUNTA(C106:C147)=0,COUNTA(P106:P147)=0),"""",OR(AND(L106&gt;=1000000,OR(Y106&gt;=1000000,COUNTA(P106:P147)=0)),AND(Y106&gt;=1000000,COUNTA(C106:C147)=0),AND(COUNTA(P106:P147)=0,O$3=TRUE)),
ROUNDDOWN((AB$1-AC$1)*MAX(INDEX(S$4:S147,MATCH(LARGE(FILTER(Y$4:Y1"&amp;"47,Y$4:Y147&lt;1000000),1),Y$4:Y147)),INDEX(F$4:F147,MATCH(LARGE(FILTER(L$4:L147,L$4:L147&lt;1000000),1),L$4:L147)))),AND(L106&lt;1000000,COUNTA(C106:C147)&gt;0,O$3=FALSE),
ROUNDDOWN(INDEX(Y$4:Y147,MATCH(LARGE(FILTER(W$4:W147,W$4:W147&lt;=J106),1),W$4:W147))+(J106-LARGE"&amp;"(FILTER(W$4:W147,W$4:W147&lt;=J106),1))*INDEX(S$4:S147,MATCH(LARGE(FILTER(W$4:W147,W$4:W147&lt;=J106),1),W$4:W147))-L106),1,
ROUNDDOWN(Y106-INDEX(L$4:L147,MATCH(LARGE(FILTER(J$4:J147,J$4:J147&lt;=W106),1),J$4:J147))-(W106-LARGE(FILTER(J$4:J147,J$4:J147&lt;=W106),1))*"&amp;"INDEX(F$4:F147,MATCH(LARGE(FILTER(J$4:J147,J$4:J147&lt;=W106),1),J$4:J147))))"),2862.0)</f>
        <v>2862</v>
      </c>
      <c r="O106" s="65">
        <f t="shared" si="9"/>
        <v>25</v>
      </c>
      <c r="P106" s="69" t="s">
        <v>10</v>
      </c>
      <c r="Q106" s="14" t="b">
        <f>IFERROR(__xludf.DUMMYFUNCTION("IF(COUNTA(P106:P147)=0,"""",IFERROR(IF(ISBLANK(P106),FALSE,IF(ISBLANK(T106),1,IF(NOT(COUNTIF($AA$24:$AA$34,SUBSTITUTE(P106,""Sell_"",""""))),1,IF(P106=""Plastic_up"",IF(V106&lt;1000,1),IF(P106=""Super_Up"",IF(OR(COUNTIF(P$4:P106,""Grandma"")-COUNTIF(P$4:P106"&amp;",""Sell_Grandma"")&lt;1,COUNTIF(P$4:P106,VLOOKUP(P106,Upgrades!$F$8:$N$8,7+COUNTIF(P$4:P106,P106)))-COUNTIF(P$4:P106,""Sell_""&amp;VLOOKUP(P106,Upgrades!$F$8:$N$8,7+COUNTIF(P$4:P106,P106)))&lt;15),1),IF(REGEXMATCH(P106,""_up""),IF(COUNTIF(P$4:P106,SUBSTITUTE(P106,"&amp;"""_up"",""""))&lt;IFERROR(VLOOKUP(P106,Upgrades!$L$3:$P$6,1+COUNTIF(P$4:P106,P106),0),999),1),IF(REGEXMATCH(P106,""Sell_""),IF(COUNTIF(P$4:P106,SUBSTITUTE(P106,""Sell_"",""""))-COUNTIF(P$4:P105,P106)&lt;1,1),FALSE)))))))))"),FALSE)</f>
        <v>0</v>
      </c>
      <c r="R106" s="71">
        <f>IFERROR(__xludf.DUMMYFUNCTION("IF(REGEXMATCH(P106,""^Sell_""),R105, IF(COUNTA(P106:P147)=0,"""",(COUNTIF(P$4:P106,""Cursor"")-COUNTIF(P$4:P106,""Sell_Cursor""))*(0.1*2^SWITCH(COUNTIF(P$4:P106,""Cursor_up""),0,0,1,1,2,2,3)+SWITCH(COUNTIF(P$4:P106,""Cursor_up""),4,0.1,0)*(ROW(P106)-4-COU"&amp;"NTIF(P$4:P106,""Cursor"")-COUNTIF(P$4:P106,""*""&amp;""_up"")-2*COUNTIF(P$4:P106,""Sell_""&amp;""*"")+COUNTIF(P$4:P106,""Sell_Cursor"")-COUNTIF(P$4:P106,"""")))+(COUNTIF(P$4:P106,""Grandma"")-COUNTIF(P$4:P106,""Sell_Grandma""))*(1*2^(COUNTIF(P$4:P106,""Grandma_up"&amp;""")+COUNTIF(P$4:P106,""Super_up"")))+(COUNTIF(P$4:P106,""Farm"")-COUNTIF(P$4:P106,""Sell_Farm""))*(8*2^COUNTIF(P$4:P106,""Farm_up""))*IF(COUNTIF(P$4:P106,""Super_up"")&gt;0,1+0.01*(COUNTIF(P$4:P106,""Grandma"")-COUNTIF(P$4:P106,""Sell_Grandma"")),1)+(COUNTIF"&amp;"(P$4:P106,""Mine"")-COUNTIF(P$4:P106,""Sell_Mine""))*((47*2^COUNTIF(P$4:P106,""Mine_up""))*IF(COUNTIF(P$4:P106,""Super_up"")&gt;1,1+0.005*(COUNTIF(P$4:P106,""Grandma"")-COUNTIF(P$4:P106,""Sell_Grandma"")),1))+(COUNTIF(P$4:P106,""Factory"")-COUNTIF(P$4:P106,"&amp;"""Sell_Factory""))*(260*2^COUNTIF(P$4:P106,""Factory_up""))))"),2447.36)</f>
        <v>2447.36</v>
      </c>
      <c r="S106" s="73">
        <f>IFERROR(__xludf.DUMMYFUNCTION("IF(COUNTA(P106:P147)=0,"""",IF(REGEXMATCH(INDEX(FILTER(P$4:P106,P$4:P106&lt;&gt;""""),ROWS(FILTER(P$4:P106,P$4:P106&lt;&gt;""""))),""^Sell_""),INDEX(FILTER(S$4:S105,P$4:P105&lt;&gt;""""),ROWS(FILTER(P$4:P105,P$4:P105&lt;&gt;""""))),$AD$5*(2^SWITCH(COUNTIF(P$4:P106,""Cursor_up"")"&amp;",0,0,1,1,2,2,3)+SWITCH(COUNTIF(P$4:P106,""Cursor_up""),4,0.1,0)*(ROW(P106)-4-COUNTIF(P$4:P106,""Cursor"")-COUNTIF(P$4:P106,""*""&amp;""_up"")-2*COUNTIF(P$4:P106,""Sell_""&amp;""*"")+COUNTIF(P$4:P106,""Sell_Cursor"")-COUNTIF(P$4:P106,""""))+0.01*R106*COUNTIF(P$4:P"&amp;"106,""Plastic_up""))+R106))"),2772.096)</f>
        <v>2772.096</v>
      </c>
      <c r="T106" s="14">
        <f>IFERROR(__xludf.DUMMYFUNCTION("IF(COUNTA(P106:P147)=0,"""",IF(REGEXMATCH(P106,""_up""),VLOOKUP(P106,Upgrades!$F$3:$J$8,1+COUNTIF(P$4:P106,P106),FALSE),IF(P106="""",0,IF(REGEXMATCH(P106,""^Sell_""),-ROUNDDOWN(ROUNDUP(INDEX(Upgrades!$C$3:$C$8,MATCH(SUBSTITUTE(P106,""Sell_"",""""),Upgrade"&amp;"s!$B$3:$B$8,0))*1.15^(COUNTIF(P$4:P105,SUBSTITUTE(P106,""Sell_"",""""))-COUNTIF(P$4:P105,""Sell_""&amp;SUBSTITUTE(P106,""Sell_"",""""))))/4),ROUNDUP(INDEX(Upgrades!$C$3:$C$7,MATCH(P106,Upgrades!$B$3:$B$7,0))*1.15^(COUNTIF(P$4:P105,P106)-COUNTIF(P$4:P105,""Sel"&amp;"l_""&amp;P106)))))))"),430.0)</f>
        <v>430</v>
      </c>
      <c r="U106" s="14">
        <f t="shared" si="10"/>
        <v>430</v>
      </c>
      <c r="V106" s="75">
        <f t="shared" si="11"/>
        <v>6957568.311</v>
      </c>
      <c r="W106" s="76">
        <f t="shared" si="12"/>
        <v>1128.038366</v>
      </c>
      <c r="X106" s="71" t="str">
        <f t="shared" si="13"/>
        <v>18m 48s</v>
      </c>
      <c r="Y106" s="77">
        <f t="shared" si="14"/>
        <v>832411</v>
      </c>
      <c r="Z106" s="17"/>
      <c r="AA106" s="13"/>
      <c r="AB106" s="13"/>
      <c r="AC106" s="13"/>
      <c r="AD106" s="13"/>
      <c r="AE106" s="13"/>
      <c r="AF106" s="13"/>
      <c r="AG106" s="13"/>
    </row>
    <row r="107">
      <c r="A107" s="12"/>
      <c r="B107" s="65">
        <f t="shared" si="2"/>
        <v>11</v>
      </c>
      <c r="C107" s="69" t="s">
        <v>18</v>
      </c>
      <c r="D107" s="14" t="b">
        <f>IFERROR(__xludf.DUMMYFUNCTION("IF(COUNTA(C107:C147)=0,"""",IFERROR(IF(ISBLANK(C107),FALSE,IF(ISBLANK(G107),1,IF(NOT(COUNTIF($AA$24:$AA$34,SUBSTITUTE(C107,""Sell_"",""""))),1,IF(C107=""Plastic_up"",IF(I107&lt;1000,1),IF(C107=""Super_Up"",IF(OR(COUNTIF(C$4:C107,""Grandma"")-COUNTIF(C$4:C107"&amp;",""Sell_Grandma"")&lt;1,COUNTIF(C$4:C107,VLOOKUP(C107,Upgrades!$F$8:$N$8,7+COUNTIF(C$4:C107,C107)))-COUNTIF(C$4:C107,""Sell_""&amp;VLOOKUP(C107,Upgrades!$F$8:$N$8,7+COUNTIF(C$4:C107,C107)))&lt;15),1),IF(REGEXMATCH(C107,""_up""),IF(COUNTIF(C$4:C107,SUBSTITUTE(C107,"&amp;"""_up"",""""))&lt;IFERROR(VLOOKUP(C107,Upgrades!$L$3:$P$6,1+COUNTIF(C$4:C107,C107),0),999),1),IF(REGEXMATCH(C107,""Sell_""),IF(COUNTIF(C$4:C107,SUBSTITUTE(C107,""Sell_"",""""))-COUNTIF(C$4:C106,C107)&lt;1,1),FALSE)))))))))"),FALSE)</f>
        <v>0</v>
      </c>
      <c r="E107" s="71">
        <f>IFERROR(__xludf.DUMMYFUNCTION("IF(REGEXMATCH(C107,""^Sell_""),E106, IF(COUNTA(C107:C147)=0,"""",(COUNTIF(C$4:C107,""Cursor"")-COUNTIF(C$4:C107,""Sell_Cursor""))*(0.1*2^SWITCH(COUNTIF(C$4:C107,""Cursor_up""),0,0,1,1,2,2,3)+SWITCH(COUNTIF(C$4:C107,""Cursor_up""),4,0.1,0)*(ROW(C107)-4-COU"&amp;"NTIF(C$4:C107,""Cursor"")-COUNTIF(C$4:C107,""*""&amp;""_up"")-2*COUNTIF(C$4:C107,""Sell_""&amp;""*"")+COUNTIF(C$4:C107,""Sell_Cursor"")-COUNTIF(C$4:C107,"""")))+(COUNTIF(C$4:C107,""Grandma"")-COUNTIF(C$4:C107,""Sell_Grandma""))*(1*2^(COUNTIF(C$4:C107,""Grandma_up"&amp;""")+COUNTIF(C$4:C107,""Super_up"")))+(COUNTIF(C$4:C107,""Farm"")-COUNTIF(C$4:C107,""Sell_Farm""))*(8*2^COUNTIF(C$4:C107,""Farm_up""))*IF(COUNTIF(C$4:C107,""Super_up"")&gt;0,1+0.01*(COUNTIF(C$4:C107,""Grandma"")-COUNTIF(C$4:C107,""Sell_Grandma"")),1)+(COUNTIF"&amp;"(C$4:C107,""Mine"")-COUNTIF(C$4:C107,""Sell_Mine""))*((47*2^COUNTIF(C$4:C107,""Mine_up""))*IF(COUNTIF(C$4:C107,""Super_up"")&gt;1,1+0.005*(COUNTIF(C$4:C107,""Grandma"")-COUNTIF(C$4:C107,""Sell_Grandma"")),1))+(COUNTIF(C$4:C107,""Factory"")-COUNTIF(C$4:C107,"&amp;"""Sell_Factory""))*(260*2^COUNTIF(C$4:C107,""Factory_up""))))"),2541.36)</f>
        <v>2541.36</v>
      </c>
      <c r="F107" s="73">
        <f>IFERROR(__xludf.DUMMYFUNCTION("IF(COUNTA(C107:C147)=0,"""",IF(REGEXMATCH(INDEX(FILTER(C$4:C107,C$4:C107&lt;&gt;""""),ROWS(FILTER(C$4:C107,C$4:C107&lt;&gt;""""))),""^Sell_""),INDEX(FILTER(F$4:F106,C$4:C106&lt;&gt;""""),ROWS(FILTER(C$4:C106,C$4:C106&lt;&gt;""""))),$AC$5*(2^SWITCH(COUNTIF(C$4:C107,""Cursor_up"")"&amp;",0,0,1,1,2,2,3)+SWITCH(COUNTIF(C$4:C107,""Cursor_up""),4,0.1,0)*(ROW(C107)-4-COUNTIF(C$4:C107,""Cursor"")-COUNTIF(C$4:C107,""*""&amp;""_up"")-2*COUNTIF(C$4:C107,""Sell_""&amp;""*"")+COUNTIF(C$4:C107,""Sell_Cursor"")-COUNTIF(C$4:C107,""""))+0.01*E107*COUNTIF(C$4:C"&amp;"107,""Plastic_up""))+E107))"),2875.496)</f>
        <v>2875.496</v>
      </c>
      <c r="G107" s="14">
        <f>IFERROR(__xludf.DUMMYFUNCTION("IF(COUNTA(C107:C147)=0,"""",IF(REGEXMATCH(C107,""_up""),VLOOKUP(C107,Upgrades!$F$3:$J$8,1+COUNTIF(C$4:C107,C107),FALSE),IF(C107="""",0,IF(REGEXMATCH(C107,""^Sell_""),-ROUNDDOWN(ROUNDUP(INDEX(Upgrades!$C$3:$C$8,MATCH(SUBSTITUTE(C107,""Sell_"",""""),Upgrade"&amp;"s!$B$3:$B$8,0))*1.15^(COUNTIF(C$4:C106,SUBSTITUTE(C107,""Sell_"",""""))-COUNTIF(C$4:C106,""Sell_""&amp;SUBSTITUTE(C107,""Sell_"",""""))))/4),ROUNDUP(INDEX(Upgrades!$C$3:$C$7,MATCH(C107,Upgrades!$B$3:$B$7,0))*1.15^(COUNTIF(C$4:C106,C107)-COUNTIF(C$4:C106,""Sel"&amp;"l_""&amp;C107)))))))"),48547.0)</f>
        <v>48547</v>
      </c>
      <c r="H107" s="14">
        <f t="shared" si="3"/>
        <v>48547</v>
      </c>
      <c r="I107" s="75">
        <f t="shared" si="4"/>
        <v>7422108.351</v>
      </c>
      <c r="J107" s="76">
        <f t="shared" si="5"/>
        <v>1146.599343</v>
      </c>
      <c r="K107" s="71" t="str">
        <f t="shared" si="6"/>
        <v>19m 06s</v>
      </c>
      <c r="L107" s="77">
        <f t="shared" si="7"/>
        <v>880958</v>
      </c>
      <c r="M107" s="51">
        <f t="shared" si="8"/>
        <v>-1.04823</v>
      </c>
      <c r="N107" s="52">
        <f>IFERROR(__xludf.DUMMYFUNCTION("IFS(AND(COUNTA(C107:C147)=0,COUNTA(P107:P147)=0),"""",OR(AND(L107&gt;=1000000,OR(Y107&gt;=1000000,COUNTA(P107:P147)=0)),AND(Y107&gt;=1000000,COUNTA(C107:C147)=0),AND(COUNTA(P107:P147)=0,O$3=TRUE)),
ROUNDDOWN((AB$1-AC$1)*MAX(INDEX(S$4:S147,MATCH(LARGE(FILTER(Y$4:Y1"&amp;"47,Y$4:Y147&lt;1000000),1),Y$4:Y147)),INDEX(F$4:F147,MATCH(LARGE(FILTER(L$4:L147,L$4:L147&lt;1000000),1),L$4:L147)))),AND(L107&lt;1000000,COUNTA(C107:C147)&gt;0,O$3=FALSE),
ROUNDDOWN(INDEX(Y$4:Y147,MATCH(LARGE(FILTER(W$4:W147,W$4:W147&lt;=J107),1),W$4:W147))+(J107-LARGE"&amp;"(FILTER(W$4:W147,W$4:W147&lt;=J107),1))*INDEX(S$4:S147,MATCH(LARGE(FILTER(W$4:W147,W$4:W147&lt;=J107),1),W$4:W147))-L107),1,
ROUNDDOWN(Y107-INDEX(L$4:L147,MATCH(LARGE(FILTER(J$4:J147,J$4:J147&lt;=W107),1),J$4:J147))-(W107-LARGE(FILTER(J$4:J147,J$4:J147&lt;=W107),1))*"&amp;"INDEX(F$4:F147,MATCH(LARGE(FILTER(J$4:J147,J$4:J147&lt;=W107),1),J$4:J147))))"),2905.0)</f>
        <v>2905</v>
      </c>
      <c r="O107" s="65">
        <f t="shared" si="9"/>
        <v>11</v>
      </c>
      <c r="P107" s="69" t="s">
        <v>18</v>
      </c>
      <c r="Q107" s="14" t="b">
        <f>IFERROR(__xludf.DUMMYFUNCTION("IF(COUNTA(P107:P147)=0,"""",IFERROR(IF(ISBLANK(P107),FALSE,IF(ISBLANK(T107),1,IF(NOT(COUNTIF($AA$24:$AA$34,SUBSTITUTE(P107,""Sell_"",""""))),1,IF(P107=""Plastic_up"",IF(V107&lt;1000,1),IF(P107=""Super_Up"",IF(OR(COUNTIF(P$4:P107,""Grandma"")-COUNTIF(P$4:P107"&amp;",""Sell_Grandma"")&lt;1,COUNTIF(P$4:P107,VLOOKUP(P107,Upgrades!$F$8:$N$8,7+COUNTIF(P$4:P107,P107)))-COUNTIF(P$4:P107,""Sell_""&amp;VLOOKUP(P107,Upgrades!$F$8:$N$8,7+COUNTIF(P$4:P107,P107)))&lt;15),1),IF(REGEXMATCH(P107,""_up""),IF(COUNTIF(P$4:P107,SUBSTITUTE(P107,"&amp;"""_up"",""""))&lt;IFERROR(VLOOKUP(P107,Upgrades!$L$3:$P$6,1+COUNTIF(P$4:P107,P107),0),999),1),IF(REGEXMATCH(P107,""Sell_""),IF(COUNTIF(P$4:P107,SUBSTITUTE(P107,""Sell_"",""""))-COUNTIF(P$4:P106,P107)&lt;1,1),FALSE)))))))))"),FALSE)</f>
        <v>0</v>
      </c>
      <c r="R107" s="71">
        <f>IFERROR(__xludf.DUMMYFUNCTION("IF(REGEXMATCH(P107,""^Sell_""),R106, IF(COUNTA(P107:P147)=0,"""",(COUNTIF(P$4:P107,""Cursor"")-COUNTIF(P$4:P107,""Sell_Cursor""))*(0.1*2^SWITCH(COUNTIF(P$4:P107,""Cursor_up""),0,0,1,1,2,2,3)+SWITCH(COUNTIF(P$4:P107,""Cursor_up""),4,0.1,0)*(ROW(P107)-4-COU"&amp;"NTIF(P$4:P107,""Cursor"")-COUNTIF(P$4:P107,""*""&amp;""_up"")-2*COUNTIF(P$4:P107,""Sell_""&amp;""*"")+COUNTIF(P$4:P107,""Sell_Cursor"")-COUNTIF(P$4:P107,"""")))+(COUNTIF(P$4:P107,""Grandma"")-COUNTIF(P$4:P107,""Sell_Grandma""))*(1*2^(COUNTIF(P$4:P107,""Grandma_up"&amp;""")+COUNTIF(P$4:P107,""Super_up"")))+(COUNTIF(P$4:P107,""Farm"")-COUNTIF(P$4:P107,""Sell_Farm""))*(8*2^COUNTIF(P$4:P107,""Farm_up""))*IF(COUNTIF(P$4:P107,""Super_up"")&gt;0,1+0.01*(COUNTIF(P$4:P107,""Grandma"")-COUNTIF(P$4:P107,""Sell_Grandma"")),1)+(COUNTIF"&amp;"(P$4:P107,""Mine"")-COUNTIF(P$4:P107,""Sell_Mine""))*((47*2^COUNTIF(P$4:P107,""Mine_up""))*IF(COUNTIF(P$4:P107,""Super_up"")&gt;1,1+0.005*(COUNTIF(P$4:P107,""Grandma"")-COUNTIF(P$4:P107,""Sell_Grandma"")),1))+(COUNTIF(P$4:P107,""Factory"")-COUNTIF(P$4:P107,"&amp;"""Sell_Factory""))*(260*2^COUNTIF(P$4:P107,""Factory_up""))))"),2541.36)</f>
        <v>2541.36</v>
      </c>
      <c r="S107" s="73">
        <f>IFERROR(__xludf.DUMMYFUNCTION("IF(COUNTA(P107:P147)=0,"""",IF(REGEXMATCH(INDEX(FILTER(P$4:P107,P$4:P107&lt;&gt;""""),ROWS(FILTER(P$4:P107,P$4:P107&lt;&gt;""""))),""^Sell_""),INDEX(FILTER(S$4:S106,P$4:P106&lt;&gt;""""),ROWS(FILTER(P$4:P106,P$4:P106&lt;&gt;""""))),$AD$5*(2^SWITCH(COUNTIF(P$4:P107,""Cursor_up"")"&amp;",0,0,1,1,2,2,3)+SWITCH(COUNTIF(P$4:P107,""Cursor_up""),4,0.1,0)*(ROW(P107)-4-COUNTIF(P$4:P107,""Cursor"")-COUNTIF(P$4:P107,""*""&amp;""_up"")-2*COUNTIF(P$4:P107,""Sell_""&amp;""*"")+COUNTIF(P$4:P107,""Sell_Cursor"")-COUNTIF(P$4:P107,""""))+0.01*R107*COUNTIF(P$4:P"&amp;"107,""Plastic_up""))+R107))"),2875.496)</f>
        <v>2875.496</v>
      </c>
      <c r="T107" s="14">
        <f>IFERROR(__xludf.DUMMYFUNCTION("IF(COUNTA(P107:P147)=0,"""",IF(REGEXMATCH(P107,""_up""),VLOOKUP(P107,Upgrades!$F$3:$J$8,1+COUNTIF(P$4:P107,P107),FALSE),IF(P107="""",0,IF(REGEXMATCH(P107,""^Sell_""),-ROUNDDOWN(ROUNDUP(INDEX(Upgrades!$C$3:$C$8,MATCH(SUBSTITUTE(P107,""Sell_"",""""),Upgrade"&amp;"s!$B$3:$B$8,0))*1.15^(COUNTIF(P$4:P106,SUBSTITUTE(P107,""Sell_"",""""))-COUNTIF(P$4:P106,""Sell_""&amp;SUBSTITUTE(P107,""Sell_"",""""))))/4),ROUNDUP(INDEX(Upgrades!$C$3:$C$7,MATCH(P107,Upgrades!$B$3:$B$7,0))*1.15^(COUNTIF(P$4:P106,P107)-COUNTIF(P$4:P106,""Sel"&amp;"l_""&amp;P107)))))))"),48547.0)</f>
        <v>48547</v>
      </c>
      <c r="U107" s="14">
        <f t="shared" si="10"/>
        <v>48547</v>
      </c>
      <c r="V107" s="75">
        <f t="shared" si="11"/>
        <v>7329569.995</v>
      </c>
      <c r="W107" s="76">
        <f t="shared" si="12"/>
        <v>1145.551107</v>
      </c>
      <c r="X107" s="71" t="str">
        <f t="shared" si="13"/>
        <v>19m 05s</v>
      </c>
      <c r="Y107" s="77">
        <f t="shared" si="14"/>
        <v>880958</v>
      </c>
      <c r="Z107" s="17"/>
      <c r="AA107" s="13"/>
      <c r="AB107" s="13"/>
      <c r="AC107" s="13"/>
      <c r="AD107" s="13"/>
      <c r="AE107" s="13"/>
      <c r="AF107" s="13"/>
      <c r="AG107" s="13"/>
    </row>
    <row r="108">
      <c r="A108" s="12"/>
      <c r="B108" s="65">
        <f t="shared" si="2"/>
        <v>35</v>
      </c>
      <c r="C108" s="69" t="s">
        <v>13</v>
      </c>
      <c r="D108" s="14" t="b">
        <f>IFERROR(__xludf.DUMMYFUNCTION("IF(COUNTA(C108:C147)=0,"""",IFERROR(IF(ISBLANK(C108),FALSE,IF(ISBLANK(G108),1,IF(NOT(COUNTIF($AA$24:$AA$34,SUBSTITUTE(C108,""Sell_"",""""))),1,IF(C108=""Plastic_up"",IF(I108&lt;1000,1),IF(C108=""Super_Up"",IF(OR(COUNTIF(C$4:C108,""Grandma"")-COUNTIF(C$4:C108"&amp;",""Sell_Grandma"")&lt;1,COUNTIF(C$4:C108,VLOOKUP(C108,Upgrades!$F$8:$N$8,7+COUNTIF(C$4:C108,C108)))-COUNTIF(C$4:C108,""Sell_""&amp;VLOOKUP(C108,Upgrades!$F$8:$N$8,7+COUNTIF(C$4:C108,C108)))&lt;15),1),IF(REGEXMATCH(C108,""_up""),IF(COUNTIF(C$4:C108,SUBSTITUTE(C108,"&amp;"""_up"",""""))&lt;IFERROR(VLOOKUP(C108,Upgrades!$L$3:$P$6,1+COUNTIF(C$4:C108,C108),0),999),1),IF(REGEXMATCH(C108,""Sell_""),IF(COUNTIF(C$4:C108,SUBSTITUTE(C108,""Sell_"",""""))-COUNTIF(C$4:C107,C108)&lt;1,1),FALSE)))))))))"),FALSE)</f>
        <v>0</v>
      </c>
      <c r="E108" s="71">
        <f>IFERROR(__xludf.DUMMYFUNCTION("IF(REGEXMATCH(C108,""^Sell_""),E107, IF(COUNTA(C108:C147)=0,"""",(COUNTIF(C$4:C108,""Cursor"")-COUNTIF(C$4:C108,""Sell_Cursor""))*(0.1*2^SWITCH(COUNTIF(C$4:C108,""Cursor_up""),0,0,1,1,2,2,3)+SWITCH(COUNTIF(C$4:C108,""Cursor_up""),4,0.1,0)*(ROW(C108)-4-COU"&amp;"NTIF(C$4:C108,""Cursor"")-COUNTIF(C$4:C108,""*""&amp;""_up"")-2*COUNTIF(C$4:C108,""Sell_""&amp;""*"")+COUNTIF(C$4:C108,""Sell_Cursor"")-COUNTIF(C$4:C108,"""")))+(COUNTIF(C$4:C108,""Grandma"")-COUNTIF(C$4:C108,""Sell_Grandma""))*(1*2^(COUNTIF(C$4:C108,""Grandma_up"&amp;""")+COUNTIF(C$4:C108,""Super_up"")))+(COUNTIF(C$4:C108,""Farm"")-COUNTIF(C$4:C108,""Sell_Farm""))*(8*2^COUNTIF(C$4:C108,""Farm_up""))*IF(COUNTIF(C$4:C108,""Super_up"")&gt;0,1+0.01*(COUNTIF(C$4:C108,""Grandma"")-COUNTIF(C$4:C108,""Sell_Grandma"")),1)+(COUNTIF"&amp;"(C$4:C108,""Mine"")-COUNTIF(C$4:C108,""Sell_Mine""))*((47*2^COUNTIF(C$4:C108,""Mine_up""))*IF(COUNTIF(C$4:C108,""Super_up"")&gt;1,1+0.005*(COUNTIF(C$4:C108,""Grandma"")-COUNTIF(C$4:C108,""Sell_Grandma"")),1))+(COUNTIF(C$4:C108,""Factory"")-COUNTIF(C$4:C108,"&amp;"""Sell_Factory""))*(260*2^COUNTIF(C$4:C108,""Factory_up""))))"),2564.4)</f>
        <v>2564.4</v>
      </c>
      <c r="F108" s="73">
        <f>IFERROR(__xludf.DUMMYFUNCTION("IF(COUNTA(C108:C147)=0,"""",IF(REGEXMATCH(INDEX(FILTER(C$4:C108,C$4:C108&lt;&gt;""""),ROWS(FILTER(C$4:C108,C$4:C108&lt;&gt;""""))),""^Sell_""),INDEX(FILTER(F$4:F107,C$4:C107&lt;&gt;""""),ROWS(FILTER(C$4:C107,C$4:C107&lt;&gt;""""))),$AC$5*(2^SWITCH(COUNTIF(C$4:C108,""Cursor_up"")"&amp;",0,0,1,1,2,2,3)+SWITCH(COUNTIF(C$4:C108,""Cursor_up""),4,0.1,0)*(ROW(C108)-4-COUNTIF(C$4:C108,""Cursor"")-COUNTIF(C$4:C108,""*""&amp;""_up"")-2*COUNTIF(C$4:C108,""Sell_""&amp;""*"")+COUNTIF(C$4:C108,""Sell_Cursor"")-COUNTIF(C$4:C108,""""))+0.01*E108*COUNTIF(C$4:C"&amp;"108,""Plastic_up""))+E108))"),2900.84)</f>
        <v>2900.84</v>
      </c>
      <c r="G108" s="14">
        <f>IFERROR(__xludf.DUMMYFUNCTION("IF(COUNTA(C108:C147)=0,"""",IF(REGEXMATCH(C108,""_up""),VLOOKUP(C108,Upgrades!$F$3:$J$8,1+COUNTIF(C$4:C108,C108),FALSE),IF(C108="""",0,IF(REGEXMATCH(C108,""^Sell_""),-ROUNDDOWN(ROUNDUP(INDEX(Upgrades!$C$3:$C$8,MATCH(SUBSTITUTE(C108,""Sell_"",""""),Upgrade"&amp;"s!$B$3:$B$8,0))*1.15^(COUNTIF(C$4:C107,SUBSTITUTE(C108,""Sell_"",""""))-COUNTIF(C$4:C107,""Sell_""&amp;SUBSTITUTE(C108,""Sell_"",""""))))/4),ROUNDUP(INDEX(Upgrades!$C$3:$C$7,MATCH(C108,Upgrades!$B$3:$B$7,0))*1.15^(COUNTIF(C$4:C107,C108)-COUNTIF(C$4:C107,""Sel"&amp;"l_""&amp;C108)))))))"),11581.0)</f>
        <v>11581</v>
      </c>
      <c r="H108" s="14">
        <f t="shared" si="3"/>
        <v>11581</v>
      </c>
      <c r="I108" s="75">
        <f t="shared" si="4"/>
        <v>7806574.195</v>
      </c>
      <c r="J108" s="76">
        <f t="shared" si="5"/>
        <v>1150.626823</v>
      </c>
      <c r="K108" s="71" t="str">
        <f t="shared" si="6"/>
        <v>19m 10s</v>
      </c>
      <c r="L108" s="77">
        <f t="shared" si="7"/>
        <v>892539</v>
      </c>
      <c r="M108" s="51">
        <f t="shared" si="8"/>
        <v>-1.04823</v>
      </c>
      <c r="N108" s="52">
        <f>IFERROR(__xludf.DUMMYFUNCTION("IFS(AND(COUNTA(C108:C147)=0,COUNTA(P108:P147)=0),"""",OR(AND(L108&gt;=1000000,OR(Y108&gt;=1000000,COUNTA(P108:P147)=0)),AND(Y108&gt;=1000000,COUNTA(C108:C147)=0),AND(COUNTA(P108:P147)=0,O$3=TRUE)),
ROUNDDOWN((AB$1-AC$1)*MAX(INDEX(S$4:S147,MATCH(LARGE(FILTER(Y$4:Y1"&amp;"47,Y$4:Y147&lt;1000000),1),Y$4:Y147)),INDEX(F$4:F147,MATCH(LARGE(FILTER(L$4:L147,L$4:L147&lt;1000000),1),L$4:L147)))),AND(L108&lt;1000000,COUNTA(C108:C147)&gt;0,O$3=FALSE),
ROUNDDOWN(INDEX(Y$4:Y147,MATCH(LARGE(FILTER(W$4:W147,W$4:W147&lt;=J108),1),W$4:W147))+(J108-LARGE"&amp;"(FILTER(W$4:W147,W$4:W147&lt;=J108),1))*INDEX(S$4:S147,MATCH(LARGE(FILTER(W$4:W147,W$4:W147&lt;=J108),1),W$4:W147))-L108),1,
ROUNDDOWN(Y108-INDEX(L$4:L147,MATCH(LARGE(FILTER(J$4:J147,J$4:J147&lt;=W108),1),J$4:J147))-(W108-LARGE(FILTER(J$4:J147,J$4:J147&lt;=W108),1))*"&amp;"INDEX(F$4:F147,MATCH(LARGE(FILTER(J$4:J147,J$4:J147&lt;=W108),1),J$4:J147))))"),3014.0)</f>
        <v>3014</v>
      </c>
      <c r="O108" s="65">
        <f t="shared" si="9"/>
        <v>35</v>
      </c>
      <c r="P108" s="69" t="s">
        <v>13</v>
      </c>
      <c r="Q108" s="14" t="b">
        <f>IFERROR(__xludf.DUMMYFUNCTION("IF(COUNTA(P108:P147)=0,"""",IFERROR(IF(ISBLANK(P108),FALSE,IF(ISBLANK(T108),1,IF(NOT(COUNTIF($AA$24:$AA$34,SUBSTITUTE(P108,""Sell_"",""""))),1,IF(P108=""Plastic_up"",IF(V108&lt;1000,1),IF(P108=""Super_Up"",IF(OR(COUNTIF(P$4:P108,""Grandma"")-COUNTIF(P$4:P108"&amp;",""Sell_Grandma"")&lt;1,COUNTIF(P$4:P108,VLOOKUP(P108,Upgrades!$F$8:$N$8,7+COUNTIF(P$4:P108,P108)))-COUNTIF(P$4:P108,""Sell_""&amp;VLOOKUP(P108,Upgrades!$F$8:$N$8,7+COUNTIF(P$4:P108,P108)))&lt;15),1),IF(REGEXMATCH(P108,""_up""),IF(COUNTIF(P$4:P108,SUBSTITUTE(P108,"&amp;"""_up"",""""))&lt;IFERROR(VLOOKUP(P108,Upgrades!$L$3:$P$6,1+COUNTIF(P$4:P108,P108),0),999),1),IF(REGEXMATCH(P108,""Sell_""),IF(COUNTIF(P$4:P108,SUBSTITUTE(P108,""Sell_"",""""))-COUNTIF(P$4:P107,P108)&lt;1,1),FALSE)))))))))"),FALSE)</f>
        <v>0</v>
      </c>
      <c r="R108" s="71">
        <f>IFERROR(__xludf.DUMMYFUNCTION("IF(REGEXMATCH(P108,""^Sell_""),R107, IF(COUNTA(P108:P147)=0,"""",(COUNTIF(P$4:P108,""Cursor"")-COUNTIF(P$4:P108,""Sell_Cursor""))*(0.1*2^SWITCH(COUNTIF(P$4:P108,""Cursor_up""),0,0,1,1,2,2,3)+SWITCH(COUNTIF(P$4:P108,""Cursor_up""),4,0.1,0)*(ROW(P108)-4-COU"&amp;"NTIF(P$4:P108,""Cursor"")-COUNTIF(P$4:P108,""*""&amp;""_up"")-2*COUNTIF(P$4:P108,""Sell_""&amp;""*"")+COUNTIF(P$4:P108,""Sell_Cursor"")-COUNTIF(P$4:P108,"""")))+(COUNTIF(P$4:P108,""Grandma"")-COUNTIF(P$4:P108,""Sell_Grandma""))*(1*2^(COUNTIF(P$4:P108,""Grandma_up"&amp;""")+COUNTIF(P$4:P108,""Super_up"")))+(COUNTIF(P$4:P108,""Farm"")-COUNTIF(P$4:P108,""Sell_Farm""))*(8*2^COUNTIF(P$4:P108,""Farm_up""))*IF(COUNTIF(P$4:P108,""Super_up"")&gt;0,1+0.01*(COUNTIF(P$4:P108,""Grandma"")-COUNTIF(P$4:P108,""Sell_Grandma"")),1)+(COUNTIF"&amp;"(P$4:P108,""Mine"")-COUNTIF(P$4:P108,""Sell_Mine""))*((47*2^COUNTIF(P$4:P108,""Mine_up""))*IF(COUNTIF(P$4:P108,""Super_up"")&gt;1,1+0.005*(COUNTIF(P$4:P108,""Grandma"")-COUNTIF(P$4:P108,""Sell_Grandma"")),1))+(COUNTIF(P$4:P108,""Factory"")-COUNTIF(P$4:P108,"&amp;"""Sell_Factory""))*(260*2^COUNTIF(P$4:P108,""Factory_up""))))"),2564.4)</f>
        <v>2564.4</v>
      </c>
      <c r="S108" s="73">
        <f>IFERROR(__xludf.DUMMYFUNCTION("IF(COUNTA(P108:P147)=0,"""",IF(REGEXMATCH(INDEX(FILTER(P$4:P108,P$4:P108&lt;&gt;""""),ROWS(FILTER(P$4:P108,P$4:P108&lt;&gt;""""))),""^Sell_""),INDEX(FILTER(S$4:S107,P$4:P107&lt;&gt;""""),ROWS(FILTER(P$4:P107,P$4:P107&lt;&gt;""""))),$AD$5*(2^SWITCH(COUNTIF(P$4:P108,""Cursor_up"")"&amp;",0,0,1,1,2,2,3)+SWITCH(COUNTIF(P$4:P108,""Cursor_up""),4,0.1,0)*(ROW(P108)-4-COUNTIF(P$4:P108,""Cursor"")-COUNTIF(P$4:P108,""*""&amp;""_up"")-2*COUNTIF(P$4:P108,""Sell_""&amp;""*"")+COUNTIF(P$4:P108,""Sell_Cursor"")-COUNTIF(P$4:P108,""""))+0.01*R108*COUNTIF(P$4:P"&amp;"108,""Plastic_up""))+R108))"),2900.84)</f>
        <v>2900.84</v>
      </c>
      <c r="T108" s="14">
        <f>IFERROR(__xludf.DUMMYFUNCTION("IF(COUNTA(P108:P147)=0,"""",IF(REGEXMATCH(P108,""_up""),VLOOKUP(P108,Upgrades!$F$3:$J$8,1+COUNTIF(P$4:P108,P108),FALSE),IF(P108="""",0,IF(REGEXMATCH(P108,""^Sell_""),-ROUNDDOWN(ROUNDUP(INDEX(Upgrades!$C$3:$C$8,MATCH(SUBSTITUTE(P108,""Sell_"",""""),Upgrade"&amp;"s!$B$3:$B$8,0))*1.15^(COUNTIF(P$4:P107,SUBSTITUTE(P108,""Sell_"",""""))-COUNTIF(P$4:P107,""Sell_""&amp;SUBSTITUTE(P108,""Sell_"",""""))))/4),ROUNDUP(INDEX(Upgrades!$C$3:$C$7,MATCH(P108,Upgrades!$B$3:$B$7,0))*1.15^(COUNTIF(P$4:P107,P108)-COUNTIF(P$4:P107,""Sel"&amp;"l_""&amp;P108)))))))"),11581.0)</f>
        <v>11581</v>
      </c>
      <c r="U108" s="14">
        <f t="shared" si="10"/>
        <v>11581</v>
      </c>
      <c r="V108" s="75">
        <f t="shared" si="11"/>
        <v>7713685.586</v>
      </c>
      <c r="W108" s="76">
        <f t="shared" si="12"/>
        <v>1149.578586</v>
      </c>
      <c r="X108" s="71" t="str">
        <f t="shared" si="13"/>
        <v>19m 09s</v>
      </c>
      <c r="Y108" s="77">
        <f t="shared" si="14"/>
        <v>892539</v>
      </c>
      <c r="Z108" s="17"/>
      <c r="AA108" s="13"/>
      <c r="AB108" s="13"/>
      <c r="AC108" s="13"/>
      <c r="AD108" s="13"/>
      <c r="AE108" s="13"/>
      <c r="AF108" s="13"/>
      <c r="AG108" s="13"/>
    </row>
    <row r="109">
      <c r="A109" s="12"/>
      <c r="B109" s="65">
        <f t="shared" si="2"/>
        <v>23</v>
      </c>
      <c r="C109" s="69" t="s">
        <v>16</v>
      </c>
      <c r="D109" s="14" t="b">
        <f>IFERROR(__xludf.DUMMYFUNCTION("IF(COUNTA(C109:C147)=0,"""",IFERROR(IF(ISBLANK(C109),FALSE,IF(ISBLANK(G109),1,IF(NOT(COUNTIF($AA$24:$AA$34,SUBSTITUTE(C109,""Sell_"",""""))),1,IF(C109=""Plastic_up"",IF(I109&lt;1000,1),IF(C109=""Super_Up"",IF(OR(COUNTIF(C$4:C109,""Grandma"")-COUNTIF(C$4:C109"&amp;",""Sell_Grandma"")&lt;1,COUNTIF(C$4:C109,VLOOKUP(C109,Upgrades!$F$8:$N$8,7+COUNTIF(C$4:C109,C109)))-COUNTIF(C$4:C109,""Sell_""&amp;VLOOKUP(C109,Upgrades!$F$8:$N$8,7+COUNTIF(C$4:C109,C109)))&lt;15),1),IF(REGEXMATCH(C109,""_up""),IF(COUNTIF(C$4:C109,SUBSTITUTE(C109,"&amp;"""_up"",""""))&lt;IFERROR(VLOOKUP(C109,Upgrades!$L$3:$P$6,1+COUNTIF(C$4:C109,C109),0),999),1),IF(REGEXMATCH(C109,""Sell_""),IF(COUNTIF(C$4:C109,SUBSTITUTE(C109,""Sell_"",""""))-COUNTIF(C$4:C108,C109)&lt;1,1),FALSE)))))))))"),FALSE)</f>
        <v>0</v>
      </c>
      <c r="E109" s="71">
        <f>IFERROR(__xludf.DUMMYFUNCTION("IF(REGEXMATCH(C109,""^Sell_""),E108, IF(COUNTA(C109:C147)=0,"""",(COUNTIF(C$4:C109,""Cursor"")-COUNTIF(C$4:C109,""Sell_Cursor""))*(0.1*2^SWITCH(COUNTIF(C$4:C109,""Cursor_up""),0,0,1,1,2,2,3)+SWITCH(COUNTIF(C$4:C109,""Cursor_up""),4,0.1,0)*(ROW(C109)-4-COU"&amp;"NTIF(C$4:C109,""Cursor"")-COUNTIF(C$4:C109,""*""&amp;""_up"")-2*COUNTIF(C$4:C109,""Sell_""&amp;""*"")+COUNTIF(C$4:C109,""Sell_Cursor"")-COUNTIF(C$4:C109,"""")))+(COUNTIF(C$4:C109,""Grandma"")-COUNTIF(C$4:C109,""Sell_Grandma""))*(1*2^(COUNTIF(C$4:C109,""Grandma_up"&amp;""")+COUNTIF(C$4:C109,""Super_up"")))+(COUNTIF(C$4:C109,""Farm"")-COUNTIF(C$4:C109,""Sell_Farm""))*(8*2^COUNTIF(C$4:C109,""Farm_up""))*IF(COUNTIF(C$4:C109,""Super_up"")&gt;0,1+0.01*(COUNTIF(C$4:C109,""Grandma"")-COUNTIF(C$4:C109,""Sell_Grandma"")),1)+(COUNTIF"&amp;"(C$4:C109,""Mine"")-COUNTIF(C$4:C109,""Sell_Mine""))*((47*2^COUNTIF(C$4:C109,""Mine_up""))*IF(COUNTIF(C$4:C109,""Super_up"")&gt;1,1+0.005*(COUNTIF(C$4:C109,""Grandma"")-COUNTIF(C$4:C109,""Sell_Grandma"")),1))+(COUNTIF(C$4:C109,""Factory"")-COUNTIF(C$4:C109,"&amp;"""Sell_Factory""))*(260*2^COUNTIF(C$4:C109,""Factory_up""))))"),2607.6)</f>
        <v>2607.6</v>
      </c>
      <c r="F109" s="73">
        <f>IFERROR(__xludf.DUMMYFUNCTION("IF(COUNTA(C109:C147)=0,"""",IF(REGEXMATCH(INDEX(FILTER(C$4:C109,C$4:C109&lt;&gt;""""),ROWS(FILTER(C$4:C109,C$4:C109&lt;&gt;""""))),""^Sell_""),INDEX(FILTER(F$4:F108,C$4:C108&lt;&gt;""""),ROWS(FILTER(C$4:C108,C$4:C108&lt;&gt;""""))),$AC$5*(2^SWITCH(COUNTIF(C$4:C109,""Cursor_up"")"&amp;",0,0,1,1,2,2,3)+SWITCH(COUNTIF(C$4:C109,""Cursor_up""),4,0.1,0)*(ROW(C109)-4-COUNTIF(C$4:C109,""Cursor"")-COUNTIF(C$4:C109,""*""&amp;""_up"")-2*COUNTIF(C$4:C109,""Sell_""&amp;""*"")+COUNTIF(C$4:C109,""Sell_Cursor"")-COUNTIF(C$4:C109,""""))+0.01*E109*COUNTIF(C$4:C"&amp;"109,""Plastic_up""))+E109))"),2948.3599999999997)</f>
        <v>2948.36</v>
      </c>
      <c r="G109" s="14">
        <f>IFERROR(__xludf.DUMMYFUNCTION("IF(COUNTA(C109:C147)=0,"""",IF(REGEXMATCH(C109,""_up""),VLOOKUP(C109,Upgrades!$F$3:$J$8,1+COUNTIF(C$4:C109,C109),FALSE),IF(C109="""",0,IF(REGEXMATCH(C109,""^Sell_""),-ROUNDDOWN(ROUNDUP(INDEX(Upgrades!$C$3:$C$8,MATCH(SUBSTITUTE(C109,""Sell_"",""""),Upgrade"&amp;"s!$B$3:$B$8,0))*1.15^(COUNTIF(C$4:C108,SUBSTITUTE(C109,""Sell_"",""""))-COUNTIF(C$4:C108,""Sell_""&amp;SUBSTITUTE(C109,""Sell_"",""""))))/4),ROUNDUP(INDEX(Upgrades!$C$3:$C$7,MATCH(C109,Upgrades!$B$3:$B$7,0))*1.15^(COUNTIF(C$4:C108,C109)-COUNTIF(C$4:C108,""Sel"&amp;"l_""&amp;C109)))))))"),23810.0)</f>
        <v>23810</v>
      </c>
      <c r="H109" s="14">
        <f t="shared" si="3"/>
        <v>23810</v>
      </c>
      <c r="I109" s="75">
        <f t="shared" si="4"/>
        <v>8196452.571</v>
      </c>
      <c r="J109" s="76">
        <f t="shared" si="5"/>
        <v>1158.83479</v>
      </c>
      <c r="K109" s="71" t="str">
        <f t="shared" si="6"/>
        <v>19m 18s</v>
      </c>
      <c r="L109" s="77">
        <f t="shared" si="7"/>
        <v>916349</v>
      </c>
      <c r="M109" s="51">
        <f t="shared" si="8"/>
        <v>-1.04823</v>
      </c>
      <c r="N109" s="52">
        <f>IFERROR(__xludf.DUMMYFUNCTION("IFS(AND(COUNTA(C109:C147)=0,COUNTA(P109:P147)=0),"""",OR(AND(L109&gt;=1000000,OR(Y109&gt;=1000000,COUNTA(P109:P147)=0)),AND(Y109&gt;=1000000,COUNTA(C109:C147)=0),AND(COUNTA(P109:P147)=0,O$3=TRUE)),
ROUNDDOWN((AB$1-AC$1)*MAX(INDEX(S$4:S147,MATCH(LARGE(FILTER(Y$4:Y1"&amp;"47,Y$4:Y147&lt;1000000),1),Y$4:Y147)),INDEX(F$4:F147,MATCH(LARGE(FILTER(L$4:L147,L$4:L147&lt;1000000),1),L$4:L147)))),AND(L109&lt;1000000,COUNTA(C109:C147)&gt;0,O$3=FALSE),
ROUNDDOWN(INDEX(Y$4:Y147,MATCH(LARGE(FILTER(W$4:W147,W$4:W147&lt;=J109),1),W$4:W147))+(J109-LARGE"&amp;"(FILTER(W$4:W147,W$4:W147&lt;=J109),1))*INDEX(S$4:S147,MATCH(LARGE(FILTER(W$4:W147,W$4:W147&lt;=J109),1),W$4:W147))-L109),1,
ROUNDDOWN(Y109-INDEX(L$4:L147,MATCH(LARGE(FILTER(J$4:J147,J$4:J147&lt;=W109),1),J$4:J147))-(W109-LARGE(FILTER(J$4:J147,J$4:J147&lt;=W109),1))*"&amp;"INDEX(F$4:F147,MATCH(LARGE(FILTER(J$4:J147,J$4:J147&lt;=W109),1),J$4:J147))))"),3040.0)</f>
        <v>3040</v>
      </c>
      <c r="O109" s="65">
        <f t="shared" si="9"/>
        <v>23</v>
      </c>
      <c r="P109" s="69" t="s">
        <v>16</v>
      </c>
      <c r="Q109" s="14" t="b">
        <f>IFERROR(__xludf.DUMMYFUNCTION("IF(COUNTA(P109:P147)=0,"""",IFERROR(IF(ISBLANK(P109),FALSE,IF(ISBLANK(T109),1,IF(NOT(COUNTIF($AA$24:$AA$34,SUBSTITUTE(P109,""Sell_"",""""))),1,IF(P109=""Plastic_up"",IF(V109&lt;1000,1),IF(P109=""Super_Up"",IF(OR(COUNTIF(P$4:P109,""Grandma"")-COUNTIF(P$4:P109"&amp;",""Sell_Grandma"")&lt;1,COUNTIF(P$4:P109,VLOOKUP(P109,Upgrades!$F$8:$N$8,7+COUNTIF(P$4:P109,P109)))-COUNTIF(P$4:P109,""Sell_""&amp;VLOOKUP(P109,Upgrades!$F$8:$N$8,7+COUNTIF(P$4:P109,P109)))&lt;15),1),IF(REGEXMATCH(P109,""_up""),IF(COUNTIF(P$4:P109,SUBSTITUTE(P109,"&amp;"""_up"",""""))&lt;IFERROR(VLOOKUP(P109,Upgrades!$L$3:$P$6,1+COUNTIF(P$4:P109,P109),0),999),1),IF(REGEXMATCH(P109,""Sell_""),IF(COUNTIF(P$4:P109,SUBSTITUTE(P109,""Sell_"",""""))-COUNTIF(P$4:P108,P109)&lt;1,1),FALSE)))))))))"),FALSE)</f>
        <v>0</v>
      </c>
      <c r="R109" s="71">
        <f>IFERROR(__xludf.DUMMYFUNCTION("IF(REGEXMATCH(P109,""^Sell_""),R108, IF(COUNTA(P109:P147)=0,"""",(COUNTIF(P$4:P109,""Cursor"")-COUNTIF(P$4:P109,""Sell_Cursor""))*(0.1*2^SWITCH(COUNTIF(P$4:P109,""Cursor_up""),0,0,1,1,2,2,3)+SWITCH(COUNTIF(P$4:P109,""Cursor_up""),4,0.1,0)*(ROW(P109)-4-COU"&amp;"NTIF(P$4:P109,""Cursor"")-COUNTIF(P$4:P109,""*""&amp;""_up"")-2*COUNTIF(P$4:P109,""Sell_""&amp;""*"")+COUNTIF(P$4:P109,""Sell_Cursor"")-COUNTIF(P$4:P109,"""")))+(COUNTIF(P$4:P109,""Grandma"")-COUNTIF(P$4:P109,""Sell_Grandma""))*(1*2^(COUNTIF(P$4:P109,""Grandma_up"&amp;""")+COUNTIF(P$4:P109,""Super_up"")))+(COUNTIF(P$4:P109,""Farm"")-COUNTIF(P$4:P109,""Sell_Farm""))*(8*2^COUNTIF(P$4:P109,""Farm_up""))*IF(COUNTIF(P$4:P109,""Super_up"")&gt;0,1+0.01*(COUNTIF(P$4:P109,""Grandma"")-COUNTIF(P$4:P109,""Sell_Grandma"")),1)+(COUNTIF"&amp;"(P$4:P109,""Mine"")-COUNTIF(P$4:P109,""Sell_Mine""))*((47*2^COUNTIF(P$4:P109,""Mine_up""))*IF(COUNTIF(P$4:P109,""Super_up"")&gt;1,1+0.005*(COUNTIF(P$4:P109,""Grandma"")-COUNTIF(P$4:P109,""Sell_Grandma"")),1))+(COUNTIF(P$4:P109,""Factory"")-COUNTIF(P$4:P109,"&amp;"""Sell_Factory""))*(260*2^COUNTIF(P$4:P109,""Factory_up""))))"),2607.6)</f>
        <v>2607.6</v>
      </c>
      <c r="S109" s="73">
        <f>IFERROR(__xludf.DUMMYFUNCTION("IF(COUNTA(P109:P147)=0,"""",IF(REGEXMATCH(INDEX(FILTER(P$4:P109,P$4:P109&lt;&gt;""""),ROWS(FILTER(P$4:P109,P$4:P109&lt;&gt;""""))),""^Sell_""),INDEX(FILTER(S$4:S108,P$4:P108&lt;&gt;""""),ROWS(FILTER(P$4:P108,P$4:P108&lt;&gt;""""))),$AD$5*(2^SWITCH(COUNTIF(P$4:P109,""Cursor_up"")"&amp;",0,0,1,1,2,2,3)+SWITCH(COUNTIF(P$4:P109,""Cursor_up""),4,0.1,0)*(ROW(P109)-4-COUNTIF(P$4:P109,""Cursor"")-COUNTIF(P$4:P109,""*""&amp;""_up"")-2*COUNTIF(P$4:P109,""Sell_""&amp;""*"")+COUNTIF(P$4:P109,""Sell_Cursor"")-COUNTIF(P$4:P109,""""))+0.01*R109*COUNTIF(P$4:P"&amp;"109,""Plastic_up""))+R109))"),2948.3599999999997)</f>
        <v>2948.36</v>
      </c>
      <c r="T109" s="14">
        <f>IFERROR(__xludf.DUMMYFUNCTION("IF(COUNTA(P109:P147)=0,"""",IF(REGEXMATCH(P109,""_up""),VLOOKUP(P109,Upgrades!$F$3:$J$8,1+COUNTIF(P$4:P109,P109),FALSE),IF(P109="""",0,IF(REGEXMATCH(P109,""^Sell_""),-ROUNDDOWN(ROUNDUP(INDEX(Upgrades!$C$3:$C$8,MATCH(SUBSTITUTE(P109,""Sell_"",""""),Upgrade"&amp;"s!$B$3:$B$8,0))*1.15^(COUNTIF(P$4:P108,SUBSTITUTE(P109,""Sell_"",""""))-COUNTIF(P$4:P108,""Sell_""&amp;SUBSTITUTE(P109,""Sell_"",""""))))/4),ROUNDUP(INDEX(Upgrades!$C$3:$C$7,MATCH(P109,Upgrades!$B$3:$B$7,0))*1.15^(COUNTIF(P$4:P108,P109)-COUNTIF(P$4:P108,""Sel"&amp;"l_""&amp;P109)))))))"),23810.0)</f>
        <v>23810</v>
      </c>
      <c r="U109" s="14">
        <f t="shared" si="10"/>
        <v>23810</v>
      </c>
      <c r="V109" s="75">
        <f t="shared" si="11"/>
        <v>8103211.294</v>
      </c>
      <c r="W109" s="76">
        <f t="shared" si="12"/>
        <v>1157.786554</v>
      </c>
      <c r="X109" s="71" t="str">
        <f t="shared" si="13"/>
        <v>19m 17s</v>
      </c>
      <c r="Y109" s="77">
        <f t="shared" si="14"/>
        <v>916349</v>
      </c>
      <c r="Z109" s="17"/>
      <c r="AA109" s="13"/>
      <c r="AB109" s="13"/>
      <c r="AC109" s="13"/>
      <c r="AD109" s="13"/>
      <c r="AE109" s="13"/>
      <c r="AF109" s="13"/>
      <c r="AG109" s="13"/>
    </row>
    <row r="110">
      <c r="A110" s="12"/>
      <c r="B110" s="65">
        <f t="shared" si="2"/>
        <v>36</v>
      </c>
      <c r="C110" s="69" t="s">
        <v>13</v>
      </c>
      <c r="D110" s="14" t="b">
        <f>IFERROR(__xludf.DUMMYFUNCTION("IF(COUNTA(C110:C147)=0,"""",IFERROR(IF(ISBLANK(C110),FALSE,IF(ISBLANK(G110),1,IF(NOT(COUNTIF($AA$24:$AA$34,SUBSTITUTE(C110,""Sell_"",""""))),1,IF(C110=""Plastic_up"",IF(I110&lt;1000,1),IF(C110=""Super_Up"",IF(OR(COUNTIF(C$4:C110,""Grandma"")-COUNTIF(C$4:C110"&amp;",""Sell_Grandma"")&lt;1,COUNTIF(C$4:C110,VLOOKUP(C110,Upgrades!$F$8:$N$8,7+COUNTIF(C$4:C110,C110)))-COUNTIF(C$4:C110,""Sell_""&amp;VLOOKUP(C110,Upgrades!$F$8:$N$8,7+COUNTIF(C$4:C110,C110)))&lt;15),1),IF(REGEXMATCH(C110,""_up""),IF(COUNTIF(C$4:C110,SUBSTITUTE(C110,"&amp;"""_up"",""""))&lt;IFERROR(VLOOKUP(C110,Upgrades!$L$3:$P$6,1+COUNTIF(C$4:C110,C110),0),999),1),IF(REGEXMATCH(C110,""Sell_""),IF(COUNTIF(C$4:C110,SUBSTITUTE(C110,""Sell_"",""""))-COUNTIF(C$4:C109,C110)&lt;1,1),FALSE)))))))))"),FALSE)</f>
        <v>0</v>
      </c>
      <c r="E110" s="71">
        <f>IFERROR(__xludf.DUMMYFUNCTION("IF(REGEXMATCH(C110,""^Sell_""),E109, IF(COUNTA(C110:C147)=0,"""",(COUNTIF(C$4:C110,""Cursor"")-COUNTIF(C$4:C110,""Sell_Cursor""))*(0.1*2^SWITCH(COUNTIF(C$4:C110,""Cursor_up""),0,0,1,1,2,2,3)+SWITCH(COUNTIF(C$4:C110,""Cursor_up""),4,0.1,0)*(ROW(C110)-4-COU"&amp;"NTIF(C$4:C110,""Cursor"")-COUNTIF(C$4:C110,""*""&amp;""_up"")-2*COUNTIF(C$4:C110,""Sell_""&amp;""*"")+COUNTIF(C$4:C110,""Sell_Cursor"")-COUNTIF(C$4:C110,"""")))+(COUNTIF(C$4:C110,""Grandma"")-COUNTIF(C$4:C110,""Sell_Grandma""))*(1*2^(COUNTIF(C$4:C110,""Grandma_up"&amp;""")+COUNTIF(C$4:C110,""Super_up"")))+(COUNTIF(C$4:C110,""Farm"")-COUNTIF(C$4:C110,""Sell_Farm""))*(8*2^COUNTIF(C$4:C110,""Farm_up""))*IF(COUNTIF(C$4:C110,""Super_up"")&gt;0,1+0.01*(COUNTIF(C$4:C110,""Grandma"")-COUNTIF(C$4:C110,""Sell_Grandma"")),1)+(COUNTIF"&amp;"(C$4:C110,""Mine"")-COUNTIF(C$4:C110,""Sell_Mine""))*((47*2^COUNTIF(C$4:C110,""Mine_up""))*IF(COUNTIF(C$4:C110,""Super_up"")&gt;1,1+0.005*(COUNTIF(C$4:C110,""Grandma"")-COUNTIF(C$4:C110,""Sell_Grandma"")),1))+(COUNTIF(C$4:C110,""Factory"")-COUNTIF(C$4:C110,"&amp;"""Sell_Factory""))*(260*2^COUNTIF(C$4:C110,""Factory_up""))))"),2630.96)</f>
        <v>2630.96</v>
      </c>
      <c r="F110" s="73">
        <f>IFERROR(__xludf.DUMMYFUNCTION("IF(COUNTA(C110:C147)=0,"""",IF(REGEXMATCH(INDEX(FILTER(C$4:C110,C$4:C110&lt;&gt;""""),ROWS(FILTER(C$4:C110,C$4:C110&lt;&gt;""""))),""^Sell_""),INDEX(FILTER(F$4:F109,C$4:C109&lt;&gt;""""),ROWS(FILTER(C$4:C109,C$4:C109&lt;&gt;""""))),$AC$5*(2^SWITCH(COUNTIF(C$4:C110,""Cursor_up"")"&amp;",0,0,1,1,2,2,3)+SWITCH(COUNTIF(C$4:C110,""Cursor_up""),4,0.1,0)*(ROW(C110)-4-COUNTIF(C$4:C110,""Cursor"")-COUNTIF(C$4:C110,""*""&amp;""_up"")-2*COUNTIF(C$4:C110,""Sell_""&amp;""*"")+COUNTIF(C$4:C110,""Sell_Cursor"")-COUNTIF(C$4:C110,""""))+0.01*E110*COUNTIF(C$4:C"&amp;"110,""Plastic_up""))+E110))"),2974.056)</f>
        <v>2974.056</v>
      </c>
      <c r="G110" s="14">
        <f>IFERROR(__xludf.DUMMYFUNCTION("IF(COUNTA(C110:C147)=0,"""",IF(REGEXMATCH(C110,""_up""),VLOOKUP(C110,Upgrades!$F$3:$J$8,1+COUNTIF(C$4:C110,C110),FALSE),IF(C110="""",0,IF(REGEXMATCH(C110,""^Sell_""),-ROUNDDOWN(ROUNDUP(INDEX(Upgrades!$C$3:$C$8,MATCH(SUBSTITUTE(C110,""Sell_"",""""),Upgrade"&amp;"s!$B$3:$B$8,0))*1.15^(COUNTIF(C$4:C109,SUBSTITUTE(C110,""Sell_"",""""))-COUNTIF(C$4:C109,""Sell_""&amp;SUBSTITUTE(C110,""Sell_"",""""))))/4),ROUNDUP(INDEX(Upgrades!$C$3:$C$7,MATCH(C110,Upgrades!$B$3:$B$7,0))*1.15^(COUNTIF(C$4:C109,C110)-COUNTIF(C$4:C109,""Sel"&amp;"l_""&amp;C110)))))))"),13318.0)</f>
        <v>13318</v>
      </c>
      <c r="H110" s="14">
        <f t="shared" si="3"/>
        <v>13318</v>
      </c>
      <c r="I110" s="75">
        <f t="shared" si="4"/>
        <v>8592876.357</v>
      </c>
      <c r="J110" s="76">
        <f t="shared" si="5"/>
        <v>1163.351877</v>
      </c>
      <c r="K110" s="71" t="str">
        <f t="shared" si="6"/>
        <v>19m 23s</v>
      </c>
      <c r="L110" s="77">
        <f t="shared" si="7"/>
        <v>929667</v>
      </c>
      <c r="M110" s="51">
        <f t="shared" si="8"/>
        <v>-1.04823</v>
      </c>
      <c r="N110" s="52">
        <f>IFERROR(__xludf.DUMMYFUNCTION("IFS(AND(COUNTA(C110:C147)=0,COUNTA(P110:P147)=0),"""",OR(AND(L110&gt;=1000000,OR(Y110&gt;=1000000,COUNTA(P110:P147)=0)),AND(Y110&gt;=1000000,COUNTA(C110:C147)=0),AND(COUNTA(P110:P147)=0,O$3=TRUE)),
ROUNDDOWN((AB$1-AC$1)*MAX(INDEX(S$4:S147,MATCH(LARGE(FILTER(Y$4:Y1"&amp;"47,Y$4:Y147&lt;1000000),1),Y$4:Y147)),INDEX(F$4:F147,MATCH(LARGE(FILTER(L$4:L147,L$4:L147&lt;1000000),1),L$4:L147)))),AND(L110&lt;1000000,COUNTA(C110:C147)&gt;0,O$3=FALSE),
ROUNDDOWN(INDEX(Y$4:Y147,MATCH(LARGE(FILTER(W$4:W147,W$4:W147&lt;=J110),1),W$4:W147))+(J110-LARGE"&amp;"(FILTER(W$4:W147,W$4:W147&lt;=J110),1))*INDEX(S$4:S147,MATCH(LARGE(FILTER(W$4:W147,W$4:W147&lt;=J110),1),W$4:W147))-L110),1,
ROUNDDOWN(Y110-INDEX(L$4:L147,MATCH(LARGE(FILTER(J$4:J147,J$4:J147&lt;=W110),1),J$4:J147))-(W110-LARGE(FILTER(J$4:J147,J$4:J147&lt;=W110),1))*"&amp;"INDEX(F$4:F147,MATCH(LARGE(FILTER(J$4:J147,J$4:J147&lt;=W110),1),J$4:J147))))"),3090.0)</f>
        <v>3090</v>
      </c>
      <c r="O110" s="65">
        <f t="shared" si="9"/>
        <v>36</v>
      </c>
      <c r="P110" s="69" t="s">
        <v>13</v>
      </c>
      <c r="Q110" s="14" t="b">
        <f>IFERROR(__xludf.DUMMYFUNCTION("IF(COUNTA(P110:P147)=0,"""",IFERROR(IF(ISBLANK(P110),FALSE,IF(ISBLANK(T110),1,IF(NOT(COUNTIF($AA$24:$AA$34,SUBSTITUTE(P110,""Sell_"",""""))),1,IF(P110=""Plastic_up"",IF(V110&lt;1000,1),IF(P110=""Super_Up"",IF(OR(COUNTIF(P$4:P110,""Grandma"")-COUNTIF(P$4:P110"&amp;",""Sell_Grandma"")&lt;1,COUNTIF(P$4:P110,VLOOKUP(P110,Upgrades!$F$8:$N$8,7+COUNTIF(P$4:P110,P110)))-COUNTIF(P$4:P110,""Sell_""&amp;VLOOKUP(P110,Upgrades!$F$8:$N$8,7+COUNTIF(P$4:P110,P110)))&lt;15),1),IF(REGEXMATCH(P110,""_up""),IF(COUNTIF(P$4:P110,SUBSTITUTE(P110,"&amp;"""_up"",""""))&lt;IFERROR(VLOOKUP(P110,Upgrades!$L$3:$P$6,1+COUNTIF(P$4:P110,P110),0),999),1),IF(REGEXMATCH(P110,""Sell_""),IF(COUNTIF(P$4:P110,SUBSTITUTE(P110,""Sell_"",""""))-COUNTIF(P$4:P109,P110)&lt;1,1),FALSE)))))))))"),FALSE)</f>
        <v>0</v>
      </c>
      <c r="R110" s="71">
        <f>IFERROR(__xludf.DUMMYFUNCTION("IF(REGEXMATCH(P110,""^Sell_""),R109, IF(COUNTA(P110:P147)=0,"""",(COUNTIF(P$4:P110,""Cursor"")-COUNTIF(P$4:P110,""Sell_Cursor""))*(0.1*2^SWITCH(COUNTIF(P$4:P110,""Cursor_up""),0,0,1,1,2,2,3)+SWITCH(COUNTIF(P$4:P110,""Cursor_up""),4,0.1,0)*(ROW(P110)-4-COU"&amp;"NTIF(P$4:P110,""Cursor"")-COUNTIF(P$4:P110,""*""&amp;""_up"")-2*COUNTIF(P$4:P110,""Sell_""&amp;""*"")+COUNTIF(P$4:P110,""Sell_Cursor"")-COUNTIF(P$4:P110,"""")))+(COUNTIF(P$4:P110,""Grandma"")-COUNTIF(P$4:P110,""Sell_Grandma""))*(1*2^(COUNTIF(P$4:P110,""Grandma_up"&amp;""")+COUNTIF(P$4:P110,""Super_up"")))+(COUNTIF(P$4:P110,""Farm"")-COUNTIF(P$4:P110,""Sell_Farm""))*(8*2^COUNTIF(P$4:P110,""Farm_up""))*IF(COUNTIF(P$4:P110,""Super_up"")&gt;0,1+0.01*(COUNTIF(P$4:P110,""Grandma"")-COUNTIF(P$4:P110,""Sell_Grandma"")),1)+(COUNTIF"&amp;"(P$4:P110,""Mine"")-COUNTIF(P$4:P110,""Sell_Mine""))*((47*2^COUNTIF(P$4:P110,""Mine_up""))*IF(COUNTIF(P$4:P110,""Super_up"")&gt;1,1+0.005*(COUNTIF(P$4:P110,""Grandma"")-COUNTIF(P$4:P110,""Sell_Grandma"")),1))+(COUNTIF(P$4:P110,""Factory"")-COUNTIF(P$4:P110,"&amp;"""Sell_Factory""))*(260*2^COUNTIF(P$4:P110,""Factory_up""))))"),2630.96)</f>
        <v>2630.96</v>
      </c>
      <c r="S110" s="73">
        <f>IFERROR(__xludf.DUMMYFUNCTION("IF(COUNTA(P110:P147)=0,"""",IF(REGEXMATCH(INDEX(FILTER(P$4:P110,P$4:P110&lt;&gt;""""),ROWS(FILTER(P$4:P110,P$4:P110&lt;&gt;""""))),""^Sell_""),INDEX(FILTER(S$4:S109,P$4:P109&lt;&gt;""""),ROWS(FILTER(P$4:P109,P$4:P109&lt;&gt;""""))),$AD$5*(2^SWITCH(COUNTIF(P$4:P110,""Cursor_up"")"&amp;",0,0,1,1,2,2,3)+SWITCH(COUNTIF(P$4:P110,""Cursor_up""),4,0.1,0)*(ROW(P110)-4-COUNTIF(P$4:P110,""Cursor"")-COUNTIF(P$4:P110,""*""&amp;""_up"")-2*COUNTIF(P$4:P110,""Sell_""&amp;""*"")+COUNTIF(P$4:P110,""Sell_Cursor"")-COUNTIF(P$4:P110,""""))+0.01*R110*COUNTIF(P$4:P"&amp;"110,""Plastic_up""))+R110))"),2974.056)</f>
        <v>2974.056</v>
      </c>
      <c r="T110" s="14">
        <f>IFERROR(__xludf.DUMMYFUNCTION("IF(COUNTA(P110:P147)=0,"""",IF(REGEXMATCH(P110,""_up""),VLOOKUP(P110,Upgrades!$F$3:$J$8,1+COUNTIF(P$4:P110,P110),FALSE),IF(P110="""",0,IF(REGEXMATCH(P110,""^Sell_""),-ROUNDDOWN(ROUNDUP(INDEX(Upgrades!$C$3:$C$8,MATCH(SUBSTITUTE(P110,""Sell_"",""""),Upgrade"&amp;"s!$B$3:$B$8,0))*1.15^(COUNTIF(P$4:P109,SUBSTITUTE(P110,""Sell_"",""""))-COUNTIF(P$4:P109,""Sell_""&amp;SUBSTITUTE(P110,""Sell_"",""""))))/4),ROUNDUP(INDEX(Upgrades!$C$3:$C$7,MATCH(P110,Upgrades!$B$3:$B$7,0))*1.15^(COUNTIF(P$4:P109,P110)-COUNTIF(P$4:P109,""Sel"&amp;"l_""&amp;P110)))))))"),13318.0)</f>
        <v>13318</v>
      </c>
      <c r="U110" s="14">
        <f t="shared" si="10"/>
        <v>13318</v>
      </c>
      <c r="V110" s="75">
        <f t="shared" si="11"/>
        <v>8499277.882</v>
      </c>
      <c r="W110" s="76">
        <f t="shared" si="12"/>
        <v>1162.303641</v>
      </c>
      <c r="X110" s="71" t="str">
        <f t="shared" si="13"/>
        <v>19m 22s</v>
      </c>
      <c r="Y110" s="77">
        <f t="shared" si="14"/>
        <v>929667</v>
      </c>
      <c r="Z110" s="17"/>
      <c r="AA110" s="13"/>
      <c r="AB110" s="13"/>
      <c r="AC110" s="13"/>
      <c r="AD110" s="13"/>
      <c r="AE110" s="13"/>
      <c r="AF110" s="13"/>
      <c r="AG110" s="13"/>
    </row>
    <row r="111">
      <c r="A111" s="12"/>
      <c r="B111" s="65">
        <f t="shared" si="2"/>
        <v>24</v>
      </c>
      <c r="C111" s="69" t="s">
        <v>16</v>
      </c>
      <c r="D111" s="14" t="b">
        <f>IFERROR(__xludf.DUMMYFUNCTION("IF(COUNTA(C111:C147)=0,"""",IFERROR(IF(ISBLANK(C111),FALSE,IF(ISBLANK(G111),1,IF(NOT(COUNTIF($AA$24:$AA$34,SUBSTITUTE(C111,""Sell_"",""""))),1,IF(C111=""Plastic_up"",IF(I111&lt;1000,1),IF(C111=""Super_Up"",IF(OR(COUNTIF(C$4:C111,""Grandma"")-COUNTIF(C$4:C111"&amp;",""Sell_Grandma"")&lt;1,COUNTIF(C$4:C111,VLOOKUP(C111,Upgrades!$F$8:$N$8,7+COUNTIF(C$4:C111,C111)))-COUNTIF(C$4:C111,""Sell_""&amp;VLOOKUP(C111,Upgrades!$F$8:$N$8,7+COUNTIF(C$4:C111,C111)))&lt;15),1),IF(REGEXMATCH(C111,""_up""),IF(COUNTIF(C$4:C111,SUBSTITUTE(C111,"&amp;"""_up"",""""))&lt;IFERROR(VLOOKUP(C111,Upgrades!$L$3:$P$6,1+COUNTIF(C$4:C111,C111),0),999),1),IF(REGEXMATCH(C111,""Sell_""),IF(COUNTIF(C$4:C111,SUBSTITUTE(C111,""Sell_"",""""))-COUNTIF(C$4:C110,C111)&lt;1,1),FALSE)))))))))"),FALSE)</f>
        <v>0</v>
      </c>
      <c r="E111" s="71">
        <f>IFERROR(__xludf.DUMMYFUNCTION("IF(REGEXMATCH(C111,""^Sell_""),E110, IF(COUNTA(C111:C147)=0,"""",(COUNTIF(C$4:C111,""Cursor"")-COUNTIF(C$4:C111,""Sell_Cursor""))*(0.1*2^SWITCH(COUNTIF(C$4:C111,""Cursor_up""),0,0,1,1,2,2,3)+SWITCH(COUNTIF(C$4:C111,""Cursor_up""),4,0.1,0)*(ROW(C111)-4-COU"&amp;"NTIF(C$4:C111,""Cursor"")-COUNTIF(C$4:C111,""*""&amp;""_up"")-2*COUNTIF(C$4:C111,""Sell_""&amp;""*"")+COUNTIF(C$4:C111,""Sell_Cursor"")-COUNTIF(C$4:C111,"""")))+(COUNTIF(C$4:C111,""Grandma"")-COUNTIF(C$4:C111,""Sell_Grandma""))*(1*2^(COUNTIF(C$4:C111,""Grandma_up"&amp;""")+COUNTIF(C$4:C111,""Super_up"")))+(COUNTIF(C$4:C111,""Farm"")-COUNTIF(C$4:C111,""Sell_Farm""))*(8*2^COUNTIF(C$4:C111,""Farm_up""))*IF(COUNTIF(C$4:C111,""Super_up"")&gt;0,1+0.01*(COUNTIF(C$4:C111,""Grandma"")-COUNTIF(C$4:C111,""Sell_Grandma"")),1)+(COUNTIF"&amp;"(C$4:C111,""Mine"")-COUNTIF(C$4:C111,""Sell_Mine""))*((47*2^COUNTIF(C$4:C111,""Mine_up""))*IF(COUNTIF(C$4:C111,""Super_up"")&gt;1,1+0.005*(COUNTIF(C$4:C111,""Grandma"")-COUNTIF(C$4:C111,""Sell_Grandma"")),1))+(COUNTIF(C$4:C111,""Factory"")-COUNTIF(C$4:C111,"&amp;"""Sell_Factory""))*(260*2^COUNTIF(C$4:C111,""Factory_up""))))"),2674.48)</f>
        <v>2674.48</v>
      </c>
      <c r="F111" s="73">
        <f>IFERROR(__xludf.DUMMYFUNCTION("IF(COUNTA(C111:C147)=0,"""",IF(REGEXMATCH(INDEX(FILTER(C$4:C111,C$4:C111&lt;&gt;""""),ROWS(FILTER(C$4:C111,C$4:C111&lt;&gt;""""))),""^Sell_""),INDEX(FILTER(F$4:F110,C$4:C110&lt;&gt;""""),ROWS(FILTER(C$4:C110,C$4:C110&lt;&gt;""""))),$AC$5*(2^SWITCH(COUNTIF(C$4:C111,""Cursor_up"")"&amp;",0,0,1,1,2,2,3)+SWITCH(COUNTIF(C$4:C111,""Cursor_up""),4,0.1,0)*(ROW(C111)-4-COUNTIF(C$4:C111,""Cursor"")-COUNTIF(C$4:C111,""*""&amp;""_up"")-2*COUNTIF(C$4:C111,""Sell_""&amp;""*"")+COUNTIF(C$4:C111,""Sell_Cursor"")-COUNTIF(C$4:C111,""""))+0.01*E111*COUNTIF(C$4:C"&amp;"111,""Plastic_up""))+E111))"),3021.928)</f>
        <v>3021.928</v>
      </c>
      <c r="G111" s="14">
        <f>IFERROR(__xludf.DUMMYFUNCTION("IF(COUNTA(C111:C147)=0,"""",IF(REGEXMATCH(C111,""_up""),VLOOKUP(C111,Upgrades!$F$3:$J$8,1+COUNTIF(C$4:C111,C111),FALSE),IF(C111="""",0,IF(REGEXMATCH(C111,""^Sell_""),-ROUNDDOWN(ROUNDUP(INDEX(Upgrades!$C$3:$C$8,MATCH(SUBSTITUTE(C111,""Sell_"",""""),Upgrade"&amp;"s!$B$3:$B$8,0))*1.15^(COUNTIF(C$4:C110,SUBSTITUTE(C111,""Sell_"",""""))-COUNTIF(C$4:C110,""Sell_""&amp;SUBSTITUTE(C111,""Sell_"",""""))))/4),ROUNDUP(INDEX(Upgrades!$C$3:$C$7,MATCH(C111,Upgrades!$B$3:$B$7,0))*1.15^(COUNTIF(C$4:C110,C111)-COUNTIF(C$4:C110,""Sel"&amp;"l_""&amp;C111)))))))"),27381.0)</f>
        <v>27381</v>
      </c>
      <c r="H111" s="14">
        <f t="shared" si="3"/>
        <v>27381</v>
      </c>
      <c r="I111" s="75">
        <f t="shared" si="4"/>
        <v>8995176.487</v>
      </c>
      <c r="J111" s="76">
        <f t="shared" si="5"/>
        <v>1172.558496</v>
      </c>
      <c r="K111" s="71" t="str">
        <f t="shared" si="6"/>
        <v>19m 32s</v>
      </c>
      <c r="L111" s="77">
        <f t="shared" si="7"/>
        <v>957048</v>
      </c>
      <c r="M111" s="51">
        <f t="shared" si="8"/>
        <v>-1.04823</v>
      </c>
      <c r="N111" s="52">
        <f>IFERROR(__xludf.DUMMYFUNCTION("IFS(AND(COUNTA(C111:C147)=0,COUNTA(P111:P147)=0),"""",OR(AND(L111&gt;=1000000,OR(Y111&gt;=1000000,COUNTA(P111:P147)=0)),AND(Y111&gt;=1000000,COUNTA(C111:C147)=0),AND(COUNTA(P111:P147)=0,O$3=TRUE)),
ROUNDDOWN((AB$1-AC$1)*MAX(INDEX(S$4:S147,MATCH(LARGE(FILTER(Y$4:Y1"&amp;"47,Y$4:Y147&lt;1000000),1),Y$4:Y147)),INDEX(F$4:F147,MATCH(LARGE(FILTER(L$4:L147,L$4:L147&lt;1000000),1),L$4:L147)))),AND(L111&lt;1000000,COUNTA(C111:C147)&gt;0,O$3=FALSE),
ROUNDDOWN(INDEX(Y$4:Y147,MATCH(LARGE(FILTER(W$4:W147,W$4:W147&lt;=J111),1),W$4:W147))+(J111-LARGE"&amp;"(FILTER(W$4:W147,W$4:W147&lt;=J111),1))*INDEX(S$4:S147,MATCH(LARGE(FILTER(W$4:W147,W$4:W147&lt;=J111),1),W$4:W147))-L111),1,
ROUNDDOWN(Y111-INDEX(L$4:L147,MATCH(LARGE(FILTER(J$4:J147,J$4:J147&lt;=W111),1),J$4:J147))-(W111-LARGE(FILTER(J$4:J147,J$4:J147&lt;=W111),1))*"&amp;"INDEX(F$4:F147,MATCH(LARGE(FILTER(J$4:J147,J$4:J147&lt;=W111),1),J$4:J147))))"),3117.0)</f>
        <v>3117</v>
      </c>
      <c r="O111" s="65">
        <f t="shared" si="9"/>
        <v>24</v>
      </c>
      <c r="P111" s="69" t="s">
        <v>16</v>
      </c>
      <c r="Q111" s="14" t="b">
        <f>IFERROR(__xludf.DUMMYFUNCTION("IF(COUNTA(P111:P147)=0,"""",IFERROR(IF(ISBLANK(P111),FALSE,IF(ISBLANK(T111),1,IF(NOT(COUNTIF($AA$24:$AA$34,SUBSTITUTE(P111,""Sell_"",""""))),1,IF(P111=""Plastic_up"",IF(V111&lt;1000,1),IF(P111=""Super_Up"",IF(OR(COUNTIF(P$4:P111,""Grandma"")-COUNTIF(P$4:P111"&amp;",""Sell_Grandma"")&lt;1,COUNTIF(P$4:P111,VLOOKUP(P111,Upgrades!$F$8:$N$8,7+COUNTIF(P$4:P111,P111)))-COUNTIF(P$4:P111,""Sell_""&amp;VLOOKUP(P111,Upgrades!$F$8:$N$8,7+COUNTIF(P$4:P111,P111)))&lt;15),1),IF(REGEXMATCH(P111,""_up""),IF(COUNTIF(P$4:P111,SUBSTITUTE(P111,"&amp;"""_up"",""""))&lt;IFERROR(VLOOKUP(P111,Upgrades!$L$3:$P$6,1+COUNTIF(P$4:P111,P111),0),999),1),IF(REGEXMATCH(P111,""Sell_""),IF(COUNTIF(P$4:P111,SUBSTITUTE(P111,""Sell_"",""""))-COUNTIF(P$4:P110,P111)&lt;1,1),FALSE)))))))))"),FALSE)</f>
        <v>0</v>
      </c>
      <c r="R111" s="71">
        <f>IFERROR(__xludf.DUMMYFUNCTION("IF(REGEXMATCH(P111,""^Sell_""),R110, IF(COUNTA(P111:P147)=0,"""",(COUNTIF(P$4:P111,""Cursor"")-COUNTIF(P$4:P111,""Sell_Cursor""))*(0.1*2^SWITCH(COUNTIF(P$4:P111,""Cursor_up""),0,0,1,1,2,2,3)+SWITCH(COUNTIF(P$4:P111,""Cursor_up""),4,0.1,0)*(ROW(P111)-4-COU"&amp;"NTIF(P$4:P111,""Cursor"")-COUNTIF(P$4:P111,""*""&amp;""_up"")-2*COUNTIF(P$4:P111,""Sell_""&amp;""*"")+COUNTIF(P$4:P111,""Sell_Cursor"")-COUNTIF(P$4:P111,"""")))+(COUNTIF(P$4:P111,""Grandma"")-COUNTIF(P$4:P111,""Sell_Grandma""))*(1*2^(COUNTIF(P$4:P111,""Grandma_up"&amp;""")+COUNTIF(P$4:P111,""Super_up"")))+(COUNTIF(P$4:P111,""Farm"")-COUNTIF(P$4:P111,""Sell_Farm""))*(8*2^COUNTIF(P$4:P111,""Farm_up""))*IF(COUNTIF(P$4:P111,""Super_up"")&gt;0,1+0.01*(COUNTIF(P$4:P111,""Grandma"")-COUNTIF(P$4:P111,""Sell_Grandma"")),1)+(COUNTIF"&amp;"(P$4:P111,""Mine"")-COUNTIF(P$4:P111,""Sell_Mine""))*((47*2^COUNTIF(P$4:P111,""Mine_up""))*IF(COUNTIF(P$4:P111,""Super_up"")&gt;1,1+0.005*(COUNTIF(P$4:P111,""Grandma"")-COUNTIF(P$4:P111,""Sell_Grandma"")),1))+(COUNTIF(P$4:P111,""Factory"")-COUNTIF(P$4:P111,"&amp;"""Sell_Factory""))*(260*2^COUNTIF(P$4:P111,""Factory_up""))))"),2674.48)</f>
        <v>2674.48</v>
      </c>
      <c r="S111" s="73">
        <f>IFERROR(__xludf.DUMMYFUNCTION("IF(COUNTA(P111:P147)=0,"""",IF(REGEXMATCH(INDEX(FILTER(P$4:P111,P$4:P111&lt;&gt;""""),ROWS(FILTER(P$4:P111,P$4:P111&lt;&gt;""""))),""^Sell_""),INDEX(FILTER(S$4:S110,P$4:P110&lt;&gt;""""),ROWS(FILTER(P$4:P110,P$4:P110&lt;&gt;""""))),$AD$5*(2^SWITCH(COUNTIF(P$4:P111,""Cursor_up"")"&amp;",0,0,1,1,2,2,3)+SWITCH(COUNTIF(P$4:P111,""Cursor_up""),4,0.1,0)*(ROW(P111)-4-COUNTIF(P$4:P111,""Cursor"")-COUNTIF(P$4:P111,""*""&amp;""_up"")-2*COUNTIF(P$4:P111,""Sell_""&amp;""*"")+COUNTIF(P$4:P111,""Sell_Cursor"")-COUNTIF(P$4:P111,""""))+0.01*R111*COUNTIF(P$4:P"&amp;"111,""Plastic_up""))+R111))"),3021.928)</f>
        <v>3021.928</v>
      </c>
      <c r="T111" s="14">
        <f>IFERROR(__xludf.DUMMYFUNCTION("IF(COUNTA(P111:P147)=0,"""",IF(REGEXMATCH(P111,""_up""),VLOOKUP(P111,Upgrades!$F$3:$J$8,1+COUNTIF(P$4:P111,P111),FALSE),IF(P111="""",0,IF(REGEXMATCH(P111,""^Sell_""),-ROUNDDOWN(ROUNDUP(INDEX(Upgrades!$C$3:$C$8,MATCH(SUBSTITUTE(P111,""Sell_"",""""),Upgrade"&amp;"s!$B$3:$B$8,0))*1.15^(COUNTIF(P$4:P110,SUBSTITUTE(P111,""Sell_"",""""))-COUNTIF(P$4:P110,""Sell_""&amp;SUBSTITUTE(P111,""Sell_"",""""))))/4),ROUNDUP(INDEX(Upgrades!$C$3:$C$7,MATCH(P111,Upgrades!$B$3:$B$7,0))*1.15^(COUNTIF(P$4:P110,P111)-COUNTIF(P$4:P110,""Sel"&amp;"l_""&amp;P111)))))))"),27381.0)</f>
        <v>27381</v>
      </c>
      <c r="U111" s="14">
        <f t="shared" si="10"/>
        <v>27381</v>
      </c>
      <c r="V111" s="75">
        <f t="shared" si="11"/>
        <v>8901218.366</v>
      </c>
      <c r="W111" s="76">
        <f t="shared" si="12"/>
        <v>1171.51026</v>
      </c>
      <c r="X111" s="71" t="str">
        <f t="shared" si="13"/>
        <v>19m 31s</v>
      </c>
      <c r="Y111" s="77">
        <f t="shared" si="14"/>
        <v>957048</v>
      </c>
      <c r="Z111" s="17"/>
      <c r="AA111" s="13"/>
      <c r="AB111" s="13"/>
      <c r="AC111" s="13"/>
      <c r="AD111" s="13"/>
      <c r="AE111" s="13"/>
      <c r="AF111" s="13"/>
      <c r="AG111" s="13"/>
    </row>
    <row r="112">
      <c r="A112" s="12"/>
      <c r="B112" s="65">
        <f t="shared" si="2"/>
        <v>26</v>
      </c>
      <c r="C112" s="69" t="s">
        <v>10</v>
      </c>
      <c r="D112" s="14" t="b">
        <f>IFERROR(__xludf.DUMMYFUNCTION("IF(COUNTA(C112:C147)=0,"""",IFERROR(IF(ISBLANK(C112),FALSE,IF(ISBLANK(G112),1,IF(NOT(COUNTIF($AA$24:$AA$34,SUBSTITUTE(C112,""Sell_"",""""))),1,IF(C112=""Plastic_up"",IF(I112&lt;1000,1),IF(C112=""Super_Up"",IF(OR(COUNTIF(C$4:C112,""Grandma"")-COUNTIF(C$4:C112"&amp;",""Sell_Grandma"")&lt;1,COUNTIF(C$4:C112,VLOOKUP(C112,Upgrades!$F$8:$N$8,7+COUNTIF(C$4:C112,C112)))-COUNTIF(C$4:C112,""Sell_""&amp;VLOOKUP(C112,Upgrades!$F$8:$N$8,7+COUNTIF(C$4:C112,C112)))&lt;15),1),IF(REGEXMATCH(C112,""_up""),IF(COUNTIF(C$4:C112,SUBSTITUTE(C112,"&amp;"""_up"",""""))&lt;IFERROR(VLOOKUP(C112,Upgrades!$L$3:$P$6,1+COUNTIF(C$4:C112,C112),0),999),1),IF(REGEXMATCH(C112,""Sell_""),IF(COUNTIF(C$4:C112,SUBSTITUTE(C112,""Sell_"",""""))-COUNTIF(C$4:C111,C112)&lt;1,1),FALSE)))))))))"),FALSE)</f>
        <v>0</v>
      </c>
      <c r="E112" s="71">
        <f>IFERROR(__xludf.DUMMYFUNCTION("IF(REGEXMATCH(C112,""^Sell_""),E111, IF(COUNTA(C112:C147)=0,"""",(COUNTIF(C$4:C112,""Cursor"")-COUNTIF(C$4:C112,""Sell_Cursor""))*(0.1*2^SWITCH(COUNTIF(C$4:C112,""Cursor_up""),0,0,1,1,2,2,3)+SWITCH(COUNTIF(C$4:C112,""Cursor_up""),4,0.1,0)*(ROW(C112)-4-COU"&amp;"NTIF(C$4:C112,""Cursor"")-COUNTIF(C$4:C112,""*""&amp;""_up"")-2*COUNTIF(C$4:C112,""Sell_""&amp;""*"")+COUNTIF(C$4:C112,""Sell_Cursor"")-COUNTIF(C$4:C112,"""")))+(COUNTIF(C$4:C112,""Grandma"")-COUNTIF(C$4:C112,""Sell_Grandma""))*(1*2^(COUNTIF(C$4:C112,""Grandma_up"&amp;""")+COUNTIF(C$4:C112,""Super_up"")))+(COUNTIF(C$4:C112,""Farm"")-COUNTIF(C$4:C112,""Sell_Farm""))*(8*2^COUNTIF(C$4:C112,""Farm_up""))*IF(COUNTIF(C$4:C112,""Super_up"")&gt;0,1+0.01*(COUNTIF(C$4:C112,""Grandma"")-COUNTIF(C$4:C112,""Sell_Grandma"")),1)+(COUNTIF"&amp;"(C$4:C112,""Mine"")-COUNTIF(C$4:C112,""Sell_Mine""))*((47*2^COUNTIF(C$4:C112,""Mine_up""))*IF(COUNTIF(C$4:C112,""Super_up"")&gt;1,1+0.005*(COUNTIF(C$4:C112,""Grandma"")-COUNTIF(C$4:C112,""Sell_Grandma"")),1))+(COUNTIF(C$4:C112,""Factory"")-COUNTIF(C$4:C112,"&amp;"""Sell_Factory""))*(260*2^COUNTIF(C$4:C112,""Factory_up""))))"),2675.2799999999997)</f>
        <v>2675.28</v>
      </c>
      <c r="F112" s="73">
        <f>IFERROR(__xludf.DUMMYFUNCTION("IF(COUNTA(C112:C147)=0,"""",IF(REGEXMATCH(INDEX(FILTER(C$4:C112,C$4:C112&lt;&gt;""""),ROWS(FILTER(C$4:C112,C$4:C112&lt;&gt;""""))),""^Sell_""),INDEX(FILTER(F$4:F111,C$4:C111&lt;&gt;""""),ROWS(FILTER(C$4:C111,C$4:C111&lt;&gt;""""))),$AC$5*(2^SWITCH(COUNTIF(C$4:C112,""Cursor_up"")"&amp;",0,0,1,1,2,2,3)+SWITCH(COUNTIF(C$4:C112,""Cursor_up""),4,0.1,0)*(ROW(C112)-4-COUNTIF(C$4:C112,""Cursor"")-COUNTIF(C$4:C112,""*""&amp;""_up"")-2*COUNTIF(C$4:C112,""Sell_""&amp;""*"")+COUNTIF(C$4:C112,""Sell_Cursor"")-COUNTIF(C$4:C112,""""))+0.01*E112*COUNTIF(C$4:C"&amp;"112,""Plastic_up""))+E112))"),3022.8079999999995)</f>
        <v>3022.808</v>
      </c>
      <c r="G112" s="14">
        <f>IFERROR(__xludf.DUMMYFUNCTION("IF(COUNTA(C112:C147)=0,"""",IF(REGEXMATCH(C112,""_up""),VLOOKUP(C112,Upgrades!$F$3:$J$8,1+COUNTIF(C$4:C112,C112),FALSE),IF(C112="""",0,IF(REGEXMATCH(C112,""^Sell_""),-ROUNDDOWN(ROUNDUP(INDEX(Upgrades!$C$3:$C$8,MATCH(SUBSTITUTE(C112,""Sell_"",""""),Upgrade"&amp;"s!$B$3:$B$8,0))*1.15^(COUNTIF(C$4:C111,SUBSTITUTE(C112,""Sell_"",""""))-COUNTIF(C$4:C111,""Sell_""&amp;SUBSTITUTE(C112,""Sell_"",""""))))/4),ROUNDUP(INDEX(Upgrades!$C$3:$C$7,MATCH(C112,Upgrades!$B$3:$B$7,0))*1.15^(COUNTIF(C$4:C111,C112)-COUNTIF(C$4:C111,""Sel"&amp;"l_""&amp;C112)))))))"),494.0)</f>
        <v>494</v>
      </c>
      <c r="H112" s="14">
        <f t="shared" si="3"/>
        <v>494</v>
      </c>
      <c r="I112" s="75">
        <f t="shared" si="4"/>
        <v>9402636.389</v>
      </c>
      <c r="J112" s="76">
        <f t="shared" si="5"/>
        <v>1172.721968</v>
      </c>
      <c r="K112" s="71" t="str">
        <f t="shared" si="6"/>
        <v>19m 32s</v>
      </c>
      <c r="L112" s="77">
        <f t="shared" si="7"/>
        <v>957542</v>
      </c>
      <c r="M112" s="51">
        <f t="shared" si="8"/>
        <v>-1.04823</v>
      </c>
      <c r="N112" s="52">
        <f>IFERROR(__xludf.DUMMYFUNCTION("IFS(AND(COUNTA(C112:C147)=0,COUNTA(P112:P147)=0),"""",OR(AND(L112&gt;=1000000,OR(Y112&gt;=1000000,COUNTA(P112:P147)=0)),AND(Y112&gt;=1000000,COUNTA(C112:C147)=0),AND(COUNTA(P112:P147)=0,O$3=TRUE)),
ROUNDDOWN((AB$1-AC$1)*MAX(INDEX(S$4:S147,MATCH(LARGE(FILTER(Y$4:Y1"&amp;"47,Y$4:Y147&lt;1000000),1),Y$4:Y147)),INDEX(F$4:F147,MATCH(LARGE(FILTER(L$4:L147,L$4:L147&lt;1000000),1),L$4:L147)))),AND(L112&lt;1000000,COUNTA(C112:C147)&gt;0,O$3=FALSE),
ROUNDDOWN(INDEX(Y$4:Y147,MATCH(LARGE(FILTER(W$4:W147,W$4:W147&lt;=J112),1),W$4:W147))+(J112-LARGE"&amp;"(FILTER(W$4:W147,W$4:W147&lt;=J112),1))*INDEX(S$4:S147,MATCH(LARGE(FILTER(W$4:W147,W$4:W147&lt;=J112),1),W$4:W147))-L112),1,
ROUNDDOWN(Y112-INDEX(L$4:L147,MATCH(LARGE(FILTER(J$4:J147,J$4:J147&lt;=W112),1),J$4:J147))-(W112-LARGE(FILTER(J$4:J147,J$4:J147&lt;=W112),1))*"&amp;"INDEX(F$4:F147,MATCH(LARGE(FILTER(J$4:J147,J$4:J147&lt;=W112),1),J$4:J147))))"),3125.0)</f>
        <v>3125</v>
      </c>
      <c r="O112" s="65">
        <f t="shared" si="9"/>
        <v>26</v>
      </c>
      <c r="P112" s="69" t="s">
        <v>10</v>
      </c>
      <c r="Q112" s="14" t="b">
        <f>IFERROR(__xludf.DUMMYFUNCTION("IF(COUNTA(P112:P147)=0,"""",IFERROR(IF(ISBLANK(P112),FALSE,IF(ISBLANK(T112),1,IF(NOT(COUNTIF($AA$24:$AA$34,SUBSTITUTE(P112,""Sell_"",""""))),1,IF(P112=""Plastic_up"",IF(V112&lt;1000,1),IF(P112=""Super_Up"",IF(OR(COUNTIF(P$4:P112,""Grandma"")-COUNTIF(P$4:P112"&amp;",""Sell_Grandma"")&lt;1,COUNTIF(P$4:P112,VLOOKUP(P112,Upgrades!$F$8:$N$8,7+COUNTIF(P$4:P112,P112)))-COUNTIF(P$4:P112,""Sell_""&amp;VLOOKUP(P112,Upgrades!$F$8:$N$8,7+COUNTIF(P$4:P112,P112)))&lt;15),1),IF(REGEXMATCH(P112,""_up""),IF(COUNTIF(P$4:P112,SUBSTITUTE(P112,"&amp;"""_up"",""""))&lt;IFERROR(VLOOKUP(P112,Upgrades!$L$3:$P$6,1+COUNTIF(P$4:P112,P112),0),999),1),IF(REGEXMATCH(P112,""Sell_""),IF(COUNTIF(P$4:P112,SUBSTITUTE(P112,""Sell_"",""""))-COUNTIF(P$4:P111,P112)&lt;1,1),FALSE)))))))))"),FALSE)</f>
        <v>0</v>
      </c>
      <c r="R112" s="71">
        <f>IFERROR(__xludf.DUMMYFUNCTION("IF(REGEXMATCH(P112,""^Sell_""),R111, IF(COUNTA(P112:P147)=0,"""",(COUNTIF(P$4:P112,""Cursor"")-COUNTIF(P$4:P112,""Sell_Cursor""))*(0.1*2^SWITCH(COUNTIF(P$4:P112,""Cursor_up""),0,0,1,1,2,2,3)+SWITCH(COUNTIF(P$4:P112,""Cursor_up""),4,0.1,0)*(ROW(P112)-4-COU"&amp;"NTIF(P$4:P112,""Cursor"")-COUNTIF(P$4:P112,""*""&amp;""_up"")-2*COUNTIF(P$4:P112,""Sell_""&amp;""*"")+COUNTIF(P$4:P112,""Sell_Cursor"")-COUNTIF(P$4:P112,"""")))+(COUNTIF(P$4:P112,""Grandma"")-COUNTIF(P$4:P112,""Sell_Grandma""))*(1*2^(COUNTIF(P$4:P112,""Grandma_up"&amp;""")+COUNTIF(P$4:P112,""Super_up"")))+(COUNTIF(P$4:P112,""Farm"")-COUNTIF(P$4:P112,""Sell_Farm""))*(8*2^COUNTIF(P$4:P112,""Farm_up""))*IF(COUNTIF(P$4:P112,""Super_up"")&gt;0,1+0.01*(COUNTIF(P$4:P112,""Grandma"")-COUNTIF(P$4:P112,""Sell_Grandma"")),1)+(COUNTIF"&amp;"(P$4:P112,""Mine"")-COUNTIF(P$4:P112,""Sell_Mine""))*((47*2^COUNTIF(P$4:P112,""Mine_up""))*IF(COUNTIF(P$4:P112,""Super_up"")&gt;1,1+0.005*(COUNTIF(P$4:P112,""Grandma"")-COUNTIF(P$4:P112,""Sell_Grandma"")),1))+(COUNTIF(P$4:P112,""Factory"")-COUNTIF(P$4:P112,"&amp;"""Sell_Factory""))*(260*2^COUNTIF(P$4:P112,""Factory_up""))))"),2675.2799999999997)</f>
        <v>2675.28</v>
      </c>
      <c r="S112" s="73">
        <f>IFERROR(__xludf.DUMMYFUNCTION("IF(COUNTA(P112:P147)=0,"""",IF(REGEXMATCH(INDEX(FILTER(P$4:P112,P$4:P112&lt;&gt;""""),ROWS(FILTER(P$4:P112,P$4:P112&lt;&gt;""""))),""^Sell_""),INDEX(FILTER(S$4:S111,P$4:P111&lt;&gt;""""),ROWS(FILTER(P$4:P111,P$4:P111&lt;&gt;""""))),$AD$5*(2^SWITCH(COUNTIF(P$4:P112,""Cursor_up"")"&amp;",0,0,1,1,2,2,3)+SWITCH(COUNTIF(P$4:P112,""Cursor_up""),4,0.1,0)*(ROW(P112)-4-COUNTIF(P$4:P112,""Cursor"")-COUNTIF(P$4:P112,""*""&amp;""_up"")-2*COUNTIF(P$4:P112,""Sell_""&amp;""*"")+COUNTIF(P$4:P112,""Sell_Cursor"")-COUNTIF(P$4:P112,""""))+0.01*R112*COUNTIF(P$4:P"&amp;"112,""Plastic_up""))+R112))"),3022.8079999999995)</f>
        <v>3022.808</v>
      </c>
      <c r="T112" s="14">
        <f>IFERROR(__xludf.DUMMYFUNCTION("IF(COUNTA(P112:P147)=0,"""",IF(REGEXMATCH(P112,""_up""),VLOOKUP(P112,Upgrades!$F$3:$J$8,1+COUNTIF(P$4:P112,P112),FALSE),IF(P112="""",0,IF(REGEXMATCH(P112,""^Sell_""),-ROUNDDOWN(ROUNDUP(INDEX(Upgrades!$C$3:$C$8,MATCH(SUBSTITUTE(P112,""Sell_"",""""),Upgrade"&amp;"s!$B$3:$B$8,0))*1.15^(COUNTIF(P$4:P111,SUBSTITUTE(P112,""Sell_"",""""))-COUNTIF(P$4:P111,""Sell_""&amp;SUBSTITUTE(P112,""Sell_"",""""))))/4),ROUNDUP(INDEX(Upgrades!$C$3:$C$7,MATCH(P112,Upgrades!$B$3:$B$7,0))*1.15^(COUNTIF(P$4:P111,P112)-COUNTIF(P$4:P111,""Sel"&amp;"l_""&amp;P112)))))))"),494.0)</f>
        <v>494</v>
      </c>
      <c r="U112" s="14">
        <f t="shared" si="10"/>
        <v>494</v>
      </c>
      <c r="V112" s="75">
        <f t="shared" si="11"/>
        <v>9308314.061</v>
      </c>
      <c r="W112" s="76">
        <f t="shared" si="12"/>
        <v>1171.673732</v>
      </c>
      <c r="X112" s="71" t="str">
        <f t="shared" si="13"/>
        <v>19m 31s</v>
      </c>
      <c r="Y112" s="77">
        <f t="shared" si="14"/>
        <v>957542</v>
      </c>
      <c r="Z112" s="17"/>
      <c r="AA112" s="13"/>
      <c r="AB112" s="13"/>
      <c r="AC112" s="13"/>
      <c r="AD112" s="13"/>
      <c r="AE112" s="13"/>
      <c r="AF112" s="13"/>
      <c r="AG112" s="13"/>
    </row>
    <row r="113">
      <c r="A113" s="12"/>
      <c r="B113" s="65">
        <f t="shared" si="2"/>
        <v>37</v>
      </c>
      <c r="C113" s="69" t="s">
        <v>13</v>
      </c>
      <c r="D113" s="14" t="b">
        <f>IFERROR(__xludf.DUMMYFUNCTION("IF(COUNTA(C113:C147)=0,"""",IFERROR(IF(ISBLANK(C113),FALSE,IF(ISBLANK(G113),1,IF(NOT(COUNTIF($AA$24:$AA$34,SUBSTITUTE(C113,""Sell_"",""""))),1,IF(C113=""Plastic_up"",IF(I113&lt;1000,1),IF(C113=""Super_Up"",IF(OR(COUNTIF(C$4:C113,""Grandma"")-COUNTIF(C$4:C113"&amp;",""Sell_Grandma"")&lt;1,COUNTIF(C$4:C113,VLOOKUP(C113,Upgrades!$F$8:$N$8,7+COUNTIF(C$4:C113,C113)))-COUNTIF(C$4:C113,""Sell_""&amp;VLOOKUP(C113,Upgrades!$F$8:$N$8,7+COUNTIF(C$4:C113,C113)))&lt;15),1),IF(REGEXMATCH(C113,""_up""),IF(COUNTIF(C$4:C113,SUBSTITUTE(C113,"&amp;"""_up"",""""))&lt;IFERROR(VLOOKUP(C113,Upgrades!$L$3:$P$6,1+COUNTIF(C$4:C113,C113),0),999),1),IF(REGEXMATCH(C113,""Sell_""),IF(COUNTIF(C$4:C113,SUBSTITUTE(C113,""Sell_"",""""))-COUNTIF(C$4:C112,C113)&lt;1,1),FALSE)))))))))"),FALSE)</f>
        <v>0</v>
      </c>
      <c r="E113" s="71">
        <f>IFERROR(__xludf.DUMMYFUNCTION("IF(REGEXMATCH(C113,""^Sell_""),E112, IF(COUNTA(C113:C147)=0,"""",(COUNTIF(C$4:C113,""Cursor"")-COUNTIF(C$4:C113,""Sell_Cursor""))*(0.1*2^SWITCH(COUNTIF(C$4:C113,""Cursor_up""),0,0,1,1,2,2,3)+SWITCH(COUNTIF(C$4:C113,""Cursor_up""),4,0.1,0)*(ROW(C113)-4-COU"&amp;"NTIF(C$4:C113,""Cursor"")-COUNTIF(C$4:C113,""*""&amp;""_up"")-2*COUNTIF(C$4:C113,""Sell_""&amp;""*"")+COUNTIF(C$4:C113,""Sell_Cursor"")-COUNTIF(C$4:C113,"""")))+(COUNTIF(C$4:C113,""Grandma"")-COUNTIF(C$4:C113,""Sell_Grandma""))*(1*2^(COUNTIF(C$4:C113,""Grandma_up"&amp;""")+COUNTIF(C$4:C113,""Super_up"")))+(COUNTIF(C$4:C113,""Farm"")-COUNTIF(C$4:C113,""Sell_Farm""))*(8*2^COUNTIF(C$4:C113,""Farm_up""))*IF(COUNTIF(C$4:C113,""Super_up"")&gt;0,1+0.01*(COUNTIF(C$4:C113,""Grandma"")-COUNTIF(C$4:C113,""Sell_Grandma"")),1)+(COUNTIF"&amp;"(C$4:C113,""Mine"")-COUNTIF(C$4:C113,""Sell_Mine""))*((47*2^COUNTIF(C$4:C113,""Mine_up""))*IF(COUNTIF(C$4:C113,""Super_up"")&gt;1,1+0.005*(COUNTIF(C$4:C113,""Grandma"")-COUNTIF(C$4:C113,""Sell_Grandma"")),1))+(COUNTIF(C$4:C113,""Factory"")-COUNTIF(C$4:C113,"&amp;"""Sell_Factory""))*(260*2^COUNTIF(C$4:C113,""Factory_up""))))"),2698.96)</f>
        <v>2698.96</v>
      </c>
      <c r="F113" s="73">
        <f>IFERROR(__xludf.DUMMYFUNCTION("IF(COUNTA(C113:C147)=0,"""",IF(REGEXMATCH(INDEX(FILTER(C$4:C113,C$4:C113&lt;&gt;""""),ROWS(FILTER(C$4:C113,C$4:C113&lt;&gt;""""))),""^Sell_""),INDEX(FILTER(F$4:F112,C$4:C112&lt;&gt;""""),ROWS(FILTER(C$4:C112,C$4:C112&lt;&gt;""""))),$AC$5*(2^SWITCH(COUNTIF(C$4:C113,""Cursor_up"")"&amp;",0,0,1,1,2,2,3)+SWITCH(COUNTIF(C$4:C113,""Cursor_up""),4,0.1,0)*(ROW(C113)-4-COUNTIF(C$4:C113,""Cursor"")-COUNTIF(C$4:C113,""*""&amp;""_up"")-2*COUNTIF(C$4:C113,""Sell_""&amp;""*"")+COUNTIF(C$4:C113,""Sell_Cursor"")-COUNTIF(C$4:C113,""""))+0.01*E113*COUNTIF(C$4:C"&amp;"113,""Plastic_up""))+E113))"),3048.8559999999998)</f>
        <v>3048.856</v>
      </c>
      <c r="G113" s="14">
        <f>IFERROR(__xludf.DUMMYFUNCTION("IF(COUNTA(C113:C147)=0,"""",IF(REGEXMATCH(C113,""_up""),VLOOKUP(C113,Upgrades!$F$3:$J$8,1+COUNTIF(C$4:C113,C113),FALSE),IF(C113="""",0,IF(REGEXMATCH(C113,""^Sell_""),-ROUNDDOWN(ROUNDUP(INDEX(Upgrades!$C$3:$C$8,MATCH(SUBSTITUTE(C113,""Sell_"",""""),Upgrade"&amp;"s!$B$3:$B$8,0))*1.15^(COUNTIF(C$4:C112,SUBSTITUTE(C113,""Sell_"",""""))-COUNTIF(C$4:C112,""Sell_""&amp;SUBSTITUTE(C113,""Sell_"",""""))))/4),ROUNDUP(INDEX(Upgrades!$C$3:$C$7,MATCH(C113,Upgrades!$B$3:$B$7,0))*1.15^(COUNTIF(C$4:C112,C113)-COUNTIF(C$4:C112,""Sel"&amp;"l_""&amp;C113)))))))"),15316.0)</f>
        <v>15316</v>
      </c>
      <c r="H113" s="14">
        <f t="shared" si="3"/>
        <v>15316</v>
      </c>
      <c r="I113" s="75">
        <f t="shared" si="4"/>
        <v>9811950.968</v>
      </c>
      <c r="J113" s="76">
        <f t="shared" si="5"/>
        <v>1177.78878</v>
      </c>
      <c r="K113" s="71" t="str">
        <f t="shared" si="6"/>
        <v>19m 37s</v>
      </c>
      <c r="L113" s="77">
        <f t="shared" si="7"/>
        <v>972858</v>
      </c>
      <c r="M113" s="51">
        <f t="shared" si="8"/>
        <v>-1.04823</v>
      </c>
      <c r="N113" s="52">
        <f>IFERROR(__xludf.DUMMYFUNCTION("IFS(AND(COUNTA(C113:C147)=0,COUNTA(P113:P147)=0),"""",OR(AND(L113&gt;=1000000,OR(Y113&gt;=1000000,COUNTA(P113:P147)=0)),AND(Y113&gt;=1000000,COUNTA(C113:C147)=0),AND(COUNTA(P113:P147)=0,O$3=TRUE)),
ROUNDDOWN((AB$1-AC$1)*MAX(INDEX(S$4:S147,MATCH(LARGE(FILTER(Y$4:Y1"&amp;"47,Y$4:Y147&lt;1000000),1),Y$4:Y147)),INDEX(F$4:F147,MATCH(LARGE(FILTER(L$4:L147,L$4:L147&lt;1000000),1),L$4:L147)))),AND(L113&lt;1000000,COUNTA(C113:C147)&gt;0,O$3=FALSE),
ROUNDDOWN(INDEX(Y$4:Y147,MATCH(LARGE(FILTER(W$4:W147,W$4:W147&lt;=J113),1),W$4:W147))+(J113-LARGE"&amp;"(FILTER(W$4:W147,W$4:W147&lt;=J113),1))*INDEX(S$4:S147,MATCH(LARGE(FILTER(W$4:W147,W$4:W147&lt;=J113),1),W$4:W147))-L113),1,
ROUNDDOWN(Y113-INDEX(L$4:L147,MATCH(LARGE(FILTER(J$4:J147,J$4:J147&lt;=W113),1),J$4:J147))-(W113-LARGE(FILTER(J$4:J147,J$4:J147&lt;=W113),1))*"&amp;"INDEX(F$4:F147,MATCH(LARGE(FILTER(J$4:J147,J$4:J147&lt;=W113),1),J$4:J147))))"),3168.0)</f>
        <v>3168</v>
      </c>
      <c r="O113" s="65">
        <f t="shared" si="9"/>
        <v>37</v>
      </c>
      <c r="P113" s="69" t="s">
        <v>13</v>
      </c>
      <c r="Q113" s="14" t="b">
        <f>IFERROR(__xludf.DUMMYFUNCTION("IF(COUNTA(P113:P147)=0,"""",IFERROR(IF(ISBLANK(P113),FALSE,IF(ISBLANK(T113),1,IF(NOT(COUNTIF($AA$24:$AA$34,SUBSTITUTE(P113,""Sell_"",""""))),1,IF(P113=""Plastic_up"",IF(V113&lt;1000,1),IF(P113=""Super_Up"",IF(OR(COUNTIF(P$4:P113,""Grandma"")-COUNTIF(P$4:P113"&amp;",""Sell_Grandma"")&lt;1,COUNTIF(P$4:P113,VLOOKUP(P113,Upgrades!$F$8:$N$8,7+COUNTIF(P$4:P113,P113)))-COUNTIF(P$4:P113,""Sell_""&amp;VLOOKUP(P113,Upgrades!$F$8:$N$8,7+COUNTIF(P$4:P113,P113)))&lt;15),1),IF(REGEXMATCH(P113,""_up""),IF(COUNTIF(P$4:P113,SUBSTITUTE(P113,"&amp;"""_up"",""""))&lt;IFERROR(VLOOKUP(P113,Upgrades!$L$3:$P$6,1+COUNTIF(P$4:P113,P113),0),999),1),IF(REGEXMATCH(P113,""Sell_""),IF(COUNTIF(P$4:P113,SUBSTITUTE(P113,""Sell_"",""""))-COUNTIF(P$4:P112,P113)&lt;1,1),FALSE)))))))))"),FALSE)</f>
        <v>0</v>
      </c>
      <c r="R113" s="71">
        <f>IFERROR(__xludf.DUMMYFUNCTION("IF(REGEXMATCH(P113,""^Sell_""),R112, IF(COUNTA(P113:P147)=0,"""",(COUNTIF(P$4:P113,""Cursor"")-COUNTIF(P$4:P113,""Sell_Cursor""))*(0.1*2^SWITCH(COUNTIF(P$4:P113,""Cursor_up""),0,0,1,1,2,2,3)+SWITCH(COUNTIF(P$4:P113,""Cursor_up""),4,0.1,0)*(ROW(P113)-4-COU"&amp;"NTIF(P$4:P113,""Cursor"")-COUNTIF(P$4:P113,""*""&amp;""_up"")-2*COUNTIF(P$4:P113,""Sell_""&amp;""*"")+COUNTIF(P$4:P113,""Sell_Cursor"")-COUNTIF(P$4:P113,"""")))+(COUNTIF(P$4:P113,""Grandma"")-COUNTIF(P$4:P113,""Sell_Grandma""))*(1*2^(COUNTIF(P$4:P113,""Grandma_up"&amp;""")+COUNTIF(P$4:P113,""Super_up"")))+(COUNTIF(P$4:P113,""Farm"")-COUNTIF(P$4:P113,""Sell_Farm""))*(8*2^COUNTIF(P$4:P113,""Farm_up""))*IF(COUNTIF(P$4:P113,""Super_up"")&gt;0,1+0.01*(COUNTIF(P$4:P113,""Grandma"")-COUNTIF(P$4:P113,""Sell_Grandma"")),1)+(COUNTIF"&amp;"(P$4:P113,""Mine"")-COUNTIF(P$4:P113,""Sell_Mine""))*((47*2^COUNTIF(P$4:P113,""Mine_up""))*IF(COUNTIF(P$4:P113,""Super_up"")&gt;1,1+0.005*(COUNTIF(P$4:P113,""Grandma"")-COUNTIF(P$4:P113,""Sell_Grandma"")),1))+(COUNTIF(P$4:P113,""Factory"")-COUNTIF(P$4:P113,"&amp;"""Sell_Factory""))*(260*2^COUNTIF(P$4:P113,""Factory_up""))))"),2698.96)</f>
        <v>2698.96</v>
      </c>
      <c r="S113" s="73">
        <f>IFERROR(__xludf.DUMMYFUNCTION("IF(COUNTA(P113:P147)=0,"""",IF(REGEXMATCH(INDEX(FILTER(P$4:P113,P$4:P113&lt;&gt;""""),ROWS(FILTER(P$4:P113,P$4:P113&lt;&gt;""""))),""^Sell_""),INDEX(FILTER(S$4:S112,P$4:P112&lt;&gt;""""),ROWS(FILTER(P$4:P112,P$4:P112&lt;&gt;""""))),$AD$5*(2^SWITCH(COUNTIF(P$4:P113,""Cursor_up"")"&amp;",0,0,1,1,2,2,3)+SWITCH(COUNTIF(P$4:P113,""Cursor_up""),4,0.1,0)*(ROW(P113)-4-COUNTIF(P$4:P113,""Cursor"")-COUNTIF(P$4:P113,""*""&amp;""_up"")-2*COUNTIF(P$4:P113,""Sell_""&amp;""*"")+COUNTIF(P$4:P113,""Sell_Cursor"")-COUNTIF(P$4:P113,""""))+0.01*R113*COUNTIF(P$4:P"&amp;"113,""Plastic_up""))+R113))"),3048.8559999999998)</f>
        <v>3048.856</v>
      </c>
      <c r="T113" s="14">
        <f>IFERROR(__xludf.DUMMYFUNCTION("IF(COUNTA(P113:P147)=0,"""",IF(REGEXMATCH(P113,""_up""),VLOOKUP(P113,Upgrades!$F$3:$J$8,1+COUNTIF(P$4:P113,P113),FALSE),IF(P113="""",0,IF(REGEXMATCH(P113,""^Sell_""),-ROUNDDOWN(ROUNDUP(INDEX(Upgrades!$C$3:$C$8,MATCH(SUBSTITUTE(P113,""Sell_"",""""),Upgrade"&amp;"s!$B$3:$B$8,0))*1.15^(COUNTIF(P$4:P112,SUBSTITUTE(P113,""Sell_"",""""))-COUNTIF(P$4:P112,""Sell_""&amp;SUBSTITUTE(P113,""Sell_"",""""))))/4),ROUNDUP(INDEX(Upgrades!$C$3:$C$7,MATCH(P113,Upgrades!$B$3:$B$7,0))*1.15^(COUNTIF(P$4:P112,P113)-COUNTIF(P$4:P112,""Sel"&amp;"l_""&amp;P113)))))))"),15316.0)</f>
        <v>15316</v>
      </c>
      <c r="U113" s="14">
        <f t="shared" si="10"/>
        <v>15316</v>
      </c>
      <c r="V113" s="75">
        <f t="shared" si="11"/>
        <v>9717264.349</v>
      </c>
      <c r="W113" s="76">
        <f t="shared" si="12"/>
        <v>1176.740544</v>
      </c>
      <c r="X113" s="71" t="str">
        <f t="shared" si="13"/>
        <v>19m 36s</v>
      </c>
      <c r="Y113" s="77">
        <f t="shared" si="14"/>
        <v>972858</v>
      </c>
      <c r="Z113" s="17"/>
      <c r="AA113" s="13"/>
      <c r="AB113" s="13"/>
      <c r="AC113" s="13"/>
      <c r="AD113" s="13"/>
      <c r="AE113" s="13"/>
      <c r="AF113" s="13"/>
      <c r="AG113" s="13"/>
    </row>
    <row r="114">
      <c r="A114" s="12"/>
      <c r="B114" s="65">
        <f t="shared" si="2"/>
        <v>27</v>
      </c>
      <c r="C114" s="69" t="s">
        <v>10</v>
      </c>
      <c r="D114" s="14" t="b">
        <f>IFERROR(__xludf.DUMMYFUNCTION("IF(COUNTA(C114:C147)=0,"""",IFERROR(IF(ISBLANK(C114),FALSE,IF(ISBLANK(G114),1,IF(NOT(COUNTIF($AA$24:$AA$34,SUBSTITUTE(C114,""Sell_"",""""))),1,IF(C114=""Plastic_up"",IF(I114&lt;1000,1),IF(C114=""Super_Up"",IF(OR(COUNTIF(C$4:C114,""Grandma"")-COUNTIF(C$4:C114"&amp;",""Sell_Grandma"")&lt;1,COUNTIF(C$4:C114,VLOOKUP(C114,Upgrades!$F$8:$N$8,7+COUNTIF(C$4:C114,C114)))-COUNTIF(C$4:C114,""Sell_""&amp;VLOOKUP(C114,Upgrades!$F$8:$N$8,7+COUNTIF(C$4:C114,C114)))&lt;15),1),IF(REGEXMATCH(C114,""_up""),IF(COUNTIF(C$4:C114,SUBSTITUTE(C114,"&amp;"""_up"",""""))&lt;IFERROR(VLOOKUP(C114,Upgrades!$L$3:$P$6,1+COUNTIF(C$4:C114,C114),0),999),1),IF(REGEXMATCH(C114,""Sell_""),IF(COUNTIF(C$4:C114,SUBSTITUTE(C114,""Sell_"",""""))-COUNTIF(C$4:C113,C114)&lt;1,1),FALSE)))))))))"),FALSE)</f>
        <v>0</v>
      </c>
      <c r="E114" s="71">
        <f>IFERROR(__xludf.DUMMYFUNCTION("IF(REGEXMATCH(C114,""^Sell_""),E113, IF(COUNTA(C114:C147)=0,"""",(COUNTIF(C$4:C114,""Cursor"")-COUNTIF(C$4:C114,""Sell_Cursor""))*(0.1*2^SWITCH(COUNTIF(C$4:C114,""Cursor_up""),0,0,1,1,2,2,3)+SWITCH(COUNTIF(C$4:C114,""Cursor_up""),4,0.1,0)*(ROW(C114)-4-COU"&amp;"NTIF(C$4:C114,""Cursor"")-COUNTIF(C$4:C114,""*""&amp;""_up"")-2*COUNTIF(C$4:C114,""Sell_""&amp;""*"")+COUNTIF(C$4:C114,""Sell_Cursor"")-COUNTIF(C$4:C114,"""")))+(COUNTIF(C$4:C114,""Grandma"")-COUNTIF(C$4:C114,""Sell_Grandma""))*(1*2^(COUNTIF(C$4:C114,""Grandma_up"&amp;""")+COUNTIF(C$4:C114,""Super_up"")))+(COUNTIF(C$4:C114,""Farm"")-COUNTIF(C$4:C114,""Sell_Farm""))*(8*2^COUNTIF(C$4:C114,""Farm_up""))*IF(COUNTIF(C$4:C114,""Super_up"")&gt;0,1+0.01*(COUNTIF(C$4:C114,""Grandma"")-COUNTIF(C$4:C114,""Sell_Grandma"")),1)+(COUNTIF"&amp;"(C$4:C114,""Mine"")-COUNTIF(C$4:C114,""Sell_Mine""))*((47*2^COUNTIF(C$4:C114,""Mine_up""))*IF(COUNTIF(C$4:C114,""Super_up"")&gt;1,1+0.005*(COUNTIF(C$4:C114,""Grandma"")-COUNTIF(C$4:C114,""Sell_Grandma"")),1))+(COUNTIF(C$4:C114,""Factory"")-COUNTIF(C$4:C114,"&amp;"""Sell_Factory""))*(260*2^COUNTIF(C$4:C114,""Factory_up""))))"),2699.76)</f>
        <v>2699.76</v>
      </c>
      <c r="F114" s="73">
        <f>IFERROR(__xludf.DUMMYFUNCTION("IF(COUNTA(C114:C147)=0,"""",IF(REGEXMATCH(INDEX(FILTER(C$4:C114,C$4:C114&lt;&gt;""""),ROWS(FILTER(C$4:C114,C$4:C114&lt;&gt;""""))),""^Sell_""),INDEX(FILTER(F$4:F113,C$4:C113&lt;&gt;""""),ROWS(FILTER(C$4:C113,C$4:C113&lt;&gt;""""))),$AC$5*(2^SWITCH(COUNTIF(C$4:C114,""Cursor_up"")"&amp;",0,0,1,1,2,2,3)+SWITCH(COUNTIF(C$4:C114,""Cursor_up""),4,0.1,0)*(ROW(C114)-4-COUNTIF(C$4:C114,""Cursor"")-COUNTIF(C$4:C114,""*""&amp;""_up"")-2*COUNTIF(C$4:C114,""Sell_""&amp;""*"")+COUNTIF(C$4:C114,""Sell_Cursor"")-COUNTIF(C$4:C114,""""))+0.01*E114*COUNTIF(C$4:C"&amp;"114,""Plastic_up""))+E114))"),3049.7360000000003)</f>
        <v>3049.736</v>
      </c>
      <c r="G114" s="14">
        <f>IFERROR(__xludf.DUMMYFUNCTION("IF(COUNTA(C114:C147)=0,"""",IF(REGEXMATCH(C114,""_up""),VLOOKUP(C114,Upgrades!$F$3:$J$8,1+COUNTIF(C$4:C114,C114),FALSE),IF(C114="""",0,IF(REGEXMATCH(C114,""^Sell_""),-ROUNDDOWN(ROUNDUP(INDEX(Upgrades!$C$3:$C$8,MATCH(SUBSTITUTE(C114,""Sell_"",""""),Upgrade"&amp;"s!$B$3:$B$8,0))*1.15^(COUNTIF(C$4:C113,SUBSTITUTE(C114,""Sell_"",""""))-COUNTIF(C$4:C113,""Sell_""&amp;SUBSTITUTE(C114,""Sell_"",""""))))/4),ROUNDUP(INDEX(Upgrades!$C$3:$C$7,MATCH(C114,Upgrades!$B$3:$B$7,0))*1.15^(COUNTIF(C$4:C113,C114)-COUNTIF(C$4:C113,""Sel"&amp;"l_""&amp;C114)))))))"),568.0)</f>
        <v>568</v>
      </c>
      <c r="H114" s="14">
        <f t="shared" si="3"/>
        <v>568</v>
      </c>
      <c r="I114" s="75">
        <f t="shared" si="4"/>
        <v>10224119.74</v>
      </c>
      <c r="J114" s="76">
        <f t="shared" si="5"/>
        <v>1177.975079</v>
      </c>
      <c r="K114" s="71" t="str">
        <f t="shared" si="6"/>
        <v>19m 37s</v>
      </c>
      <c r="L114" s="77">
        <f t="shared" si="7"/>
        <v>973426</v>
      </c>
      <c r="M114" s="51">
        <f t="shared" si="8"/>
        <v>-1.04823</v>
      </c>
      <c r="N114" s="52">
        <f>IFERROR(__xludf.DUMMYFUNCTION("IFS(AND(COUNTA(C114:C147)=0,COUNTA(P114:P147)=0),"""",OR(AND(L114&gt;=1000000,OR(Y114&gt;=1000000,COUNTA(P114:P147)=0)),AND(Y114&gt;=1000000,COUNTA(C114:C147)=0),AND(COUNTA(P114:P147)=0,O$3=TRUE)),
ROUNDDOWN((AB$1-AC$1)*MAX(INDEX(S$4:S147,MATCH(LARGE(FILTER(Y$4:Y1"&amp;"47,Y$4:Y147&lt;1000000),1),Y$4:Y147)),INDEX(F$4:F147,MATCH(LARGE(FILTER(L$4:L147,L$4:L147&lt;1000000),1),L$4:L147)))),AND(L114&lt;1000000,COUNTA(C114:C147)&gt;0,O$3=FALSE),
ROUNDDOWN(INDEX(Y$4:Y147,MATCH(LARGE(FILTER(W$4:W147,W$4:W147&lt;=J114),1),W$4:W147))+(J114-LARGE"&amp;"(FILTER(W$4:W147,W$4:W147&lt;=J114),1))*INDEX(S$4:S147,MATCH(LARGE(FILTER(W$4:W147,W$4:W147&lt;=J114),1),W$4:W147))-L114),1,
ROUNDDOWN(Y114-INDEX(L$4:L147,MATCH(LARGE(FILTER(J$4:J147,J$4:J147&lt;=W114),1),J$4:J147))-(W114-LARGE(FILTER(J$4:J147,J$4:J147&lt;=W114),1))*"&amp;"INDEX(F$4:F147,MATCH(LARGE(FILTER(J$4:J147,J$4:J147&lt;=W114),1),J$4:J147))))"),3173.0)</f>
        <v>3173</v>
      </c>
      <c r="O114" s="65">
        <f t="shared" si="9"/>
        <v>27</v>
      </c>
      <c r="P114" s="69" t="s">
        <v>10</v>
      </c>
      <c r="Q114" s="14" t="b">
        <f>IFERROR(__xludf.DUMMYFUNCTION("IF(COUNTA(P114:P147)=0,"""",IFERROR(IF(ISBLANK(P114),FALSE,IF(ISBLANK(T114),1,IF(NOT(COUNTIF($AA$24:$AA$34,SUBSTITUTE(P114,""Sell_"",""""))),1,IF(P114=""Plastic_up"",IF(V114&lt;1000,1),IF(P114=""Super_Up"",IF(OR(COUNTIF(P$4:P114,""Grandma"")-COUNTIF(P$4:P114"&amp;",""Sell_Grandma"")&lt;1,COUNTIF(P$4:P114,VLOOKUP(P114,Upgrades!$F$8:$N$8,7+COUNTIF(P$4:P114,P114)))-COUNTIF(P$4:P114,""Sell_""&amp;VLOOKUP(P114,Upgrades!$F$8:$N$8,7+COUNTIF(P$4:P114,P114)))&lt;15),1),IF(REGEXMATCH(P114,""_up""),IF(COUNTIF(P$4:P114,SUBSTITUTE(P114,"&amp;"""_up"",""""))&lt;IFERROR(VLOOKUP(P114,Upgrades!$L$3:$P$6,1+COUNTIF(P$4:P114,P114),0),999),1),IF(REGEXMATCH(P114,""Sell_""),IF(COUNTIF(P$4:P114,SUBSTITUTE(P114,""Sell_"",""""))-COUNTIF(P$4:P113,P114)&lt;1,1),FALSE)))))))))"),FALSE)</f>
        <v>0</v>
      </c>
      <c r="R114" s="71">
        <f>IFERROR(__xludf.DUMMYFUNCTION("IF(REGEXMATCH(P114,""^Sell_""),R113, IF(COUNTA(P114:P147)=0,"""",(COUNTIF(P$4:P114,""Cursor"")-COUNTIF(P$4:P114,""Sell_Cursor""))*(0.1*2^SWITCH(COUNTIF(P$4:P114,""Cursor_up""),0,0,1,1,2,2,3)+SWITCH(COUNTIF(P$4:P114,""Cursor_up""),4,0.1,0)*(ROW(P114)-4-COU"&amp;"NTIF(P$4:P114,""Cursor"")-COUNTIF(P$4:P114,""*""&amp;""_up"")-2*COUNTIF(P$4:P114,""Sell_""&amp;""*"")+COUNTIF(P$4:P114,""Sell_Cursor"")-COUNTIF(P$4:P114,"""")))+(COUNTIF(P$4:P114,""Grandma"")-COUNTIF(P$4:P114,""Sell_Grandma""))*(1*2^(COUNTIF(P$4:P114,""Grandma_up"&amp;""")+COUNTIF(P$4:P114,""Super_up"")))+(COUNTIF(P$4:P114,""Farm"")-COUNTIF(P$4:P114,""Sell_Farm""))*(8*2^COUNTIF(P$4:P114,""Farm_up""))*IF(COUNTIF(P$4:P114,""Super_up"")&gt;0,1+0.01*(COUNTIF(P$4:P114,""Grandma"")-COUNTIF(P$4:P114,""Sell_Grandma"")),1)+(COUNTIF"&amp;"(P$4:P114,""Mine"")-COUNTIF(P$4:P114,""Sell_Mine""))*((47*2^COUNTIF(P$4:P114,""Mine_up""))*IF(COUNTIF(P$4:P114,""Super_up"")&gt;1,1+0.005*(COUNTIF(P$4:P114,""Grandma"")-COUNTIF(P$4:P114,""Sell_Grandma"")),1))+(COUNTIF(P$4:P114,""Factory"")-COUNTIF(P$4:P114,"&amp;"""Sell_Factory""))*(260*2^COUNTIF(P$4:P114,""Factory_up""))))"),2699.76)</f>
        <v>2699.76</v>
      </c>
      <c r="S114" s="73">
        <f>IFERROR(__xludf.DUMMYFUNCTION("IF(COUNTA(P114:P147)=0,"""",IF(REGEXMATCH(INDEX(FILTER(P$4:P114,P$4:P114&lt;&gt;""""),ROWS(FILTER(P$4:P114,P$4:P114&lt;&gt;""""))),""^Sell_""),INDEX(FILTER(S$4:S113,P$4:P113&lt;&gt;""""),ROWS(FILTER(P$4:P113,P$4:P113&lt;&gt;""""))),$AD$5*(2^SWITCH(COUNTIF(P$4:P114,""Cursor_up"")"&amp;",0,0,1,1,2,2,3)+SWITCH(COUNTIF(P$4:P114,""Cursor_up""),4,0.1,0)*(ROW(P114)-4-COUNTIF(P$4:P114,""Cursor"")-COUNTIF(P$4:P114,""*""&amp;""_up"")-2*COUNTIF(P$4:P114,""Sell_""&amp;""*"")+COUNTIF(P$4:P114,""Sell_Cursor"")-COUNTIF(P$4:P114,""""))+0.01*R114*COUNTIF(P$4:P"&amp;"114,""Plastic_up""))+R114))"),3049.7360000000003)</f>
        <v>3049.736</v>
      </c>
      <c r="T114" s="14">
        <f>IFERROR(__xludf.DUMMYFUNCTION("IF(COUNTA(P114:P147)=0,"""",IF(REGEXMATCH(P114,""_up""),VLOOKUP(P114,Upgrades!$F$3:$J$8,1+COUNTIF(P$4:P114,P114),FALSE),IF(P114="""",0,IF(REGEXMATCH(P114,""^Sell_""),-ROUNDDOWN(ROUNDUP(INDEX(Upgrades!$C$3:$C$8,MATCH(SUBSTITUTE(P114,""Sell_"",""""),Upgrade"&amp;"s!$B$3:$B$8,0))*1.15^(COUNTIF(P$4:P113,SUBSTITUTE(P114,""Sell_"",""""))-COUNTIF(P$4:P113,""Sell_""&amp;SUBSTITUTE(P114,""Sell_"",""""))))/4),ROUNDUP(INDEX(Upgrades!$C$3:$C$7,MATCH(P114,Upgrades!$B$3:$B$7,0))*1.15^(COUNTIF(P$4:P113,P114)-COUNTIF(P$4:P113,""Sel"&amp;"l_""&amp;P114)))))))"),568.0)</f>
        <v>568</v>
      </c>
      <c r="U114" s="14">
        <f t="shared" si="10"/>
        <v>568</v>
      </c>
      <c r="V114" s="75">
        <f t="shared" si="11"/>
        <v>10129066.34</v>
      </c>
      <c r="W114" s="76">
        <f t="shared" si="12"/>
        <v>1176.926843</v>
      </c>
      <c r="X114" s="71" t="str">
        <f t="shared" si="13"/>
        <v>19m 36s</v>
      </c>
      <c r="Y114" s="77">
        <f t="shared" si="14"/>
        <v>973426</v>
      </c>
      <c r="Z114" s="17"/>
      <c r="AA114" s="13"/>
      <c r="AB114" s="13"/>
      <c r="AC114" s="13"/>
      <c r="AD114" s="13"/>
      <c r="AE114" s="13"/>
      <c r="AF114" s="13"/>
      <c r="AG114" s="13"/>
    </row>
    <row r="115">
      <c r="A115" s="12"/>
      <c r="B115" s="65">
        <f t="shared" si="2"/>
        <v>38</v>
      </c>
      <c r="C115" s="69" t="s">
        <v>13</v>
      </c>
      <c r="D115" s="14" t="b">
        <f>IFERROR(__xludf.DUMMYFUNCTION("IF(COUNTA(C115:C147)=0,"""",IFERROR(IF(ISBLANK(C115),FALSE,IF(ISBLANK(G115),1,IF(NOT(COUNTIF($AA$24:$AA$34,SUBSTITUTE(C115,""Sell_"",""""))),1,IF(C115=""Plastic_up"",IF(I115&lt;1000,1),IF(C115=""Super_Up"",IF(OR(COUNTIF(C$4:C115,""Grandma"")-COUNTIF(C$4:C115"&amp;",""Sell_Grandma"")&lt;1,COUNTIF(C$4:C115,VLOOKUP(C115,Upgrades!$F$8:$N$8,7+COUNTIF(C$4:C115,C115)))-COUNTIF(C$4:C115,""Sell_""&amp;VLOOKUP(C115,Upgrades!$F$8:$N$8,7+COUNTIF(C$4:C115,C115)))&lt;15),1),IF(REGEXMATCH(C115,""_up""),IF(COUNTIF(C$4:C115,SUBSTITUTE(C115,"&amp;"""_up"",""""))&lt;IFERROR(VLOOKUP(C115,Upgrades!$L$3:$P$6,1+COUNTIF(C$4:C115,C115),0),999),1),IF(REGEXMATCH(C115,""Sell_""),IF(COUNTIF(C$4:C115,SUBSTITUTE(C115,""Sell_"",""""))-COUNTIF(C$4:C114,C115)&lt;1,1),FALSE)))))))))"),FALSE)</f>
        <v>0</v>
      </c>
      <c r="E115" s="71">
        <f>IFERROR(__xludf.DUMMYFUNCTION("IF(REGEXMATCH(C115,""^Sell_""),E114, IF(COUNTA(C115:C147)=0,"""",(COUNTIF(C$4:C115,""Cursor"")-COUNTIF(C$4:C115,""Sell_Cursor""))*(0.1*2^SWITCH(COUNTIF(C$4:C115,""Cursor_up""),0,0,1,1,2,2,3)+SWITCH(COUNTIF(C$4:C115,""Cursor_up""),4,0.1,0)*(ROW(C115)-4-COU"&amp;"NTIF(C$4:C115,""Cursor"")-COUNTIF(C$4:C115,""*""&amp;""_up"")-2*COUNTIF(C$4:C115,""Sell_""&amp;""*"")+COUNTIF(C$4:C115,""Sell_Cursor"")-COUNTIF(C$4:C115,"""")))+(COUNTIF(C$4:C115,""Grandma"")-COUNTIF(C$4:C115,""Sell_Grandma""))*(1*2^(COUNTIF(C$4:C115,""Grandma_up"&amp;""")+COUNTIF(C$4:C115,""Super_up"")))+(COUNTIF(C$4:C115,""Farm"")-COUNTIF(C$4:C115,""Sell_Farm""))*(8*2^COUNTIF(C$4:C115,""Farm_up""))*IF(COUNTIF(C$4:C115,""Super_up"")&gt;0,1+0.01*(COUNTIF(C$4:C115,""Grandma"")-COUNTIF(C$4:C115,""Sell_Grandma"")),1)+(COUNTIF"&amp;"(C$4:C115,""Mine"")-COUNTIF(C$4:C115,""Sell_Mine""))*((47*2^COUNTIF(C$4:C115,""Mine_up""))*IF(COUNTIF(C$4:C115,""Super_up"")&gt;1,1+0.005*(COUNTIF(C$4:C115,""Grandma"")-COUNTIF(C$4:C115,""Sell_Grandma"")),1))+(COUNTIF(C$4:C115,""Factory"")-COUNTIF(C$4:C115,"&amp;"""Sell_Factory""))*(260*2^COUNTIF(C$4:C115,""Factory_up""))))"),2723.44)</f>
        <v>2723.44</v>
      </c>
      <c r="F115" s="73">
        <f>IFERROR(__xludf.DUMMYFUNCTION("IF(COUNTA(C115:C147)=0,"""",IF(REGEXMATCH(INDEX(FILTER(C$4:C115,C$4:C115&lt;&gt;""""),ROWS(FILTER(C$4:C115,C$4:C115&lt;&gt;""""))),""^Sell_""),INDEX(FILTER(F$4:F114,C$4:C114&lt;&gt;""""),ROWS(FILTER(C$4:C114,C$4:C114&lt;&gt;""""))),$AC$5*(2^SWITCH(COUNTIF(C$4:C115,""Cursor_up"")"&amp;",0,0,1,1,2,2,3)+SWITCH(COUNTIF(C$4:C115,""Cursor_up""),4,0.1,0)*(ROW(C115)-4-COUNTIF(C$4:C115,""Cursor"")-COUNTIF(C$4:C115,""*""&amp;""_up"")-2*COUNTIF(C$4:C115,""Sell_""&amp;""*"")+COUNTIF(C$4:C115,""Sell_Cursor"")-COUNTIF(C$4:C115,""""))+0.01*E115*COUNTIF(C$4:C"&amp;"115,""Plastic_up""))+E115))"),3075.784)</f>
        <v>3075.784</v>
      </c>
      <c r="G115" s="14">
        <f>IFERROR(__xludf.DUMMYFUNCTION("IF(COUNTA(C115:C147)=0,"""",IF(REGEXMATCH(C115,""_up""),VLOOKUP(C115,Upgrades!$F$3:$J$8,1+COUNTIF(C$4:C115,C115),FALSE),IF(C115="""",0,IF(REGEXMATCH(C115,""^Sell_""),-ROUNDDOWN(ROUNDUP(INDEX(Upgrades!$C$3:$C$8,MATCH(SUBSTITUTE(C115,""Sell_"",""""),Upgrade"&amp;"s!$B$3:$B$8,0))*1.15^(COUNTIF(C$4:C114,SUBSTITUTE(C115,""Sell_"",""""))-COUNTIF(C$4:C114,""Sell_""&amp;SUBSTITUTE(C115,""Sell_"",""""))))/4),ROUNDUP(INDEX(Upgrades!$C$3:$C$7,MATCH(C115,Upgrades!$B$3:$B$7,0))*1.15^(COUNTIF(C$4:C114,C115)-COUNTIF(C$4:C114,""Sel"&amp;"l_""&amp;C115)))))))"),17613.0)</f>
        <v>17613</v>
      </c>
      <c r="H115" s="14">
        <f t="shared" si="3"/>
        <v>17613</v>
      </c>
      <c r="I115" s="75">
        <f t="shared" si="4"/>
        <v>10638403.94</v>
      </c>
      <c r="J115" s="76">
        <f t="shared" si="5"/>
        <v>1183.750333</v>
      </c>
      <c r="K115" s="71" t="str">
        <f t="shared" si="6"/>
        <v>19m 43s</v>
      </c>
      <c r="L115" s="77">
        <f t="shared" si="7"/>
        <v>991039</v>
      </c>
      <c r="M115" s="51">
        <f t="shared" si="8"/>
        <v>-1.04823</v>
      </c>
      <c r="N115" s="52">
        <f>IFERROR(__xludf.DUMMYFUNCTION("IFS(AND(COUNTA(C115:C147)=0,COUNTA(P115:P147)=0),"""",OR(AND(L115&gt;=1000000,OR(Y115&gt;=1000000,COUNTA(P115:P147)=0)),AND(Y115&gt;=1000000,COUNTA(C115:C147)=0),AND(COUNTA(P115:P147)=0,O$3=TRUE)),
ROUNDDOWN((AB$1-AC$1)*MAX(INDEX(S$4:S147,MATCH(LARGE(FILTER(Y$4:Y1"&amp;"47,Y$4:Y147&lt;1000000),1),Y$4:Y147)),INDEX(F$4:F147,MATCH(LARGE(FILTER(L$4:L147,L$4:L147&lt;1000000),1),L$4:L147)))),AND(L115&lt;1000000,COUNTA(C115:C147)&gt;0,O$3=FALSE),
ROUNDDOWN(INDEX(Y$4:Y147,MATCH(LARGE(FILTER(W$4:W147,W$4:W147&lt;=J115),1),W$4:W147))+(J115-LARGE"&amp;"(FILTER(W$4:W147,W$4:W147&lt;=J115),1))*INDEX(S$4:S147,MATCH(LARGE(FILTER(W$4:W147,W$4:W147&lt;=J115),1),W$4:W147))-L115),1,
ROUNDDOWN(Y115-INDEX(L$4:L147,MATCH(LARGE(FILTER(J$4:J147,J$4:J147&lt;=W115),1),J$4:J147))-(W115-LARGE(FILTER(J$4:J147,J$4:J147&lt;=W115),1))*"&amp;"INDEX(F$4:F147,MATCH(LARGE(FILTER(J$4:J147,J$4:J147&lt;=W115),1),J$4:J147))))"),3196.0)</f>
        <v>3196</v>
      </c>
      <c r="O115" s="65">
        <f t="shared" si="9"/>
        <v>38</v>
      </c>
      <c r="P115" s="69" t="s">
        <v>13</v>
      </c>
      <c r="Q115" s="14" t="b">
        <f>IFERROR(__xludf.DUMMYFUNCTION("IF(COUNTA(P115:P147)=0,"""",IFERROR(IF(ISBLANK(P115),FALSE,IF(ISBLANK(T115),1,IF(NOT(COUNTIF($AA$24:$AA$34,SUBSTITUTE(P115,""Sell_"",""""))),1,IF(P115=""Plastic_up"",IF(V115&lt;1000,1),IF(P115=""Super_Up"",IF(OR(COUNTIF(P$4:P115,""Grandma"")-COUNTIF(P$4:P115"&amp;",""Sell_Grandma"")&lt;1,COUNTIF(P$4:P115,VLOOKUP(P115,Upgrades!$F$8:$N$8,7+COUNTIF(P$4:P115,P115)))-COUNTIF(P$4:P115,""Sell_""&amp;VLOOKUP(P115,Upgrades!$F$8:$N$8,7+COUNTIF(P$4:P115,P115)))&lt;15),1),IF(REGEXMATCH(P115,""_up""),IF(COUNTIF(P$4:P115,SUBSTITUTE(P115,"&amp;"""_up"",""""))&lt;IFERROR(VLOOKUP(P115,Upgrades!$L$3:$P$6,1+COUNTIF(P$4:P115,P115),0),999),1),IF(REGEXMATCH(P115,""Sell_""),IF(COUNTIF(P$4:P115,SUBSTITUTE(P115,""Sell_"",""""))-COUNTIF(P$4:P114,P115)&lt;1,1),FALSE)))))))))"),FALSE)</f>
        <v>0</v>
      </c>
      <c r="R115" s="71">
        <f>IFERROR(__xludf.DUMMYFUNCTION("IF(REGEXMATCH(P115,""^Sell_""),R114, IF(COUNTA(P115:P147)=0,"""",(COUNTIF(P$4:P115,""Cursor"")-COUNTIF(P$4:P115,""Sell_Cursor""))*(0.1*2^SWITCH(COUNTIF(P$4:P115,""Cursor_up""),0,0,1,1,2,2,3)+SWITCH(COUNTIF(P$4:P115,""Cursor_up""),4,0.1,0)*(ROW(P115)-4-COU"&amp;"NTIF(P$4:P115,""Cursor"")-COUNTIF(P$4:P115,""*""&amp;""_up"")-2*COUNTIF(P$4:P115,""Sell_""&amp;""*"")+COUNTIF(P$4:P115,""Sell_Cursor"")-COUNTIF(P$4:P115,"""")))+(COUNTIF(P$4:P115,""Grandma"")-COUNTIF(P$4:P115,""Sell_Grandma""))*(1*2^(COUNTIF(P$4:P115,""Grandma_up"&amp;""")+COUNTIF(P$4:P115,""Super_up"")))+(COUNTIF(P$4:P115,""Farm"")-COUNTIF(P$4:P115,""Sell_Farm""))*(8*2^COUNTIF(P$4:P115,""Farm_up""))*IF(COUNTIF(P$4:P115,""Super_up"")&gt;0,1+0.01*(COUNTIF(P$4:P115,""Grandma"")-COUNTIF(P$4:P115,""Sell_Grandma"")),1)+(COUNTIF"&amp;"(P$4:P115,""Mine"")-COUNTIF(P$4:P115,""Sell_Mine""))*((47*2^COUNTIF(P$4:P115,""Mine_up""))*IF(COUNTIF(P$4:P115,""Super_up"")&gt;1,1+0.005*(COUNTIF(P$4:P115,""Grandma"")-COUNTIF(P$4:P115,""Sell_Grandma"")),1))+(COUNTIF(P$4:P115,""Factory"")-COUNTIF(P$4:P115,"&amp;"""Sell_Factory""))*(260*2^COUNTIF(P$4:P115,""Factory_up""))))"),2723.44)</f>
        <v>2723.44</v>
      </c>
      <c r="S115" s="73">
        <f>IFERROR(__xludf.DUMMYFUNCTION("IF(COUNTA(P115:P147)=0,"""",IF(REGEXMATCH(INDEX(FILTER(P$4:P115,P$4:P115&lt;&gt;""""),ROWS(FILTER(P$4:P115,P$4:P115&lt;&gt;""""))),""^Sell_""),INDEX(FILTER(S$4:S114,P$4:P114&lt;&gt;""""),ROWS(FILTER(P$4:P114,P$4:P114&lt;&gt;""""))),$AD$5*(2^SWITCH(COUNTIF(P$4:P115,""Cursor_up"")"&amp;",0,0,1,1,2,2,3)+SWITCH(COUNTIF(P$4:P115,""Cursor_up""),4,0.1,0)*(ROW(P115)-4-COUNTIF(P$4:P115,""Cursor"")-COUNTIF(P$4:P115,""*""&amp;""_up"")-2*COUNTIF(P$4:P115,""Sell_""&amp;""*"")+COUNTIF(P$4:P115,""Sell_Cursor"")-COUNTIF(P$4:P115,""""))+0.01*R115*COUNTIF(P$4:P"&amp;"115,""Plastic_up""))+R115))"),3075.784)</f>
        <v>3075.784</v>
      </c>
      <c r="T115" s="14">
        <f>IFERROR(__xludf.DUMMYFUNCTION("IF(COUNTA(P115:P147)=0,"""",IF(REGEXMATCH(P115,""_up""),VLOOKUP(P115,Upgrades!$F$3:$J$8,1+COUNTIF(P$4:P115,P115),FALSE),IF(P115="""",0,IF(REGEXMATCH(P115,""^Sell_""),-ROUNDDOWN(ROUNDUP(INDEX(Upgrades!$C$3:$C$8,MATCH(SUBSTITUTE(P115,""Sell_"",""""),Upgrade"&amp;"s!$B$3:$B$8,0))*1.15^(COUNTIF(P$4:P114,SUBSTITUTE(P115,""Sell_"",""""))-COUNTIF(P$4:P114,""Sell_""&amp;SUBSTITUTE(P115,""Sell_"",""""))))/4),ROUNDUP(INDEX(Upgrades!$C$3:$C$7,MATCH(P115,Upgrades!$B$3:$B$7,0))*1.15^(COUNTIF(P$4:P114,P115)-COUNTIF(P$4:P114,""Sel"&amp;"l_""&amp;P115)))))))"),17613.0)</f>
        <v>17613</v>
      </c>
      <c r="U115" s="14">
        <f t="shared" si="10"/>
        <v>17613</v>
      </c>
      <c r="V115" s="75">
        <f t="shared" si="11"/>
        <v>10542983.69</v>
      </c>
      <c r="W115" s="76">
        <f t="shared" si="12"/>
        <v>1182.702097</v>
      </c>
      <c r="X115" s="71" t="str">
        <f t="shared" si="13"/>
        <v>19m 42s</v>
      </c>
      <c r="Y115" s="77">
        <f t="shared" si="14"/>
        <v>991039</v>
      </c>
      <c r="Z115" s="17"/>
      <c r="AA115" s="13"/>
      <c r="AB115" s="13"/>
      <c r="AC115" s="13"/>
      <c r="AD115" s="13"/>
      <c r="AE115" s="13"/>
      <c r="AF115" s="13"/>
      <c r="AG115" s="13"/>
    </row>
    <row r="116">
      <c r="A116" s="12"/>
      <c r="B116" s="65">
        <f t="shared" si="2"/>
        <v>28</v>
      </c>
      <c r="C116" s="69" t="s">
        <v>10</v>
      </c>
      <c r="D116" s="14" t="b">
        <f>IFERROR(__xludf.DUMMYFUNCTION("IF(COUNTA(C116:C147)=0,"""",IFERROR(IF(ISBLANK(C116),FALSE,IF(ISBLANK(G116),1,IF(NOT(COUNTIF($AA$24:$AA$34,SUBSTITUTE(C116,""Sell_"",""""))),1,IF(C116=""Plastic_up"",IF(I116&lt;1000,1),IF(C116=""Super_Up"",IF(OR(COUNTIF(C$4:C116,""Grandma"")-COUNTIF(C$4:C116"&amp;",""Sell_Grandma"")&lt;1,COUNTIF(C$4:C116,VLOOKUP(C116,Upgrades!$F$8:$N$8,7+COUNTIF(C$4:C116,C116)))-COUNTIF(C$4:C116,""Sell_""&amp;VLOOKUP(C116,Upgrades!$F$8:$N$8,7+COUNTIF(C$4:C116,C116)))&lt;15),1),IF(REGEXMATCH(C116,""_up""),IF(COUNTIF(C$4:C116,SUBSTITUTE(C116,"&amp;"""_up"",""""))&lt;IFERROR(VLOOKUP(C116,Upgrades!$L$3:$P$6,1+COUNTIF(C$4:C116,C116),0),999),1),IF(REGEXMATCH(C116,""Sell_""),IF(COUNTIF(C$4:C116,SUBSTITUTE(C116,""Sell_"",""""))-COUNTIF(C$4:C115,C116)&lt;1,1),FALSE)))))))))"),FALSE)</f>
        <v>0</v>
      </c>
      <c r="E116" s="71">
        <f>IFERROR(__xludf.DUMMYFUNCTION("IF(REGEXMATCH(C116,""^Sell_""),E115, IF(COUNTA(C116:C147)=0,"""",(COUNTIF(C$4:C116,""Cursor"")-COUNTIF(C$4:C116,""Sell_Cursor""))*(0.1*2^SWITCH(COUNTIF(C$4:C116,""Cursor_up""),0,0,1,1,2,2,3)+SWITCH(COUNTIF(C$4:C116,""Cursor_up""),4,0.1,0)*(ROW(C116)-4-COU"&amp;"NTIF(C$4:C116,""Cursor"")-COUNTIF(C$4:C116,""*""&amp;""_up"")-2*COUNTIF(C$4:C116,""Sell_""&amp;""*"")+COUNTIF(C$4:C116,""Sell_Cursor"")-COUNTIF(C$4:C116,"""")))+(COUNTIF(C$4:C116,""Grandma"")-COUNTIF(C$4:C116,""Sell_Grandma""))*(1*2^(COUNTIF(C$4:C116,""Grandma_up"&amp;""")+COUNTIF(C$4:C116,""Super_up"")))+(COUNTIF(C$4:C116,""Farm"")-COUNTIF(C$4:C116,""Sell_Farm""))*(8*2^COUNTIF(C$4:C116,""Farm_up""))*IF(COUNTIF(C$4:C116,""Super_up"")&gt;0,1+0.01*(COUNTIF(C$4:C116,""Grandma"")-COUNTIF(C$4:C116,""Sell_Grandma"")),1)+(COUNTIF"&amp;"(C$4:C116,""Mine"")-COUNTIF(C$4:C116,""Sell_Mine""))*((47*2^COUNTIF(C$4:C116,""Mine_up""))*IF(COUNTIF(C$4:C116,""Super_up"")&gt;1,1+0.005*(COUNTIF(C$4:C116,""Grandma"")-COUNTIF(C$4:C116,""Sell_Grandma"")),1))+(COUNTIF(C$4:C116,""Factory"")-COUNTIF(C$4:C116,"&amp;"""Sell_Factory""))*(260*2^COUNTIF(C$4:C116,""Factory_up""))))"),2724.24)</f>
        <v>2724.24</v>
      </c>
      <c r="F116" s="73">
        <f>IFERROR(__xludf.DUMMYFUNCTION("IF(COUNTA(C116:C147)=0,"""",IF(REGEXMATCH(INDEX(FILTER(C$4:C116,C$4:C116&lt;&gt;""""),ROWS(FILTER(C$4:C116,C$4:C116&lt;&gt;""""))),""^Sell_""),INDEX(FILTER(F$4:F115,C$4:C115&lt;&gt;""""),ROWS(FILTER(C$4:C115,C$4:C115&lt;&gt;""""))),$AC$5*(2^SWITCH(COUNTIF(C$4:C116,""Cursor_up"")"&amp;",0,0,1,1,2,2,3)+SWITCH(COUNTIF(C$4:C116,""Cursor_up""),4,0.1,0)*(ROW(C116)-4-COUNTIF(C$4:C116,""Cursor"")-COUNTIF(C$4:C116,""*""&amp;""_up"")-2*COUNTIF(C$4:C116,""Sell_""&amp;""*"")+COUNTIF(C$4:C116,""Sell_Cursor"")-COUNTIF(C$4:C116,""""))+0.01*E116*COUNTIF(C$4:C"&amp;"116,""Plastic_up""))+E116))"),3076.6639999999998)</f>
        <v>3076.664</v>
      </c>
      <c r="G116" s="14">
        <f>IFERROR(__xludf.DUMMYFUNCTION("IF(COUNTA(C116:C147)=0,"""",IF(REGEXMATCH(C116,""_up""),VLOOKUP(C116,Upgrades!$F$3:$J$8,1+COUNTIF(C$4:C116,C116),FALSE),IF(C116="""",0,IF(REGEXMATCH(C116,""^Sell_""),-ROUNDDOWN(ROUNDUP(INDEX(Upgrades!$C$3:$C$8,MATCH(SUBSTITUTE(C116,""Sell_"",""""),Upgrade"&amp;"s!$B$3:$B$8,0))*1.15^(COUNTIF(C$4:C115,SUBSTITUTE(C116,""Sell_"",""""))-COUNTIF(C$4:C115,""Sell_""&amp;SUBSTITUTE(C116,""Sell_"",""""))))/4),ROUNDUP(INDEX(Upgrades!$C$3:$C$7,MATCH(C116,Upgrades!$B$3:$B$7,0))*1.15^(COUNTIF(C$4:C115,C116)-COUNTIF(C$4:C115,""Sel"&amp;"l_""&amp;C116)))))))"),654.0)</f>
        <v>654</v>
      </c>
      <c r="H116" s="14">
        <f t="shared" si="3"/>
        <v>654</v>
      </c>
      <c r="I116" s="75">
        <f t="shared" si="4"/>
        <v>11055566.19</v>
      </c>
      <c r="J116" s="76">
        <f t="shared" si="5"/>
        <v>1183.962962</v>
      </c>
      <c r="K116" s="71" t="str">
        <f t="shared" si="6"/>
        <v>19m 43s</v>
      </c>
      <c r="L116" s="77">
        <f t="shared" si="7"/>
        <v>991693</v>
      </c>
      <c r="M116" s="51">
        <f t="shared" si="8"/>
        <v>-1.04823</v>
      </c>
      <c r="N116" s="52">
        <f>IFERROR(__xludf.DUMMYFUNCTION("IFS(AND(COUNTA(C116:C147)=0,COUNTA(P116:P147)=0),"""",OR(AND(L116&gt;=1000000,OR(Y116&gt;=1000000,COUNTA(P116:P147)=0)),AND(Y116&gt;=1000000,COUNTA(C116:C147)=0),AND(COUNTA(P116:P147)=0,O$3=TRUE)),
ROUNDDOWN((AB$1-AC$1)*MAX(INDEX(S$4:S147,MATCH(LARGE(FILTER(Y$4:Y1"&amp;"47,Y$4:Y147&lt;1000000),1),Y$4:Y147)),INDEX(F$4:F147,MATCH(LARGE(FILTER(L$4:L147,L$4:L147&lt;1000000),1),L$4:L147)))),AND(L116&lt;1000000,COUNTA(C116:C147)&gt;0,O$3=FALSE),
ROUNDDOWN(INDEX(Y$4:Y147,MATCH(LARGE(FILTER(W$4:W147,W$4:W147&lt;=J116),1),W$4:W147))+(J116-LARGE"&amp;"(FILTER(W$4:W147,W$4:W147&lt;=J116),1))*INDEX(S$4:S147,MATCH(LARGE(FILTER(W$4:W147,W$4:W147&lt;=J116),1),W$4:W147))-L116),1,
ROUNDDOWN(Y116-INDEX(L$4:L147,MATCH(LARGE(FILTER(J$4:J147,J$4:J147&lt;=W116),1),J$4:J147))-(W116-LARGE(FILTER(J$4:J147,J$4:J147&lt;=W116),1))*"&amp;"INDEX(F$4:F147,MATCH(LARGE(FILTER(J$4:J147,J$4:J147&lt;=W116),1),J$4:J147))))"),3202.0)</f>
        <v>3202</v>
      </c>
      <c r="O116" s="65">
        <f t="shared" si="9"/>
        <v>28</v>
      </c>
      <c r="P116" s="69" t="s">
        <v>10</v>
      </c>
      <c r="Q116" s="14" t="b">
        <f>IFERROR(__xludf.DUMMYFUNCTION("IF(COUNTA(P116:P147)=0,"""",IFERROR(IF(ISBLANK(P116),FALSE,IF(ISBLANK(T116),1,IF(NOT(COUNTIF($AA$24:$AA$34,SUBSTITUTE(P116,""Sell_"",""""))),1,IF(P116=""Plastic_up"",IF(V116&lt;1000,1),IF(P116=""Super_Up"",IF(OR(COUNTIF(P$4:P116,""Grandma"")-COUNTIF(P$4:P116"&amp;",""Sell_Grandma"")&lt;1,COUNTIF(P$4:P116,VLOOKUP(P116,Upgrades!$F$8:$N$8,7+COUNTIF(P$4:P116,P116)))-COUNTIF(P$4:P116,""Sell_""&amp;VLOOKUP(P116,Upgrades!$F$8:$N$8,7+COUNTIF(P$4:P116,P116)))&lt;15),1),IF(REGEXMATCH(P116,""_up""),IF(COUNTIF(P$4:P116,SUBSTITUTE(P116,"&amp;"""_up"",""""))&lt;IFERROR(VLOOKUP(P116,Upgrades!$L$3:$P$6,1+COUNTIF(P$4:P116,P116),0),999),1),IF(REGEXMATCH(P116,""Sell_""),IF(COUNTIF(P$4:P116,SUBSTITUTE(P116,""Sell_"",""""))-COUNTIF(P$4:P115,P116)&lt;1,1),FALSE)))))))))"),FALSE)</f>
        <v>0</v>
      </c>
      <c r="R116" s="71">
        <f>IFERROR(__xludf.DUMMYFUNCTION("IF(REGEXMATCH(P116,""^Sell_""),R115, IF(COUNTA(P116:P147)=0,"""",(COUNTIF(P$4:P116,""Cursor"")-COUNTIF(P$4:P116,""Sell_Cursor""))*(0.1*2^SWITCH(COUNTIF(P$4:P116,""Cursor_up""),0,0,1,1,2,2,3)+SWITCH(COUNTIF(P$4:P116,""Cursor_up""),4,0.1,0)*(ROW(P116)-4-COU"&amp;"NTIF(P$4:P116,""Cursor"")-COUNTIF(P$4:P116,""*""&amp;""_up"")-2*COUNTIF(P$4:P116,""Sell_""&amp;""*"")+COUNTIF(P$4:P116,""Sell_Cursor"")-COUNTIF(P$4:P116,"""")))+(COUNTIF(P$4:P116,""Grandma"")-COUNTIF(P$4:P116,""Sell_Grandma""))*(1*2^(COUNTIF(P$4:P116,""Grandma_up"&amp;""")+COUNTIF(P$4:P116,""Super_up"")))+(COUNTIF(P$4:P116,""Farm"")-COUNTIF(P$4:P116,""Sell_Farm""))*(8*2^COUNTIF(P$4:P116,""Farm_up""))*IF(COUNTIF(P$4:P116,""Super_up"")&gt;0,1+0.01*(COUNTIF(P$4:P116,""Grandma"")-COUNTIF(P$4:P116,""Sell_Grandma"")),1)+(COUNTIF"&amp;"(P$4:P116,""Mine"")-COUNTIF(P$4:P116,""Sell_Mine""))*((47*2^COUNTIF(P$4:P116,""Mine_up""))*IF(COUNTIF(P$4:P116,""Super_up"")&gt;1,1+0.005*(COUNTIF(P$4:P116,""Grandma"")-COUNTIF(P$4:P116,""Sell_Grandma"")),1))+(COUNTIF(P$4:P116,""Factory"")-COUNTIF(P$4:P116,"&amp;"""Sell_Factory""))*(260*2^COUNTIF(P$4:P116,""Factory_up""))))"),2724.24)</f>
        <v>2724.24</v>
      </c>
      <c r="S116" s="73">
        <f>IFERROR(__xludf.DUMMYFUNCTION("IF(COUNTA(P116:P147)=0,"""",IF(REGEXMATCH(INDEX(FILTER(P$4:P116,P$4:P116&lt;&gt;""""),ROWS(FILTER(P$4:P116,P$4:P116&lt;&gt;""""))),""^Sell_""),INDEX(FILTER(S$4:S115,P$4:P115&lt;&gt;""""),ROWS(FILTER(P$4:P115,P$4:P115&lt;&gt;""""))),$AD$5*(2^SWITCH(COUNTIF(P$4:P116,""Cursor_up"")"&amp;",0,0,1,1,2,2,3)+SWITCH(COUNTIF(P$4:P116,""Cursor_up""),4,0.1,0)*(ROW(P116)-4-COUNTIF(P$4:P116,""Cursor"")-COUNTIF(P$4:P116,""*""&amp;""_up"")-2*COUNTIF(P$4:P116,""Sell_""&amp;""*"")+COUNTIF(P$4:P116,""Sell_Cursor"")-COUNTIF(P$4:P116,""""))+0.01*R116*COUNTIF(P$4:P"&amp;"116,""Plastic_up""))+R116))"),3076.6639999999998)</f>
        <v>3076.664</v>
      </c>
      <c r="T116" s="14">
        <f>IFERROR(__xludf.DUMMYFUNCTION("IF(COUNTA(P116:P147)=0,"""",IF(REGEXMATCH(P116,""_up""),VLOOKUP(P116,Upgrades!$F$3:$J$8,1+COUNTIF(P$4:P116,P116),FALSE),IF(P116="""",0,IF(REGEXMATCH(P116,""^Sell_""),-ROUNDDOWN(ROUNDUP(INDEX(Upgrades!$C$3:$C$8,MATCH(SUBSTITUTE(P116,""Sell_"",""""),Upgrade"&amp;"s!$B$3:$B$8,0))*1.15^(COUNTIF(P$4:P115,SUBSTITUTE(P116,""Sell_"",""""))-COUNTIF(P$4:P115,""Sell_""&amp;SUBSTITUTE(P116,""Sell_"",""""))))/4),ROUNDUP(INDEX(Upgrades!$C$3:$C$7,MATCH(P116,Upgrades!$B$3:$B$7,0))*1.15^(COUNTIF(P$4:P115,P116)-COUNTIF(P$4:P115,""Sel"&amp;"l_""&amp;P116)))))))"),654.0)</f>
        <v>654</v>
      </c>
      <c r="U116" s="14">
        <f t="shared" si="10"/>
        <v>654</v>
      </c>
      <c r="V116" s="75">
        <f t="shared" si="11"/>
        <v>10959776.6</v>
      </c>
      <c r="W116" s="76">
        <f t="shared" si="12"/>
        <v>1182.914726</v>
      </c>
      <c r="X116" s="71" t="str">
        <f t="shared" si="13"/>
        <v>19m 42s</v>
      </c>
      <c r="Y116" s="77">
        <f t="shared" si="14"/>
        <v>991693</v>
      </c>
      <c r="Z116" s="17"/>
      <c r="AA116" s="13"/>
      <c r="AB116" s="13"/>
      <c r="AC116" s="13"/>
      <c r="AD116" s="13"/>
      <c r="AE116" s="13"/>
      <c r="AF116" s="13"/>
      <c r="AG116" s="13"/>
    </row>
    <row r="117">
      <c r="A117" s="12"/>
      <c r="B117" s="65">
        <f t="shared" si="2"/>
        <v>29</v>
      </c>
      <c r="C117" s="69" t="s">
        <v>10</v>
      </c>
      <c r="D117" s="14" t="b">
        <f>IFERROR(__xludf.DUMMYFUNCTION("IF(COUNTA(C117:C147)=0,"""",IFERROR(IF(ISBLANK(C117),FALSE,IF(ISBLANK(G117),1,IF(NOT(COUNTIF($AA$24:$AA$34,SUBSTITUTE(C117,""Sell_"",""""))),1,IF(C117=""Plastic_up"",IF(I117&lt;1000,1),IF(C117=""Super_Up"",IF(OR(COUNTIF(C$4:C117,""Grandma"")-COUNTIF(C$4:C117"&amp;",""Sell_Grandma"")&lt;1,COUNTIF(C$4:C117,VLOOKUP(C117,Upgrades!$F$8:$N$8,7+COUNTIF(C$4:C117,C117)))-COUNTIF(C$4:C117,""Sell_""&amp;VLOOKUP(C117,Upgrades!$F$8:$N$8,7+COUNTIF(C$4:C117,C117)))&lt;15),1),IF(REGEXMATCH(C117,""_up""),IF(COUNTIF(C$4:C117,SUBSTITUTE(C117,"&amp;"""_up"",""""))&lt;IFERROR(VLOOKUP(C117,Upgrades!$L$3:$P$6,1+COUNTIF(C$4:C117,C117),0),999),1),IF(REGEXMATCH(C117,""Sell_""),IF(COUNTIF(C$4:C117,SUBSTITUTE(C117,""Sell_"",""""))-COUNTIF(C$4:C116,C117)&lt;1,1),FALSE)))))))))"),FALSE)</f>
        <v>0</v>
      </c>
      <c r="E117" s="71">
        <f>IFERROR(__xludf.DUMMYFUNCTION("IF(REGEXMATCH(C117,""^Sell_""),E116, IF(COUNTA(C117:C147)=0,"""",(COUNTIF(C$4:C117,""Cursor"")-COUNTIF(C$4:C117,""Sell_Cursor""))*(0.1*2^SWITCH(COUNTIF(C$4:C117,""Cursor_up""),0,0,1,1,2,2,3)+SWITCH(COUNTIF(C$4:C117,""Cursor_up""),4,0.1,0)*(ROW(C117)-4-COU"&amp;"NTIF(C$4:C117,""Cursor"")-COUNTIF(C$4:C117,""*""&amp;""_up"")-2*COUNTIF(C$4:C117,""Sell_""&amp;""*"")+COUNTIF(C$4:C117,""Sell_Cursor"")-COUNTIF(C$4:C117,"""")))+(COUNTIF(C$4:C117,""Grandma"")-COUNTIF(C$4:C117,""Sell_Grandma""))*(1*2^(COUNTIF(C$4:C117,""Grandma_up"&amp;""")+COUNTIF(C$4:C117,""Super_up"")))+(COUNTIF(C$4:C117,""Farm"")-COUNTIF(C$4:C117,""Sell_Farm""))*(8*2^COUNTIF(C$4:C117,""Farm_up""))*IF(COUNTIF(C$4:C117,""Super_up"")&gt;0,1+0.01*(COUNTIF(C$4:C117,""Grandma"")-COUNTIF(C$4:C117,""Sell_Grandma"")),1)+(COUNTIF"&amp;"(C$4:C117,""Mine"")-COUNTIF(C$4:C117,""Sell_Mine""))*((47*2^COUNTIF(C$4:C117,""Mine_up""))*IF(COUNTIF(C$4:C117,""Super_up"")&gt;1,1+0.005*(COUNTIF(C$4:C117,""Grandma"")-COUNTIF(C$4:C117,""Sell_Grandma"")),1))+(COUNTIF(C$4:C117,""Factory"")-COUNTIF(C$4:C117,"&amp;"""Sell_Factory""))*(260*2^COUNTIF(C$4:C117,""Factory_up""))))"),2725.04)</f>
        <v>2725.04</v>
      </c>
      <c r="F117" s="73">
        <f>IFERROR(__xludf.DUMMYFUNCTION("IF(COUNTA(C117:C147)=0,"""",IF(REGEXMATCH(INDEX(FILTER(C$4:C117,C$4:C117&lt;&gt;""""),ROWS(FILTER(C$4:C117,C$4:C117&lt;&gt;""""))),""^Sell_""),INDEX(FILTER(F$4:F116,C$4:C116&lt;&gt;""""),ROWS(FILTER(C$4:C116,C$4:C116&lt;&gt;""""))),$AC$5*(2^SWITCH(COUNTIF(C$4:C117,""Cursor_up"")"&amp;",0,0,1,1,2,2,3)+SWITCH(COUNTIF(C$4:C117,""Cursor_up""),4,0.1,0)*(ROW(C117)-4-COUNTIF(C$4:C117,""Cursor"")-COUNTIF(C$4:C117,""*""&amp;""_up"")-2*COUNTIF(C$4:C117,""Sell_""&amp;""*"")+COUNTIF(C$4:C117,""Sell_Cursor"")-COUNTIF(C$4:C117,""""))+0.01*E117*COUNTIF(C$4:C"&amp;"117,""Plastic_up""))+E117))"),3077.544)</f>
        <v>3077.544</v>
      </c>
      <c r="G117" s="14">
        <f>IFERROR(__xludf.DUMMYFUNCTION("IF(COUNTA(C117:C147)=0,"""",IF(REGEXMATCH(C117,""_up""),VLOOKUP(C117,Upgrades!$F$3:$J$8,1+COUNTIF(C$4:C117,C117),FALSE),IF(C117="""",0,IF(REGEXMATCH(C117,""^Sell_""),-ROUNDDOWN(ROUNDUP(INDEX(Upgrades!$C$3:$C$8,MATCH(SUBSTITUTE(C117,""Sell_"",""""),Upgrade"&amp;"s!$B$3:$B$8,0))*1.15^(COUNTIF(C$4:C116,SUBSTITUTE(C117,""Sell_"",""""))-COUNTIF(C$4:C116,""Sell_""&amp;SUBSTITUTE(C117,""Sell_"",""""))))/4),ROUNDUP(INDEX(Upgrades!$C$3:$C$7,MATCH(C117,Upgrades!$B$3:$B$7,0))*1.15^(COUNTIF(C$4:C116,C117)-COUNTIF(C$4:C116,""Sel"&amp;"l_""&amp;C117)))))))"),751.0)</f>
        <v>751</v>
      </c>
      <c r="H117" s="14">
        <f t="shared" si="3"/>
        <v>751</v>
      </c>
      <c r="I117" s="75">
        <f t="shared" si="4"/>
        <v>11472909.18</v>
      </c>
      <c r="J117" s="76">
        <f t="shared" si="5"/>
        <v>1184.207058</v>
      </c>
      <c r="K117" s="71" t="str">
        <f t="shared" si="6"/>
        <v>19m 44s</v>
      </c>
      <c r="L117" s="77">
        <f t="shared" si="7"/>
        <v>992444</v>
      </c>
      <c r="M117" s="51">
        <f t="shared" si="8"/>
        <v>-1.04823</v>
      </c>
      <c r="N117" s="52">
        <f>IFERROR(__xludf.DUMMYFUNCTION("IFS(AND(COUNTA(C117:C147)=0,COUNTA(P117:P147)=0),"""",OR(AND(L117&gt;=1000000,OR(Y117&gt;=1000000,COUNTA(P117:P147)=0)),AND(Y117&gt;=1000000,COUNTA(C117:C147)=0),AND(COUNTA(P117:P147)=0,O$3=TRUE)),
ROUNDDOWN((AB$1-AC$1)*MAX(INDEX(S$4:S147,MATCH(LARGE(FILTER(Y$4:Y1"&amp;"47,Y$4:Y147&lt;1000000),1),Y$4:Y147)),INDEX(F$4:F147,MATCH(LARGE(FILTER(L$4:L147,L$4:L147&lt;1000000),1),L$4:L147)))),AND(L117&lt;1000000,COUNTA(C117:C147)&gt;0,O$3=FALSE),
ROUNDDOWN(INDEX(Y$4:Y147,MATCH(LARGE(FILTER(W$4:W147,W$4:W147&lt;=J117),1),W$4:W147))+(J117-LARGE"&amp;"(FILTER(W$4:W147,W$4:W147&lt;=J117),1))*INDEX(S$4:S147,MATCH(LARGE(FILTER(W$4:W147,W$4:W147&lt;=J117),1),W$4:W147))-L117),1,
ROUNDDOWN(Y117-INDEX(L$4:L147,MATCH(LARGE(FILTER(J$4:J147,J$4:J147&lt;=W117),1),J$4:J147))-(W117-LARGE(FILTER(J$4:J147,J$4:J147&lt;=W117),1))*"&amp;"INDEX(F$4:F147,MATCH(LARGE(FILTER(J$4:J147,J$4:J147&lt;=W117),1),J$4:J147))))"),3208.0)</f>
        <v>3208</v>
      </c>
      <c r="O117" s="65">
        <f t="shared" si="9"/>
        <v>29</v>
      </c>
      <c r="P117" s="69" t="s">
        <v>10</v>
      </c>
      <c r="Q117" s="14" t="b">
        <f>IFERROR(__xludf.DUMMYFUNCTION("IF(COUNTA(P117:P147)=0,"""",IFERROR(IF(ISBLANK(P117),FALSE,IF(ISBLANK(T117),1,IF(NOT(COUNTIF($AA$24:$AA$34,SUBSTITUTE(P117,""Sell_"",""""))),1,IF(P117=""Plastic_up"",IF(V117&lt;1000,1),IF(P117=""Super_Up"",IF(OR(COUNTIF(P$4:P117,""Grandma"")-COUNTIF(P$4:P117"&amp;",""Sell_Grandma"")&lt;1,COUNTIF(P$4:P117,VLOOKUP(P117,Upgrades!$F$8:$N$8,7+COUNTIF(P$4:P117,P117)))-COUNTIF(P$4:P117,""Sell_""&amp;VLOOKUP(P117,Upgrades!$F$8:$N$8,7+COUNTIF(P$4:P117,P117)))&lt;15),1),IF(REGEXMATCH(P117,""_up""),IF(COUNTIF(P$4:P117,SUBSTITUTE(P117,"&amp;"""_up"",""""))&lt;IFERROR(VLOOKUP(P117,Upgrades!$L$3:$P$6,1+COUNTIF(P$4:P117,P117),0),999),1),IF(REGEXMATCH(P117,""Sell_""),IF(COUNTIF(P$4:P117,SUBSTITUTE(P117,""Sell_"",""""))-COUNTIF(P$4:P116,P117)&lt;1,1),FALSE)))))))))"),FALSE)</f>
        <v>0</v>
      </c>
      <c r="R117" s="71">
        <f>IFERROR(__xludf.DUMMYFUNCTION("IF(REGEXMATCH(P117,""^Sell_""),R116, IF(COUNTA(P117:P147)=0,"""",(COUNTIF(P$4:P117,""Cursor"")-COUNTIF(P$4:P117,""Sell_Cursor""))*(0.1*2^SWITCH(COUNTIF(P$4:P117,""Cursor_up""),0,0,1,1,2,2,3)+SWITCH(COUNTIF(P$4:P117,""Cursor_up""),4,0.1,0)*(ROW(P117)-4-COU"&amp;"NTIF(P$4:P117,""Cursor"")-COUNTIF(P$4:P117,""*""&amp;""_up"")-2*COUNTIF(P$4:P117,""Sell_""&amp;""*"")+COUNTIF(P$4:P117,""Sell_Cursor"")-COUNTIF(P$4:P117,"""")))+(COUNTIF(P$4:P117,""Grandma"")-COUNTIF(P$4:P117,""Sell_Grandma""))*(1*2^(COUNTIF(P$4:P117,""Grandma_up"&amp;""")+COUNTIF(P$4:P117,""Super_up"")))+(COUNTIF(P$4:P117,""Farm"")-COUNTIF(P$4:P117,""Sell_Farm""))*(8*2^COUNTIF(P$4:P117,""Farm_up""))*IF(COUNTIF(P$4:P117,""Super_up"")&gt;0,1+0.01*(COUNTIF(P$4:P117,""Grandma"")-COUNTIF(P$4:P117,""Sell_Grandma"")),1)+(COUNTIF"&amp;"(P$4:P117,""Mine"")-COUNTIF(P$4:P117,""Sell_Mine""))*((47*2^COUNTIF(P$4:P117,""Mine_up""))*IF(COUNTIF(P$4:P117,""Super_up"")&gt;1,1+0.005*(COUNTIF(P$4:P117,""Grandma"")-COUNTIF(P$4:P117,""Sell_Grandma"")),1))+(COUNTIF(P$4:P117,""Factory"")-COUNTIF(P$4:P117,"&amp;"""Sell_Factory""))*(260*2^COUNTIF(P$4:P117,""Factory_up""))))"),2725.04)</f>
        <v>2725.04</v>
      </c>
      <c r="S117" s="73">
        <f>IFERROR(__xludf.DUMMYFUNCTION("IF(COUNTA(P117:P147)=0,"""",IF(REGEXMATCH(INDEX(FILTER(P$4:P117,P$4:P117&lt;&gt;""""),ROWS(FILTER(P$4:P117,P$4:P117&lt;&gt;""""))),""^Sell_""),INDEX(FILTER(S$4:S116,P$4:P116&lt;&gt;""""),ROWS(FILTER(P$4:P116,P$4:P116&lt;&gt;""""))),$AD$5*(2^SWITCH(COUNTIF(P$4:P117,""Cursor_up"")"&amp;",0,0,1,1,2,2,3)+SWITCH(COUNTIF(P$4:P117,""Cursor_up""),4,0.1,0)*(ROW(P117)-4-COUNTIF(P$4:P117,""Cursor"")-COUNTIF(P$4:P117,""*""&amp;""_up"")-2*COUNTIF(P$4:P117,""Sell_""&amp;""*"")+COUNTIF(P$4:P117,""Sell_Cursor"")-COUNTIF(P$4:P117,""""))+0.01*R117*COUNTIF(P$4:P"&amp;"117,""Plastic_up""))+R117))"),3077.544)</f>
        <v>3077.544</v>
      </c>
      <c r="T117" s="14">
        <f>IFERROR(__xludf.DUMMYFUNCTION("IF(COUNTA(P117:P147)=0,"""",IF(REGEXMATCH(P117,""_up""),VLOOKUP(P117,Upgrades!$F$3:$J$8,1+COUNTIF(P$4:P117,P117),FALSE),IF(P117="""",0,IF(REGEXMATCH(P117,""^Sell_""),-ROUNDDOWN(ROUNDUP(INDEX(Upgrades!$C$3:$C$8,MATCH(SUBSTITUTE(P117,""Sell_"",""""),Upgrade"&amp;"s!$B$3:$B$8,0))*1.15^(COUNTIF(P$4:P116,SUBSTITUTE(P117,""Sell_"",""""))-COUNTIF(P$4:P116,""Sell_""&amp;SUBSTITUTE(P117,""Sell_"",""""))))/4),ROUNDUP(INDEX(Upgrades!$C$3:$C$7,MATCH(P117,Upgrades!$B$3:$B$7,0))*1.15^(COUNTIF(P$4:P116,P117)-COUNTIF(P$4:P116,""Sel"&amp;"l_""&amp;P117)))))))"),751.0)</f>
        <v>751</v>
      </c>
      <c r="U117" s="14">
        <f t="shared" si="10"/>
        <v>751</v>
      </c>
      <c r="V117" s="75">
        <f t="shared" si="11"/>
        <v>11376750.16</v>
      </c>
      <c r="W117" s="76">
        <f t="shared" si="12"/>
        <v>1183.158821</v>
      </c>
      <c r="X117" s="71" t="str">
        <f t="shared" si="13"/>
        <v>19m 43s</v>
      </c>
      <c r="Y117" s="77">
        <f t="shared" si="14"/>
        <v>992444</v>
      </c>
      <c r="Z117" s="17"/>
      <c r="AA117" s="119"/>
      <c r="AB117" s="13"/>
      <c r="AC117" s="13"/>
      <c r="AD117" s="13"/>
      <c r="AE117" s="13"/>
      <c r="AF117" s="13"/>
      <c r="AG117" s="13"/>
    </row>
    <row r="118">
      <c r="A118" s="12"/>
      <c r="B118" s="65">
        <f t="shared" si="2"/>
        <v>30</v>
      </c>
      <c r="C118" s="69" t="s">
        <v>10</v>
      </c>
      <c r="D118" s="14" t="b">
        <f>IFERROR(__xludf.DUMMYFUNCTION("IF(COUNTA(C118:C147)=0,"""",IFERROR(IF(ISBLANK(C118),FALSE,IF(ISBLANK(G118),1,IF(NOT(COUNTIF($AA$24:$AA$34,SUBSTITUTE(C118,""Sell_"",""""))),1,IF(C118=""Plastic_up"",IF(I118&lt;1000,1),IF(C118=""Super_Up"",IF(OR(COUNTIF(C$4:C118,""Grandma"")-COUNTIF(C$4:C118"&amp;",""Sell_Grandma"")&lt;1,COUNTIF(C$4:C118,VLOOKUP(C118,Upgrades!$F$8:$N$8,7+COUNTIF(C$4:C118,C118)))-COUNTIF(C$4:C118,""Sell_""&amp;VLOOKUP(C118,Upgrades!$F$8:$N$8,7+COUNTIF(C$4:C118,C118)))&lt;15),1),IF(REGEXMATCH(C118,""_up""),IF(COUNTIF(C$4:C118,SUBSTITUTE(C118,"&amp;"""_up"",""""))&lt;IFERROR(VLOOKUP(C118,Upgrades!$L$3:$P$6,1+COUNTIF(C$4:C118,C118),0),999),1),IF(REGEXMATCH(C118,""Sell_""),IF(COUNTIF(C$4:C118,SUBSTITUTE(C118,""Sell_"",""""))-COUNTIF(C$4:C117,C118)&lt;1,1),FALSE)))))))))"),FALSE)</f>
        <v>0</v>
      </c>
      <c r="E118" s="71">
        <f>IFERROR(__xludf.DUMMYFUNCTION("IF(REGEXMATCH(C118,""^Sell_""),E117, IF(COUNTA(C118:C147)=0,"""",(COUNTIF(C$4:C118,""Cursor"")-COUNTIF(C$4:C118,""Sell_Cursor""))*(0.1*2^SWITCH(COUNTIF(C$4:C118,""Cursor_up""),0,0,1,1,2,2,3)+SWITCH(COUNTIF(C$4:C118,""Cursor_up""),4,0.1,0)*(ROW(C118)-4-COU"&amp;"NTIF(C$4:C118,""Cursor"")-COUNTIF(C$4:C118,""*""&amp;""_up"")-2*COUNTIF(C$4:C118,""Sell_""&amp;""*"")+COUNTIF(C$4:C118,""Sell_Cursor"")-COUNTIF(C$4:C118,"""")))+(COUNTIF(C$4:C118,""Grandma"")-COUNTIF(C$4:C118,""Sell_Grandma""))*(1*2^(COUNTIF(C$4:C118,""Grandma_up"&amp;""")+COUNTIF(C$4:C118,""Super_up"")))+(COUNTIF(C$4:C118,""Farm"")-COUNTIF(C$4:C118,""Sell_Farm""))*(8*2^COUNTIF(C$4:C118,""Farm_up""))*IF(COUNTIF(C$4:C118,""Super_up"")&gt;0,1+0.01*(COUNTIF(C$4:C118,""Grandma"")-COUNTIF(C$4:C118,""Sell_Grandma"")),1)+(COUNTIF"&amp;"(C$4:C118,""Mine"")-COUNTIF(C$4:C118,""Sell_Mine""))*((47*2^COUNTIF(C$4:C118,""Mine_up""))*IF(COUNTIF(C$4:C118,""Super_up"")&gt;1,1+0.005*(COUNTIF(C$4:C118,""Grandma"")-COUNTIF(C$4:C118,""Sell_Grandma"")),1))+(COUNTIF(C$4:C118,""Factory"")-COUNTIF(C$4:C118,"&amp;"""Sell_Factory""))*(260*2^COUNTIF(C$4:C118,""Factory_up""))))"),2725.84)</f>
        <v>2725.84</v>
      </c>
      <c r="F118" s="73">
        <f>IFERROR(__xludf.DUMMYFUNCTION("IF(COUNTA(C118:C147)=0,"""",IF(REGEXMATCH(INDEX(FILTER(C$4:C118,C$4:C118&lt;&gt;""""),ROWS(FILTER(C$4:C118,C$4:C118&lt;&gt;""""))),""^Sell_""),INDEX(FILTER(F$4:F117,C$4:C117&lt;&gt;""""),ROWS(FILTER(C$4:C117,C$4:C117&lt;&gt;""""))),$AC$5*(2^SWITCH(COUNTIF(C$4:C118,""Cursor_up"")"&amp;",0,0,1,1,2,2,3)+SWITCH(COUNTIF(C$4:C118,""Cursor_up""),4,0.1,0)*(ROW(C118)-4-COUNTIF(C$4:C118,""Cursor"")-COUNTIF(C$4:C118,""*""&amp;""_up"")-2*COUNTIF(C$4:C118,""Sell_""&amp;""*"")+COUNTIF(C$4:C118,""Sell_Cursor"")-COUNTIF(C$4:C118,""""))+0.01*E118*COUNTIF(C$4:C"&amp;"118,""Plastic_up""))+E118))"),3078.424)</f>
        <v>3078.424</v>
      </c>
      <c r="G118" s="14">
        <f>IFERROR(__xludf.DUMMYFUNCTION("IF(COUNTA(C118:C147)=0,"""",IF(REGEXMATCH(C118,""_up""),VLOOKUP(C118,Upgrades!$F$3:$J$8,1+COUNTIF(C$4:C118,C118),FALSE),IF(C118="""",0,IF(REGEXMATCH(C118,""^Sell_""),-ROUNDDOWN(ROUNDUP(INDEX(Upgrades!$C$3:$C$8,MATCH(SUBSTITUTE(C118,""Sell_"",""""),Upgrade"&amp;"s!$B$3:$B$8,0))*1.15^(COUNTIF(C$4:C117,SUBSTITUTE(C118,""Sell_"",""""))-COUNTIF(C$4:C117,""Sell_""&amp;SUBSTITUTE(C118,""Sell_"",""""))))/4),ROUNDUP(INDEX(Upgrades!$C$3:$C$7,MATCH(C118,Upgrades!$B$3:$B$7,0))*1.15^(COUNTIF(C$4:C117,C118)-COUNTIF(C$4:C117,""Sel"&amp;"l_""&amp;C118)))))))"),864.0)</f>
        <v>864</v>
      </c>
      <c r="H118" s="14">
        <f t="shared" si="3"/>
        <v>864</v>
      </c>
      <c r="I118" s="75">
        <f t="shared" si="4"/>
        <v>11890445.87</v>
      </c>
      <c r="J118" s="76">
        <f t="shared" si="5"/>
        <v>1184.487801</v>
      </c>
      <c r="K118" s="71" t="str">
        <f t="shared" si="6"/>
        <v>19m 44s</v>
      </c>
      <c r="L118" s="77">
        <f t="shared" si="7"/>
        <v>993308</v>
      </c>
      <c r="M118" s="51">
        <f t="shared" si="8"/>
        <v>-1.04823</v>
      </c>
      <c r="N118" s="52">
        <f>IFERROR(__xludf.DUMMYFUNCTION("IFS(AND(COUNTA(C118:C147)=0,COUNTA(P118:P147)=0),"""",OR(AND(L118&gt;=1000000,OR(Y118&gt;=1000000,COUNTA(P118:P147)=0)),AND(Y118&gt;=1000000,COUNTA(C118:C147)=0),AND(COUNTA(P118:P147)=0,O$3=TRUE)),
ROUNDDOWN((AB$1-AC$1)*MAX(INDEX(S$4:S147,MATCH(LARGE(FILTER(Y$4:Y1"&amp;"47,Y$4:Y147&lt;1000000),1),Y$4:Y147)),INDEX(F$4:F147,MATCH(LARGE(FILTER(L$4:L147,L$4:L147&lt;1000000),1),L$4:L147)))),AND(L118&lt;1000000,COUNTA(C118:C147)&gt;0,O$3=FALSE),
ROUNDDOWN(INDEX(Y$4:Y147,MATCH(LARGE(FILTER(W$4:W147,W$4:W147&lt;=J118),1),W$4:W147))+(J118-LARGE"&amp;"(FILTER(W$4:W147,W$4:W147&lt;=J118),1))*INDEX(S$4:S147,MATCH(LARGE(FILTER(W$4:W147,W$4:W147&lt;=J118),1),W$4:W147))-L118),1,
ROUNDDOWN(Y118-INDEX(L$4:L147,MATCH(LARGE(FILTER(J$4:J147,J$4:J147&lt;=W118),1),J$4:J147))-(W118-LARGE(FILTER(J$4:J147,J$4:J147&lt;=W118),1))*"&amp;"INDEX(F$4:F147,MATCH(LARGE(FILTER(J$4:J147,J$4:J147&lt;=W118),1),J$4:J147))))"),3216.0)</f>
        <v>3216</v>
      </c>
      <c r="O118" s="65">
        <f t="shared" si="9"/>
        <v>30</v>
      </c>
      <c r="P118" s="69" t="s">
        <v>10</v>
      </c>
      <c r="Q118" s="14" t="b">
        <f>IFERROR(__xludf.DUMMYFUNCTION("IF(COUNTA(P118:P147)=0,"""",IFERROR(IF(ISBLANK(P118),FALSE,IF(ISBLANK(T118),1,IF(NOT(COUNTIF($AA$24:$AA$34,SUBSTITUTE(P118,""Sell_"",""""))),1,IF(P118=""Plastic_up"",IF(V118&lt;1000,1),IF(P118=""Super_Up"",IF(OR(COUNTIF(P$4:P118,""Grandma"")-COUNTIF(P$4:P118"&amp;",""Sell_Grandma"")&lt;1,COUNTIF(P$4:P118,VLOOKUP(P118,Upgrades!$F$8:$N$8,7+COUNTIF(P$4:P118,P118)))-COUNTIF(P$4:P118,""Sell_""&amp;VLOOKUP(P118,Upgrades!$F$8:$N$8,7+COUNTIF(P$4:P118,P118)))&lt;15),1),IF(REGEXMATCH(P118,""_up""),IF(COUNTIF(P$4:P118,SUBSTITUTE(P118,"&amp;"""_up"",""""))&lt;IFERROR(VLOOKUP(P118,Upgrades!$L$3:$P$6,1+COUNTIF(P$4:P118,P118),0),999),1),IF(REGEXMATCH(P118,""Sell_""),IF(COUNTIF(P$4:P118,SUBSTITUTE(P118,""Sell_"",""""))-COUNTIF(P$4:P117,P118)&lt;1,1),FALSE)))))))))"),FALSE)</f>
        <v>0</v>
      </c>
      <c r="R118" s="71">
        <f>IFERROR(__xludf.DUMMYFUNCTION("IF(REGEXMATCH(P118,""^Sell_""),R117, IF(COUNTA(P118:P147)=0,"""",(COUNTIF(P$4:P118,""Cursor"")-COUNTIF(P$4:P118,""Sell_Cursor""))*(0.1*2^SWITCH(COUNTIF(P$4:P118,""Cursor_up""),0,0,1,1,2,2,3)+SWITCH(COUNTIF(P$4:P118,""Cursor_up""),4,0.1,0)*(ROW(P118)-4-COU"&amp;"NTIF(P$4:P118,""Cursor"")-COUNTIF(P$4:P118,""*""&amp;""_up"")-2*COUNTIF(P$4:P118,""Sell_""&amp;""*"")+COUNTIF(P$4:P118,""Sell_Cursor"")-COUNTIF(P$4:P118,"""")))+(COUNTIF(P$4:P118,""Grandma"")-COUNTIF(P$4:P118,""Sell_Grandma""))*(1*2^(COUNTIF(P$4:P118,""Grandma_up"&amp;""")+COUNTIF(P$4:P118,""Super_up"")))+(COUNTIF(P$4:P118,""Farm"")-COUNTIF(P$4:P118,""Sell_Farm""))*(8*2^COUNTIF(P$4:P118,""Farm_up""))*IF(COUNTIF(P$4:P118,""Super_up"")&gt;0,1+0.01*(COUNTIF(P$4:P118,""Grandma"")-COUNTIF(P$4:P118,""Sell_Grandma"")),1)+(COUNTIF"&amp;"(P$4:P118,""Mine"")-COUNTIF(P$4:P118,""Sell_Mine""))*((47*2^COUNTIF(P$4:P118,""Mine_up""))*IF(COUNTIF(P$4:P118,""Super_up"")&gt;1,1+0.005*(COUNTIF(P$4:P118,""Grandma"")-COUNTIF(P$4:P118,""Sell_Grandma"")),1))+(COUNTIF(P$4:P118,""Factory"")-COUNTIF(P$4:P118,"&amp;"""Sell_Factory""))*(260*2^COUNTIF(P$4:P118,""Factory_up""))))"),2725.84)</f>
        <v>2725.84</v>
      </c>
      <c r="S118" s="73">
        <f>IFERROR(__xludf.DUMMYFUNCTION("IF(COUNTA(P118:P147)=0,"""",IF(REGEXMATCH(INDEX(FILTER(P$4:P118,P$4:P118&lt;&gt;""""),ROWS(FILTER(P$4:P118,P$4:P118&lt;&gt;""""))),""^Sell_""),INDEX(FILTER(S$4:S117,P$4:P117&lt;&gt;""""),ROWS(FILTER(P$4:P117,P$4:P117&lt;&gt;""""))),$AD$5*(2^SWITCH(COUNTIF(P$4:P118,""Cursor_up"")"&amp;",0,0,1,1,2,2,3)+SWITCH(COUNTIF(P$4:P118,""Cursor_up""),4,0.1,0)*(ROW(P118)-4-COUNTIF(P$4:P118,""Cursor"")-COUNTIF(P$4:P118,""*""&amp;""_up"")-2*COUNTIF(P$4:P118,""Sell_""&amp;""*"")+COUNTIF(P$4:P118,""Sell_Cursor"")-COUNTIF(P$4:P118,""""))+0.01*R118*COUNTIF(P$4:P"&amp;"118,""Plastic_up""))+R118))"),3078.424)</f>
        <v>3078.424</v>
      </c>
      <c r="T118" s="14">
        <f>IFERROR(__xludf.DUMMYFUNCTION("IF(COUNTA(P118:P147)=0,"""",IF(REGEXMATCH(P118,""_up""),VLOOKUP(P118,Upgrades!$F$3:$J$8,1+COUNTIF(P$4:P118,P118),FALSE),IF(P118="""",0,IF(REGEXMATCH(P118,""^Sell_""),-ROUNDDOWN(ROUNDUP(INDEX(Upgrades!$C$3:$C$8,MATCH(SUBSTITUTE(P118,""Sell_"",""""),Upgrade"&amp;"s!$B$3:$B$8,0))*1.15^(COUNTIF(P$4:P117,SUBSTITUTE(P118,""Sell_"",""""))-COUNTIF(P$4:P117,""Sell_""&amp;SUBSTITUTE(P118,""Sell_"",""""))))/4),ROUNDUP(INDEX(Upgrades!$C$3:$C$7,MATCH(P118,Upgrades!$B$3:$B$7,0))*1.15^(COUNTIF(P$4:P117,P118)-COUNTIF(P$4:P117,""Sel"&amp;"l_""&amp;P118)))))))"),864.0)</f>
        <v>864</v>
      </c>
      <c r="U118" s="14">
        <f t="shared" si="10"/>
        <v>864</v>
      </c>
      <c r="V118" s="75">
        <f t="shared" si="11"/>
        <v>11793917.34</v>
      </c>
      <c r="W118" s="76">
        <f t="shared" si="12"/>
        <v>1183.439565</v>
      </c>
      <c r="X118" s="71" t="str">
        <f t="shared" si="13"/>
        <v>19m 43s</v>
      </c>
      <c r="Y118" s="77">
        <f t="shared" si="14"/>
        <v>993308</v>
      </c>
      <c r="Z118" s="17"/>
      <c r="AA118" s="13"/>
      <c r="AB118" s="13"/>
      <c r="AC118" s="13"/>
      <c r="AD118" s="13"/>
      <c r="AE118" s="13"/>
      <c r="AF118" s="13"/>
      <c r="AG118" s="13"/>
    </row>
    <row r="119">
      <c r="A119" s="12"/>
      <c r="B119" s="65">
        <f t="shared" si="2"/>
        <v>31</v>
      </c>
      <c r="C119" s="69" t="s">
        <v>10</v>
      </c>
      <c r="D119" s="14" t="b">
        <f>IFERROR(__xludf.DUMMYFUNCTION("IF(COUNTA(C119:C147)=0,"""",IFERROR(IF(ISBLANK(C119),FALSE,IF(ISBLANK(G119),1,IF(NOT(COUNTIF($AA$24:$AA$34,SUBSTITUTE(C119,""Sell_"",""""))),1,IF(C119=""Plastic_up"",IF(I119&lt;1000,1),IF(C119=""Super_Up"",IF(OR(COUNTIF(C$4:C119,""Grandma"")-COUNTIF(C$4:C119"&amp;",""Sell_Grandma"")&lt;1,COUNTIF(C$4:C119,VLOOKUP(C119,Upgrades!$F$8:$N$8,7+COUNTIF(C$4:C119,C119)))-COUNTIF(C$4:C119,""Sell_""&amp;VLOOKUP(C119,Upgrades!$F$8:$N$8,7+COUNTIF(C$4:C119,C119)))&lt;15),1),IF(REGEXMATCH(C119,""_up""),IF(COUNTIF(C$4:C119,SUBSTITUTE(C119,"&amp;"""_up"",""""))&lt;IFERROR(VLOOKUP(C119,Upgrades!$L$3:$P$6,1+COUNTIF(C$4:C119,C119),0),999),1),IF(REGEXMATCH(C119,""Sell_""),IF(COUNTIF(C$4:C119,SUBSTITUTE(C119,""Sell_"",""""))-COUNTIF(C$4:C118,C119)&lt;1,1),FALSE)))))))))"),FALSE)</f>
        <v>0</v>
      </c>
      <c r="E119" s="71">
        <f>IFERROR(__xludf.DUMMYFUNCTION("IF(REGEXMATCH(C119,""^Sell_""),E118, IF(COUNTA(C119:C147)=0,"""",(COUNTIF(C$4:C119,""Cursor"")-COUNTIF(C$4:C119,""Sell_Cursor""))*(0.1*2^SWITCH(COUNTIF(C$4:C119,""Cursor_up""),0,0,1,1,2,2,3)+SWITCH(COUNTIF(C$4:C119,""Cursor_up""),4,0.1,0)*(ROW(C119)-4-COU"&amp;"NTIF(C$4:C119,""Cursor"")-COUNTIF(C$4:C119,""*""&amp;""_up"")-2*COUNTIF(C$4:C119,""Sell_""&amp;""*"")+COUNTIF(C$4:C119,""Sell_Cursor"")-COUNTIF(C$4:C119,"""")))+(COUNTIF(C$4:C119,""Grandma"")-COUNTIF(C$4:C119,""Sell_Grandma""))*(1*2^(COUNTIF(C$4:C119,""Grandma_up"&amp;""")+COUNTIF(C$4:C119,""Super_up"")))+(COUNTIF(C$4:C119,""Farm"")-COUNTIF(C$4:C119,""Sell_Farm""))*(8*2^COUNTIF(C$4:C119,""Farm_up""))*IF(COUNTIF(C$4:C119,""Super_up"")&gt;0,1+0.01*(COUNTIF(C$4:C119,""Grandma"")-COUNTIF(C$4:C119,""Sell_Grandma"")),1)+(COUNTIF"&amp;"(C$4:C119,""Mine"")-COUNTIF(C$4:C119,""Sell_Mine""))*((47*2^COUNTIF(C$4:C119,""Mine_up""))*IF(COUNTIF(C$4:C119,""Super_up"")&gt;1,1+0.005*(COUNTIF(C$4:C119,""Grandma"")-COUNTIF(C$4:C119,""Sell_Grandma"")),1))+(COUNTIF(C$4:C119,""Factory"")-COUNTIF(C$4:C119,"&amp;"""Sell_Factory""))*(260*2^COUNTIF(C$4:C119,""Factory_up""))))"),2726.64)</f>
        <v>2726.64</v>
      </c>
      <c r="F119" s="73">
        <f>IFERROR(__xludf.DUMMYFUNCTION("IF(COUNTA(C119:C147)=0,"""",IF(REGEXMATCH(INDEX(FILTER(C$4:C119,C$4:C119&lt;&gt;""""),ROWS(FILTER(C$4:C119,C$4:C119&lt;&gt;""""))),""^Sell_""),INDEX(FILTER(F$4:F118,C$4:C118&lt;&gt;""""),ROWS(FILTER(C$4:C118,C$4:C118&lt;&gt;""""))),$AC$5*(2^SWITCH(COUNTIF(C$4:C119,""Cursor_up"")"&amp;",0,0,1,1,2,2,3)+SWITCH(COUNTIF(C$4:C119,""Cursor_up""),4,0.1,0)*(ROW(C119)-4-COUNTIF(C$4:C119,""Cursor"")-COUNTIF(C$4:C119,""*""&amp;""_up"")-2*COUNTIF(C$4:C119,""Sell_""&amp;""*"")+COUNTIF(C$4:C119,""Sell_Cursor"")-COUNTIF(C$4:C119,""""))+0.01*E119*COUNTIF(C$4:C"&amp;"119,""Plastic_up""))+E119))"),3079.304)</f>
        <v>3079.304</v>
      </c>
      <c r="G119" s="14">
        <f>IFERROR(__xludf.DUMMYFUNCTION("IF(COUNTA(C119:C147)=0,"""",IF(REGEXMATCH(C119,""_up""),VLOOKUP(C119,Upgrades!$F$3:$J$8,1+COUNTIF(C$4:C119,C119),FALSE),IF(C119="""",0,IF(REGEXMATCH(C119,""^Sell_""),-ROUNDDOWN(ROUNDUP(INDEX(Upgrades!$C$3:$C$8,MATCH(SUBSTITUTE(C119,""Sell_"",""""),Upgrade"&amp;"s!$B$3:$B$8,0))*1.15^(COUNTIF(C$4:C118,SUBSTITUTE(C119,""Sell_"",""""))-COUNTIF(C$4:C118,""Sell_""&amp;SUBSTITUTE(C119,""Sell_"",""""))))/4),ROUNDUP(INDEX(Upgrades!$C$3:$C$7,MATCH(C119,Upgrades!$B$3:$B$7,0))*1.15^(COUNTIF(C$4:C118,C119)-COUNTIF(C$4:C118,""Sel"&amp;"l_""&amp;C119)))))))"),994.0)</f>
        <v>994</v>
      </c>
      <c r="H119" s="14">
        <f t="shared" si="3"/>
        <v>994</v>
      </c>
      <c r="I119" s="75">
        <f t="shared" si="4"/>
        <v>12308191.16</v>
      </c>
      <c r="J119" s="76">
        <f t="shared" si="5"/>
        <v>1184.810694</v>
      </c>
      <c r="K119" s="71" t="str">
        <f t="shared" si="6"/>
        <v>19m 44s</v>
      </c>
      <c r="L119" s="77">
        <f t="shared" si="7"/>
        <v>994302</v>
      </c>
      <c r="M119" s="51">
        <f t="shared" si="8"/>
        <v>-1.04823</v>
      </c>
      <c r="N119" s="52">
        <f>IFERROR(__xludf.DUMMYFUNCTION("IFS(AND(COUNTA(C119:C147)=0,COUNTA(P119:P147)=0),"""",OR(AND(L119&gt;=1000000,OR(Y119&gt;=1000000,COUNTA(P119:P147)=0)),AND(Y119&gt;=1000000,COUNTA(C119:C147)=0),AND(COUNTA(P119:P147)=0,O$3=TRUE)),
ROUNDDOWN((AB$1-AC$1)*MAX(INDEX(S$4:S147,MATCH(LARGE(FILTER(Y$4:Y1"&amp;"47,Y$4:Y147&lt;1000000),1),Y$4:Y147)),INDEX(F$4:F147,MATCH(LARGE(FILTER(L$4:L147,L$4:L147&lt;1000000),1),L$4:L147)))),AND(L119&lt;1000000,COUNTA(C119:C147)&gt;0,O$3=FALSE),
ROUNDDOWN(INDEX(Y$4:Y147,MATCH(LARGE(FILTER(W$4:W147,W$4:W147&lt;=J119),1),W$4:W147))+(J119-LARGE"&amp;"(FILTER(W$4:W147,W$4:W147&lt;=J119),1))*INDEX(S$4:S147,MATCH(LARGE(FILTER(W$4:W147,W$4:W147&lt;=J119),1),W$4:W147))-L119),1,
ROUNDDOWN(Y119-INDEX(L$4:L147,MATCH(LARGE(FILTER(J$4:J147,J$4:J147&lt;=W119),1),J$4:J147))-(W119-LARGE(FILTER(J$4:J147,J$4:J147&lt;=W119),1))*"&amp;"INDEX(F$4:F147,MATCH(LARGE(FILTER(J$4:J147,J$4:J147&lt;=W119),1),J$4:J147))))"),3225.0)</f>
        <v>3225</v>
      </c>
      <c r="O119" s="65">
        <f t="shared" si="9"/>
        <v>31</v>
      </c>
      <c r="P119" s="69" t="s">
        <v>10</v>
      </c>
      <c r="Q119" s="14" t="b">
        <f>IFERROR(__xludf.DUMMYFUNCTION("IF(COUNTA(P119:P147)=0,"""",IFERROR(IF(ISBLANK(P119),FALSE,IF(ISBLANK(T119),1,IF(NOT(COUNTIF($AA$24:$AA$34,SUBSTITUTE(P119,""Sell_"",""""))),1,IF(P119=""Plastic_up"",IF(V119&lt;1000,1),IF(P119=""Super_Up"",IF(OR(COUNTIF(P$4:P119,""Grandma"")-COUNTIF(P$4:P119"&amp;",""Sell_Grandma"")&lt;1,COUNTIF(P$4:P119,VLOOKUP(P119,Upgrades!$F$8:$N$8,7+COUNTIF(P$4:P119,P119)))-COUNTIF(P$4:P119,""Sell_""&amp;VLOOKUP(P119,Upgrades!$F$8:$N$8,7+COUNTIF(P$4:P119,P119)))&lt;15),1),IF(REGEXMATCH(P119,""_up""),IF(COUNTIF(P$4:P119,SUBSTITUTE(P119,"&amp;"""_up"",""""))&lt;IFERROR(VLOOKUP(P119,Upgrades!$L$3:$P$6,1+COUNTIF(P$4:P119,P119),0),999),1),IF(REGEXMATCH(P119,""Sell_""),IF(COUNTIF(P$4:P119,SUBSTITUTE(P119,""Sell_"",""""))-COUNTIF(P$4:P118,P119)&lt;1,1),FALSE)))))))))"),FALSE)</f>
        <v>0</v>
      </c>
      <c r="R119" s="71">
        <f>IFERROR(__xludf.DUMMYFUNCTION("IF(REGEXMATCH(P119,""^Sell_""),R118, IF(COUNTA(P119:P147)=0,"""",(COUNTIF(P$4:P119,""Cursor"")-COUNTIF(P$4:P119,""Sell_Cursor""))*(0.1*2^SWITCH(COUNTIF(P$4:P119,""Cursor_up""),0,0,1,1,2,2,3)+SWITCH(COUNTIF(P$4:P119,""Cursor_up""),4,0.1,0)*(ROW(P119)-4-COU"&amp;"NTIF(P$4:P119,""Cursor"")-COUNTIF(P$4:P119,""*""&amp;""_up"")-2*COUNTIF(P$4:P119,""Sell_""&amp;""*"")+COUNTIF(P$4:P119,""Sell_Cursor"")-COUNTIF(P$4:P119,"""")))+(COUNTIF(P$4:P119,""Grandma"")-COUNTIF(P$4:P119,""Sell_Grandma""))*(1*2^(COUNTIF(P$4:P119,""Grandma_up"&amp;""")+COUNTIF(P$4:P119,""Super_up"")))+(COUNTIF(P$4:P119,""Farm"")-COUNTIF(P$4:P119,""Sell_Farm""))*(8*2^COUNTIF(P$4:P119,""Farm_up""))*IF(COUNTIF(P$4:P119,""Super_up"")&gt;0,1+0.01*(COUNTIF(P$4:P119,""Grandma"")-COUNTIF(P$4:P119,""Sell_Grandma"")),1)+(COUNTIF"&amp;"(P$4:P119,""Mine"")-COUNTIF(P$4:P119,""Sell_Mine""))*((47*2^COUNTIF(P$4:P119,""Mine_up""))*IF(COUNTIF(P$4:P119,""Super_up"")&gt;1,1+0.005*(COUNTIF(P$4:P119,""Grandma"")-COUNTIF(P$4:P119,""Sell_Grandma"")),1))+(COUNTIF(P$4:P119,""Factory"")-COUNTIF(P$4:P119,"&amp;"""Sell_Factory""))*(260*2^COUNTIF(P$4:P119,""Factory_up""))))"),2726.64)</f>
        <v>2726.64</v>
      </c>
      <c r="S119" s="73">
        <f>IFERROR(__xludf.DUMMYFUNCTION("IF(COUNTA(P119:P147)=0,"""",IF(REGEXMATCH(INDEX(FILTER(P$4:P119,P$4:P119&lt;&gt;""""),ROWS(FILTER(P$4:P119,P$4:P119&lt;&gt;""""))),""^Sell_""),INDEX(FILTER(S$4:S118,P$4:P118&lt;&gt;""""),ROWS(FILTER(P$4:P118,P$4:P118&lt;&gt;""""))),$AD$5*(2^SWITCH(COUNTIF(P$4:P119,""Cursor_up"")"&amp;",0,0,1,1,2,2,3)+SWITCH(COUNTIF(P$4:P119,""Cursor_up""),4,0.1,0)*(ROW(P119)-4-COUNTIF(P$4:P119,""Cursor"")-COUNTIF(P$4:P119,""*""&amp;""_up"")-2*COUNTIF(P$4:P119,""Sell_""&amp;""*"")+COUNTIF(P$4:P119,""Sell_Cursor"")-COUNTIF(P$4:P119,""""))+0.01*R119*COUNTIF(P$4:P"&amp;"119,""Plastic_up""))+R119))"),3079.304)</f>
        <v>3079.304</v>
      </c>
      <c r="T119" s="14">
        <f>IFERROR(__xludf.DUMMYFUNCTION("IF(COUNTA(P119:P147)=0,"""",IF(REGEXMATCH(P119,""_up""),VLOOKUP(P119,Upgrades!$F$3:$J$8,1+COUNTIF(P$4:P119,P119),FALSE),IF(P119="""",0,IF(REGEXMATCH(P119,""^Sell_""),-ROUNDDOWN(ROUNDUP(INDEX(Upgrades!$C$3:$C$8,MATCH(SUBSTITUTE(P119,""Sell_"",""""),Upgrade"&amp;"s!$B$3:$B$8,0))*1.15^(COUNTIF(P$4:P118,SUBSTITUTE(P119,""Sell_"",""""))-COUNTIF(P$4:P118,""Sell_""&amp;SUBSTITUTE(P119,""Sell_"",""""))))/4),ROUNDUP(INDEX(Upgrades!$C$3:$C$7,MATCH(P119,Upgrades!$B$3:$B$7,0))*1.15^(COUNTIF(P$4:P118,P119)-COUNTIF(P$4:P118,""Sel"&amp;"l_""&amp;P119)))))))"),994.0)</f>
        <v>994</v>
      </c>
      <c r="U119" s="14">
        <f t="shared" si="10"/>
        <v>994</v>
      </c>
      <c r="V119" s="75">
        <f t="shared" si="11"/>
        <v>12211293.05</v>
      </c>
      <c r="W119" s="76">
        <f t="shared" si="12"/>
        <v>1183.762457</v>
      </c>
      <c r="X119" s="71" t="str">
        <f t="shared" si="13"/>
        <v>19m 43s</v>
      </c>
      <c r="Y119" s="77">
        <f t="shared" si="14"/>
        <v>994302</v>
      </c>
      <c r="Z119" s="17"/>
      <c r="AA119" s="13"/>
      <c r="AB119" s="13"/>
      <c r="AC119" s="13"/>
      <c r="AD119" s="13"/>
      <c r="AE119" s="13"/>
      <c r="AF119" s="13"/>
      <c r="AG119" s="13"/>
    </row>
    <row r="120">
      <c r="A120" s="12"/>
      <c r="B120" s="65">
        <f t="shared" si="2"/>
        <v>32</v>
      </c>
      <c r="C120" s="69" t="s">
        <v>10</v>
      </c>
      <c r="D120" s="14" t="b">
        <f>IFERROR(__xludf.DUMMYFUNCTION("IF(COUNTA(C120:C147)=0,"""",IFERROR(IF(ISBLANK(C120),FALSE,IF(ISBLANK(G120),1,IF(NOT(COUNTIF($AA$24:$AA$34,SUBSTITUTE(C120,""Sell_"",""""))),1,IF(C120=""Plastic_up"",IF(I120&lt;1000,1),IF(C120=""Super_Up"",IF(OR(COUNTIF(C$4:C120,""Grandma"")-COUNTIF(C$4:C120"&amp;",""Sell_Grandma"")&lt;1,COUNTIF(C$4:C120,VLOOKUP(C120,Upgrades!$F$8:$N$8,7+COUNTIF(C$4:C120,C120)))-COUNTIF(C$4:C120,""Sell_""&amp;VLOOKUP(C120,Upgrades!$F$8:$N$8,7+COUNTIF(C$4:C120,C120)))&lt;15),1),IF(REGEXMATCH(C120,""_up""),IF(COUNTIF(C$4:C120,SUBSTITUTE(C120,"&amp;"""_up"",""""))&lt;IFERROR(VLOOKUP(C120,Upgrades!$L$3:$P$6,1+COUNTIF(C$4:C120,C120),0),999),1),IF(REGEXMATCH(C120,""Sell_""),IF(COUNTIF(C$4:C120,SUBSTITUTE(C120,""Sell_"",""""))-COUNTIF(C$4:C119,C120)&lt;1,1),FALSE)))))))))"),FALSE)</f>
        <v>0</v>
      </c>
      <c r="E120" s="71">
        <f>IFERROR(__xludf.DUMMYFUNCTION("IF(REGEXMATCH(C120,""^Sell_""),E119, IF(COUNTA(C120:C147)=0,"""",(COUNTIF(C$4:C120,""Cursor"")-COUNTIF(C$4:C120,""Sell_Cursor""))*(0.1*2^SWITCH(COUNTIF(C$4:C120,""Cursor_up""),0,0,1,1,2,2,3)+SWITCH(COUNTIF(C$4:C120,""Cursor_up""),4,0.1,0)*(ROW(C120)-4-COU"&amp;"NTIF(C$4:C120,""Cursor"")-COUNTIF(C$4:C120,""*""&amp;""_up"")-2*COUNTIF(C$4:C120,""Sell_""&amp;""*"")+COUNTIF(C$4:C120,""Sell_Cursor"")-COUNTIF(C$4:C120,"""")))+(COUNTIF(C$4:C120,""Grandma"")-COUNTIF(C$4:C120,""Sell_Grandma""))*(1*2^(COUNTIF(C$4:C120,""Grandma_up"&amp;""")+COUNTIF(C$4:C120,""Super_up"")))+(COUNTIF(C$4:C120,""Farm"")-COUNTIF(C$4:C120,""Sell_Farm""))*(8*2^COUNTIF(C$4:C120,""Farm_up""))*IF(COUNTIF(C$4:C120,""Super_up"")&gt;0,1+0.01*(COUNTIF(C$4:C120,""Grandma"")-COUNTIF(C$4:C120,""Sell_Grandma"")),1)+(COUNTIF"&amp;"(C$4:C120,""Mine"")-COUNTIF(C$4:C120,""Sell_Mine""))*((47*2^COUNTIF(C$4:C120,""Mine_up""))*IF(COUNTIF(C$4:C120,""Super_up"")&gt;1,1+0.005*(COUNTIF(C$4:C120,""Grandma"")-COUNTIF(C$4:C120,""Sell_Grandma"")),1))+(COUNTIF(C$4:C120,""Factory"")-COUNTIF(C$4:C120,"&amp;"""Sell_Factory""))*(260*2^COUNTIF(C$4:C120,""Factory_up""))))"),2727.44)</f>
        <v>2727.44</v>
      </c>
      <c r="F120" s="73">
        <f>IFERROR(__xludf.DUMMYFUNCTION("IF(COUNTA(C120:C147)=0,"""",IF(REGEXMATCH(INDEX(FILTER(C$4:C120,C$4:C120&lt;&gt;""""),ROWS(FILTER(C$4:C120,C$4:C120&lt;&gt;""""))),""^Sell_""),INDEX(FILTER(F$4:F119,C$4:C119&lt;&gt;""""),ROWS(FILTER(C$4:C119,C$4:C119&lt;&gt;""""))),$AC$5*(2^SWITCH(COUNTIF(C$4:C120,""Cursor_up"")"&amp;",0,0,1,1,2,2,3)+SWITCH(COUNTIF(C$4:C120,""Cursor_up""),4,0.1,0)*(ROW(C120)-4-COUNTIF(C$4:C120,""Cursor"")-COUNTIF(C$4:C120,""*""&amp;""_up"")-2*COUNTIF(C$4:C120,""Sell_""&amp;""*"")+COUNTIF(C$4:C120,""Sell_Cursor"")-COUNTIF(C$4:C120,""""))+0.01*E120*COUNTIF(C$4:C"&amp;"120,""Plastic_up""))+E120))"),3080.184)</f>
        <v>3080.184</v>
      </c>
      <c r="G120" s="14">
        <f>IFERROR(__xludf.DUMMYFUNCTION("IF(COUNTA(C120:C147)=0,"""",IF(REGEXMATCH(C120,""_up""),VLOOKUP(C120,Upgrades!$F$3:$J$8,1+COUNTIF(C$4:C120,C120),FALSE),IF(C120="""",0,IF(REGEXMATCH(C120,""^Sell_""),-ROUNDDOWN(ROUNDUP(INDEX(Upgrades!$C$3:$C$8,MATCH(SUBSTITUTE(C120,""Sell_"",""""),Upgrade"&amp;"s!$B$3:$B$8,0))*1.15^(COUNTIF(C$4:C119,SUBSTITUTE(C120,""Sell_"",""""))-COUNTIF(C$4:C119,""Sell_""&amp;SUBSTITUTE(C120,""Sell_"",""""))))/4),ROUNDUP(INDEX(Upgrades!$C$3:$C$7,MATCH(C120,Upgrades!$B$3:$B$7,0))*1.15^(COUNTIF(C$4:C119,C120)-COUNTIF(C$4:C119,""Sel"&amp;"l_""&amp;C120)))))))"),1143.0)</f>
        <v>1143</v>
      </c>
      <c r="H120" s="14">
        <f t="shared" si="3"/>
        <v>1143</v>
      </c>
      <c r="I120" s="75">
        <f t="shared" si="4"/>
        <v>12726162.14</v>
      </c>
      <c r="J120" s="76">
        <f t="shared" si="5"/>
        <v>1185.181881</v>
      </c>
      <c r="K120" s="71" t="str">
        <f t="shared" si="6"/>
        <v>19m 45s</v>
      </c>
      <c r="L120" s="77">
        <f t="shared" si="7"/>
        <v>995445</v>
      </c>
      <c r="M120" s="51">
        <f t="shared" si="8"/>
        <v>-1.04823</v>
      </c>
      <c r="N120" s="52">
        <f>IFERROR(__xludf.DUMMYFUNCTION("IFS(AND(COUNTA(C120:C147)=0,COUNTA(P120:P147)=0),"""",OR(AND(L120&gt;=1000000,OR(Y120&gt;=1000000,COUNTA(P120:P147)=0)),AND(Y120&gt;=1000000,COUNTA(C120:C147)=0),AND(COUNTA(P120:P147)=0,O$3=TRUE)),
ROUNDDOWN((AB$1-AC$1)*MAX(INDEX(S$4:S147,MATCH(LARGE(FILTER(Y$4:Y1"&amp;"47,Y$4:Y147&lt;1000000),1),Y$4:Y147)),INDEX(F$4:F147,MATCH(LARGE(FILTER(L$4:L147,L$4:L147&lt;1000000),1),L$4:L147)))),AND(L120&lt;1000000,COUNTA(C120:C147)&gt;0,O$3=FALSE),
ROUNDDOWN(INDEX(Y$4:Y147,MATCH(LARGE(FILTER(W$4:W147,W$4:W147&lt;=J120),1),W$4:W147))+(J120-LARGE"&amp;"(FILTER(W$4:W147,W$4:W147&lt;=J120),1))*INDEX(S$4:S147,MATCH(LARGE(FILTER(W$4:W147,W$4:W147&lt;=J120),1),W$4:W147))-L120),1,
ROUNDDOWN(Y120-INDEX(L$4:L147,MATCH(LARGE(FILTER(J$4:J147,J$4:J147&lt;=W120),1),J$4:J147))-(W120-LARGE(FILTER(J$4:J147,J$4:J147&lt;=W120),1))*"&amp;"INDEX(F$4:F147,MATCH(LARGE(FILTER(J$4:J147,J$4:J147&lt;=W120),1),J$4:J147))))"),3226.0)</f>
        <v>3226</v>
      </c>
      <c r="O120" s="65">
        <f t="shared" si="9"/>
        <v>32</v>
      </c>
      <c r="P120" s="69" t="s">
        <v>10</v>
      </c>
      <c r="Q120" s="14" t="b">
        <f>IFERROR(__xludf.DUMMYFUNCTION("IF(COUNTA(P120:P147)=0,"""",IFERROR(IF(ISBLANK(P120),FALSE,IF(ISBLANK(T120),1,IF(NOT(COUNTIF($AA$24:$AA$34,SUBSTITUTE(P120,""Sell_"",""""))),1,IF(P120=""Plastic_up"",IF(V120&lt;1000,1),IF(P120=""Super_Up"",IF(OR(COUNTIF(P$4:P120,""Grandma"")-COUNTIF(P$4:P120"&amp;",""Sell_Grandma"")&lt;1,COUNTIF(P$4:P120,VLOOKUP(P120,Upgrades!$F$8:$N$8,7+COUNTIF(P$4:P120,P120)))-COUNTIF(P$4:P120,""Sell_""&amp;VLOOKUP(P120,Upgrades!$F$8:$N$8,7+COUNTIF(P$4:P120,P120)))&lt;15),1),IF(REGEXMATCH(P120,""_up""),IF(COUNTIF(P$4:P120,SUBSTITUTE(P120,"&amp;"""_up"",""""))&lt;IFERROR(VLOOKUP(P120,Upgrades!$L$3:$P$6,1+COUNTIF(P$4:P120,P120),0),999),1),IF(REGEXMATCH(P120,""Sell_""),IF(COUNTIF(P$4:P120,SUBSTITUTE(P120,""Sell_"",""""))-COUNTIF(P$4:P119,P120)&lt;1,1),FALSE)))))))))"),FALSE)</f>
        <v>0</v>
      </c>
      <c r="R120" s="71">
        <f>IFERROR(__xludf.DUMMYFUNCTION("IF(REGEXMATCH(P120,""^Sell_""),R119, IF(COUNTA(P120:P147)=0,"""",(COUNTIF(P$4:P120,""Cursor"")-COUNTIF(P$4:P120,""Sell_Cursor""))*(0.1*2^SWITCH(COUNTIF(P$4:P120,""Cursor_up""),0,0,1,1,2,2,3)+SWITCH(COUNTIF(P$4:P120,""Cursor_up""),4,0.1,0)*(ROW(P120)-4-COU"&amp;"NTIF(P$4:P120,""Cursor"")-COUNTIF(P$4:P120,""*""&amp;""_up"")-2*COUNTIF(P$4:P120,""Sell_""&amp;""*"")+COUNTIF(P$4:P120,""Sell_Cursor"")-COUNTIF(P$4:P120,"""")))+(COUNTIF(P$4:P120,""Grandma"")-COUNTIF(P$4:P120,""Sell_Grandma""))*(1*2^(COUNTIF(P$4:P120,""Grandma_up"&amp;""")+COUNTIF(P$4:P120,""Super_up"")))+(COUNTIF(P$4:P120,""Farm"")-COUNTIF(P$4:P120,""Sell_Farm""))*(8*2^COUNTIF(P$4:P120,""Farm_up""))*IF(COUNTIF(P$4:P120,""Super_up"")&gt;0,1+0.01*(COUNTIF(P$4:P120,""Grandma"")-COUNTIF(P$4:P120,""Sell_Grandma"")),1)+(COUNTIF"&amp;"(P$4:P120,""Mine"")-COUNTIF(P$4:P120,""Sell_Mine""))*((47*2^COUNTIF(P$4:P120,""Mine_up""))*IF(COUNTIF(P$4:P120,""Super_up"")&gt;1,1+0.005*(COUNTIF(P$4:P120,""Grandma"")-COUNTIF(P$4:P120,""Sell_Grandma"")),1))+(COUNTIF(P$4:P120,""Factory"")-COUNTIF(P$4:P120,"&amp;"""Sell_Factory""))*(260*2^COUNTIF(P$4:P120,""Factory_up""))))"),2727.44)</f>
        <v>2727.44</v>
      </c>
      <c r="S120" s="73">
        <f>IFERROR(__xludf.DUMMYFUNCTION("IF(COUNTA(P120:P147)=0,"""",IF(REGEXMATCH(INDEX(FILTER(P$4:P120,P$4:P120&lt;&gt;""""),ROWS(FILTER(P$4:P120,P$4:P120&lt;&gt;""""))),""^Sell_""),INDEX(FILTER(S$4:S119,P$4:P119&lt;&gt;""""),ROWS(FILTER(P$4:P119,P$4:P119&lt;&gt;""""))),$AD$5*(2^SWITCH(COUNTIF(P$4:P120,""Cursor_up"")"&amp;",0,0,1,1,2,2,3)+SWITCH(COUNTIF(P$4:P120,""Cursor_up""),4,0.1,0)*(ROW(P120)-4-COUNTIF(P$4:P120,""Cursor"")-COUNTIF(P$4:P120,""*""&amp;""_up"")-2*COUNTIF(P$4:P120,""Sell_""&amp;""*"")+COUNTIF(P$4:P120,""Sell_Cursor"")-COUNTIF(P$4:P120,""""))+0.01*R120*COUNTIF(P$4:P"&amp;"120,""Plastic_up""))+R120))"),3080.184)</f>
        <v>3080.184</v>
      </c>
      <c r="T120" s="14">
        <f>IFERROR(__xludf.DUMMYFUNCTION("IF(COUNTA(P120:P147)=0,"""",IF(REGEXMATCH(P120,""_up""),VLOOKUP(P120,Upgrades!$F$3:$J$8,1+COUNTIF(P$4:P120,P120),FALSE),IF(P120="""",0,IF(REGEXMATCH(P120,""^Sell_""),-ROUNDDOWN(ROUNDUP(INDEX(Upgrades!$C$3:$C$8,MATCH(SUBSTITUTE(P120,""Sell_"",""""),Upgrade"&amp;"s!$B$3:$B$8,0))*1.15^(COUNTIF(P$4:P119,SUBSTITUTE(P120,""Sell_"",""""))-COUNTIF(P$4:P119,""Sell_""&amp;SUBSTITUTE(P120,""Sell_"",""""))))/4),ROUNDUP(INDEX(Upgrades!$C$3:$C$7,MATCH(P120,Upgrades!$B$3:$B$7,0))*1.15^(COUNTIF(P$4:P119,P120)-COUNTIF(P$4:P119,""Sel"&amp;"l_""&amp;P120)))))))"),1143.0)</f>
        <v>1143</v>
      </c>
      <c r="U120" s="14">
        <f t="shared" si="10"/>
        <v>1143</v>
      </c>
      <c r="V120" s="75">
        <f t="shared" si="11"/>
        <v>12628894.35</v>
      </c>
      <c r="W120" s="76">
        <f t="shared" si="12"/>
        <v>1184.133645</v>
      </c>
      <c r="X120" s="71" t="str">
        <f t="shared" si="13"/>
        <v>19m 44s</v>
      </c>
      <c r="Y120" s="77">
        <f t="shared" si="14"/>
        <v>995445</v>
      </c>
      <c r="Z120" s="17"/>
      <c r="AA120" s="13"/>
      <c r="AB120" s="13"/>
      <c r="AC120" s="13"/>
      <c r="AD120" s="13"/>
      <c r="AE120" s="13"/>
      <c r="AF120" s="13"/>
      <c r="AG120" s="13"/>
    </row>
    <row r="121">
      <c r="A121" s="12"/>
      <c r="B121" s="65">
        <f t="shared" si="2"/>
        <v>33</v>
      </c>
      <c r="C121" s="69" t="s">
        <v>10</v>
      </c>
      <c r="D121" s="14" t="b">
        <f>IFERROR(__xludf.DUMMYFUNCTION("IF(COUNTA(C121:C147)=0,"""",IFERROR(IF(ISBLANK(C121),FALSE,IF(ISBLANK(G121),1,IF(NOT(COUNTIF($AA$24:$AA$34,SUBSTITUTE(C121,""Sell_"",""""))),1,IF(C121=""Plastic_up"",IF(I121&lt;1000,1),IF(C121=""Super_Up"",IF(OR(COUNTIF(C$4:C121,""Grandma"")-COUNTIF(C$4:C121"&amp;",""Sell_Grandma"")&lt;1,COUNTIF(C$4:C121,VLOOKUP(C121,Upgrades!$F$8:$N$8,7+COUNTIF(C$4:C121,C121)))-COUNTIF(C$4:C121,""Sell_""&amp;VLOOKUP(C121,Upgrades!$F$8:$N$8,7+COUNTIF(C$4:C121,C121)))&lt;15),1),IF(REGEXMATCH(C121,""_up""),IF(COUNTIF(C$4:C121,SUBSTITUTE(C121,"&amp;"""_up"",""""))&lt;IFERROR(VLOOKUP(C121,Upgrades!$L$3:$P$6,1+COUNTIF(C$4:C121,C121),0),999),1),IF(REGEXMATCH(C121,""Sell_""),IF(COUNTIF(C$4:C121,SUBSTITUTE(C121,""Sell_"",""""))-COUNTIF(C$4:C120,C121)&lt;1,1),FALSE)))))))))"),FALSE)</f>
        <v>0</v>
      </c>
      <c r="E121" s="71">
        <f>IFERROR(__xludf.DUMMYFUNCTION("IF(REGEXMATCH(C121,""^Sell_""),E120, IF(COUNTA(C121:C147)=0,"""",(COUNTIF(C$4:C121,""Cursor"")-COUNTIF(C$4:C121,""Sell_Cursor""))*(0.1*2^SWITCH(COUNTIF(C$4:C121,""Cursor_up""),0,0,1,1,2,2,3)+SWITCH(COUNTIF(C$4:C121,""Cursor_up""),4,0.1,0)*(ROW(C121)-4-COU"&amp;"NTIF(C$4:C121,""Cursor"")-COUNTIF(C$4:C121,""*""&amp;""_up"")-2*COUNTIF(C$4:C121,""Sell_""&amp;""*"")+COUNTIF(C$4:C121,""Sell_Cursor"")-COUNTIF(C$4:C121,"""")))+(COUNTIF(C$4:C121,""Grandma"")-COUNTIF(C$4:C121,""Sell_Grandma""))*(1*2^(COUNTIF(C$4:C121,""Grandma_up"&amp;""")+COUNTIF(C$4:C121,""Super_up"")))+(COUNTIF(C$4:C121,""Farm"")-COUNTIF(C$4:C121,""Sell_Farm""))*(8*2^COUNTIF(C$4:C121,""Farm_up""))*IF(COUNTIF(C$4:C121,""Super_up"")&gt;0,1+0.01*(COUNTIF(C$4:C121,""Grandma"")-COUNTIF(C$4:C121,""Sell_Grandma"")),1)+(COUNTIF"&amp;"(C$4:C121,""Mine"")-COUNTIF(C$4:C121,""Sell_Mine""))*((47*2^COUNTIF(C$4:C121,""Mine_up""))*IF(COUNTIF(C$4:C121,""Super_up"")&gt;1,1+0.005*(COUNTIF(C$4:C121,""Grandma"")-COUNTIF(C$4:C121,""Sell_Grandma"")),1))+(COUNTIF(C$4:C121,""Factory"")-COUNTIF(C$4:C121,"&amp;"""Sell_Factory""))*(260*2^COUNTIF(C$4:C121,""Factory_up""))))"),2728.24)</f>
        <v>2728.24</v>
      </c>
      <c r="F121" s="73">
        <f>IFERROR(__xludf.DUMMYFUNCTION("IF(COUNTA(C121:C147)=0,"""",IF(REGEXMATCH(INDEX(FILTER(C$4:C121,C$4:C121&lt;&gt;""""),ROWS(FILTER(C$4:C121,C$4:C121&lt;&gt;""""))),""^Sell_""),INDEX(FILTER(F$4:F120,C$4:C120&lt;&gt;""""),ROWS(FILTER(C$4:C120,C$4:C120&lt;&gt;""""))),$AC$5*(2^SWITCH(COUNTIF(C$4:C121,""Cursor_up"")"&amp;",0,0,1,1,2,2,3)+SWITCH(COUNTIF(C$4:C121,""Cursor_up""),4,0.1,0)*(ROW(C121)-4-COUNTIF(C$4:C121,""Cursor"")-COUNTIF(C$4:C121,""*""&amp;""_up"")-2*COUNTIF(C$4:C121,""Sell_""&amp;""*"")+COUNTIF(C$4:C121,""Sell_Cursor"")-COUNTIF(C$4:C121,""""))+0.01*E121*COUNTIF(C$4:C"&amp;"121,""Plastic_up""))+E121))"),3081.064)</f>
        <v>3081.064</v>
      </c>
      <c r="G121" s="14">
        <f>IFERROR(__xludf.DUMMYFUNCTION("IF(COUNTA(C121:C147)=0,"""",IF(REGEXMATCH(C121,""_up""),VLOOKUP(C121,Upgrades!$F$3:$J$8,1+COUNTIF(C$4:C121,C121),FALSE),IF(C121="""",0,IF(REGEXMATCH(C121,""^Sell_""),-ROUNDDOWN(ROUNDUP(INDEX(Upgrades!$C$3:$C$8,MATCH(SUBSTITUTE(C121,""Sell_"",""""),Upgrade"&amp;"s!$B$3:$B$8,0))*1.15^(COUNTIF(C$4:C120,SUBSTITUTE(C121,""Sell_"",""""))-COUNTIF(C$4:C120,""Sell_""&amp;SUBSTITUTE(C121,""Sell_"",""""))))/4),ROUNDUP(INDEX(Upgrades!$C$3:$C$7,MATCH(C121,Upgrades!$B$3:$B$7,0))*1.15^(COUNTIF(C$4:C120,C121)-COUNTIF(C$4:C120,""Sel"&amp;"l_""&amp;C121)))))))"),1314.0)</f>
        <v>1314</v>
      </c>
      <c r="H121" s="14">
        <f t="shared" si="3"/>
        <v>1314</v>
      </c>
      <c r="I121" s="75">
        <f t="shared" si="4"/>
        <v>13144378.42</v>
      </c>
      <c r="J121" s="76">
        <f t="shared" si="5"/>
        <v>1185.608479</v>
      </c>
      <c r="K121" s="71" t="str">
        <f t="shared" si="6"/>
        <v>19m 45s</v>
      </c>
      <c r="L121" s="77">
        <f t="shared" si="7"/>
        <v>996759</v>
      </c>
      <c r="M121" s="51">
        <f t="shared" si="8"/>
        <v>-1.04823</v>
      </c>
      <c r="N121" s="52">
        <f>IFERROR(__xludf.DUMMYFUNCTION("IFS(AND(COUNTA(C121:C147)=0,COUNTA(P121:P147)=0),"""",OR(AND(L121&gt;=1000000,OR(Y121&gt;=1000000,COUNTA(P121:P147)=0)),AND(Y121&gt;=1000000,COUNTA(C121:C147)=0),AND(COUNTA(P121:P147)=0,O$3=TRUE)),
ROUNDDOWN((AB$1-AC$1)*MAX(INDEX(S$4:S147,MATCH(LARGE(FILTER(Y$4:Y1"&amp;"47,Y$4:Y147&lt;1000000),1),Y$4:Y147)),INDEX(F$4:F147,MATCH(LARGE(FILTER(L$4:L147,L$4:L147&lt;1000000),1),L$4:L147)))),AND(L121&lt;1000000,COUNTA(C121:C147)&gt;0,O$3=FALSE),
ROUNDDOWN(INDEX(Y$4:Y147,MATCH(LARGE(FILTER(W$4:W147,W$4:W147&lt;=J121),1),W$4:W147))+(J121-LARGE"&amp;"(FILTER(W$4:W147,W$4:W147&lt;=J121),1))*INDEX(S$4:S147,MATCH(LARGE(FILTER(W$4:W147,W$4:W147&lt;=J121),1),W$4:W147))-L121),1,
ROUNDDOWN(Y121-INDEX(L$4:L147,MATCH(LARGE(FILTER(J$4:J147,J$4:J147&lt;=W121),1),J$4:J147))-(W121-LARGE(FILTER(J$4:J147,J$4:J147&lt;=W121),1))*"&amp;"INDEX(F$4:F147,MATCH(LARGE(FILTER(J$4:J147,J$4:J147&lt;=W121),1),J$4:J147))))"),3227.0)</f>
        <v>3227</v>
      </c>
      <c r="O121" s="65">
        <f t="shared" si="9"/>
        <v>33</v>
      </c>
      <c r="P121" s="69" t="s">
        <v>10</v>
      </c>
      <c r="Q121" s="14" t="b">
        <f>IFERROR(__xludf.DUMMYFUNCTION("IF(COUNTA(P121:P147)=0,"""",IFERROR(IF(ISBLANK(P121),FALSE,IF(ISBLANK(T121),1,IF(NOT(COUNTIF($AA$24:$AA$34,SUBSTITUTE(P121,""Sell_"",""""))),1,IF(P121=""Plastic_up"",IF(V121&lt;1000,1),IF(P121=""Super_Up"",IF(OR(COUNTIF(P$4:P121,""Grandma"")-COUNTIF(P$4:P121"&amp;",""Sell_Grandma"")&lt;1,COUNTIF(P$4:P121,VLOOKUP(P121,Upgrades!$F$8:$N$8,7+COUNTIF(P$4:P121,P121)))-COUNTIF(P$4:P121,""Sell_""&amp;VLOOKUP(P121,Upgrades!$F$8:$N$8,7+COUNTIF(P$4:P121,P121)))&lt;15),1),IF(REGEXMATCH(P121,""_up""),IF(COUNTIF(P$4:P121,SUBSTITUTE(P121,"&amp;"""_up"",""""))&lt;IFERROR(VLOOKUP(P121,Upgrades!$L$3:$P$6,1+COUNTIF(P$4:P121,P121),0),999),1),IF(REGEXMATCH(P121,""Sell_""),IF(COUNTIF(P$4:P121,SUBSTITUTE(P121,""Sell_"",""""))-COUNTIF(P$4:P120,P121)&lt;1,1),FALSE)))))))))"),FALSE)</f>
        <v>0</v>
      </c>
      <c r="R121" s="71">
        <f>IFERROR(__xludf.DUMMYFUNCTION("IF(REGEXMATCH(P121,""^Sell_""),R120, IF(COUNTA(P121:P147)=0,"""",(COUNTIF(P$4:P121,""Cursor"")-COUNTIF(P$4:P121,""Sell_Cursor""))*(0.1*2^SWITCH(COUNTIF(P$4:P121,""Cursor_up""),0,0,1,1,2,2,3)+SWITCH(COUNTIF(P$4:P121,""Cursor_up""),4,0.1,0)*(ROW(P121)-4-COU"&amp;"NTIF(P$4:P121,""Cursor"")-COUNTIF(P$4:P121,""*""&amp;""_up"")-2*COUNTIF(P$4:P121,""Sell_""&amp;""*"")+COUNTIF(P$4:P121,""Sell_Cursor"")-COUNTIF(P$4:P121,"""")))+(COUNTIF(P$4:P121,""Grandma"")-COUNTIF(P$4:P121,""Sell_Grandma""))*(1*2^(COUNTIF(P$4:P121,""Grandma_up"&amp;""")+COUNTIF(P$4:P121,""Super_up"")))+(COUNTIF(P$4:P121,""Farm"")-COUNTIF(P$4:P121,""Sell_Farm""))*(8*2^COUNTIF(P$4:P121,""Farm_up""))*IF(COUNTIF(P$4:P121,""Super_up"")&gt;0,1+0.01*(COUNTIF(P$4:P121,""Grandma"")-COUNTIF(P$4:P121,""Sell_Grandma"")),1)+(COUNTIF"&amp;"(P$4:P121,""Mine"")-COUNTIF(P$4:P121,""Sell_Mine""))*((47*2^COUNTIF(P$4:P121,""Mine_up""))*IF(COUNTIF(P$4:P121,""Super_up"")&gt;1,1+0.005*(COUNTIF(P$4:P121,""Grandma"")-COUNTIF(P$4:P121,""Sell_Grandma"")),1))+(COUNTIF(P$4:P121,""Factory"")-COUNTIF(P$4:P121,"&amp;"""Sell_Factory""))*(260*2^COUNTIF(P$4:P121,""Factory_up""))))"),2728.24)</f>
        <v>2728.24</v>
      </c>
      <c r="S121" s="73">
        <f>IFERROR(__xludf.DUMMYFUNCTION("IF(COUNTA(P121:P147)=0,"""",IF(REGEXMATCH(INDEX(FILTER(P$4:P121,P$4:P121&lt;&gt;""""),ROWS(FILTER(P$4:P121,P$4:P121&lt;&gt;""""))),""^Sell_""),INDEX(FILTER(S$4:S120,P$4:P120&lt;&gt;""""),ROWS(FILTER(P$4:P120,P$4:P120&lt;&gt;""""))),$AD$5*(2^SWITCH(COUNTIF(P$4:P121,""Cursor_up"")"&amp;",0,0,1,1,2,2,3)+SWITCH(COUNTIF(P$4:P121,""Cursor_up""),4,0.1,0)*(ROW(P121)-4-COUNTIF(P$4:P121,""Cursor"")-COUNTIF(P$4:P121,""*""&amp;""_up"")-2*COUNTIF(P$4:P121,""Sell_""&amp;""*"")+COUNTIF(P$4:P121,""Sell_Cursor"")-COUNTIF(P$4:P121,""""))+0.01*R121*COUNTIF(P$4:P"&amp;"121,""Plastic_up""))+R121))"),3081.064)</f>
        <v>3081.064</v>
      </c>
      <c r="T121" s="14">
        <f>IFERROR(__xludf.DUMMYFUNCTION("IF(COUNTA(P121:P147)=0,"""",IF(REGEXMATCH(P121,""_up""),VLOOKUP(P121,Upgrades!$F$3:$J$8,1+COUNTIF(P$4:P121,P121),FALSE),IF(P121="""",0,IF(REGEXMATCH(P121,""^Sell_""),-ROUNDDOWN(ROUNDUP(INDEX(Upgrades!$C$3:$C$8,MATCH(SUBSTITUTE(P121,""Sell_"",""""),Upgrade"&amp;"s!$B$3:$B$8,0))*1.15^(COUNTIF(P$4:P120,SUBSTITUTE(P121,""Sell_"",""""))-COUNTIF(P$4:P120,""Sell_""&amp;SUBSTITUTE(P121,""Sell_"",""""))))/4),ROUNDUP(INDEX(Upgrades!$C$3:$C$7,MATCH(P121,Upgrades!$B$3:$B$7,0))*1.15^(COUNTIF(P$4:P120,P121)-COUNTIF(P$4:P120,""Sel"&amp;"l_""&amp;P121)))))))"),1314.0)</f>
        <v>1314</v>
      </c>
      <c r="U121" s="14">
        <f t="shared" si="10"/>
        <v>1314</v>
      </c>
      <c r="V121" s="75">
        <f t="shared" si="11"/>
        <v>13046740.87</v>
      </c>
      <c r="W121" s="76">
        <f t="shared" si="12"/>
        <v>1184.560243</v>
      </c>
      <c r="X121" s="71" t="str">
        <f t="shared" si="13"/>
        <v>19m 44s</v>
      </c>
      <c r="Y121" s="77">
        <f t="shared" si="14"/>
        <v>996759</v>
      </c>
      <c r="Z121" s="17"/>
      <c r="AA121" s="13"/>
      <c r="AB121" s="13"/>
      <c r="AC121" s="13"/>
      <c r="AD121" s="13"/>
      <c r="AE121" s="13"/>
      <c r="AF121" s="13"/>
      <c r="AG121" s="13"/>
    </row>
    <row r="122">
      <c r="A122" s="12"/>
      <c r="B122" s="65">
        <f t="shared" si="2"/>
        <v>34</v>
      </c>
      <c r="C122" s="69" t="s">
        <v>10</v>
      </c>
      <c r="D122" s="14" t="b">
        <f>IFERROR(__xludf.DUMMYFUNCTION("IF(COUNTA(C122:C147)=0,"""",IFERROR(IF(ISBLANK(C122),FALSE,IF(ISBLANK(G122),1,IF(NOT(COUNTIF($AA$24:$AA$34,SUBSTITUTE(C122,""Sell_"",""""))),1,IF(C122=""Plastic_up"",IF(I122&lt;1000,1),IF(C122=""Super_Up"",IF(OR(COUNTIF(C$4:C122,""Grandma"")-COUNTIF(C$4:C122"&amp;",""Sell_Grandma"")&lt;1,COUNTIF(C$4:C122,VLOOKUP(C122,Upgrades!$F$8:$N$8,7+COUNTIF(C$4:C122,C122)))-COUNTIF(C$4:C122,""Sell_""&amp;VLOOKUP(C122,Upgrades!$F$8:$N$8,7+COUNTIF(C$4:C122,C122)))&lt;15),1),IF(REGEXMATCH(C122,""_up""),IF(COUNTIF(C$4:C122,SUBSTITUTE(C122,"&amp;"""_up"",""""))&lt;IFERROR(VLOOKUP(C122,Upgrades!$L$3:$P$6,1+COUNTIF(C$4:C122,C122),0),999),1),IF(REGEXMATCH(C122,""Sell_""),IF(COUNTIF(C$4:C122,SUBSTITUTE(C122,""Sell_"",""""))-COUNTIF(C$4:C121,C122)&lt;1,1),FALSE)))))))))"),FALSE)</f>
        <v>0</v>
      </c>
      <c r="E122" s="71">
        <f>IFERROR(__xludf.DUMMYFUNCTION("IF(REGEXMATCH(C122,""^Sell_""),E121, IF(COUNTA(C122:C147)=0,"""",(COUNTIF(C$4:C122,""Cursor"")-COUNTIF(C$4:C122,""Sell_Cursor""))*(0.1*2^SWITCH(COUNTIF(C$4:C122,""Cursor_up""),0,0,1,1,2,2,3)+SWITCH(COUNTIF(C$4:C122,""Cursor_up""),4,0.1,0)*(ROW(C122)-4-COU"&amp;"NTIF(C$4:C122,""Cursor"")-COUNTIF(C$4:C122,""*""&amp;""_up"")-2*COUNTIF(C$4:C122,""Sell_""&amp;""*"")+COUNTIF(C$4:C122,""Sell_Cursor"")-COUNTIF(C$4:C122,"""")))+(COUNTIF(C$4:C122,""Grandma"")-COUNTIF(C$4:C122,""Sell_Grandma""))*(1*2^(COUNTIF(C$4:C122,""Grandma_up"&amp;""")+COUNTIF(C$4:C122,""Super_up"")))+(COUNTIF(C$4:C122,""Farm"")-COUNTIF(C$4:C122,""Sell_Farm""))*(8*2^COUNTIF(C$4:C122,""Farm_up""))*IF(COUNTIF(C$4:C122,""Super_up"")&gt;0,1+0.01*(COUNTIF(C$4:C122,""Grandma"")-COUNTIF(C$4:C122,""Sell_Grandma"")),1)+(COUNTIF"&amp;"(C$4:C122,""Mine"")-COUNTIF(C$4:C122,""Sell_Mine""))*((47*2^COUNTIF(C$4:C122,""Mine_up""))*IF(COUNTIF(C$4:C122,""Super_up"")&gt;1,1+0.005*(COUNTIF(C$4:C122,""Grandma"")-COUNTIF(C$4:C122,""Sell_Grandma"")),1))+(COUNTIF(C$4:C122,""Factory"")-COUNTIF(C$4:C122,"&amp;"""Sell_Factory""))*(260*2^COUNTIF(C$4:C122,""Factory_up""))))"),2729.04)</f>
        <v>2729.04</v>
      </c>
      <c r="F122" s="73">
        <f>IFERROR(__xludf.DUMMYFUNCTION("IF(COUNTA(C122:C147)=0,"""",IF(REGEXMATCH(INDEX(FILTER(C$4:C122,C$4:C122&lt;&gt;""""),ROWS(FILTER(C$4:C122,C$4:C122&lt;&gt;""""))),""^Sell_""),INDEX(FILTER(F$4:F121,C$4:C121&lt;&gt;""""),ROWS(FILTER(C$4:C121,C$4:C121&lt;&gt;""""))),$AC$5*(2^SWITCH(COUNTIF(C$4:C122,""Cursor_up"")"&amp;",0,0,1,1,2,2,3)+SWITCH(COUNTIF(C$4:C122,""Cursor_up""),4,0.1,0)*(ROW(C122)-4-COUNTIF(C$4:C122,""Cursor"")-COUNTIF(C$4:C122,""*""&amp;""_up"")-2*COUNTIF(C$4:C122,""Sell_""&amp;""*"")+COUNTIF(C$4:C122,""Sell_Cursor"")-COUNTIF(C$4:C122,""""))+0.01*E122*COUNTIF(C$4:C"&amp;"122,""Plastic_up""))+E122))"),3081.944)</f>
        <v>3081.944</v>
      </c>
      <c r="G122" s="14">
        <f>IFERROR(__xludf.DUMMYFUNCTION("IF(COUNTA(C122:C147)=0,"""",IF(REGEXMATCH(C122,""_up""),VLOOKUP(C122,Upgrades!$F$3:$J$8,1+COUNTIF(C$4:C122,C122),FALSE),IF(C122="""",0,IF(REGEXMATCH(C122,""^Sell_""),-ROUNDDOWN(ROUNDUP(INDEX(Upgrades!$C$3:$C$8,MATCH(SUBSTITUTE(C122,""Sell_"",""""),Upgrade"&amp;"s!$B$3:$B$8,0))*1.15^(COUNTIF(C$4:C121,SUBSTITUTE(C122,""Sell_"",""""))-COUNTIF(C$4:C121,""Sell_""&amp;SUBSTITUTE(C122,""Sell_"",""""))))/4),ROUNDUP(INDEX(Upgrades!$C$3:$C$7,MATCH(C122,Upgrades!$B$3:$B$7,0))*1.15^(COUNTIF(C$4:C121,C122)-COUNTIF(C$4:C121,""Sel"&amp;"l_""&amp;C122)))))))"),1511.0)</f>
        <v>1511</v>
      </c>
      <c r="H122" s="14">
        <f t="shared" si="3"/>
        <v>1511</v>
      </c>
      <c r="I122" s="75">
        <f t="shared" si="4"/>
        <v>13562862.58</v>
      </c>
      <c r="J122" s="76">
        <f t="shared" si="5"/>
        <v>1186.098894</v>
      </c>
      <c r="K122" s="71" t="str">
        <f t="shared" si="6"/>
        <v>19m 46s</v>
      </c>
      <c r="L122" s="77">
        <f t="shared" si="7"/>
        <v>998270</v>
      </c>
      <c r="M122" s="51">
        <f t="shared" si="8"/>
        <v>-1.04823</v>
      </c>
      <c r="N122" s="52">
        <f>IFERROR(__xludf.DUMMYFUNCTION("IFS(AND(COUNTA(C122:C147)=0,COUNTA(P122:P147)=0),"""",OR(AND(L122&gt;=1000000,OR(Y122&gt;=1000000,COUNTA(P122:P147)=0)),AND(Y122&gt;=1000000,COUNTA(C122:C147)=0),AND(COUNTA(P122:P147)=0,O$3=TRUE)),
ROUNDDOWN((AB$1-AC$1)*MAX(INDEX(S$4:S147,MATCH(LARGE(FILTER(Y$4:Y1"&amp;"47,Y$4:Y147&lt;1000000),1),Y$4:Y147)),INDEX(F$4:F147,MATCH(LARGE(FILTER(L$4:L147,L$4:L147&lt;1000000),1),L$4:L147)))),AND(L122&lt;1000000,COUNTA(C122:C147)&gt;0,O$3=FALSE),
ROUNDDOWN(INDEX(Y$4:Y147,MATCH(LARGE(FILTER(W$4:W147,W$4:W147&lt;=J122),1),W$4:W147))+(J122-LARGE"&amp;"(FILTER(W$4:W147,W$4:W147&lt;=J122),1))*INDEX(S$4:S147,MATCH(LARGE(FILTER(W$4:W147,W$4:W147&lt;=J122),1),W$4:W147))-L122),1,
ROUNDDOWN(Y122-INDEX(L$4:L147,MATCH(LARGE(FILTER(J$4:J147,J$4:J147&lt;=W122),1),J$4:J147))-(W122-LARGE(FILTER(J$4:J147,J$4:J147&lt;=W122),1))*"&amp;"INDEX(F$4:F147,MATCH(LARGE(FILTER(J$4:J147,J$4:J147&lt;=W122),1),J$4:J147))))"),3229.0)</f>
        <v>3229</v>
      </c>
      <c r="O122" s="65">
        <f t="shared" si="9"/>
        <v>34</v>
      </c>
      <c r="P122" s="69" t="s">
        <v>10</v>
      </c>
      <c r="Q122" s="14" t="b">
        <f>IFERROR(__xludf.DUMMYFUNCTION("IF(COUNTA(P122:P147)=0,"""",IFERROR(IF(ISBLANK(P122),FALSE,IF(ISBLANK(T122),1,IF(NOT(COUNTIF($AA$24:$AA$34,SUBSTITUTE(P122,""Sell_"",""""))),1,IF(P122=""Plastic_up"",IF(V122&lt;1000,1),IF(P122=""Super_Up"",IF(OR(COUNTIF(P$4:P122,""Grandma"")-COUNTIF(P$4:P122"&amp;",""Sell_Grandma"")&lt;1,COUNTIF(P$4:P122,VLOOKUP(P122,Upgrades!$F$8:$N$8,7+COUNTIF(P$4:P122,P122)))-COUNTIF(P$4:P122,""Sell_""&amp;VLOOKUP(P122,Upgrades!$F$8:$N$8,7+COUNTIF(P$4:P122,P122)))&lt;15),1),IF(REGEXMATCH(P122,""_up""),IF(COUNTIF(P$4:P122,SUBSTITUTE(P122,"&amp;"""_up"",""""))&lt;IFERROR(VLOOKUP(P122,Upgrades!$L$3:$P$6,1+COUNTIF(P$4:P122,P122),0),999),1),IF(REGEXMATCH(P122,""Sell_""),IF(COUNTIF(P$4:P122,SUBSTITUTE(P122,""Sell_"",""""))-COUNTIF(P$4:P121,P122)&lt;1,1),FALSE)))))))))"),FALSE)</f>
        <v>0</v>
      </c>
      <c r="R122" s="71">
        <f>IFERROR(__xludf.DUMMYFUNCTION("IF(REGEXMATCH(P122,""^Sell_""),R121, IF(COUNTA(P122:P147)=0,"""",(COUNTIF(P$4:P122,""Cursor"")-COUNTIF(P$4:P122,""Sell_Cursor""))*(0.1*2^SWITCH(COUNTIF(P$4:P122,""Cursor_up""),0,0,1,1,2,2,3)+SWITCH(COUNTIF(P$4:P122,""Cursor_up""),4,0.1,0)*(ROW(P122)-4-COU"&amp;"NTIF(P$4:P122,""Cursor"")-COUNTIF(P$4:P122,""*""&amp;""_up"")-2*COUNTIF(P$4:P122,""Sell_""&amp;""*"")+COUNTIF(P$4:P122,""Sell_Cursor"")-COUNTIF(P$4:P122,"""")))+(COUNTIF(P$4:P122,""Grandma"")-COUNTIF(P$4:P122,""Sell_Grandma""))*(1*2^(COUNTIF(P$4:P122,""Grandma_up"&amp;""")+COUNTIF(P$4:P122,""Super_up"")))+(COUNTIF(P$4:P122,""Farm"")-COUNTIF(P$4:P122,""Sell_Farm""))*(8*2^COUNTIF(P$4:P122,""Farm_up""))*IF(COUNTIF(P$4:P122,""Super_up"")&gt;0,1+0.01*(COUNTIF(P$4:P122,""Grandma"")-COUNTIF(P$4:P122,""Sell_Grandma"")),1)+(COUNTIF"&amp;"(P$4:P122,""Mine"")-COUNTIF(P$4:P122,""Sell_Mine""))*((47*2^COUNTIF(P$4:P122,""Mine_up""))*IF(COUNTIF(P$4:P122,""Super_up"")&gt;1,1+0.005*(COUNTIF(P$4:P122,""Grandma"")-COUNTIF(P$4:P122,""Sell_Grandma"")),1))+(COUNTIF(P$4:P122,""Factory"")-COUNTIF(P$4:P122,"&amp;"""Sell_Factory""))*(260*2^COUNTIF(P$4:P122,""Factory_up""))))"),2729.04)</f>
        <v>2729.04</v>
      </c>
      <c r="S122" s="73">
        <f>IFERROR(__xludf.DUMMYFUNCTION("IF(COUNTA(P122:P147)=0,"""",IF(REGEXMATCH(INDEX(FILTER(P$4:P122,P$4:P122&lt;&gt;""""),ROWS(FILTER(P$4:P122,P$4:P122&lt;&gt;""""))),""^Sell_""),INDEX(FILTER(S$4:S121,P$4:P121&lt;&gt;""""),ROWS(FILTER(P$4:P121,P$4:P121&lt;&gt;""""))),$AD$5*(2^SWITCH(COUNTIF(P$4:P122,""Cursor_up"")"&amp;",0,0,1,1,2,2,3)+SWITCH(COUNTIF(P$4:P122,""Cursor_up""),4,0.1,0)*(ROW(P122)-4-COUNTIF(P$4:P122,""Cursor"")-COUNTIF(P$4:P122,""*""&amp;""_up"")-2*COUNTIF(P$4:P122,""Sell_""&amp;""*"")+COUNTIF(P$4:P122,""Sell_Cursor"")-COUNTIF(P$4:P122,""""))+0.01*R122*COUNTIF(P$4:P"&amp;"122,""Plastic_up""))+R122))"),3081.944)</f>
        <v>3081.944</v>
      </c>
      <c r="T122" s="14">
        <f>IFERROR(__xludf.DUMMYFUNCTION("IF(COUNTA(P122:P147)=0,"""",IF(REGEXMATCH(P122,""_up""),VLOOKUP(P122,Upgrades!$F$3:$J$8,1+COUNTIF(P$4:P122,P122),FALSE),IF(P122="""",0,IF(REGEXMATCH(P122,""^Sell_""),-ROUNDDOWN(ROUNDUP(INDEX(Upgrades!$C$3:$C$8,MATCH(SUBSTITUTE(P122,""Sell_"",""""),Upgrade"&amp;"s!$B$3:$B$8,0))*1.15^(COUNTIF(P$4:P121,SUBSTITUTE(P122,""Sell_"",""""))-COUNTIF(P$4:P121,""Sell_""&amp;SUBSTITUTE(P122,""Sell_"",""""))))/4),ROUNDUP(INDEX(Upgrades!$C$3:$C$7,MATCH(P122,Upgrades!$B$3:$B$7,0))*1.15^(COUNTIF(P$4:P121,P122)-COUNTIF(P$4:P121,""Sel"&amp;"l_""&amp;P122)))))))"),1511.0)</f>
        <v>1511</v>
      </c>
      <c r="U122" s="14">
        <f t="shared" si="10"/>
        <v>1511</v>
      </c>
      <c r="V122" s="75">
        <f t="shared" si="11"/>
        <v>13464855.19</v>
      </c>
      <c r="W122" s="76">
        <f t="shared" si="12"/>
        <v>1185.050658</v>
      </c>
      <c r="X122" s="71" t="str">
        <f t="shared" si="13"/>
        <v>19m 45s</v>
      </c>
      <c r="Y122" s="77">
        <f t="shared" si="14"/>
        <v>998270</v>
      </c>
      <c r="Z122" s="17"/>
      <c r="AA122" s="13"/>
      <c r="AB122" s="13"/>
      <c r="AC122" s="13"/>
      <c r="AD122" s="13"/>
      <c r="AE122" s="13"/>
      <c r="AF122" s="13"/>
      <c r="AG122" s="13"/>
    </row>
    <row r="123">
      <c r="A123" s="12"/>
      <c r="B123" s="65">
        <f t="shared" si="2"/>
        <v>35</v>
      </c>
      <c r="C123" s="69" t="s">
        <v>10</v>
      </c>
      <c r="D123" s="14" t="b">
        <f>IFERROR(__xludf.DUMMYFUNCTION("IF(COUNTA(C123:C147)=0,"""",IFERROR(IF(ISBLANK(C123),FALSE,IF(ISBLANK(G123),1,IF(NOT(COUNTIF($AA$24:$AA$34,SUBSTITUTE(C123,""Sell_"",""""))),1,IF(C123=""Plastic_up"",IF(I123&lt;1000,1),IF(C123=""Super_Up"",IF(OR(COUNTIF(C$4:C123,""Grandma"")-COUNTIF(C$4:C123"&amp;",""Sell_Grandma"")&lt;1,COUNTIF(C$4:C123,VLOOKUP(C123,Upgrades!$F$8:$N$8,7+COUNTIF(C$4:C123,C123)))-COUNTIF(C$4:C123,""Sell_""&amp;VLOOKUP(C123,Upgrades!$F$8:$N$8,7+COUNTIF(C$4:C123,C123)))&lt;15),1),IF(REGEXMATCH(C123,""_up""),IF(COUNTIF(C$4:C123,SUBSTITUTE(C123,"&amp;"""_up"",""""))&lt;IFERROR(VLOOKUP(C123,Upgrades!$L$3:$P$6,1+COUNTIF(C$4:C123,C123),0),999),1),IF(REGEXMATCH(C123,""Sell_""),IF(COUNTIF(C$4:C123,SUBSTITUTE(C123,""Sell_"",""""))-COUNTIF(C$4:C122,C123)&lt;1,1),FALSE)))))))))"),FALSE)</f>
        <v>0</v>
      </c>
      <c r="E123" s="71">
        <f>IFERROR(__xludf.DUMMYFUNCTION("IF(REGEXMATCH(C123,""^Sell_""),E122, IF(COUNTA(C123:C147)=0,"""",(COUNTIF(C$4:C123,""Cursor"")-COUNTIF(C$4:C123,""Sell_Cursor""))*(0.1*2^SWITCH(COUNTIF(C$4:C123,""Cursor_up""),0,0,1,1,2,2,3)+SWITCH(COUNTIF(C$4:C123,""Cursor_up""),4,0.1,0)*(ROW(C123)-4-COU"&amp;"NTIF(C$4:C123,""Cursor"")-COUNTIF(C$4:C123,""*""&amp;""_up"")-2*COUNTIF(C$4:C123,""Sell_""&amp;""*"")+COUNTIF(C$4:C123,""Sell_Cursor"")-COUNTIF(C$4:C123,"""")))+(COUNTIF(C$4:C123,""Grandma"")-COUNTIF(C$4:C123,""Sell_Grandma""))*(1*2^(COUNTIF(C$4:C123,""Grandma_up"&amp;""")+COUNTIF(C$4:C123,""Super_up"")))+(COUNTIF(C$4:C123,""Farm"")-COUNTIF(C$4:C123,""Sell_Farm""))*(8*2^COUNTIF(C$4:C123,""Farm_up""))*IF(COUNTIF(C$4:C123,""Super_up"")&gt;0,1+0.01*(COUNTIF(C$4:C123,""Grandma"")-COUNTIF(C$4:C123,""Sell_Grandma"")),1)+(COUNTIF"&amp;"(C$4:C123,""Mine"")-COUNTIF(C$4:C123,""Sell_Mine""))*((47*2^COUNTIF(C$4:C123,""Mine_up""))*IF(COUNTIF(C$4:C123,""Super_up"")&gt;1,1+0.005*(COUNTIF(C$4:C123,""Grandma"")-COUNTIF(C$4:C123,""Sell_Grandma"")),1))+(COUNTIF(C$4:C123,""Factory"")-COUNTIF(C$4:C123,"&amp;"""Sell_Factory""))*(260*2^COUNTIF(C$4:C123,""Factory_up""))))"),2729.84)</f>
        <v>2729.84</v>
      </c>
      <c r="F123" s="73">
        <f>IFERROR(__xludf.DUMMYFUNCTION("IF(COUNTA(C123:C147)=0,"""",IF(REGEXMATCH(INDEX(FILTER(C$4:C123,C$4:C123&lt;&gt;""""),ROWS(FILTER(C$4:C123,C$4:C123&lt;&gt;""""))),""^Sell_""),INDEX(FILTER(F$4:F122,C$4:C122&lt;&gt;""""),ROWS(FILTER(C$4:C122,C$4:C122&lt;&gt;""""))),$AC$5*(2^SWITCH(COUNTIF(C$4:C123,""Cursor_up"")"&amp;",0,0,1,1,2,2,3)+SWITCH(COUNTIF(C$4:C123,""Cursor_up""),4,0.1,0)*(ROW(C123)-4-COUNTIF(C$4:C123,""Cursor"")-COUNTIF(C$4:C123,""*""&amp;""_up"")-2*COUNTIF(C$4:C123,""Sell_""&amp;""*"")+COUNTIF(C$4:C123,""Sell_Cursor"")-COUNTIF(C$4:C123,""""))+0.01*E123*COUNTIF(C$4:C"&amp;"123,""Plastic_up""))+E123))"),3082.824)</f>
        <v>3082.824</v>
      </c>
      <c r="G123" s="14">
        <f>IFERROR(__xludf.DUMMYFUNCTION("IF(COUNTA(C123:C147)=0,"""",IF(REGEXMATCH(C123,""_up""),VLOOKUP(C123,Upgrades!$F$3:$J$8,1+COUNTIF(C$4:C123,C123),FALSE),IF(C123="""",0,IF(REGEXMATCH(C123,""^Sell_""),-ROUNDDOWN(ROUNDUP(INDEX(Upgrades!$C$3:$C$8,MATCH(SUBSTITUTE(C123,""Sell_"",""""),Upgrade"&amp;"s!$B$3:$B$8,0))*1.15^(COUNTIF(C$4:C122,SUBSTITUTE(C123,""Sell_"",""""))-COUNTIF(C$4:C122,""Sell_""&amp;SUBSTITUTE(C123,""Sell_"",""""))))/4),ROUNDUP(INDEX(Upgrades!$C$3:$C$7,MATCH(C123,Upgrades!$B$3:$B$7,0))*1.15^(COUNTIF(C$4:C122,C123)-COUNTIF(C$4:C122,""Sel"&amp;"l_""&amp;C123)))))))"),1738.0)</f>
        <v>1738</v>
      </c>
      <c r="H123" s="14">
        <f t="shared" si="3"/>
        <v>1738</v>
      </c>
      <c r="I123" s="75">
        <f t="shared" si="4"/>
        <v>13981640.63</v>
      </c>
      <c r="J123" s="76">
        <f t="shared" si="5"/>
        <v>1186.662824</v>
      </c>
      <c r="K123" s="71" t="str">
        <f t="shared" si="6"/>
        <v>19m 46s</v>
      </c>
      <c r="L123" s="77">
        <f t="shared" si="7"/>
        <v>1000008</v>
      </c>
      <c r="M123" s="51">
        <f t="shared" si="8"/>
        <v>-1.048236363</v>
      </c>
      <c r="N123" s="52">
        <f>IFERROR(__xludf.DUMMYFUNCTION("IFS(AND(COUNTA(C123:C147)=0,COUNTA(P123:P147)=0),"""",OR(AND(L123&gt;=1000000,OR(Y123&gt;=1000000,COUNTA(P123:P147)=0)),AND(Y123&gt;=1000000,COUNTA(C123:C147)=0),AND(COUNTA(P123:P147)=0,O$3=TRUE)),
ROUNDDOWN((AB$1-AC$1)*MAX(INDEX(S$4:S147,MATCH(LARGE(FILTER(Y$4:Y1"&amp;"47,Y$4:Y147&lt;1000000),1),Y$4:Y147)),INDEX(F$4:F147,MATCH(LARGE(FILTER(L$4:L147,L$4:L147&lt;1000000),1),L$4:L147)))),AND(L123&lt;1000000,COUNTA(C123:C147)&gt;0,O$3=FALSE),
ROUNDDOWN(INDEX(Y$4:Y147,MATCH(LARGE(FILTER(W$4:W147,W$4:W147&lt;=J123),1),W$4:W147))+(J123-LARGE"&amp;"(FILTER(W$4:W147,W$4:W147&lt;=J123),1))*INDEX(S$4:S147,MATCH(LARGE(FILTER(W$4:W147,W$4:W147&lt;=J123),1),W$4:W147))-L123),1,
ROUNDDOWN(Y123-INDEX(L$4:L147,MATCH(LARGE(FILTER(J$4:J147,J$4:J147&lt;=W123),1),J$4:J147))-(W123-LARGE(FILTER(J$4:J147,J$4:J147&lt;=W123),1))*"&amp;"INDEX(F$4:F147,MATCH(LARGE(FILTER(J$4:J147,J$4:J147&lt;=W123),1),J$4:J147))))"),3230.0)</f>
        <v>3230</v>
      </c>
      <c r="O123" s="65">
        <f t="shared" si="9"/>
        <v>35</v>
      </c>
      <c r="P123" s="69" t="s">
        <v>10</v>
      </c>
      <c r="Q123" s="14" t="b">
        <f>IFERROR(__xludf.DUMMYFUNCTION("IF(COUNTA(P123:P147)=0,"""",IFERROR(IF(ISBLANK(P123),FALSE,IF(ISBLANK(T123),1,IF(NOT(COUNTIF($AA$24:$AA$34,SUBSTITUTE(P123,""Sell_"",""""))),1,IF(P123=""Plastic_up"",IF(V123&lt;1000,1),IF(P123=""Super_Up"",IF(OR(COUNTIF(P$4:P123,""Grandma"")-COUNTIF(P$4:P123"&amp;",""Sell_Grandma"")&lt;1,COUNTIF(P$4:P123,VLOOKUP(P123,Upgrades!$F$8:$N$8,7+COUNTIF(P$4:P123,P123)))-COUNTIF(P$4:P123,""Sell_""&amp;VLOOKUP(P123,Upgrades!$F$8:$N$8,7+COUNTIF(P$4:P123,P123)))&lt;15),1),IF(REGEXMATCH(P123,""_up""),IF(COUNTIF(P$4:P123,SUBSTITUTE(P123,"&amp;"""_up"",""""))&lt;IFERROR(VLOOKUP(P123,Upgrades!$L$3:$P$6,1+COUNTIF(P$4:P123,P123),0),999),1),IF(REGEXMATCH(P123,""Sell_""),IF(COUNTIF(P$4:P123,SUBSTITUTE(P123,""Sell_"",""""))-COUNTIF(P$4:P122,P123)&lt;1,1),FALSE)))))))))"),FALSE)</f>
        <v>0</v>
      </c>
      <c r="R123" s="71">
        <f>IFERROR(__xludf.DUMMYFUNCTION("IF(REGEXMATCH(P123,""^Sell_""),R122, IF(COUNTA(P123:P147)=0,"""",(COUNTIF(P$4:P123,""Cursor"")-COUNTIF(P$4:P123,""Sell_Cursor""))*(0.1*2^SWITCH(COUNTIF(P$4:P123,""Cursor_up""),0,0,1,1,2,2,3)+SWITCH(COUNTIF(P$4:P123,""Cursor_up""),4,0.1,0)*(ROW(P123)-4-COU"&amp;"NTIF(P$4:P123,""Cursor"")-COUNTIF(P$4:P123,""*""&amp;""_up"")-2*COUNTIF(P$4:P123,""Sell_""&amp;""*"")+COUNTIF(P$4:P123,""Sell_Cursor"")-COUNTIF(P$4:P123,"""")))+(COUNTIF(P$4:P123,""Grandma"")-COUNTIF(P$4:P123,""Sell_Grandma""))*(1*2^(COUNTIF(P$4:P123,""Grandma_up"&amp;""")+COUNTIF(P$4:P123,""Super_up"")))+(COUNTIF(P$4:P123,""Farm"")-COUNTIF(P$4:P123,""Sell_Farm""))*(8*2^COUNTIF(P$4:P123,""Farm_up""))*IF(COUNTIF(P$4:P123,""Super_up"")&gt;0,1+0.01*(COUNTIF(P$4:P123,""Grandma"")-COUNTIF(P$4:P123,""Sell_Grandma"")),1)+(COUNTIF"&amp;"(P$4:P123,""Mine"")-COUNTIF(P$4:P123,""Sell_Mine""))*((47*2^COUNTIF(P$4:P123,""Mine_up""))*IF(COUNTIF(P$4:P123,""Super_up"")&gt;1,1+0.005*(COUNTIF(P$4:P123,""Grandma"")-COUNTIF(P$4:P123,""Sell_Grandma"")),1))+(COUNTIF(P$4:P123,""Factory"")-COUNTIF(P$4:P123,"&amp;"""Sell_Factory""))*(260*2^COUNTIF(P$4:P123,""Factory_up""))))"),2729.84)</f>
        <v>2729.84</v>
      </c>
      <c r="S123" s="73">
        <f>IFERROR(__xludf.DUMMYFUNCTION("IF(COUNTA(P123:P147)=0,"""",IF(REGEXMATCH(INDEX(FILTER(P$4:P123,P$4:P123&lt;&gt;""""),ROWS(FILTER(P$4:P123,P$4:P123&lt;&gt;""""))),""^Sell_""),INDEX(FILTER(S$4:S122,P$4:P122&lt;&gt;""""),ROWS(FILTER(P$4:P122,P$4:P122&lt;&gt;""""))),$AD$5*(2^SWITCH(COUNTIF(P$4:P123,""Cursor_up"")"&amp;",0,0,1,1,2,2,3)+SWITCH(COUNTIF(P$4:P123,""Cursor_up""),4,0.1,0)*(ROW(P123)-4-COUNTIF(P$4:P123,""Cursor"")-COUNTIF(P$4:P123,""*""&amp;""_up"")-2*COUNTIF(P$4:P123,""Sell_""&amp;""*"")+COUNTIF(P$4:P123,""Sell_Cursor"")-COUNTIF(P$4:P123,""""))+0.01*R123*COUNTIF(P$4:P"&amp;"123,""Plastic_up""))+R123))"),3082.824)</f>
        <v>3082.824</v>
      </c>
      <c r="T123" s="14">
        <f>IFERROR(__xludf.DUMMYFUNCTION("IF(COUNTA(P123:P147)=0,"""",IF(REGEXMATCH(P123,""_up""),VLOOKUP(P123,Upgrades!$F$3:$J$8,1+COUNTIF(P$4:P123,P123),FALSE),IF(P123="""",0,IF(REGEXMATCH(P123,""^Sell_""),-ROUNDDOWN(ROUNDUP(INDEX(Upgrades!$C$3:$C$8,MATCH(SUBSTITUTE(P123,""Sell_"",""""),Upgrade"&amp;"s!$B$3:$B$8,0))*1.15^(COUNTIF(P$4:P122,SUBSTITUTE(P123,""Sell_"",""""))-COUNTIF(P$4:P122,""Sell_""&amp;SUBSTITUTE(P123,""Sell_"",""""))))/4),ROUNDUP(INDEX(Upgrades!$C$3:$C$7,MATCH(P123,Upgrades!$B$3:$B$7,0))*1.15^(COUNTIF(P$4:P122,P123)-COUNTIF(P$4:P122,""Sel"&amp;"l_""&amp;P123)))))))"),1738.0)</f>
        <v>1738</v>
      </c>
      <c r="U123" s="14">
        <f t="shared" si="10"/>
        <v>1738</v>
      </c>
      <c r="V123" s="75">
        <f t="shared" si="11"/>
        <v>13883263.32</v>
      </c>
      <c r="W123" s="76">
        <f t="shared" si="12"/>
        <v>1185.614588</v>
      </c>
      <c r="X123" s="71" t="str">
        <f t="shared" si="13"/>
        <v>19m 45s</v>
      </c>
      <c r="Y123" s="77">
        <f t="shared" si="14"/>
        <v>1000008</v>
      </c>
      <c r="Z123" s="17"/>
      <c r="AA123" s="13"/>
      <c r="AB123" s="13"/>
      <c r="AC123" s="13"/>
      <c r="AD123" s="13"/>
      <c r="AE123" s="13"/>
      <c r="AF123" s="13"/>
      <c r="AG123" s="13"/>
    </row>
    <row r="124">
      <c r="A124" s="12"/>
      <c r="B124" s="65" t="str">
        <f t="shared" si="2"/>
        <v/>
      </c>
      <c r="C124" s="66"/>
      <c r="D124" s="14" t="str">
        <f>IFERROR(__xludf.DUMMYFUNCTION("IF(COUNTA(C124:C147)=0,"""",IFERROR(IF(ISBLANK(C124),FALSE,IF(ISBLANK(G124),1,IF(NOT(COUNTIF($AA$24:$AA$34,SUBSTITUTE(C124,""Sell_"",""""))),1,IF(C124=""Plastic_up"",IF(I124&lt;1000,1),IF(C124=""Super_Up"",IF(OR(COUNTIF(C$4:C124,""Grandma"")-COUNTIF(C$4:C124"&amp;",""Sell_Grandma"")&lt;1,COUNTIF(C$4:C124,VLOOKUP(C124,Upgrades!$F$8:$N$8,7+COUNTIF(C$4:C124,C124)))-COUNTIF(C$4:C124,""Sell_""&amp;VLOOKUP(C124,Upgrades!$F$8:$N$8,7+COUNTIF(C$4:C124,C124)))&lt;15),1),IF(REGEXMATCH(C124,""_up""),IF(COUNTIF(C$4:C124,SUBSTITUTE(C124,"&amp;"""_up"",""""))&lt;IFERROR(VLOOKUP(C124,Upgrades!$L$3:$P$6,1+COUNTIF(C$4:C124,C124),0),999),1),IF(REGEXMATCH(C124,""Sell_""),IF(COUNTIF(C$4:C124,SUBSTITUTE(C124,""Sell_"",""""))-COUNTIF(C$4:C123,C124)&lt;1,1),FALSE)))))))))"),"")</f>
        <v/>
      </c>
      <c r="E124" s="71" t="str">
        <f>IFERROR(__xludf.DUMMYFUNCTION("IF(REGEXMATCH(C124,""^Sell_""),E123, IF(COUNTA(C124:C147)=0,"""",(COUNTIF(C$4:C124,""Cursor"")-COUNTIF(C$4:C124,""Sell_Cursor""))*(0.1*2^SWITCH(COUNTIF(C$4:C124,""Cursor_up""),0,0,1,1,2,2,3)+SWITCH(COUNTIF(C$4:C124,""Cursor_up""),4,0.1,0)*(ROW(C124)-4-COU"&amp;"NTIF(C$4:C124,""Cursor"")-COUNTIF(C$4:C124,""*""&amp;""_up"")-2*COUNTIF(C$4:C124,""Sell_""&amp;""*"")+COUNTIF(C$4:C124,""Sell_Cursor"")-COUNTIF(C$4:C124,"""")))+(COUNTIF(C$4:C124,""Grandma"")-COUNTIF(C$4:C124,""Sell_Grandma""))*(1*2^(COUNTIF(C$4:C124,""Grandma_up"&amp;""")+COUNTIF(C$4:C124,""Super_up"")))+(COUNTIF(C$4:C124,""Farm"")-COUNTIF(C$4:C124,""Sell_Farm""))*(8*2^COUNTIF(C$4:C124,""Farm_up""))*IF(COUNTIF(C$4:C124,""Super_up"")&gt;0,1+0.01*(COUNTIF(C$4:C124,""Grandma"")-COUNTIF(C$4:C124,""Sell_Grandma"")),1)+(COUNTIF"&amp;"(C$4:C124,""Mine"")-COUNTIF(C$4:C124,""Sell_Mine""))*((47*2^COUNTIF(C$4:C124,""Mine_up""))*IF(COUNTIF(C$4:C124,""Super_up"")&gt;1,1+0.005*(COUNTIF(C$4:C124,""Grandma"")-COUNTIF(C$4:C124,""Sell_Grandma"")),1))+(COUNTIF(C$4:C124,""Factory"")-COUNTIF(C$4:C124,"&amp;"""Sell_Factory""))*(260*2^COUNTIF(C$4:C124,""Factory_up""))))"),"")</f>
        <v/>
      </c>
      <c r="F124" s="73" t="str">
        <f>IFERROR(__xludf.DUMMYFUNCTION("IF(COUNTA(C124:C147)=0,"""",IF(REGEXMATCH(INDEX(FILTER(C$4:C124,C$4:C124&lt;&gt;""""),ROWS(FILTER(C$4:C124,C$4:C124&lt;&gt;""""))),""^Sell_""),INDEX(FILTER(F$4:F123,C$4:C123&lt;&gt;""""),ROWS(FILTER(C$4:C123,C$4:C123&lt;&gt;""""))),$AC$5*(2^SWITCH(COUNTIF(C$4:C124,""Cursor_up"")"&amp;",0,0,1,1,2,2,3)+SWITCH(COUNTIF(C$4:C124,""Cursor_up""),4,0.1,0)*(ROW(C124)-4-COUNTIF(C$4:C124,""Cursor"")-COUNTIF(C$4:C124,""*""&amp;""_up"")-2*COUNTIF(C$4:C124,""Sell_""&amp;""*"")+COUNTIF(C$4:C124,""Sell_Cursor"")-COUNTIF(C$4:C124,""""))+0.01*E124*COUNTIF(C$4:C"&amp;"124,""Plastic_up""))+E124))"),"")</f>
        <v/>
      </c>
      <c r="G124" s="14" t="str">
        <f>IFERROR(__xludf.DUMMYFUNCTION("IF(COUNTA(C124:C147)=0,"""",IF(REGEXMATCH(C124,""_up""),VLOOKUP(C124,Upgrades!$F$3:$J$8,1+COUNTIF(C$4:C124,C124),FALSE),IF(C124="""",0,IF(REGEXMATCH(C124,""^Sell_""),-ROUNDDOWN(ROUNDUP(INDEX(Upgrades!$C$3:$C$8,MATCH(SUBSTITUTE(C124,""Sell_"",""""),Upgrade"&amp;"s!$B$3:$B$8,0))*1.15^(COUNTIF(C$4:C123,SUBSTITUTE(C124,""Sell_"",""""))-COUNTIF(C$4:C123,""Sell_""&amp;SUBSTITUTE(C124,""Sell_"",""""))))/4),ROUNDUP(INDEX(Upgrades!$C$3:$C$7,MATCH(C124,Upgrades!$B$3:$B$7,0))*1.15^(COUNTIF(C$4:C123,C124)-COUNTIF(C$4:C123,""Sel"&amp;"l_""&amp;C124)))))))"),"")</f>
        <v/>
      </c>
      <c r="H124" s="14" t="str">
        <f t="shared" si="3"/>
        <v/>
      </c>
      <c r="I124" s="75" t="str">
        <f t="shared" si="4"/>
        <v/>
      </c>
      <c r="J124" s="76" t="str">
        <f t="shared" si="5"/>
        <v/>
      </c>
      <c r="K124" s="71" t="str">
        <f t="shared" si="6"/>
        <v/>
      </c>
      <c r="L124" s="77" t="str">
        <f t="shared" si="7"/>
        <v/>
      </c>
      <c r="M124" s="51" t="str">
        <f t="shared" si="8"/>
        <v/>
      </c>
      <c r="N124" s="52" t="str">
        <f>IFERROR(__xludf.DUMMYFUNCTION("IFS(AND(COUNTA(C124:C147)=0,COUNTA(P124:P147)=0),"""",OR(AND(L124&gt;=1000000,OR(Y124&gt;=1000000,COUNTA(P124:P147)=0)),AND(Y124&gt;=1000000,COUNTA(C124:C147)=0),AND(COUNTA(P124:P147)=0,O$3=TRUE)),
ROUNDDOWN((AB$1-AC$1)*MAX(INDEX(S$4:S147,MATCH(LARGE(FILTER(Y$4:Y1"&amp;"47,Y$4:Y147&lt;1000000),1),Y$4:Y147)),INDEX(F$4:F147,MATCH(LARGE(FILTER(L$4:L147,L$4:L147&lt;1000000),1),L$4:L147)))),AND(L124&lt;1000000,COUNTA(C124:C147)&gt;0,O$3=FALSE),
ROUNDDOWN(INDEX(Y$4:Y147,MATCH(LARGE(FILTER(W$4:W147,W$4:W147&lt;=J124),1),W$4:W147))+(J124-LARGE"&amp;"(FILTER(W$4:W147,W$4:W147&lt;=J124),1))*INDEX(S$4:S147,MATCH(LARGE(FILTER(W$4:W147,W$4:W147&lt;=J124),1),W$4:W147))-L124),1,
ROUNDDOWN(Y124-INDEX(L$4:L147,MATCH(LARGE(FILTER(J$4:J147,J$4:J147&lt;=W124),1),J$4:J147))-(W124-LARGE(FILTER(J$4:J147,J$4:J147&lt;=W124),1))*"&amp;"INDEX(F$4:F147,MATCH(LARGE(FILTER(J$4:J147,J$4:J147&lt;=W124),1),J$4:J147))))"),"")</f>
        <v/>
      </c>
      <c r="O124" s="65" t="str">
        <f t="shared" si="9"/>
        <v/>
      </c>
      <c r="P124" s="66"/>
      <c r="Q124" s="14" t="str">
        <f>IFERROR(__xludf.DUMMYFUNCTION("IF(COUNTA(P124:P147)=0,"""",IFERROR(IF(ISBLANK(P124),FALSE,IF(ISBLANK(T124),1,IF(NOT(COUNTIF($AA$24:$AA$34,SUBSTITUTE(P124,""Sell_"",""""))),1,IF(P124=""Plastic_up"",IF(V124&lt;1000,1),IF(P124=""Super_Up"",IF(OR(COUNTIF(P$4:P124,""Grandma"")-COUNTIF(P$4:P124"&amp;",""Sell_Grandma"")&lt;1,COUNTIF(P$4:P124,VLOOKUP(P124,Upgrades!$F$8:$N$8,7+COUNTIF(P$4:P124,P124)))-COUNTIF(P$4:P124,""Sell_""&amp;VLOOKUP(P124,Upgrades!$F$8:$N$8,7+COUNTIF(P$4:P124,P124)))&lt;15),1),IF(REGEXMATCH(P124,""_up""),IF(COUNTIF(P$4:P124,SUBSTITUTE(P124,"&amp;"""_up"",""""))&lt;IFERROR(VLOOKUP(P124,Upgrades!$L$3:$P$6,1+COUNTIF(P$4:P124,P124),0),999),1),IF(REGEXMATCH(P124,""Sell_""),IF(COUNTIF(P$4:P124,SUBSTITUTE(P124,""Sell_"",""""))-COUNTIF(P$4:P123,P124)&lt;1,1),FALSE)))))))))"),"")</f>
        <v/>
      </c>
      <c r="R124" s="71" t="str">
        <f>IFERROR(__xludf.DUMMYFUNCTION("IF(REGEXMATCH(P124,""^Sell_""),R123, IF(COUNTA(P124:P147)=0,"""",(COUNTIF(P$4:P124,""Cursor"")-COUNTIF(P$4:P124,""Sell_Cursor""))*(0.1*2^SWITCH(COUNTIF(P$4:P124,""Cursor_up""),0,0,1,1,2,2,3)+SWITCH(COUNTIF(P$4:P124,""Cursor_up""),4,0.1,0)*(ROW(P124)-4-COU"&amp;"NTIF(P$4:P124,""Cursor"")-COUNTIF(P$4:P124,""*""&amp;""_up"")-2*COUNTIF(P$4:P124,""Sell_""&amp;""*"")+COUNTIF(P$4:P124,""Sell_Cursor"")-COUNTIF(P$4:P124,"""")))+(COUNTIF(P$4:P124,""Grandma"")-COUNTIF(P$4:P124,""Sell_Grandma""))*(1*2^(COUNTIF(P$4:P124,""Grandma_up"&amp;""")+COUNTIF(P$4:P124,""Super_up"")))+(COUNTIF(P$4:P124,""Farm"")-COUNTIF(P$4:P124,""Sell_Farm""))*(8*2^COUNTIF(P$4:P124,""Farm_up""))*IF(COUNTIF(P$4:P124,""Super_up"")&gt;0,1+0.01*(COUNTIF(P$4:P124,""Grandma"")-COUNTIF(P$4:P124,""Sell_Grandma"")),1)+(COUNTIF"&amp;"(P$4:P124,""Mine"")-COUNTIF(P$4:P124,""Sell_Mine""))*((47*2^COUNTIF(P$4:P124,""Mine_up""))*IF(COUNTIF(P$4:P124,""Super_up"")&gt;1,1+0.005*(COUNTIF(P$4:P124,""Grandma"")-COUNTIF(P$4:P124,""Sell_Grandma"")),1))+(COUNTIF(P$4:P124,""Factory"")-COUNTIF(P$4:P124,"&amp;"""Sell_Factory""))*(260*2^COUNTIF(P$4:P124,""Factory_up""))))"),"")</f>
        <v/>
      </c>
      <c r="S124" s="73" t="str">
        <f>IFERROR(__xludf.DUMMYFUNCTION("IF(COUNTA(P124:P147)=0,"""",IF(REGEXMATCH(INDEX(FILTER(P$4:P124,P$4:P124&lt;&gt;""""),ROWS(FILTER(P$4:P124,P$4:P124&lt;&gt;""""))),""^Sell_""),INDEX(FILTER(S$4:S123,P$4:P123&lt;&gt;""""),ROWS(FILTER(P$4:P123,P$4:P123&lt;&gt;""""))),$AD$5*(2^SWITCH(COUNTIF(P$4:P124,""Cursor_up"")"&amp;",0,0,1,1,2,2,3)+SWITCH(COUNTIF(P$4:P124,""Cursor_up""),4,0.1,0)*(ROW(P124)-4-COUNTIF(P$4:P124,""Cursor"")-COUNTIF(P$4:P124,""*""&amp;""_up"")-2*COUNTIF(P$4:P124,""Sell_""&amp;""*"")+COUNTIF(P$4:P124,""Sell_Cursor"")-COUNTIF(P$4:P124,""""))+0.01*R124*COUNTIF(P$4:P"&amp;"124,""Plastic_up""))+R124))"),"")</f>
        <v/>
      </c>
      <c r="T124" s="14" t="str">
        <f>IFERROR(__xludf.DUMMYFUNCTION("IF(COUNTA(P124:P147)=0,"""",IF(REGEXMATCH(P124,""_up""),VLOOKUP(P124,Upgrades!$F$3:$J$8,1+COUNTIF(P$4:P124,P124),FALSE),IF(P124="""",0,IF(REGEXMATCH(P124,""^Sell_""),-ROUNDDOWN(ROUNDUP(INDEX(Upgrades!$C$3:$C$8,MATCH(SUBSTITUTE(P124,""Sell_"",""""),Upgrade"&amp;"s!$B$3:$B$8,0))*1.15^(COUNTIF(P$4:P123,SUBSTITUTE(P124,""Sell_"",""""))-COUNTIF(P$4:P123,""Sell_""&amp;SUBSTITUTE(P124,""Sell_"",""""))))/4),ROUNDUP(INDEX(Upgrades!$C$3:$C$7,MATCH(P124,Upgrades!$B$3:$B$7,0))*1.15^(COUNTIF(P$4:P123,P124)-COUNTIF(P$4:P123,""Sel"&amp;"l_""&amp;P124)))))))"),"")</f>
        <v/>
      </c>
      <c r="U124" s="14" t="str">
        <f t="shared" si="10"/>
        <v/>
      </c>
      <c r="V124" s="75" t="str">
        <f t="shared" si="11"/>
        <v/>
      </c>
      <c r="W124" s="76" t="str">
        <f t="shared" si="12"/>
        <v/>
      </c>
      <c r="X124" s="71" t="str">
        <f t="shared" si="13"/>
        <v/>
      </c>
      <c r="Y124" s="77" t="str">
        <f t="shared" si="14"/>
        <v/>
      </c>
      <c r="Z124" s="17"/>
      <c r="AA124" s="13"/>
      <c r="AB124" s="13"/>
      <c r="AC124" s="13"/>
      <c r="AD124" s="13"/>
      <c r="AE124" s="13"/>
      <c r="AF124" s="13"/>
      <c r="AG124" s="13"/>
    </row>
    <row r="125">
      <c r="A125" s="12"/>
      <c r="B125" s="65" t="str">
        <f t="shared" si="2"/>
        <v/>
      </c>
      <c r="C125" s="66"/>
      <c r="D125" s="14" t="str">
        <f>IFERROR(__xludf.DUMMYFUNCTION("IF(COUNTA(C125:C147)=0,"""",IFERROR(IF(ISBLANK(C125),FALSE,IF(ISBLANK(G125),1,IF(NOT(COUNTIF($AA$24:$AA$34,SUBSTITUTE(C125,""Sell_"",""""))),1,IF(C125=""Plastic_up"",IF(I125&lt;1000,1),IF(C125=""Super_Up"",IF(OR(COUNTIF(C$4:C125,""Grandma"")-COUNTIF(C$4:C125"&amp;",""Sell_Grandma"")&lt;1,COUNTIF(C$4:C125,VLOOKUP(C125,Upgrades!$F$8:$N$8,7+COUNTIF(C$4:C125,C125)))-COUNTIF(C$4:C125,""Sell_""&amp;VLOOKUP(C125,Upgrades!$F$8:$N$8,7+COUNTIF(C$4:C125,C125)))&lt;15),1),IF(REGEXMATCH(C125,""_up""),IF(COUNTIF(C$4:C125,SUBSTITUTE(C125,"&amp;"""_up"",""""))&lt;IFERROR(VLOOKUP(C125,Upgrades!$L$3:$P$6,1+COUNTIF(C$4:C125,C125),0),999),1),IF(REGEXMATCH(C125,""Sell_""),IF(COUNTIF(C$4:C125,SUBSTITUTE(C125,""Sell_"",""""))-COUNTIF(C$4:C124,C125)&lt;1,1),FALSE)))))))))"),"")</f>
        <v/>
      </c>
      <c r="E125" s="71" t="str">
        <f>IFERROR(__xludf.DUMMYFUNCTION("IF(REGEXMATCH(C125,""^Sell_""),E124, IF(COUNTA(C125:C147)=0,"""",(COUNTIF(C$4:C125,""Cursor"")-COUNTIF(C$4:C125,""Sell_Cursor""))*(0.1*2^SWITCH(COUNTIF(C$4:C125,""Cursor_up""),0,0,1,1,2,2,3)+SWITCH(COUNTIF(C$4:C125,""Cursor_up""),4,0.1,0)*(ROW(C125)-4-COU"&amp;"NTIF(C$4:C125,""Cursor"")-COUNTIF(C$4:C125,""*""&amp;""_up"")-2*COUNTIF(C$4:C125,""Sell_""&amp;""*"")+COUNTIF(C$4:C125,""Sell_Cursor"")-COUNTIF(C$4:C125,"""")))+(COUNTIF(C$4:C125,""Grandma"")-COUNTIF(C$4:C125,""Sell_Grandma""))*(1*2^(COUNTIF(C$4:C125,""Grandma_up"&amp;""")+COUNTIF(C$4:C125,""Super_up"")))+(COUNTIF(C$4:C125,""Farm"")-COUNTIF(C$4:C125,""Sell_Farm""))*(8*2^COUNTIF(C$4:C125,""Farm_up""))*IF(COUNTIF(C$4:C125,""Super_up"")&gt;0,1+0.01*(COUNTIF(C$4:C125,""Grandma"")-COUNTIF(C$4:C125,""Sell_Grandma"")),1)+(COUNTIF"&amp;"(C$4:C125,""Mine"")-COUNTIF(C$4:C125,""Sell_Mine""))*((47*2^COUNTIF(C$4:C125,""Mine_up""))*IF(COUNTIF(C$4:C125,""Super_up"")&gt;1,1+0.005*(COUNTIF(C$4:C125,""Grandma"")-COUNTIF(C$4:C125,""Sell_Grandma"")),1))+(COUNTIF(C$4:C125,""Factory"")-COUNTIF(C$4:C125,"&amp;"""Sell_Factory""))*(260*2^COUNTIF(C$4:C125,""Factory_up""))))"),"")</f>
        <v/>
      </c>
      <c r="F125" s="73" t="str">
        <f>IFERROR(__xludf.DUMMYFUNCTION("IF(COUNTA(C125:C147)=0,"""",IF(REGEXMATCH(INDEX(FILTER(C$4:C125,C$4:C125&lt;&gt;""""),ROWS(FILTER(C$4:C125,C$4:C125&lt;&gt;""""))),""^Sell_""),INDEX(FILTER(F$4:F124,C$4:C124&lt;&gt;""""),ROWS(FILTER(C$4:C124,C$4:C124&lt;&gt;""""))),$AC$5*(2^SWITCH(COUNTIF(C$4:C125,""Cursor_up"")"&amp;",0,0,1,1,2,2,3)+SWITCH(COUNTIF(C$4:C125,""Cursor_up""),4,0.1,0)*(ROW(C125)-4-COUNTIF(C$4:C125,""Cursor"")-COUNTIF(C$4:C125,""*""&amp;""_up"")-2*COUNTIF(C$4:C125,""Sell_""&amp;""*"")+COUNTIF(C$4:C125,""Sell_Cursor"")-COUNTIF(C$4:C125,""""))+0.01*E125*COUNTIF(C$4:C"&amp;"125,""Plastic_up""))+E125))"),"")</f>
        <v/>
      </c>
      <c r="G125" s="14" t="str">
        <f>IFERROR(__xludf.DUMMYFUNCTION("IF(COUNTA(C125:C147)=0,"""",IF(REGEXMATCH(C125,""_up""),VLOOKUP(C125,Upgrades!$F$3:$J$8,1+COUNTIF(C$4:C125,C125),FALSE),IF(C125="""",0,IF(REGEXMATCH(C125,""^Sell_""),-ROUNDDOWN(ROUNDUP(INDEX(Upgrades!$C$3:$C$8,MATCH(SUBSTITUTE(C125,""Sell_"",""""),Upgrade"&amp;"s!$B$3:$B$8,0))*1.15^(COUNTIF(C$4:C124,SUBSTITUTE(C125,""Sell_"",""""))-COUNTIF(C$4:C124,""Sell_""&amp;SUBSTITUTE(C125,""Sell_"",""""))))/4),ROUNDUP(INDEX(Upgrades!$C$3:$C$7,MATCH(C125,Upgrades!$B$3:$B$7,0))*1.15^(COUNTIF(C$4:C124,C125)-COUNTIF(C$4:C124,""Sel"&amp;"l_""&amp;C125)))))))"),"")</f>
        <v/>
      </c>
      <c r="H125" s="14" t="str">
        <f t="shared" si="3"/>
        <v/>
      </c>
      <c r="I125" s="75" t="str">
        <f t="shared" si="4"/>
        <v/>
      </c>
      <c r="J125" s="76" t="str">
        <f t="shared" si="5"/>
        <v/>
      </c>
      <c r="K125" s="71" t="str">
        <f t="shared" si="6"/>
        <v/>
      </c>
      <c r="L125" s="77" t="str">
        <f t="shared" si="7"/>
        <v/>
      </c>
      <c r="M125" s="51" t="str">
        <f t="shared" si="8"/>
        <v/>
      </c>
      <c r="N125" s="52" t="str">
        <f>IFERROR(__xludf.DUMMYFUNCTION("IFS(AND(COUNTA(C125:C147)=0,COUNTA(P125:P147)=0),"""",OR(AND(L125&gt;=1000000,OR(Y125&gt;=1000000,COUNTA(P125:P147)=0)),AND(Y125&gt;=1000000,COUNTA(C125:C147)=0),AND(COUNTA(P125:P147)=0,O$3=TRUE)),
ROUNDDOWN((AB$1-AC$1)*MAX(INDEX(S$4:S147,MATCH(LARGE(FILTER(Y$4:Y1"&amp;"47,Y$4:Y147&lt;1000000),1),Y$4:Y147)),INDEX(F$4:F147,MATCH(LARGE(FILTER(L$4:L147,L$4:L147&lt;1000000),1),L$4:L147)))),AND(L125&lt;1000000,COUNTA(C125:C147)&gt;0,O$3=FALSE),
ROUNDDOWN(INDEX(Y$4:Y147,MATCH(LARGE(FILTER(W$4:W147,W$4:W147&lt;=J125),1),W$4:W147))+(J125-LARGE"&amp;"(FILTER(W$4:W147,W$4:W147&lt;=J125),1))*INDEX(S$4:S147,MATCH(LARGE(FILTER(W$4:W147,W$4:W147&lt;=J125),1),W$4:W147))-L125),1,
ROUNDDOWN(Y125-INDEX(L$4:L147,MATCH(LARGE(FILTER(J$4:J147,J$4:J147&lt;=W125),1),J$4:J147))-(W125-LARGE(FILTER(J$4:J147,J$4:J147&lt;=W125),1))*"&amp;"INDEX(F$4:F147,MATCH(LARGE(FILTER(J$4:J147,J$4:J147&lt;=W125),1),J$4:J147))))"),"")</f>
        <v/>
      </c>
      <c r="O125" s="65" t="str">
        <f t="shared" si="9"/>
        <v/>
      </c>
      <c r="P125" s="66"/>
      <c r="Q125" s="14" t="str">
        <f>IFERROR(__xludf.DUMMYFUNCTION("IF(COUNTA(P125:P147)=0,"""",IFERROR(IF(ISBLANK(P125),FALSE,IF(ISBLANK(T125),1,IF(NOT(COUNTIF($AA$24:$AA$34,SUBSTITUTE(P125,""Sell_"",""""))),1,IF(P125=""Plastic_up"",IF(V125&lt;1000,1),IF(P125=""Super_Up"",IF(OR(COUNTIF(P$4:P125,""Grandma"")-COUNTIF(P$4:P125"&amp;",""Sell_Grandma"")&lt;1,COUNTIF(P$4:P125,VLOOKUP(P125,Upgrades!$F$8:$N$8,7+COUNTIF(P$4:P125,P125)))-COUNTIF(P$4:P125,""Sell_""&amp;VLOOKUP(P125,Upgrades!$F$8:$N$8,7+COUNTIF(P$4:P125,P125)))&lt;15),1),IF(REGEXMATCH(P125,""_up""),IF(COUNTIF(P$4:P125,SUBSTITUTE(P125,"&amp;"""_up"",""""))&lt;IFERROR(VLOOKUP(P125,Upgrades!$L$3:$P$6,1+COUNTIF(P$4:P125,P125),0),999),1),IF(REGEXMATCH(P125,""Sell_""),IF(COUNTIF(P$4:P125,SUBSTITUTE(P125,""Sell_"",""""))-COUNTIF(P$4:P124,P125)&lt;1,1),FALSE)))))))))"),"")</f>
        <v/>
      </c>
      <c r="R125" s="71" t="str">
        <f>IFERROR(__xludf.DUMMYFUNCTION("IF(REGEXMATCH(P125,""^Sell_""),R124, IF(COUNTA(P125:P147)=0,"""",(COUNTIF(P$4:P125,""Cursor"")-COUNTIF(P$4:P125,""Sell_Cursor""))*(0.1*2^SWITCH(COUNTIF(P$4:P125,""Cursor_up""),0,0,1,1,2,2,3)+SWITCH(COUNTIF(P$4:P125,""Cursor_up""),4,0.1,0)*(ROW(P125)-4-COU"&amp;"NTIF(P$4:P125,""Cursor"")-COUNTIF(P$4:P125,""*""&amp;""_up"")-2*COUNTIF(P$4:P125,""Sell_""&amp;""*"")+COUNTIF(P$4:P125,""Sell_Cursor"")-COUNTIF(P$4:P125,"""")))+(COUNTIF(P$4:P125,""Grandma"")-COUNTIF(P$4:P125,""Sell_Grandma""))*(1*2^(COUNTIF(P$4:P125,""Grandma_up"&amp;""")+COUNTIF(P$4:P125,""Super_up"")))+(COUNTIF(P$4:P125,""Farm"")-COUNTIF(P$4:P125,""Sell_Farm""))*(8*2^COUNTIF(P$4:P125,""Farm_up""))*IF(COUNTIF(P$4:P125,""Super_up"")&gt;0,1+0.01*(COUNTIF(P$4:P125,""Grandma"")-COUNTIF(P$4:P125,""Sell_Grandma"")),1)+(COUNTIF"&amp;"(P$4:P125,""Mine"")-COUNTIF(P$4:P125,""Sell_Mine""))*((47*2^COUNTIF(P$4:P125,""Mine_up""))*IF(COUNTIF(P$4:P125,""Super_up"")&gt;1,1+0.005*(COUNTIF(P$4:P125,""Grandma"")-COUNTIF(P$4:P125,""Sell_Grandma"")),1))+(COUNTIF(P$4:P125,""Factory"")-COUNTIF(P$4:P125,"&amp;"""Sell_Factory""))*(260*2^COUNTIF(P$4:P125,""Factory_up""))))"),"")</f>
        <v/>
      </c>
      <c r="S125" s="73" t="str">
        <f>IFERROR(__xludf.DUMMYFUNCTION("IF(COUNTA(P125:P147)=0,"""",IF(REGEXMATCH(INDEX(FILTER(P$4:P125,P$4:P125&lt;&gt;""""),ROWS(FILTER(P$4:P125,P$4:P125&lt;&gt;""""))),""^Sell_""),INDEX(FILTER(S$4:S124,P$4:P124&lt;&gt;""""),ROWS(FILTER(P$4:P124,P$4:P124&lt;&gt;""""))),$AD$5*(2^SWITCH(COUNTIF(P$4:P125,""Cursor_up"")"&amp;",0,0,1,1,2,2,3)+SWITCH(COUNTIF(P$4:P125,""Cursor_up""),4,0.1,0)*(ROW(P125)-4-COUNTIF(P$4:P125,""Cursor"")-COUNTIF(P$4:P125,""*""&amp;""_up"")-2*COUNTIF(P$4:P125,""Sell_""&amp;""*"")+COUNTIF(P$4:P125,""Sell_Cursor"")-COUNTIF(P$4:P125,""""))+0.01*R125*COUNTIF(P$4:P"&amp;"125,""Plastic_up""))+R125))"),"")</f>
        <v/>
      </c>
      <c r="T125" s="14" t="str">
        <f>IFERROR(__xludf.DUMMYFUNCTION("IF(COUNTA(P125:P147)=0,"""",IF(REGEXMATCH(P125,""_up""),VLOOKUP(P125,Upgrades!$F$3:$J$8,1+COUNTIF(P$4:P125,P125),FALSE),IF(P125="""",0,IF(REGEXMATCH(P125,""^Sell_""),-ROUNDDOWN(ROUNDUP(INDEX(Upgrades!$C$3:$C$8,MATCH(SUBSTITUTE(P125,""Sell_"",""""),Upgrade"&amp;"s!$B$3:$B$8,0))*1.15^(COUNTIF(P$4:P124,SUBSTITUTE(P125,""Sell_"",""""))-COUNTIF(P$4:P124,""Sell_""&amp;SUBSTITUTE(P125,""Sell_"",""""))))/4),ROUNDUP(INDEX(Upgrades!$C$3:$C$7,MATCH(P125,Upgrades!$B$3:$B$7,0))*1.15^(COUNTIF(P$4:P124,P125)-COUNTIF(P$4:P124,""Sel"&amp;"l_""&amp;P125)))))))"),"")</f>
        <v/>
      </c>
      <c r="U125" s="14" t="str">
        <f t="shared" si="10"/>
        <v/>
      </c>
      <c r="V125" s="75" t="str">
        <f t="shared" si="11"/>
        <v/>
      </c>
      <c r="W125" s="76" t="str">
        <f t="shared" si="12"/>
        <v/>
      </c>
      <c r="X125" s="71" t="str">
        <f t="shared" si="13"/>
        <v/>
      </c>
      <c r="Y125" s="77" t="str">
        <f t="shared" si="14"/>
        <v/>
      </c>
      <c r="Z125" s="17"/>
      <c r="AA125" s="13"/>
      <c r="AB125" s="13"/>
      <c r="AC125" s="13"/>
      <c r="AD125" s="13"/>
      <c r="AE125" s="13"/>
      <c r="AF125" s="13"/>
      <c r="AG125" s="13"/>
    </row>
    <row r="126">
      <c r="A126" s="12"/>
      <c r="B126" s="65" t="str">
        <f t="shared" si="2"/>
        <v/>
      </c>
      <c r="C126" s="66"/>
      <c r="D126" s="14" t="str">
        <f>IFERROR(__xludf.DUMMYFUNCTION("IF(COUNTA(C126:C147)=0,"""",IFERROR(IF(ISBLANK(C126),FALSE,IF(ISBLANK(G126),1,IF(NOT(COUNTIF($AA$24:$AA$34,SUBSTITUTE(C126,""Sell_"",""""))),1,IF(C126=""Plastic_up"",IF(I126&lt;1000,1),IF(C126=""Super_Up"",IF(OR(COUNTIF(C$4:C126,""Grandma"")-COUNTIF(C$4:C126"&amp;",""Sell_Grandma"")&lt;1,COUNTIF(C$4:C126,VLOOKUP(C126,Upgrades!$F$8:$N$8,7+COUNTIF(C$4:C126,C126)))-COUNTIF(C$4:C126,""Sell_""&amp;VLOOKUP(C126,Upgrades!$F$8:$N$8,7+COUNTIF(C$4:C126,C126)))&lt;15),1),IF(REGEXMATCH(C126,""_up""),IF(COUNTIF(C$4:C126,SUBSTITUTE(C126,"&amp;"""_up"",""""))&lt;IFERROR(VLOOKUP(C126,Upgrades!$L$3:$P$6,1+COUNTIF(C$4:C126,C126),0),999),1),IF(REGEXMATCH(C126,""Sell_""),IF(COUNTIF(C$4:C126,SUBSTITUTE(C126,""Sell_"",""""))-COUNTIF(C$4:C125,C126)&lt;1,1),FALSE)))))))))"),"")</f>
        <v/>
      </c>
      <c r="E126" s="71" t="str">
        <f>IFERROR(__xludf.DUMMYFUNCTION("IF(REGEXMATCH(C126,""^Sell_""),E125, IF(COUNTA(C126:C147)=0,"""",(COUNTIF(C$4:C126,""Cursor"")-COUNTIF(C$4:C126,""Sell_Cursor""))*(0.1*2^SWITCH(COUNTIF(C$4:C126,""Cursor_up""),0,0,1,1,2,2,3)+SWITCH(COUNTIF(C$4:C126,""Cursor_up""),4,0.1,0)*(ROW(C126)-4-COU"&amp;"NTIF(C$4:C126,""Cursor"")-COUNTIF(C$4:C126,""*""&amp;""_up"")-2*COUNTIF(C$4:C126,""Sell_""&amp;""*"")+COUNTIF(C$4:C126,""Sell_Cursor"")-COUNTIF(C$4:C126,"""")))+(COUNTIF(C$4:C126,""Grandma"")-COUNTIF(C$4:C126,""Sell_Grandma""))*(1*2^(COUNTIF(C$4:C126,""Grandma_up"&amp;""")+COUNTIF(C$4:C126,""Super_up"")))+(COUNTIF(C$4:C126,""Farm"")-COUNTIF(C$4:C126,""Sell_Farm""))*(8*2^COUNTIF(C$4:C126,""Farm_up""))*IF(COUNTIF(C$4:C126,""Super_up"")&gt;0,1+0.01*(COUNTIF(C$4:C126,""Grandma"")-COUNTIF(C$4:C126,""Sell_Grandma"")),1)+(COUNTIF"&amp;"(C$4:C126,""Mine"")-COUNTIF(C$4:C126,""Sell_Mine""))*((47*2^COUNTIF(C$4:C126,""Mine_up""))*IF(COUNTIF(C$4:C126,""Super_up"")&gt;1,1+0.005*(COUNTIF(C$4:C126,""Grandma"")-COUNTIF(C$4:C126,""Sell_Grandma"")),1))+(COUNTIF(C$4:C126,""Factory"")-COUNTIF(C$4:C126,"&amp;"""Sell_Factory""))*(260*2^COUNTIF(C$4:C126,""Factory_up""))))"),"")</f>
        <v/>
      </c>
      <c r="F126" s="73" t="str">
        <f>IFERROR(__xludf.DUMMYFUNCTION("IF(COUNTA(C126:C147)=0,"""",IF(REGEXMATCH(INDEX(FILTER(C$4:C126,C$4:C126&lt;&gt;""""),ROWS(FILTER(C$4:C126,C$4:C126&lt;&gt;""""))),""^Sell_""),INDEX(FILTER(F$4:F125,C$4:C125&lt;&gt;""""),ROWS(FILTER(C$4:C125,C$4:C125&lt;&gt;""""))),$AC$5*(2^SWITCH(COUNTIF(C$4:C126,""Cursor_up"")"&amp;",0,0,1,1,2,2,3)+SWITCH(COUNTIF(C$4:C126,""Cursor_up""),4,0.1,0)*(ROW(C126)-4-COUNTIF(C$4:C126,""Cursor"")-COUNTIF(C$4:C126,""*""&amp;""_up"")-2*COUNTIF(C$4:C126,""Sell_""&amp;""*"")+COUNTIF(C$4:C126,""Sell_Cursor"")-COUNTIF(C$4:C126,""""))+0.01*E126*COUNTIF(C$4:C"&amp;"126,""Plastic_up""))+E126))"),"")</f>
        <v/>
      </c>
      <c r="G126" s="14" t="str">
        <f>IFERROR(__xludf.DUMMYFUNCTION("IF(COUNTA(C126:C147)=0,"""",IF(REGEXMATCH(C126,""_up""),VLOOKUP(C126,Upgrades!$F$3:$J$8,1+COUNTIF(C$4:C126,C126),FALSE),IF(C126="""",0,IF(REGEXMATCH(C126,""^Sell_""),-ROUNDDOWN(ROUNDUP(INDEX(Upgrades!$C$3:$C$8,MATCH(SUBSTITUTE(C126,""Sell_"",""""),Upgrade"&amp;"s!$B$3:$B$8,0))*1.15^(COUNTIF(C$4:C125,SUBSTITUTE(C126,""Sell_"",""""))-COUNTIF(C$4:C125,""Sell_""&amp;SUBSTITUTE(C126,""Sell_"",""""))))/4),ROUNDUP(INDEX(Upgrades!$C$3:$C$7,MATCH(C126,Upgrades!$B$3:$B$7,0))*1.15^(COUNTIF(C$4:C125,C126)-COUNTIF(C$4:C125,""Sel"&amp;"l_""&amp;C126)))))))"),"")</f>
        <v/>
      </c>
      <c r="H126" s="14" t="str">
        <f t="shared" si="3"/>
        <v/>
      </c>
      <c r="I126" s="75" t="str">
        <f t="shared" si="4"/>
        <v/>
      </c>
      <c r="J126" s="76" t="str">
        <f t="shared" si="5"/>
        <v/>
      </c>
      <c r="K126" s="71" t="str">
        <f t="shared" si="6"/>
        <v/>
      </c>
      <c r="L126" s="77" t="str">
        <f t="shared" si="7"/>
        <v/>
      </c>
      <c r="M126" s="51" t="str">
        <f t="shared" si="8"/>
        <v/>
      </c>
      <c r="N126" s="52" t="str">
        <f>IFERROR(__xludf.DUMMYFUNCTION("IFS(AND(COUNTA(C126:C147)=0,COUNTA(P126:P147)=0),"""",OR(AND(L126&gt;=1000000,OR(Y126&gt;=1000000,COUNTA(P126:P147)=0)),AND(Y126&gt;=1000000,COUNTA(C126:C147)=0),AND(COUNTA(P126:P147)=0,O$3=TRUE)),
ROUNDDOWN((AB$1-AC$1)*MAX(INDEX(S$4:S147,MATCH(LARGE(FILTER(Y$4:Y1"&amp;"47,Y$4:Y147&lt;1000000),1),Y$4:Y147)),INDEX(F$4:F147,MATCH(LARGE(FILTER(L$4:L147,L$4:L147&lt;1000000),1),L$4:L147)))),AND(L126&lt;1000000,COUNTA(C126:C147)&gt;0,O$3=FALSE),
ROUNDDOWN(INDEX(Y$4:Y147,MATCH(LARGE(FILTER(W$4:W147,W$4:W147&lt;=J126),1),W$4:W147))+(J126-LARGE"&amp;"(FILTER(W$4:W147,W$4:W147&lt;=J126),1))*INDEX(S$4:S147,MATCH(LARGE(FILTER(W$4:W147,W$4:W147&lt;=J126),1),W$4:W147))-L126),1,
ROUNDDOWN(Y126-INDEX(L$4:L147,MATCH(LARGE(FILTER(J$4:J147,J$4:J147&lt;=W126),1),J$4:J147))-(W126-LARGE(FILTER(J$4:J147,J$4:J147&lt;=W126),1))*"&amp;"INDEX(F$4:F147,MATCH(LARGE(FILTER(J$4:J147,J$4:J147&lt;=W126),1),J$4:J147))))"),"")</f>
        <v/>
      </c>
      <c r="O126" s="65" t="str">
        <f t="shared" si="9"/>
        <v/>
      </c>
      <c r="P126" s="66"/>
      <c r="Q126" s="14" t="str">
        <f>IFERROR(__xludf.DUMMYFUNCTION("IF(COUNTA(P126:P147)=0,"""",IFERROR(IF(ISBLANK(P126),FALSE,IF(ISBLANK(T126),1,IF(NOT(COUNTIF($AA$24:$AA$34,SUBSTITUTE(P126,""Sell_"",""""))),1,IF(P126=""Plastic_up"",IF(V126&lt;1000,1),IF(P126=""Super_Up"",IF(OR(COUNTIF(P$4:P126,""Grandma"")-COUNTIF(P$4:P126"&amp;",""Sell_Grandma"")&lt;1,COUNTIF(P$4:P126,VLOOKUP(P126,Upgrades!$F$8:$N$8,7+COUNTIF(P$4:P126,P126)))-COUNTIF(P$4:P126,""Sell_""&amp;VLOOKUP(P126,Upgrades!$F$8:$N$8,7+COUNTIF(P$4:P126,P126)))&lt;15),1),IF(REGEXMATCH(P126,""_up""),IF(COUNTIF(P$4:P126,SUBSTITUTE(P126,"&amp;"""_up"",""""))&lt;IFERROR(VLOOKUP(P126,Upgrades!$L$3:$P$6,1+COUNTIF(P$4:P126,P126),0),999),1),IF(REGEXMATCH(P126,""Sell_""),IF(COUNTIF(P$4:P126,SUBSTITUTE(P126,""Sell_"",""""))-COUNTIF(P$4:P125,P126)&lt;1,1),FALSE)))))))))"),"")</f>
        <v/>
      </c>
      <c r="R126" s="71" t="str">
        <f>IFERROR(__xludf.DUMMYFUNCTION("IF(REGEXMATCH(P126,""^Sell_""),R125, IF(COUNTA(P126:P147)=0,"""",(COUNTIF(P$4:P126,""Cursor"")-COUNTIF(P$4:P126,""Sell_Cursor""))*(0.1*2^SWITCH(COUNTIF(P$4:P126,""Cursor_up""),0,0,1,1,2,2,3)+SWITCH(COUNTIF(P$4:P126,""Cursor_up""),4,0.1,0)*(ROW(P126)-4-COU"&amp;"NTIF(P$4:P126,""Cursor"")-COUNTIF(P$4:P126,""*""&amp;""_up"")-2*COUNTIF(P$4:P126,""Sell_""&amp;""*"")+COUNTIF(P$4:P126,""Sell_Cursor"")-COUNTIF(P$4:P126,"""")))+(COUNTIF(P$4:P126,""Grandma"")-COUNTIF(P$4:P126,""Sell_Grandma""))*(1*2^(COUNTIF(P$4:P126,""Grandma_up"&amp;""")+COUNTIF(P$4:P126,""Super_up"")))+(COUNTIF(P$4:P126,""Farm"")-COUNTIF(P$4:P126,""Sell_Farm""))*(8*2^COUNTIF(P$4:P126,""Farm_up""))*IF(COUNTIF(P$4:P126,""Super_up"")&gt;0,1+0.01*(COUNTIF(P$4:P126,""Grandma"")-COUNTIF(P$4:P126,""Sell_Grandma"")),1)+(COUNTIF"&amp;"(P$4:P126,""Mine"")-COUNTIF(P$4:P126,""Sell_Mine""))*((47*2^COUNTIF(P$4:P126,""Mine_up""))*IF(COUNTIF(P$4:P126,""Super_up"")&gt;1,1+0.005*(COUNTIF(P$4:P126,""Grandma"")-COUNTIF(P$4:P126,""Sell_Grandma"")),1))+(COUNTIF(P$4:P126,""Factory"")-COUNTIF(P$4:P126,"&amp;"""Sell_Factory""))*(260*2^COUNTIF(P$4:P126,""Factory_up""))))"),"")</f>
        <v/>
      </c>
      <c r="S126" s="73" t="str">
        <f>IFERROR(__xludf.DUMMYFUNCTION("IF(COUNTA(P126:P147)=0,"""",IF(REGEXMATCH(INDEX(FILTER(P$4:P126,P$4:P126&lt;&gt;""""),ROWS(FILTER(P$4:P126,P$4:P126&lt;&gt;""""))),""^Sell_""),INDEX(FILTER(S$4:S125,P$4:P125&lt;&gt;""""),ROWS(FILTER(P$4:P125,P$4:P125&lt;&gt;""""))),$AD$5*(2^SWITCH(COUNTIF(P$4:P126,""Cursor_up"")"&amp;",0,0,1,1,2,2,3)+SWITCH(COUNTIF(P$4:P126,""Cursor_up""),4,0.1,0)*(ROW(P126)-4-COUNTIF(P$4:P126,""Cursor"")-COUNTIF(P$4:P126,""*""&amp;""_up"")-2*COUNTIF(P$4:P126,""Sell_""&amp;""*"")+COUNTIF(P$4:P126,""Sell_Cursor"")-COUNTIF(P$4:P126,""""))+0.01*R126*COUNTIF(P$4:P"&amp;"126,""Plastic_up""))+R126))"),"")</f>
        <v/>
      </c>
      <c r="T126" s="14" t="str">
        <f>IFERROR(__xludf.DUMMYFUNCTION("IF(COUNTA(P126:P147)=0,"""",IF(REGEXMATCH(P126,""_up""),VLOOKUP(P126,Upgrades!$F$3:$J$8,1+COUNTIF(P$4:P126,P126),FALSE),IF(P126="""",0,IF(REGEXMATCH(P126,""^Sell_""),-ROUNDDOWN(ROUNDUP(INDEX(Upgrades!$C$3:$C$8,MATCH(SUBSTITUTE(P126,""Sell_"",""""),Upgrade"&amp;"s!$B$3:$B$8,0))*1.15^(COUNTIF(P$4:P125,SUBSTITUTE(P126,""Sell_"",""""))-COUNTIF(P$4:P125,""Sell_""&amp;SUBSTITUTE(P126,""Sell_"",""""))))/4),ROUNDUP(INDEX(Upgrades!$C$3:$C$7,MATCH(P126,Upgrades!$B$3:$B$7,0))*1.15^(COUNTIF(P$4:P125,P126)-COUNTIF(P$4:P125,""Sel"&amp;"l_""&amp;P126)))))))"),"")</f>
        <v/>
      </c>
      <c r="U126" s="14" t="str">
        <f t="shared" si="10"/>
        <v/>
      </c>
      <c r="V126" s="75" t="str">
        <f t="shared" si="11"/>
        <v/>
      </c>
      <c r="W126" s="76" t="str">
        <f t="shared" si="12"/>
        <v/>
      </c>
      <c r="X126" s="71" t="str">
        <f t="shared" si="13"/>
        <v/>
      </c>
      <c r="Y126" s="77" t="str">
        <f t="shared" si="14"/>
        <v/>
      </c>
      <c r="Z126" s="17"/>
      <c r="AA126" s="13"/>
      <c r="AB126" s="13"/>
      <c r="AC126" s="13"/>
      <c r="AD126" s="13"/>
      <c r="AE126" s="13"/>
      <c r="AF126" s="13"/>
      <c r="AG126" s="13"/>
    </row>
    <row r="127">
      <c r="A127" s="12"/>
      <c r="B127" s="65" t="str">
        <f t="shared" si="2"/>
        <v/>
      </c>
      <c r="C127" s="66"/>
      <c r="D127" s="14" t="str">
        <f>IFERROR(__xludf.DUMMYFUNCTION("IF(COUNTA(C127:C147)=0,"""",IFERROR(IF(ISBLANK(C127),FALSE,IF(ISBLANK(G127),1,IF(NOT(COUNTIF($AA$24:$AA$34,SUBSTITUTE(C127,""Sell_"",""""))),1,IF(C127=""Plastic_up"",IF(I127&lt;1000,1),IF(C127=""Super_Up"",IF(OR(COUNTIF(C$4:C127,""Grandma"")-COUNTIF(C$4:C127"&amp;",""Sell_Grandma"")&lt;1,COUNTIF(C$4:C127,VLOOKUP(C127,Upgrades!$F$8:$N$8,7+COUNTIF(C$4:C127,C127)))-COUNTIF(C$4:C127,""Sell_""&amp;VLOOKUP(C127,Upgrades!$F$8:$N$8,7+COUNTIF(C$4:C127,C127)))&lt;15),1),IF(REGEXMATCH(C127,""_up""),IF(COUNTIF(C$4:C127,SUBSTITUTE(C127,"&amp;"""_up"",""""))&lt;IFERROR(VLOOKUP(C127,Upgrades!$L$3:$P$6,1+COUNTIF(C$4:C127,C127),0),999),1),IF(REGEXMATCH(C127,""Sell_""),IF(COUNTIF(C$4:C127,SUBSTITUTE(C127,""Sell_"",""""))-COUNTIF(C$4:C126,C127)&lt;1,1),FALSE)))))))))"),"")</f>
        <v/>
      </c>
      <c r="E127" s="71" t="str">
        <f>IFERROR(__xludf.DUMMYFUNCTION("IF(REGEXMATCH(C127,""^Sell_""),E126, IF(COUNTA(C127:C147)=0,"""",(COUNTIF(C$4:C127,""Cursor"")-COUNTIF(C$4:C127,""Sell_Cursor""))*(0.1*2^SWITCH(COUNTIF(C$4:C127,""Cursor_up""),0,0,1,1,2,2,3)+SWITCH(COUNTIF(C$4:C127,""Cursor_up""),4,0.1,0)*(ROW(C127)-4-COU"&amp;"NTIF(C$4:C127,""Cursor"")-COUNTIF(C$4:C127,""*""&amp;""_up"")-2*COUNTIF(C$4:C127,""Sell_""&amp;""*"")+COUNTIF(C$4:C127,""Sell_Cursor"")-COUNTIF(C$4:C127,"""")))+(COUNTIF(C$4:C127,""Grandma"")-COUNTIF(C$4:C127,""Sell_Grandma""))*(1*2^(COUNTIF(C$4:C127,""Grandma_up"&amp;""")+COUNTIF(C$4:C127,""Super_up"")))+(COUNTIF(C$4:C127,""Farm"")-COUNTIF(C$4:C127,""Sell_Farm""))*(8*2^COUNTIF(C$4:C127,""Farm_up""))*IF(COUNTIF(C$4:C127,""Super_up"")&gt;0,1+0.01*(COUNTIF(C$4:C127,""Grandma"")-COUNTIF(C$4:C127,""Sell_Grandma"")),1)+(COUNTIF"&amp;"(C$4:C127,""Mine"")-COUNTIF(C$4:C127,""Sell_Mine""))*((47*2^COUNTIF(C$4:C127,""Mine_up""))*IF(COUNTIF(C$4:C127,""Super_up"")&gt;1,1+0.005*(COUNTIF(C$4:C127,""Grandma"")-COUNTIF(C$4:C127,""Sell_Grandma"")),1))+(COUNTIF(C$4:C127,""Factory"")-COUNTIF(C$4:C127,"&amp;"""Sell_Factory""))*(260*2^COUNTIF(C$4:C127,""Factory_up""))))"),"")</f>
        <v/>
      </c>
      <c r="F127" s="73" t="str">
        <f>IFERROR(__xludf.DUMMYFUNCTION("IF(COUNTA(C127:C147)=0,"""",IF(REGEXMATCH(INDEX(FILTER(C$4:C127,C$4:C127&lt;&gt;""""),ROWS(FILTER(C$4:C127,C$4:C127&lt;&gt;""""))),""^Sell_""),INDEX(FILTER(F$4:F126,C$4:C126&lt;&gt;""""),ROWS(FILTER(C$4:C126,C$4:C126&lt;&gt;""""))),$AC$5*(2^SWITCH(COUNTIF(C$4:C127,""Cursor_up"")"&amp;",0,0,1,1,2,2,3)+SWITCH(COUNTIF(C$4:C127,""Cursor_up""),4,0.1,0)*(ROW(C127)-4-COUNTIF(C$4:C127,""Cursor"")-COUNTIF(C$4:C127,""*""&amp;""_up"")-2*COUNTIF(C$4:C127,""Sell_""&amp;""*"")+COUNTIF(C$4:C127,""Sell_Cursor"")-COUNTIF(C$4:C127,""""))+0.01*E127*COUNTIF(C$4:C"&amp;"127,""Plastic_up""))+E127))"),"")</f>
        <v/>
      </c>
      <c r="G127" s="14" t="str">
        <f>IFERROR(__xludf.DUMMYFUNCTION("IF(COUNTA(C127:C147)=0,"""",IF(REGEXMATCH(C127,""_up""),VLOOKUP(C127,Upgrades!$F$3:$J$8,1+COUNTIF(C$4:C127,C127),FALSE),IF(C127="""",0,IF(REGEXMATCH(C127,""^Sell_""),-ROUNDDOWN(ROUNDUP(INDEX(Upgrades!$C$3:$C$8,MATCH(SUBSTITUTE(C127,""Sell_"",""""),Upgrade"&amp;"s!$B$3:$B$8,0))*1.15^(COUNTIF(C$4:C126,SUBSTITUTE(C127,""Sell_"",""""))-COUNTIF(C$4:C126,""Sell_""&amp;SUBSTITUTE(C127,""Sell_"",""""))))/4),ROUNDUP(INDEX(Upgrades!$C$3:$C$7,MATCH(C127,Upgrades!$B$3:$B$7,0))*1.15^(COUNTIF(C$4:C126,C127)-COUNTIF(C$4:C126,""Sel"&amp;"l_""&amp;C127)))))))"),"")</f>
        <v/>
      </c>
      <c r="H127" s="14" t="str">
        <f t="shared" si="3"/>
        <v/>
      </c>
      <c r="I127" s="75" t="str">
        <f t="shared" si="4"/>
        <v/>
      </c>
      <c r="J127" s="76" t="str">
        <f t="shared" si="5"/>
        <v/>
      </c>
      <c r="K127" s="71" t="str">
        <f t="shared" si="6"/>
        <v/>
      </c>
      <c r="L127" s="77" t="str">
        <f t="shared" si="7"/>
        <v/>
      </c>
      <c r="M127" s="51" t="str">
        <f t="shared" si="8"/>
        <v/>
      </c>
      <c r="N127" s="52" t="str">
        <f>IFERROR(__xludf.DUMMYFUNCTION("IFS(AND(COUNTA(C127:C147)=0,COUNTA(P127:P147)=0),"""",OR(AND(L127&gt;=1000000,OR(Y127&gt;=1000000,COUNTA(P127:P147)=0)),AND(Y127&gt;=1000000,COUNTA(C127:C147)=0),AND(COUNTA(P127:P147)=0,O$3=TRUE)),
ROUNDDOWN((AB$1-AC$1)*MAX(INDEX(S$4:S147,MATCH(LARGE(FILTER(Y$4:Y1"&amp;"47,Y$4:Y147&lt;1000000),1),Y$4:Y147)),INDEX(F$4:F147,MATCH(LARGE(FILTER(L$4:L147,L$4:L147&lt;1000000),1),L$4:L147)))),AND(L127&lt;1000000,COUNTA(C127:C147)&gt;0,O$3=FALSE),
ROUNDDOWN(INDEX(Y$4:Y147,MATCH(LARGE(FILTER(W$4:W147,W$4:W147&lt;=J127),1),W$4:W147))+(J127-LARGE"&amp;"(FILTER(W$4:W147,W$4:W147&lt;=J127),1))*INDEX(S$4:S147,MATCH(LARGE(FILTER(W$4:W147,W$4:W147&lt;=J127),1),W$4:W147))-L127),1,
ROUNDDOWN(Y127-INDEX(L$4:L147,MATCH(LARGE(FILTER(J$4:J147,J$4:J147&lt;=W127),1),J$4:J147))-(W127-LARGE(FILTER(J$4:J147,J$4:J147&lt;=W127),1))*"&amp;"INDEX(F$4:F147,MATCH(LARGE(FILTER(J$4:J147,J$4:J147&lt;=W127),1),J$4:J147))))"),"")</f>
        <v/>
      </c>
      <c r="O127" s="65" t="str">
        <f t="shared" si="9"/>
        <v/>
      </c>
      <c r="P127" s="66"/>
      <c r="Q127" s="14" t="str">
        <f>IFERROR(__xludf.DUMMYFUNCTION("IF(COUNTA(P127:P147)=0,"""",IFERROR(IF(ISBLANK(P127),FALSE,IF(ISBLANK(T127),1,IF(NOT(COUNTIF($AA$24:$AA$34,SUBSTITUTE(P127,""Sell_"",""""))),1,IF(P127=""Plastic_up"",IF(V127&lt;1000,1),IF(P127=""Super_Up"",IF(OR(COUNTIF(P$4:P127,""Grandma"")-COUNTIF(P$4:P127"&amp;",""Sell_Grandma"")&lt;1,COUNTIF(P$4:P127,VLOOKUP(P127,Upgrades!$F$8:$N$8,7+COUNTIF(P$4:P127,P127)))-COUNTIF(P$4:P127,""Sell_""&amp;VLOOKUP(P127,Upgrades!$F$8:$N$8,7+COUNTIF(P$4:P127,P127)))&lt;15),1),IF(REGEXMATCH(P127,""_up""),IF(COUNTIF(P$4:P127,SUBSTITUTE(P127,"&amp;"""_up"",""""))&lt;IFERROR(VLOOKUP(P127,Upgrades!$L$3:$P$6,1+COUNTIF(P$4:P127,P127),0),999),1),IF(REGEXMATCH(P127,""Sell_""),IF(COUNTIF(P$4:P127,SUBSTITUTE(P127,""Sell_"",""""))-COUNTIF(P$4:P126,P127)&lt;1,1),FALSE)))))))))"),"")</f>
        <v/>
      </c>
      <c r="R127" s="71" t="str">
        <f>IFERROR(__xludf.DUMMYFUNCTION("IF(REGEXMATCH(P127,""^Sell_""),R126, IF(COUNTA(P127:P147)=0,"""",(COUNTIF(P$4:P127,""Cursor"")-COUNTIF(P$4:P127,""Sell_Cursor""))*(0.1*2^SWITCH(COUNTIF(P$4:P127,""Cursor_up""),0,0,1,1,2,2,3)+SWITCH(COUNTIF(P$4:P127,""Cursor_up""),4,0.1,0)*(ROW(P127)-4-COU"&amp;"NTIF(P$4:P127,""Cursor"")-COUNTIF(P$4:P127,""*""&amp;""_up"")-2*COUNTIF(P$4:P127,""Sell_""&amp;""*"")+COUNTIF(P$4:P127,""Sell_Cursor"")-COUNTIF(P$4:P127,"""")))+(COUNTIF(P$4:P127,""Grandma"")-COUNTIF(P$4:P127,""Sell_Grandma""))*(1*2^(COUNTIF(P$4:P127,""Grandma_up"&amp;""")+COUNTIF(P$4:P127,""Super_up"")))+(COUNTIF(P$4:P127,""Farm"")-COUNTIF(P$4:P127,""Sell_Farm""))*(8*2^COUNTIF(P$4:P127,""Farm_up""))*IF(COUNTIF(P$4:P127,""Super_up"")&gt;0,1+0.01*(COUNTIF(P$4:P127,""Grandma"")-COUNTIF(P$4:P127,""Sell_Grandma"")),1)+(COUNTIF"&amp;"(P$4:P127,""Mine"")-COUNTIF(P$4:P127,""Sell_Mine""))*((47*2^COUNTIF(P$4:P127,""Mine_up""))*IF(COUNTIF(P$4:P127,""Super_up"")&gt;1,1+0.005*(COUNTIF(P$4:P127,""Grandma"")-COUNTIF(P$4:P127,""Sell_Grandma"")),1))+(COUNTIF(P$4:P127,""Factory"")-COUNTIF(P$4:P127,"&amp;"""Sell_Factory""))*(260*2^COUNTIF(P$4:P127,""Factory_up""))))"),"")</f>
        <v/>
      </c>
      <c r="S127" s="73" t="str">
        <f>IFERROR(__xludf.DUMMYFUNCTION("IF(COUNTA(P127:P147)=0,"""",IF(REGEXMATCH(INDEX(FILTER(P$4:P127,P$4:P127&lt;&gt;""""),ROWS(FILTER(P$4:P127,P$4:P127&lt;&gt;""""))),""^Sell_""),INDEX(FILTER(S$4:S126,P$4:P126&lt;&gt;""""),ROWS(FILTER(P$4:P126,P$4:P126&lt;&gt;""""))),$AD$5*(2^SWITCH(COUNTIF(P$4:P127,""Cursor_up"")"&amp;",0,0,1,1,2,2,3)+SWITCH(COUNTIF(P$4:P127,""Cursor_up""),4,0.1,0)*(ROW(P127)-4-COUNTIF(P$4:P127,""Cursor"")-COUNTIF(P$4:P127,""*""&amp;""_up"")-2*COUNTIF(P$4:P127,""Sell_""&amp;""*"")+COUNTIF(P$4:P127,""Sell_Cursor"")-COUNTIF(P$4:P127,""""))+0.01*R127*COUNTIF(P$4:P"&amp;"127,""Plastic_up""))+R127))"),"")</f>
        <v/>
      </c>
      <c r="T127" s="14" t="str">
        <f>IFERROR(__xludf.DUMMYFUNCTION("IF(COUNTA(P127:P147)=0,"""",IF(REGEXMATCH(P127,""_up""),VLOOKUP(P127,Upgrades!$F$3:$J$8,1+COUNTIF(P$4:P127,P127),FALSE),IF(P127="""",0,IF(REGEXMATCH(P127,""^Sell_""),-ROUNDDOWN(ROUNDUP(INDEX(Upgrades!$C$3:$C$8,MATCH(SUBSTITUTE(P127,""Sell_"",""""),Upgrade"&amp;"s!$B$3:$B$8,0))*1.15^(COUNTIF(P$4:P126,SUBSTITUTE(P127,""Sell_"",""""))-COUNTIF(P$4:P126,""Sell_""&amp;SUBSTITUTE(P127,""Sell_"",""""))))/4),ROUNDUP(INDEX(Upgrades!$C$3:$C$7,MATCH(P127,Upgrades!$B$3:$B$7,0))*1.15^(COUNTIF(P$4:P126,P127)-COUNTIF(P$4:P126,""Sel"&amp;"l_""&amp;P127)))))))"),"")</f>
        <v/>
      </c>
      <c r="U127" s="14" t="str">
        <f t="shared" si="10"/>
        <v/>
      </c>
      <c r="V127" s="75" t="str">
        <f t="shared" si="11"/>
        <v/>
      </c>
      <c r="W127" s="76" t="str">
        <f t="shared" si="12"/>
        <v/>
      </c>
      <c r="X127" s="71" t="str">
        <f t="shared" si="13"/>
        <v/>
      </c>
      <c r="Y127" s="77" t="str">
        <f t="shared" si="14"/>
        <v/>
      </c>
      <c r="Z127" s="17"/>
      <c r="AA127" s="13"/>
      <c r="AB127" s="13"/>
      <c r="AC127" s="13"/>
      <c r="AD127" s="13"/>
      <c r="AE127" s="13"/>
      <c r="AF127" s="13"/>
      <c r="AG127" s="13"/>
    </row>
    <row r="128">
      <c r="A128" s="12"/>
      <c r="B128" s="65" t="str">
        <f t="shared" si="2"/>
        <v/>
      </c>
      <c r="C128" s="66"/>
      <c r="D128" s="14" t="str">
        <f>IFERROR(__xludf.DUMMYFUNCTION("IF(COUNTA(C128:C147)=0,"""",IFERROR(IF(ISBLANK(C128),FALSE,IF(ISBLANK(G128),1,IF(NOT(COUNTIF($AA$24:$AA$34,SUBSTITUTE(C128,""Sell_"",""""))),1,IF(C128=""Plastic_up"",IF(I128&lt;1000,1),IF(C128=""Super_Up"",IF(OR(COUNTIF(C$4:C128,""Grandma"")-COUNTIF(C$4:C128"&amp;",""Sell_Grandma"")&lt;1,COUNTIF(C$4:C128,VLOOKUP(C128,Upgrades!$F$8:$N$8,7+COUNTIF(C$4:C128,C128)))-COUNTIF(C$4:C128,""Sell_""&amp;VLOOKUP(C128,Upgrades!$F$8:$N$8,7+COUNTIF(C$4:C128,C128)))&lt;15),1),IF(REGEXMATCH(C128,""_up""),IF(COUNTIF(C$4:C128,SUBSTITUTE(C128,"&amp;"""_up"",""""))&lt;IFERROR(VLOOKUP(C128,Upgrades!$L$3:$P$6,1+COUNTIF(C$4:C128,C128),0),999),1),IF(REGEXMATCH(C128,""Sell_""),IF(COUNTIF(C$4:C128,SUBSTITUTE(C128,""Sell_"",""""))-COUNTIF(C$4:C127,C128)&lt;1,1),FALSE)))))))))"),"")</f>
        <v/>
      </c>
      <c r="E128" s="71" t="str">
        <f>IFERROR(__xludf.DUMMYFUNCTION("IF(REGEXMATCH(C128,""^Sell_""),E127, IF(COUNTA(C128:C147)=0,"""",(COUNTIF(C$4:C128,""Cursor"")-COUNTIF(C$4:C128,""Sell_Cursor""))*(0.1*2^SWITCH(COUNTIF(C$4:C128,""Cursor_up""),0,0,1,1,2,2,3)+SWITCH(COUNTIF(C$4:C128,""Cursor_up""),4,0.1,0)*(ROW(C128)-4-COU"&amp;"NTIF(C$4:C128,""Cursor"")-COUNTIF(C$4:C128,""*""&amp;""_up"")-2*COUNTIF(C$4:C128,""Sell_""&amp;""*"")+COUNTIF(C$4:C128,""Sell_Cursor"")-COUNTIF(C$4:C128,"""")))+(COUNTIF(C$4:C128,""Grandma"")-COUNTIF(C$4:C128,""Sell_Grandma""))*(1*2^(COUNTIF(C$4:C128,""Grandma_up"&amp;""")+COUNTIF(C$4:C128,""Super_up"")))+(COUNTIF(C$4:C128,""Farm"")-COUNTIF(C$4:C128,""Sell_Farm""))*(8*2^COUNTIF(C$4:C128,""Farm_up""))*IF(COUNTIF(C$4:C128,""Super_up"")&gt;0,1+0.01*(COUNTIF(C$4:C128,""Grandma"")-COUNTIF(C$4:C128,""Sell_Grandma"")),1)+(COUNTIF"&amp;"(C$4:C128,""Mine"")-COUNTIF(C$4:C128,""Sell_Mine""))*((47*2^COUNTIF(C$4:C128,""Mine_up""))*IF(COUNTIF(C$4:C128,""Super_up"")&gt;1,1+0.005*(COUNTIF(C$4:C128,""Grandma"")-COUNTIF(C$4:C128,""Sell_Grandma"")),1))+(COUNTIF(C$4:C128,""Factory"")-COUNTIF(C$4:C128,"&amp;"""Sell_Factory""))*(260*2^COUNTIF(C$4:C128,""Factory_up""))))"),"")</f>
        <v/>
      </c>
      <c r="F128" s="73" t="str">
        <f>IFERROR(__xludf.DUMMYFUNCTION("IF(COUNTA(C128:C147)=0,"""",IF(REGEXMATCH(INDEX(FILTER(C$4:C128,C$4:C128&lt;&gt;""""),ROWS(FILTER(C$4:C128,C$4:C128&lt;&gt;""""))),""^Sell_""),INDEX(FILTER(F$4:F127,C$4:C127&lt;&gt;""""),ROWS(FILTER(C$4:C127,C$4:C127&lt;&gt;""""))),$AC$5*(2^SWITCH(COUNTIF(C$4:C128,""Cursor_up"")"&amp;",0,0,1,1,2,2,3)+SWITCH(COUNTIF(C$4:C128,""Cursor_up""),4,0.1,0)*(ROW(C128)-4-COUNTIF(C$4:C128,""Cursor"")-COUNTIF(C$4:C128,""*""&amp;""_up"")-2*COUNTIF(C$4:C128,""Sell_""&amp;""*"")+COUNTIF(C$4:C128,""Sell_Cursor"")-COUNTIF(C$4:C128,""""))+0.01*E128*COUNTIF(C$4:C"&amp;"128,""Plastic_up""))+E128))"),"")</f>
        <v/>
      </c>
      <c r="G128" s="14" t="str">
        <f>IFERROR(__xludf.DUMMYFUNCTION("IF(COUNTA(C128:C147)=0,"""",IF(REGEXMATCH(C128,""_up""),VLOOKUP(C128,Upgrades!$F$3:$J$8,1+COUNTIF(C$4:C128,C128),FALSE),IF(C128="""",0,IF(REGEXMATCH(C128,""^Sell_""),-ROUNDDOWN(ROUNDUP(INDEX(Upgrades!$C$3:$C$8,MATCH(SUBSTITUTE(C128,""Sell_"",""""),Upgrade"&amp;"s!$B$3:$B$8,0))*1.15^(COUNTIF(C$4:C127,SUBSTITUTE(C128,""Sell_"",""""))-COUNTIF(C$4:C127,""Sell_""&amp;SUBSTITUTE(C128,""Sell_"",""""))))/4),ROUNDUP(INDEX(Upgrades!$C$3:$C$7,MATCH(C128,Upgrades!$B$3:$B$7,0))*1.15^(COUNTIF(C$4:C127,C128)-COUNTIF(C$4:C127,""Sel"&amp;"l_""&amp;C128)))))))"),"")</f>
        <v/>
      </c>
      <c r="H128" s="14" t="str">
        <f t="shared" si="3"/>
        <v/>
      </c>
      <c r="I128" s="75" t="str">
        <f t="shared" si="4"/>
        <v/>
      </c>
      <c r="J128" s="76" t="str">
        <f t="shared" si="5"/>
        <v/>
      </c>
      <c r="K128" s="71" t="str">
        <f t="shared" si="6"/>
        <v/>
      </c>
      <c r="L128" s="77" t="str">
        <f t="shared" si="7"/>
        <v/>
      </c>
      <c r="M128" s="51" t="str">
        <f t="shared" si="8"/>
        <v/>
      </c>
      <c r="N128" s="52" t="str">
        <f>IFERROR(__xludf.DUMMYFUNCTION("IFS(AND(COUNTA(C128:C147)=0,COUNTA(P128:P147)=0),"""",OR(AND(L128&gt;=1000000,OR(Y128&gt;=1000000,COUNTA(P128:P147)=0)),AND(Y128&gt;=1000000,COUNTA(C128:C147)=0),AND(COUNTA(P128:P147)=0,O$3=TRUE)),
ROUNDDOWN((AB$1-AC$1)*MAX(INDEX(S$4:S147,MATCH(LARGE(FILTER(Y$4:Y1"&amp;"47,Y$4:Y147&lt;1000000),1),Y$4:Y147)),INDEX(F$4:F147,MATCH(LARGE(FILTER(L$4:L147,L$4:L147&lt;1000000),1),L$4:L147)))),AND(L128&lt;1000000,COUNTA(C128:C147)&gt;0,O$3=FALSE),
ROUNDDOWN(INDEX(Y$4:Y147,MATCH(LARGE(FILTER(W$4:W147,W$4:W147&lt;=J128),1),W$4:W147))+(J128-LARGE"&amp;"(FILTER(W$4:W147,W$4:W147&lt;=J128),1))*INDEX(S$4:S147,MATCH(LARGE(FILTER(W$4:W147,W$4:W147&lt;=J128),1),W$4:W147))-L128),1,
ROUNDDOWN(Y128-INDEX(L$4:L147,MATCH(LARGE(FILTER(J$4:J147,J$4:J147&lt;=W128),1),J$4:J147))-(W128-LARGE(FILTER(J$4:J147,J$4:J147&lt;=W128),1))*"&amp;"INDEX(F$4:F147,MATCH(LARGE(FILTER(J$4:J147,J$4:J147&lt;=W128),1),J$4:J147))))"),"")</f>
        <v/>
      </c>
      <c r="O128" s="65" t="str">
        <f t="shared" si="9"/>
        <v/>
      </c>
      <c r="P128" s="66"/>
      <c r="Q128" s="14" t="str">
        <f>IFERROR(__xludf.DUMMYFUNCTION("IF(COUNTA(P128:P147)=0,"""",IFERROR(IF(ISBLANK(P128),FALSE,IF(ISBLANK(T128),1,IF(NOT(COUNTIF($AA$24:$AA$34,SUBSTITUTE(P128,""Sell_"",""""))),1,IF(P128=""Plastic_up"",IF(V128&lt;1000,1),IF(P128=""Super_Up"",IF(OR(COUNTIF(P$4:P128,""Grandma"")-COUNTIF(P$4:P128"&amp;",""Sell_Grandma"")&lt;1,COUNTIF(P$4:P128,VLOOKUP(P128,Upgrades!$F$8:$N$8,7+COUNTIF(P$4:P128,P128)))-COUNTIF(P$4:P128,""Sell_""&amp;VLOOKUP(P128,Upgrades!$F$8:$N$8,7+COUNTIF(P$4:P128,P128)))&lt;15),1),IF(REGEXMATCH(P128,""_up""),IF(COUNTIF(P$4:P128,SUBSTITUTE(P128,"&amp;"""_up"",""""))&lt;IFERROR(VLOOKUP(P128,Upgrades!$L$3:$P$6,1+COUNTIF(P$4:P128,P128),0),999),1),IF(REGEXMATCH(P128,""Sell_""),IF(COUNTIF(P$4:P128,SUBSTITUTE(P128,""Sell_"",""""))-COUNTIF(P$4:P127,P128)&lt;1,1),FALSE)))))))))"),"")</f>
        <v/>
      </c>
      <c r="R128" s="71" t="str">
        <f>IFERROR(__xludf.DUMMYFUNCTION("IF(REGEXMATCH(P128,""^Sell_""),R127, IF(COUNTA(P128:P147)=0,"""",(COUNTIF(P$4:P128,""Cursor"")-COUNTIF(P$4:P128,""Sell_Cursor""))*(0.1*2^SWITCH(COUNTIF(P$4:P128,""Cursor_up""),0,0,1,1,2,2,3)+SWITCH(COUNTIF(P$4:P128,""Cursor_up""),4,0.1,0)*(ROW(P128)-4-COU"&amp;"NTIF(P$4:P128,""Cursor"")-COUNTIF(P$4:P128,""*""&amp;""_up"")-2*COUNTIF(P$4:P128,""Sell_""&amp;""*"")+COUNTIF(P$4:P128,""Sell_Cursor"")-COUNTIF(P$4:P128,"""")))+(COUNTIF(P$4:P128,""Grandma"")-COUNTIF(P$4:P128,""Sell_Grandma""))*(1*2^(COUNTIF(P$4:P128,""Grandma_up"&amp;""")+COUNTIF(P$4:P128,""Super_up"")))+(COUNTIF(P$4:P128,""Farm"")-COUNTIF(P$4:P128,""Sell_Farm""))*(8*2^COUNTIF(P$4:P128,""Farm_up""))*IF(COUNTIF(P$4:P128,""Super_up"")&gt;0,1+0.01*(COUNTIF(P$4:P128,""Grandma"")-COUNTIF(P$4:P128,""Sell_Grandma"")),1)+(COUNTIF"&amp;"(P$4:P128,""Mine"")-COUNTIF(P$4:P128,""Sell_Mine""))*((47*2^COUNTIF(P$4:P128,""Mine_up""))*IF(COUNTIF(P$4:P128,""Super_up"")&gt;1,1+0.005*(COUNTIF(P$4:P128,""Grandma"")-COUNTIF(P$4:P128,""Sell_Grandma"")),1))+(COUNTIF(P$4:P128,""Factory"")-COUNTIF(P$4:P128,"&amp;"""Sell_Factory""))*(260*2^COUNTIF(P$4:P128,""Factory_up""))))"),"")</f>
        <v/>
      </c>
      <c r="S128" s="73" t="str">
        <f>IFERROR(__xludf.DUMMYFUNCTION("IF(COUNTA(P128:P147)=0,"""",IF(REGEXMATCH(INDEX(FILTER(P$4:P128,P$4:P128&lt;&gt;""""),ROWS(FILTER(P$4:P128,P$4:P128&lt;&gt;""""))),""^Sell_""),INDEX(FILTER(S$4:S127,P$4:P127&lt;&gt;""""),ROWS(FILTER(P$4:P127,P$4:P127&lt;&gt;""""))),$AD$5*(2^SWITCH(COUNTIF(P$4:P128,""Cursor_up"")"&amp;",0,0,1,1,2,2,3)+SWITCH(COUNTIF(P$4:P128,""Cursor_up""),4,0.1,0)*(ROW(P128)-4-COUNTIF(P$4:P128,""Cursor"")-COUNTIF(P$4:P128,""*""&amp;""_up"")-2*COUNTIF(P$4:P128,""Sell_""&amp;""*"")+COUNTIF(P$4:P128,""Sell_Cursor"")-COUNTIF(P$4:P128,""""))+0.01*R128*COUNTIF(P$4:P"&amp;"128,""Plastic_up""))+R128))"),"")</f>
        <v/>
      </c>
      <c r="T128" s="14" t="str">
        <f>IFERROR(__xludf.DUMMYFUNCTION("IF(COUNTA(P128:P147)=0,"""",IF(REGEXMATCH(P128,""_up""),VLOOKUP(P128,Upgrades!$F$3:$J$8,1+COUNTIF(P$4:P128,P128),FALSE),IF(P128="""",0,IF(REGEXMATCH(P128,""^Sell_""),-ROUNDDOWN(ROUNDUP(INDEX(Upgrades!$C$3:$C$8,MATCH(SUBSTITUTE(P128,""Sell_"",""""),Upgrade"&amp;"s!$B$3:$B$8,0))*1.15^(COUNTIF(P$4:P127,SUBSTITUTE(P128,""Sell_"",""""))-COUNTIF(P$4:P127,""Sell_""&amp;SUBSTITUTE(P128,""Sell_"",""""))))/4),ROUNDUP(INDEX(Upgrades!$C$3:$C$7,MATCH(P128,Upgrades!$B$3:$B$7,0))*1.15^(COUNTIF(P$4:P127,P128)-COUNTIF(P$4:P127,""Sel"&amp;"l_""&amp;P128)))))))"),"")</f>
        <v/>
      </c>
      <c r="U128" s="14" t="str">
        <f t="shared" si="10"/>
        <v/>
      </c>
      <c r="V128" s="75" t="str">
        <f t="shared" si="11"/>
        <v/>
      </c>
      <c r="W128" s="76" t="str">
        <f t="shared" si="12"/>
        <v/>
      </c>
      <c r="X128" s="71" t="str">
        <f t="shared" si="13"/>
        <v/>
      </c>
      <c r="Y128" s="77" t="str">
        <f t="shared" si="14"/>
        <v/>
      </c>
      <c r="Z128" s="17"/>
      <c r="AA128" s="13"/>
      <c r="AB128" s="13"/>
      <c r="AC128" s="13"/>
      <c r="AD128" s="13"/>
      <c r="AE128" s="13"/>
      <c r="AF128" s="13"/>
      <c r="AG128" s="13"/>
    </row>
    <row r="129">
      <c r="A129" s="12"/>
      <c r="B129" s="65" t="str">
        <f t="shared" si="2"/>
        <v/>
      </c>
      <c r="C129" s="66"/>
      <c r="D129" s="14" t="str">
        <f>IFERROR(__xludf.DUMMYFUNCTION("IF(COUNTA(C129:C147)=0,"""",IFERROR(IF(ISBLANK(C129),FALSE,IF(ISBLANK(G129),1,IF(NOT(COUNTIF($AA$24:$AA$34,SUBSTITUTE(C129,""Sell_"",""""))),1,IF(C129=""Plastic_up"",IF(I129&lt;1000,1),IF(C129=""Super_Up"",IF(OR(COUNTIF(C$4:C129,""Grandma"")-COUNTIF(C$4:C129"&amp;",""Sell_Grandma"")&lt;1,COUNTIF(C$4:C129,VLOOKUP(C129,Upgrades!$F$8:$N$8,7+COUNTIF(C$4:C129,C129)))-COUNTIF(C$4:C129,""Sell_""&amp;VLOOKUP(C129,Upgrades!$F$8:$N$8,7+COUNTIF(C$4:C129,C129)))&lt;15),1),IF(REGEXMATCH(C129,""_up""),IF(COUNTIF(C$4:C129,SUBSTITUTE(C129,"&amp;"""_up"",""""))&lt;IFERROR(VLOOKUP(C129,Upgrades!$L$3:$P$6,1+COUNTIF(C$4:C129,C129),0),999),1),IF(REGEXMATCH(C129,""Sell_""),IF(COUNTIF(C$4:C129,SUBSTITUTE(C129,""Sell_"",""""))-COUNTIF(C$4:C128,C129)&lt;1,1),FALSE)))))))))"),"")</f>
        <v/>
      </c>
      <c r="E129" s="71" t="str">
        <f>IFERROR(__xludf.DUMMYFUNCTION("IF(REGEXMATCH(C129,""^Sell_""),E128, IF(COUNTA(C129:C147)=0,"""",(COUNTIF(C$4:C129,""Cursor"")-COUNTIF(C$4:C129,""Sell_Cursor""))*(0.1*2^SWITCH(COUNTIF(C$4:C129,""Cursor_up""),0,0,1,1,2,2,3)+SWITCH(COUNTIF(C$4:C129,""Cursor_up""),4,0.1,0)*(ROW(C129)-4-COU"&amp;"NTIF(C$4:C129,""Cursor"")-COUNTIF(C$4:C129,""*""&amp;""_up"")-2*COUNTIF(C$4:C129,""Sell_""&amp;""*"")+COUNTIF(C$4:C129,""Sell_Cursor"")-COUNTIF(C$4:C129,"""")))+(COUNTIF(C$4:C129,""Grandma"")-COUNTIF(C$4:C129,""Sell_Grandma""))*(1*2^(COUNTIF(C$4:C129,""Grandma_up"&amp;""")+COUNTIF(C$4:C129,""Super_up"")))+(COUNTIF(C$4:C129,""Farm"")-COUNTIF(C$4:C129,""Sell_Farm""))*(8*2^COUNTIF(C$4:C129,""Farm_up""))*IF(COUNTIF(C$4:C129,""Super_up"")&gt;0,1+0.01*(COUNTIF(C$4:C129,""Grandma"")-COUNTIF(C$4:C129,""Sell_Grandma"")),1)+(COUNTIF"&amp;"(C$4:C129,""Mine"")-COUNTIF(C$4:C129,""Sell_Mine""))*((47*2^COUNTIF(C$4:C129,""Mine_up""))*IF(COUNTIF(C$4:C129,""Super_up"")&gt;1,1+0.005*(COUNTIF(C$4:C129,""Grandma"")-COUNTIF(C$4:C129,""Sell_Grandma"")),1))+(COUNTIF(C$4:C129,""Factory"")-COUNTIF(C$4:C129,"&amp;"""Sell_Factory""))*(260*2^COUNTIF(C$4:C129,""Factory_up""))))"),"")</f>
        <v/>
      </c>
      <c r="F129" s="73" t="str">
        <f>IFERROR(__xludf.DUMMYFUNCTION("IF(COUNTA(C129:C147)=0,"""",IF(REGEXMATCH(INDEX(FILTER(C$4:C129,C$4:C129&lt;&gt;""""),ROWS(FILTER(C$4:C129,C$4:C129&lt;&gt;""""))),""^Sell_""),INDEX(FILTER(F$4:F128,C$4:C128&lt;&gt;""""),ROWS(FILTER(C$4:C128,C$4:C128&lt;&gt;""""))),$AC$5*(2^SWITCH(COUNTIF(C$4:C129,""Cursor_up"")"&amp;",0,0,1,1,2,2,3)+SWITCH(COUNTIF(C$4:C129,""Cursor_up""),4,0.1,0)*(ROW(C129)-4-COUNTIF(C$4:C129,""Cursor"")-COUNTIF(C$4:C129,""*""&amp;""_up"")-2*COUNTIF(C$4:C129,""Sell_""&amp;""*"")+COUNTIF(C$4:C129,""Sell_Cursor"")-COUNTIF(C$4:C129,""""))+0.01*E129*COUNTIF(C$4:C"&amp;"129,""Plastic_up""))+E129))"),"")</f>
        <v/>
      </c>
      <c r="G129" s="14" t="str">
        <f>IFERROR(__xludf.DUMMYFUNCTION("IF(COUNTA(C129:C147)=0,"""",IF(REGEXMATCH(C129,""_up""),VLOOKUP(C129,Upgrades!$F$3:$J$8,1+COUNTIF(C$4:C129,C129),FALSE),IF(C129="""",0,IF(REGEXMATCH(C129,""^Sell_""),-ROUNDDOWN(ROUNDUP(INDEX(Upgrades!$C$3:$C$8,MATCH(SUBSTITUTE(C129,""Sell_"",""""),Upgrade"&amp;"s!$B$3:$B$8,0))*1.15^(COUNTIF(C$4:C128,SUBSTITUTE(C129,""Sell_"",""""))-COUNTIF(C$4:C128,""Sell_""&amp;SUBSTITUTE(C129,""Sell_"",""""))))/4),ROUNDUP(INDEX(Upgrades!$C$3:$C$7,MATCH(C129,Upgrades!$B$3:$B$7,0))*1.15^(COUNTIF(C$4:C128,C129)-COUNTIF(C$4:C128,""Sel"&amp;"l_""&amp;C129)))))))"),"")</f>
        <v/>
      </c>
      <c r="H129" s="14" t="str">
        <f t="shared" si="3"/>
        <v/>
      </c>
      <c r="I129" s="75" t="str">
        <f t="shared" si="4"/>
        <v/>
      </c>
      <c r="J129" s="76" t="str">
        <f t="shared" si="5"/>
        <v/>
      </c>
      <c r="K129" s="71" t="str">
        <f t="shared" si="6"/>
        <v/>
      </c>
      <c r="L129" s="77" t="str">
        <f t="shared" si="7"/>
        <v/>
      </c>
      <c r="M129" s="51" t="str">
        <f t="shared" si="8"/>
        <v/>
      </c>
      <c r="N129" s="52" t="str">
        <f>IFERROR(__xludf.DUMMYFUNCTION("IFS(AND(COUNTA(C129:C147)=0,COUNTA(P129:P147)=0),"""",OR(AND(L129&gt;=1000000,OR(Y129&gt;=1000000,COUNTA(P129:P147)=0)),AND(Y129&gt;=1000000,COUNTA(C129:C147)=0),AND(COUNTA(P129:P147)=0,O$3=TRUE)),
ROUNDDOWN((AB$1-AC$1)*MAX(INDEX(S$4:S147,MATCH(LARGE(FILTER(Y$4:Y1"&amp;"47,Y$4:Y147&lt;1000000),1),Y$4:Y147)),INDEX(F$4:F147,MATCH(LARGE(FILTER(L$4:L147,L$4:L147&lt;1000000),1),L$4:L147)))),AND(L129&lt;1000000,COUNTA(C129:C147)&gt;0,O$3=FALSE),
ROUNDDOWN(INDEX(Y$4:Y147,MATCH(LARGE(FILTER(W$4:W147,W$4:W147&lt;=J129),1),W$4:W147))+(J129-LARGE"&amp;"(FILTER(W$4:W147,W$4:W147&lt;=J129),1))*INDEX(S$4:S147,MATCH(LARGE(FILTER(W$4:W147,W$4:W147&lt;=J129),1),W$4:W147))-L129),1,
ROUNDDOWN(Y129-INDEX(L$4:L147,MATCH(LARGE(FILTER(J$4:J147,J$4:J147&lt;=W129),1),J$4:J147))-(W129-LARGE(FILTER(J$4:J147,J$4:J147&lt;=W129),1))*"&amp;"INDEX(F$4:F147,MATCH(LARGE(FILTER(J$4:J147,J$4:J147&lt;=W129),1),J$4:J147))))"),"")</f>
        <v/>
      </c>
      <c r="O129" s="65" t="str">
        <f t="shared" si="9"/>
        <v/>
      </c>
      <c r="P129" s="15"/>
      <c r="Q129" s="14" t="str">
        <f>IFERROR(__xludf.DUMMYFUNCTION("IF(COUNTA(P129:P147)=0,"""",IFERROR(IF(ISBLANK(P129),FALSE,IF(ISBLANK(T129),1,IF(NOT(COUNTIF($AA$24:$AA$34,SUBSTITUTE(P129,""Sell_"",""""))),1,IF(P129=""Plastic_up"",IF(V129&lt;1000,1),IF(P129=""Super_Up"",IF(OR(COUNTIF(P$4:P129,""Grandma"")-COUNTIF(P$4:P129"&amp;",""Sell_Grandma"")&lt;1,COUNTIF(P$4:P129,VLOOKUP(P129,Upgrades!$F$8:$N$8,7+COUNTIF(P$4:P129,P129)))-COUNTIF(P$4:P129,""Sell_""&amp;VLOOKUP(P129,Upgrades!$F$8:$N$8,7+COUNTIF(P$4:P129,P129)))&lt;15),1),IF(REGEXMATCH(P129,""_up""),IF(COUNTIF(P$4:P129,SUBSTITUTE(P129,"&amp;"""_up"",""""))&lt;IFERROR(VLOOKUP(P129,Upgrades!$L$3:$P$6,1+COUNTIF(P$4:P129,P129),0),999),1),IF(REGEXMATCH(P129,""Sell_""),IF(COUNTIF(P$4:P129,SUBSTITUTE(P129,""Sell_"",""""))-COUNTIF(P$4:P128,P129)&lt;1,1),FALSE)))))))))"),"")</f>
        <v/>
      </c>
      <c r="R129" s="71" t="str">
        <f>IFERROR(__xludf.DUMMYFUNCTION("IF(REGEXMATCH(P129,""^Sell_""),R128, IF(COUNTA(P129:P147)=0,"""",(COUNTIF(P$4:P129,""Cursor"")-COUNTIF(P$4:P129,""Sell_Cursor""))*(0.1*2^SWITCH(COUNTIF(P$4:P129,""Cursor_up""),0,0,1,1,2,2,3)+SWITCH(COUNTIF(P$4:P129,""Cursor_up""),4,0.1,0)*(ROW(P129)-4-COU"&amp;"NTIF(P$4:P129,""Cursor"")-COUNTIF(P$4:P129,""*""&amp;""_up"")-2*COUNTIF(P$4:P129,""Sell_""&amp;""*"")+COUNTIF(P$4:P129,""Sell_Cursor"")-COUNTIF(P$4:P129,"""")))+(COUNTIF(P$4:P129,""Grandma"")-COUNTIF(P$4:P129,""Sell_Grandma""))*(1*2^(COUNTIF(P$4:P129,""Grandma_up"&amp;""")+COUNTIF(P$4:P129,""Super_up"")))+(COUNTIF(P$4:P129,""Farm"")-COUNTIF(P$4:P129,""Sell_Farm""))*(8*2^COUNTIF(P$4:P129,""Farm_up""))*IF(COUNTIF(P$4:P129,""Super_up"")&gt;0,1+0.01*(COUNTIF(P$4:P129,""Grandma"")-COUNTIF(P$4:P129,""Sell_Grandma"")),1)+(COUNTIF"&amp;"(P$4:P129,""Mine"")-COUNTIF(P$4:P129,""Sell_Mine""))*((47*2^COUNTIF(P$4:P129,""Mine_up""))*IF(COUNTIF(P$4:P129,""Super_up"")&gt;1,1+0.005*(COUNTIF(P$4:P129,""Grandma"")-COUNTIF(P$4:P129,""Sell_Grandma"")),1))+(COUNTIF(P$4:P129,""Factory"")-COUNTIF(P$4:P129,"&amp;"""Sell_Factory""))*(260*2^COUNTIF(P$4:P129,""Factory_up""))))"),"")</f>
        <v/>
      </c>
      <c r="S129" s="73" t="str">
        <f>IFERROR(__xludf.DUMMYFUNCTION("IF(COUNTA(P129:P147)=0,"""",IF(REGEXMATCH(INDEX(FILTER(P$4:P129,P$4:P129&lt;&gt;""""),ROWS(FILTER(P$4:P129,P$4:P129&lt;&gt;""""))),""^Sell_""),INDEX(FILTER(S$4:S128,P$4:P128&lt;&gt;""""),ROWS(FILTER(P$4:P128,P$4:P128&lt;&gt;""""))),$AD$5*(2^SWITCH(COUNTIF(P$4:P129,""Cursor_up"")"&amp;",0,0,1,1,2,2,3)+SWITCH(COUNTIF(P$4:P129,""Cursor_up""),4,0.1,0)*(ROW(P129)-4-COUNTIF(P$4:P129,""Cursor"")-COUNTIF(P$4:P129,""*""&amp;""_up"")-2*COUNTIF(P$4:P129,""Sell_""&amp;""*"")+COUNTIF(P$4:P129,""Sell_Cursor"")-COUNTIF(P$4:P129,""""))+0.01*R129*COUNTIF(P$4:P"&amp;"129,""Plastic_up""))+R129))"),"")</f>
        <v/>
      </c>
      <c r="T129" s="14" t="str">
        <f>IFERROR(__xludf.DUMMYFUNCTION("IF(COUNTA(P129:P147)=0,"""",IF(REGEXMATCH(P129,""_up""),VLOOKUP(P129,Upgrades!$F$3:$J$8,1+COUNTIF(P$4:P129,P129),FALSE),IF(P129="""",0,IF(REGEXMATCH(P129,""^Sell_""),-ROUNDDOWN(ROUNDUP(INDEX(Upgrades!$C$3:$C$8,MATCH(SUBSTITUTE(P129,""Sell_"",""""),Upgrade"&amp;"s!$B$3:$B$8,0))*1.15^(COUNTIF(P$4:P128,SUBSTITUTE(P129,""Sell_"",""""))-COUNTIF(P$4:P128,""Sell_""&amp;SUBSTITUTE(P129,""Sell_"",""""))))/4),ROUNDUP(INDEX(Upgrades!$C$3:$C$7,MATCH(P129,Upgrades!$B$3:$B$7,0))*1.15^(COUNTIF(P$4:P128,P129)-COUNTIF(P$4:P128,""Sel"&amp;"l_""&amp;P129)))))))"),"")</f>
        <v/>
      </c>
      <c r="U129" s="14" t="str">
        <f t="shared" si="10"/>
        <v/>
      </c>
      <c r="V129" s="75" t="str">
        <f t="shared" si="11"/>
        <v/>
      </c>
      <c r="W129" s="76" t="str">
        <f t="shared" si="12"/>
        <v/>
      </c>
      <c r="X129" s="71" t="str">
        <f t="shared" si="13"/>
        <v/>
      </c>
      <c r="Y129" s="77" t="str">
        <f t="shared" si="14"/>
        <v/>
      </c>
      <c r="Z129" s="17"/>
      <c r="AA129" s="13"/>
      <c r="AB129" s="15"/>
      <c r="AC129" s="13"/>
      <c r="AD129" s="13"/>
      <c r="AE129" s="13"/>
      <c r="AF129" s="13"/>
      <c r="AG129" s="13"/>
    </row>
    <row r="130">
      <c r="A130" s="12"/>
      <c r="B130" s="65" t="str">
        <f t="shared" si="2"/>
        <v/>
      </c>
      <c r="C130" s="66"/>
      <c r="D130" s="14" t="str">
        <f>IFERROR(__xludf.DUMMYFUNCTION("IF(COUNTA(C130:C147)=0,"""",IFERROR(IF(ISBLANK(C130),FALSE,IF(ISBLANK(G130),1,IF(NOT(COUNTIF($AA$24:$AA$34,SUBSTITUTE(C130,""Sell_"",""""))),1,IF(C130=""Plastic_up"",IF(I130&lt;1000,1),IF(C130=""Super_Up"",IF(OR(COUNTIF(C$4:C130,""Grandma"")-COUNTIF(C$4:C130"&amp;",""Sell_Grandma"")&lt;1,COUNTIF(C$4:C130,VLOOKUP(C130,Upgrades!$F$8:$N$8,7+COUNTIF(C$4:C130,C130)))-COUNTIF(C$4:C130,""Sell_""&amp;VLOOKUP(C130,Upgrades!$F$8:$N$8,7+COUNTIF(C$4:C130,C130)))&lt;15),1),IF(REGEXMATCH(C130,""_up""),IF(COUNTIF(C$4:C130,SUBSTITUTE(C130,"&amp;"""_up"",""""))&lt;IFERROR(VLOOKUP(C130,Upgrades!$L$3:$P$6,1+COUNTIF(C$4:C130,C130),0),999),1),IF(REGEXMATCH(C130,""Sell_""),IF(COUNTIF(C$4:C130,SUBSTITUTE(C130,""Sell_"",""""))-COUNTIF(C$4:C129,C130)&lt;1,1),FALSE)))))))))"),"")</f>
        <v/>
      </c>
      <c r="E130" s="71" t="str">
        <f>IFERROR(__xludf.DUMMYFUNCTION("IF(REGEXMATCH(C130,""^Sell_""),E129, IF(COUNTA(C130:C147)=0,"""",(COUNTIF(C$4:C130,""Cursor"")-COUNTIF(C$4:C130,""Sell_Cursor""))*(0.1*2^SWITCH(COUNTIF(C$4:C130,""Cursor_up""),0,0,1,1,2,2,3)+SWITCH(COUNTIF(C$4:C130,""Cursor_up""),4,0.1,0)*(ROW(C130)-4-COU"&amp;"NTIF(C$4:C130,""Cursor"")-COUNTIF(C$4:C130,""*""&amp;""_up"")-2*COUNTIF(C$4:C130,""Sell_""&amp;""*"")+COUNTIF(C$4:C130,""Sell_Cursor"")-COUNTIF(C$4:C130,"""")))+(COUNTIF(C$4:C130,""Grandma"")-COUNTIF(C$4:C130,""Sell_Grandma""))*(1*2^(COUNTIF(C$4:C130,""Grandma_up"&amp;""")+COUNTIF(C$4:C130,""Super_up"")))+(COUNTIF(C$4:C130,""Farm"")-COUNTIF(C$4:C130,""Sell_Farm""))*(8*2^COUNTIF(C$4:C130,""Farm_up""))*IF(COUNTIF(C$4:C130,""Super_up"")&gt;0,1+0.01*(COUNTIF(C$4:C130,""Grandma"")-COUNTIF(C$4:C130,""Sell_Grandma"")),1)+(COUNTIF"&amp;"(C$4:C130,""Mine"")-COUNTIF(C$4:C130,""Sell_Mine""))*((47*2^COUNTIF(C$4:C130,""Mine_up""))*IF(COUNTIF(C$4:C130,""Super_up"")&gt;1,1+0.005*(COUNTIF(C$4:C130,""Grandma"")-COUNTIF(C$4:C130,""Sell_Grandma"")),1))+(COUNTIF(C$4:C130,""Factory"")-COUNTIF(C$4:C130,"&amp;"""Sell_Factory""))*(260*2^COUNTIF(C$4:C130,""Factory_up""))))"),"")</f>
        <v/>
      </c>
      <c r="F130" s="73" t="str">
        <f>IFERROR(__xludf.DUMMYFUNCTION("IF(COUNTA(C130:C147)=0,"""",IF(REGEXMATCH(INDEX(FILTER(C$4:C130,C$4:C130&lt;&gt;""""),ROWS(FILTER(C$4:C130,C$4:C130&lt;&gt;""""))),""^Sell_""),INDEX(FILTER(F$4:F129,C$4:C129&lt;&gt;""""),ROWS(FILTER(C$4:C129,C$4:C129&lt;&gt;""""))),$AC$5*(2^SWITCH(COUNTIF(C$4:C130,""Cursor_up"")"&amp;",0,0,1,1,2,2,3)+SWITCH(COUNTIF(C$4:C130,""Cursor_up""),4,0.1,0)*(ROW(C130)-4-COUNTIF(C$4:C130,""Cursor"")-COUNTIF(C$4:C130,""*""&amp;""_up"")-2*COUNTIF(C$4:C130,""Sell_""&amp;""*"")+COUNTIF(C$4:C130,""Sell_Cursor"")-COUNTIF(C$4:C130,""""))+0.01*E130*COUNTIF(C$4:C"&amp;"130,""Plastic_up""))+E130))"),"")</f>
        <v/>
      </c>
      <c r="G130" s="14" t="str">
        <f>IFERROR(__xludf.DUMMYFUNCTION("IF(COUNTA(C130:C147)=0,"""",IF(REGEXMATCH(C130,""_up""),VLOOKUP(C130,Upgrades!$F$3:$J$8,1+COUNTIF(C$4:C130,C130),FALSE),IF(C130="""",0,IF(REGEXMATCH(C130,""^Sell_""),-ROUNDDOWN(ROUNDUP(INDEX(Upgrades!$C$3:$C$8,MATCH(SUBSTITUTE(C130,""Sell_"",""""),Upgrade"&amp;"s!$B$3:$B$8,0))*1.15^(COUNTIF(C$4:C129,SUBSTITUTE(C130,""Sell_"",""""))-COUNTIF(C$4:C129,""Sell_""&amp;SUBSTITUTE(C130,""Sell_"",""""))))/4),ROUNDUP(INDEX(Upgrades!$C$3:$C$7,MATCH(C130,Upgrades!$B$3:$B$7,0))*1.15^(COUNTIF(C$4:C129,C130)-COUNTIF(C$4:C129,""Sel"&amp;"l_""&amp;C130)))))))"),"")</f>
        <v/>
      </c>
      <c r="H130" s="14" t="str">
        <f t="shared" si="3"/>
        <v/>
      </c>
      <c r="I130" s="75" t="str">
        <f t="shared" si="4"/>
        <v/>
      </c>
      <c r="J130" s="76" t="str">
        <f t="shared" si="5"/>
        <v/>
      </c>
      <c r="K130" s="71" t="str">
        <f t="shared" si="6"/>
        <v/>
      </c>
      <c r="L130" s="77" t="str">
        <f t="shared" si="7"/>
        <v/>
      </c>
      <c r="M130" s="51" t="str">
        <f t="shared" si="8"/>
        <v/>
      </c>
      <c r="N130" s="52" t="str">
        <f>IFERROR(__xludf.DUMMYFUNCTION("IFS(AND(COUNTA(C130:C147)=0,COUNTA(P130:P147)=0),"""",OR(AND(L130&gt;=1000000,OR(Y130&gt;=1000000,COUNTA(P130:P147)=0)),AND(Y130&gt;=1000000,COUNTA(C130:C147)=0),AND(COUNTA(P130:P147)=0,O$3=TRUE)),
ROUNDDOWN((AB$1-AC$1)*MAX(INDEX(S$4:S147,MATCH(LARGE(FILTER(Y$4:Y1"&amp;"47,Y$4:Y147&lt;1000000),1),Y$4:Y147)),INDEX(F$4:F147,MATCH(LARGE(FILTER(L$4:L147,L$4:L147&lt;1000000),1),L$4:L147)))),AND(L130&lt;1000000,COUNTA(C130:C147)&gt;0,O$3=FALSE),
ROUNDDOWN(INDEX(Y$4:Y147,MATCH(LARGE(FILTER(W$4:W147,W$4:W147&lt;=J130),1),W$4:W147))+(J130-LARGE"&amp;"(FILTER(W$4:W147,W$4:W147&lt;=J130),1))*INDEX(S$4:S147,MATCH(LARGE(FILTER(W$4:W147,W$4:W147&lt;=J130),1),W$4:W147))-L130),1,
ROUNDDOWN(Y130-INDEX(L$4:L147,MATCH(LARGE(FILTER(J$4:J147,J$4:J147&lt;=W130),1),J$4:J147))-(W130-LARGE(FILTER(J$4:J147,J$4:J147&lt;=W130),1))*"&amp;"INDEX(F$4:F147,MATCH(LARGE(FILTER(J$4:J147,J$4:J147&lt;=W130),1),J$4:J147))))"),"")</f>
        <v/>
      </c>
      <c r="O130" s="65" t="str">
        <f t="shared" si="9"/>
        <v/>
      </c>
      <c r="P130" s="15"/>
      <c r="Q130" s="14" t="str">
        <f>IFERROR(__xludf.DUMMYFUNCTION("IF(COUNTA(P130:P147)=0,"""",IFERROR(IF(ISBLANK(P130),FALSE,IF(ISBLANK(T130),1,IF(NOT(COUNTIF($AA$24:$AA$34,SUBSTITUTE(P130,""Sell_"",""""))),1,IF(P130=""Plastic_up"",IF(V130&lt;1000,1),IF(P130=""Super_Up"",IF(OR(COUNTIF(P$4:P130,""Grandma"")-COUNTIF(P$4:P130"&amp;",""Sell_Grandma"")&lt;1,COUNTIF(P$4:P130,VLOOKUP(P130,Upgrades!$F$8:$N$8,7+COUNTIF(P$4:P130,P130)))-COUNTIF(P$4:P130,""Sell_""&amp;VLOOKUP(P130,Upgrades!$F$8:$N$8,7+COUNTIF(P$4:P130,P130)))&lt;15),1),IF(REGEXMATCH(P130,""_up""),IF(COUNTIF(P$4:P130,SUBSTITUTE(P130,"&amp;"""_up"",""""))&lt;IFERROR(VLOOKUP(P130,Upgrades!$L$3:$P$6,1+COUNTIF(P$4:P130,P130),0),999),1),IF(REGEXMATCH(P130,""Sell_""),IF(COUNTIF(P$4:P130,SUBSTITUTE(P130,""Sell_"",""""))-COUNTIF(P$4:P129,P130)&lt;1,1),FALSE)))))))))"),"")</f>
        <v/>
      </c>
      <c r="R130" s="71" t="str">
        <f>IFERROR(__xludf.DUMMYFUNCTION("IF(REGEXMATCH(P130,""^Sell_""),R129, IF(COUNTA(P130:P147)=0,"""",(COUNTIF(P$4:P130,""Cursor"")-COUNTIF(P$4:P130,""Sell_Cursor""))*(0.1*2^SWITCH(COUNTIF(P$4:P130,""Cursor_up""),0,0,1,1,2,2,3)+SWITCH(COUNTIF(P$4:P130,""Cursor_up""),4,0.1,0)*(ROW(P130)-4-COU"&amp;"NTIF(P$4:P130,""Cursor"")-COUNTIF(P$4:P130,""*""&amp;""_up"")-2*COUNTIF(P$4:P130,""Sell_""&amp;""*"")+COUNTIF(P$4:P130,""Sell_Cursor"")-COUNTIF(P$4:P130,"""")))+(COUNTIF(P$4:P130,""Grandma"")-COUNTIF(P$4:P130,""Sell_Grandma""))*(1*2^(COUNTIF(P$4:P130,""Grandma_up"&amp;""")+COUNTIF(P$4:P130,""Super_up"")))+(COUNTIF(P$4:P130,""Farm"")-COUNTIF(P$4:P130,""Sell_Farm""))*(8*2^COUNTIF(P$4:P130,""Farm_up""))*IF(COUNTIF(P$4:P130,""Super_up"")&gt;0,1+0.01*(COUNTIF(P$4:P130,""Grandma"")-COUNTIF(P$4:P130,""Sell_Grandma"")),1)+(COUNTIF"&amp;"(P$4:P130,""Mine"")-COUNTIF(P$4:P130,""Sell_Mine""))*((47*2^COUNTIF(P$4:P130,""Mine_up""))*IF(COUNTIF(P$4:P130,""Super_up"")&gt;1,1+0.005*(COUNTIF(P$4:P130,""Grandma"")-COUNTIF(P$4:P130,""Sell_Grandma"")),1))+(COUNTIF(P$4:P130,""Factory"")-COUNTIF(P$4:P130,"&amp;"""Sell_Factory""))*(260*2^COUNTIF(P$4:P130,""Factory_up""))))"),"")</f>
        <v/>
      </c>
      <c r="S130" s="73" t="str">
        <f>IFERROR(__xludf.DUMMYFUNCTION("IF(COUNTA(P130:P147)=0,"""",IF(REGEXMATCH(INDEX(FILTER(P$4:P130,P$4:P130&lt;&gt;""""),ROWS(FILTER(P$4:P130,P$4:P130&lt;&gt;""""))),""^Sell_""),INDEX(FILTER(S$4:S129,P$4:P129&lt;&gt;""""),ROWS(FILTER(P$4:P129,P$4:P129&lt;&gt;""""))),$AD$5*(2^SWITCH(COUNTIF(P$4:P130,""Cursor_up"")"&amp;",0,0,1,1,2,2,3)+SWITCH(COUNTIF(P$4:P130,""Cursor_up""),4,0.1,0)*(ROW(P130)-4-COUNTIF(P$4:P130,""Cursor"")-COUNTIF(P$4:P130,""*""&amp;""_up"")-2*COUNTIF(P$4:P130,""Sell_""&amp;""*"")+COUNTIF(P$4:P130,""Sell_Cursor"")-COUNTIF(P$4:P130,""""))+0.01*R130*COUNTIF(P$4:P"&amp;"130,""Plastic_up""))+R130))"),"")</f>
        <v/>
      </c>
      <c r="T130" s="14" t="str">
        <f>IFERROR(__xludf.DUMMYFUNCTION("IF(COUNTA(P130:P147)=0,"""",IF(REGEXMATCH(P130,""_up""),VLOOKUP(P130,Upgrades!$F$3:$J$8,1+COUNTIF(P$4:P130,P130),FALSE),IF(P130="""",0,IF(REGEXMATCH(P130,""^Sell_""),-ROUNDDOWN(ROUNDUP(INDEX(Upgrades!$C$3:$C$8,MATCH(SUBSTITUTE(P130,""Sell_"",""""),Upgrade"&amp;"s!$B$3:$B$8,0))*1.15^(COUNTIF(P$4:P129,SUBSTITUTE(P130,""Sell_"",""""))-COUNTIF(P$4:P129,""Sell_""&amp;SUBSTITUTE(P130,""Sell_"",""""))))/4),ROUNDUP(INDEX(Upgrades!$C$3:$C$7,MATCH(P130,Upgrades!$B$3:$B$7,0))*1.15^(COUNTIF(P$4:P129,P130)-COUNTIF(P$4:P129,""Sel"&amp;"l_""&amp;P130)))))))"),"")</f>
        <v/>
      </c>
      <c r="U130" s="14" t="str">
        <f t="shared" si="10"/>
        <v/>
      </c>
      <c r="V130" s="75" t="str">
        <f t="shared" si="11"/>
        <v/>
      </c>
      <c r="W130" s="76" t="str">
        <f t="shared" si="12"/>
        <v/>
      </c>
      <c r="X130" s="71" t="str">
        <f t="shared" si="13"/>
        <v/>
      </c>
      <c r="Y130" s="77" t="str">
        <f t="shared" si="14"/>
        <v/>
      </c>
      <c r="Z130" s="17"/>
      <c r="AA130" s="13"/>
      <c r="AB130" s="13"/>
      <c r="AC130" s="13"/>
      <c r="AD130" s="13"/>
      <c r="AE130" s="13"/>
      <c r="AF130" s="13"/>
      <c r="AG130" s="13"/>
    </row>
    <row r="131">
      <c r="A131" s="12"/>
      <c r="B131" s="65" t="str">
        <f t="shared" si="2"/>
        <v/>
      </c>
      <c r="C131" s="66"/>
      <c r="D131" s="14" t="str">
        <f>IFERROR(__xludf.DUMMYFUNCTION("IF(COUNTA(C131:C147)=0,"""",IFERROR(IF(ISBLANK(C131),FALSE,IF(ISBLANK(G131),1,IF(NOT(COUNTIF($AA$24:$AA$34,SUBSTITUTE(C131,""Sell_"",""""))),1,IF(C131=""Plastic_up"",IF(I131&lt;1000,1),IF(C131=""Super_Up"",IF(OR(COUNTIF(C$4:C131,""Grandma"")-COUNTIF(C$4:C131"&amp;",""Sell_Grandma"")&lt;1,COUNTIF(C$4:C131,VLOOKUP(C131,Upgrades!$F$8:$N$8,7+COUNTIF(C$4:C131,C131)))-COUNTIF(C$4:C131,""Sell_""&amp;VLOOKUP(C131,Upgrades!$F$8:$N$8,7+COUNTIF(C$4:C131,C131)))&lt;15),1),IF(REGEXMATCH(C131,""_up""),IF(COUNTIF(C$4:C131,SUBSTITUTE(C131,"&amp;"""_up"",""""))&lt;IFERROR(VLOOKUP(C131,Upgrades!$L$3:$P$6,1+COUNTIF(C$4:C131,C131),0),999),1),IF(REGEXMATCH(C131,""Sell_""),IF(COUNTIF(C$4:C131,SUBSTITUTE(C131,""Sell_"",""""))-COUNTIF(C$4:C130,C131)&lt;1,1),FALSE)))))))))"),"")</f>
        <v/>
      </c>
      <c r="E131" s="71" t="str">
        <f>IFERROR(__xludf.DUMMYFUNCTION("IF(REGEXMATCH(C131,""^Sell_""),E130, IF(COUNTA(C131:C147)=0,"""",(COUNTIF(C$4:C131,""Cursor"")-COUNTIF(C$4:C131,""Sell_Cursor""))*(0.1*2^SWITCH(COUNTIF(C$4:C131,""Cursor_up""),0,0,1,1,2,2,3)+SWITCH(COUNTIF(C$4:C131,""Cursor_up""),4,0.1,0)*(ROW(C131)-4-COU"&amp;"NTIF(C$4:C131,""Cursor"")-COUNTIF(C$4:C131,""*""&amp;""_up"")-2*COUNTIF(C$4:C131,""Sell_""&amp;""*"")+COUNTIF(C$4:C131,""Sell_Cursor"")-COUNTIF(C$4:C131,"""")))+(COUNTIF(C$4:C131,""Grandma"")-COUNTIF(C$4:C131,""Sell_Grandma""))*(1*2^(COUNTIF(C$4:C131,""Grandma_up"&amp;""")+COUNTIF(C$4:C131,""Super_up"")))+(COUNTIF(C$4:C131,""Farm"")-COUNTIF(C$4:C131,""Sell_Farm""))*(8*2^COUNTIF(C$4:C131,""Farm_up""))*IF(COUNTIF(C$4:C131,""Super_up"")&gt;0,1+0.01*(COUNTIF(C$4:C131,""Grandma"")-COUNTIF(C$4:C131,""Sell_Grandma"")),1)+(COUNTIF"&amp;"(C$4:C131,""Mine"")-COUNTIF(C$4:C131,""Sell_Mine""))*((47*2^COUNTIF(C$4:C131,""Mine_up""))*IF(COUNTIF(C$4:C131,""Super_up"")&gt;1,1+0.005*(COUNTIF(C$4:C131,""Grandma"")-COUNTIF(C$4:C131,""Sell_Grandma"")),1))+(COUNTIF(C$4:C131,""Factory"")-COUNTIF(C$4:C131,"&amp;"""Sell_Factory""))*(260*2^COUNTIF(C$4:C131,""Factory_up""))))"),"")</f>
        <v/>
      </c>
      <c r="F131" s="73" t="str">
        <f>IFERROR(__xludf.DUMMYFUNCTION("IF(COUNTA(C131:C147)=0,"""",IF(REGEXMATCH(INDEX(FILTER(C$4:C131,C$4:C131&lt;&gt;""""),ROWS(FILTER(C$4:C131,C$4:C131&lt;&gt;""""))),""^Sell_""),INDEX(FILTER(F$4:F130,C$4:C130&lt;&gt;""""),ROWS(FILTER(C$4:C130,C$4:C130&lt;&gt;""""))),$AC$5*(2^SWITCH(COUNTIF(C$4:C131,""Cursor_up"")"&amp;",0,0,1,1,2,2,3)+SWITCH(COUNTIF(C$4:C131,""Cursor_up""),4,0.1,0)*(ROW(C131)-4-COUNTIF(C$4:C131,""Cursor"")-COUNTIF(C$4:C131,""*""&amp;""_up"")-2*COUNTIF(C$4:C131,""Sell_""&amp;""*"")+COUNTIF(C$4:C131,""Sell_Cursor"")-COUNTIF(C$4:C131,""""))+0.01*E131*COUNTIF(C$4:C"&amp;"131,""Plastic_up""))+E131))"),"")</f>
        <v/>
      </c>
      <c r="G131" s="14" t="str">
        <f>IFERROR(__xludf.DUMMYFUNCTION("IF(COUNTA(C131:C147)=0,"""",IF(REGEXMATCH(C131,""_up""),VLOOKUP(C131,Upgrades!$F$3:$J$8,1+COUNTIF(C$4:C131,C131),FALSE),IF(C131="""",0,IF(REGEXMATCH(C131,""^Sell_""),-ROUNDDOWN(ROUNDUP(INDEX(Upgrades!$C$3:$C$8,MATCH(SUBSTITUTE(C131,""Sell_"",""""),Upgrade"&amp;"s!$B$3:$B$8,0))*1.15^(COUNTIF(C$4:C130,SUBSTITUTE(C131,""Sell_"",""""))-COUNTIF(C$4:C130,""Sell_""&amp;SUBSTITUTE(C131,""Sell_"",""""))))/4),ROUNDUP(INDEX(Upgrades!$C$3:$C$7,MATCH(C131,Upgrades!$B$3:$B$7,0))*1.15^(COUNTIF(C$4:C130,C131)-COUNTIF(C$4:C130,""Sel"&amp;"l_""&amp;C131)))))))"),"")</f>
        <v/>
      </c>
      <c r="H131" s="14" t="str">
        <f t="shared" si="3"/>
        <v/>
      </c>
      <c r="I131" s="75" t="str">
        <f t="shared" si="4"/>
        <v/>
      </c>
      <c r="J131" s="76" t="str">
        <f t="shared" si="5"/>
        <v/>
      </c>
      <c r="K131" s="71" t="str">
        <f t="shared" si="6"/>
        <v/>
      </c>
      <c r="L131" s="77" t="str">
        <f t="shared" si="7"/>
        <v/>
      </c>
      <c r="M131" s="51" t="str">
        <f t="shared" si="8"/>
        <v/>
      </c>
      <c r="N131" s="52" t="str">
        <f>IFERROR(__xludf.DUMMYFUNCTION("IFS(AND(COUNTA(C131:C147)=0,COUNTA(P131:P147)=0),"""",OR(AND(L131&gt;=1000000,OR(Y131&gt;=1000000,COUNTA(P131:P147)=0)),AND(Y131&gt;=1000000,COUNTA(C131:C147)=0),AND(COUNTA(P131:P147)=0,O$3=TRUE)),
ROUNDDOWN((AB$1-AC$1)*MAX(INDEX(S$4:S147,MATCH(LARGE(FILTER(Y$4:Y1"&amp;"47,Y$4:Y147&lt;1000000),1),Y$4:Y147)),INDEX(F$4:F147,MATCH(LARGE(FILTER(L$4:L147,L$4:L147&lt;1000000),1),L$4:L147)))),AND(L131&lt;1000000,COUNTA(C131:C147)&gt;0,O$3=FALSE),
ROUNDDOWN(INDEX(Y$4:Y147,MATCH(LARGE(FILTER(W$4:W147,W$4:W147&lt;=J131),1),W$4:W147))+(J131-LARGE"&amp;"(FILTER(W$4:W147,W$4:W147&lt;=J131),1))*INDEX(S$4:S147,MATCH(LARGE(FILTER(W$4:W147,W$4:W147&lt;=J131),1),W$4:W147))-L131),1,
ROUNDDOWN(Y131-INDEX(L$4:L147,MATCH(LARGE(FILTER(J$4:J147,J$4:J147&lt;=W131),1),J$4:J147))-(W131-LARGE(FILTER(J$4:J147,J$4:J147&lt;=W131),1))*"&amp;"INDEX(F$4:F147,MATCH(LARGE(FILTER(J$4:J147,J$4:J147&lt;=W131),1),J$4:J147))))"),"")</f>
        <v/>
      </c>
      <c r="O131" s="65" t="str">
        <f t="shared" si="9"/>
        <v/>
      </c>
      <c r="P131" s="15"/>
      <c r="Q131" s="14" t="str">
        <f>IFERROR(__xludf.DUMMYFUNCTION("IF(COUNTA(P131:P147)=0,"""",IFERROR(IF(ISBLANK(P131),FALSE,IF(ISBLANK(T131),1,IF(NOT(COUNTIF($AA$24:$AA$34,SUBSTITUTE(P131,""Sell_"",""""))),1,IF(P131=""Plastic_up"",IF(V131&lt;1000,1),IF(P131=""Super_Up"",IF(OR(COUNTIF(P$4:P131,""Grandma"")-COUNTIF(P$4:P131"&amp;",""Sell_Grandma"")&lt;1,COUNTIF(P$4:P131,VLOOKUP(P131,Upgrades!$F$8:$N$8,7+COUNTIF(P$4:P131,P131)))-COUNTIF(P$4:P131,""Sell_""&amp;VLOOKUP(P131,Upgrades!$F$8:$N$8,7+COUNTIF(P$4:P131,P131)))&lt;15),1),IF(REGEXMATCH(P131,""_up""),IF(COUNTIF(P$4:P131,SUBSTITUTE(P131,"&amp;"""_up"",""""))&lt;IFERROR(VLOOKUP(P131,Upgrades!$L$3:$P$6,1+COUNTIF(P$4:P131,P131),0),999),1),IF(REGEXMATCH(P131,""Sell_""),IF(COUNTIF(P$4:P131,SUBSTITUTE(P131,""Sell_"",""""))-COUNTIF(P$4:P130,P131)&lt;1,1),FALSE)))))))))"),"")</f>
        <v/>
      </c>
      <c r="R131" s="71" t="str">
        <f>IFERROR(__xludf.DUMMYFUNCTION("IF(REGEXMATCH(P131,""^Sell_""),R130, IF(COUNTA(P131:P147)=0,"""",(COUNTIF(P$4:P131,""Cursor"")-COUNTIF(P$4:P131,""Sell_Cursor""))*(0.1*2^SWITCH(COUNTIF(P$4:P131,""Cursor_up""),0,0,1,1,2,2,3)+SWITCH(COUNTIF(P$4:P131,""Cursor_up""),4,0.1,0)*(ROW(P131)-4-COU"&amp;"NTIF(P$4:P131,""Cursor"")-COUNTIF(P$4:P131,""*""&amp;""_up"")-2*COUNTIF(P$4:P131,""Sell_""&amp;""*"")+COUNTIF(P$4:P131,""Sell_Cursor"")-COUNTIF(P$4:P131,"""")))+(COUNTIF(P$4:P131,""Grandma"")-COUNTIF(P$4:P131,""Sell_Grandma""))*(1*2^(COUNTIF(P$4:P131,""Grandma_up"&amp;""")+COUNTIF(P$4:P131,""Super_up"")))+(COUNTIF(P$4:P131,""Farm"")-COUNTIF(P$4:P131,""Sell_Farm""))*(8*2^COUNTIF(P$4:P131,""Farm_up""))*IF(COUNTIF(P$4:P131,""Super_up"")&gt;0,1+0.01*(COUNTIF(P$4:P131,""Grandma"")-COUNTIF(P$4:P131,""Sell_Grandma"")),1)+(COUNTIF"&amp;"(P$4:P131,""Mine"")-COUNTIF(P$4:P131,""Sell_Mine""))*((47*2^COUNTIF(P$4:P131,""Mine_up""))*IF(COUNTIF(P$4:P131,""Super_up"")&gt;1,1+0.005*(COUNTIF(P$4:P131,""Grandma"")-COUNTIF(P$4:P131,""Sell_Grandma"")),1))+(COUNTIF(P$4:P131,""Factory"")-COUNTIF(P$4:P131,"&amp;"""Sell_Factory""))*(260*2^COUNTIF(P$4:P131,""Factory_up""))))"),"")</f>
        <v/>
      </c>
      <c r="S131" s="73" t="str">
        <f>IFERROR(__xludf.DUMMYFUNCTION("IF(COUNTA(P131:P147)=0,"""",IF(REGEXMATCH(INDEX(FILTER(P$4:P131,P$4:P131&lt;&gt;""""),ROWS(FILTER(P$4:P131,P$4:P131&lt;&gt;""""))),""^Sell_""),INDEX(FILTER(S$4:S130,P$4:P130&lt;&gt;""""),ROWS(FILTER(P$4:P130,P$4:P130&lt;&gt;""""))),$AD$5*(2^SWITCH(COUNTIF(P$4:P131,""Cursor_up"")"&amp;",0,0,1,1,2,2,3)+SWITCH(COUNTIF(P$4:P131,""Cursor_up""),4,0.1,0)*(ROW(P131)-4-COUNTIF(P$4:P131,""Cursor"")-COUNTIF(P$4:P131,""*""&amp;""_up"")-2*COUNTIF(P$4:P131,""Sell_""&amp;""*"")+COUNTIF(P$4:P131,""Sell_Cursor"")-COUNTIF(P$4:P131,""""))+0.01*R131*COUNTIF(P$4:P"&amp;"131,""Plastic_up""))+R131))"),"")</f>
        <v/>
      </c>
      <c r="T131" s="14" t="str">
        <f>IFERROR(__xludf.DUMMYFUNCTION("IF(COUNTA(P131:P147)=0,"""",IF(REGEXMATCH(P131,""_up""),VLOOKUP(P131,Upgrades!$F$3:$J$8,1+COUNTIF(P$4:P131,P131),FALSE),IF(P131="""",0,IF(REGEXMATCH(P131,""^Sell_""),-ROUNDDOWN(ROUNDUP(INDEX(Upgrades!$C$3:$C$8,MATCH(SUBSTITUTE(P131,""Sell_"",""""),Upgrade"&amp;"s!$B$3:$B$8,0))*1.15^(COUNTIF(P$4:P130,SUBSTITUTE(P131,""Sell_"",""""))-COUNTIF(P$4:P130,""Sell_""&amp;SUBSTITUTE(P131,""Sell_"",""""))))/4),ROUNDUP(INDEX(Upgrades!$C$3:$C$7,MATCH(P131,Upgrades!$B$3:$B$7,0))*1.15^(COUNTIF(P$4:P130,P131)-COUNTIF(P$4:P130,""Sel"&amp;"l_""&amp;P131)))))))"),"")</f>
        <v/>
      </c>
      <c r="U131" s="14" t="str">
        <f t="shared" si="10"/>
        <v/>
      </c>
      <c r="V131" s="75" t="str">
        <f t="shared" si="11"/>
        <v/>
      </c>
      <c r="W131" s="76" t="str">
        <f t="shared" si="12"/>
        <v/>
      </c>
      <c r="X131" s="71" t="str">
        <f t="shared" si="13"/>
        <v/>
      </c>
      <c r="Y131" s="77" t="str">
        <f t="shared" si="14"/>
        <v/>
      </c>
      <c r="Z131" s="17"/>
      <c r="AA131" s="13"/>
      <c r="AB131" s="13"/>
      <c r="AC131" s="13"/>
      <c r="AD131" s="13"/>
      <c r="AE131" s="13"/>
      <c r="AF131" s="13"/>
      <c r="AG131" s="13"/>
    </row>
    <row r="132">
      <c r="A132" s="12"/>
      <c r="B132" s="65" t="str">
        <f t="shared" si="2"/>
        <v/>
      </c>
      <c r="C132" s="66"/>
      <c r="D132" s="14" t="str">
        <f>IFERROR(__xludf.DUMMYFUNCTION("IF(COUNTA(C132:C147)=0,"""",IFERROR(IF(ISBLANK(C132),FALSE,IF(ISBLANK(G132),1,IF(NOT(COUNTIF($AA$24:$AA$34,SUBSTITUTE(C132,""Sell_"",""""))),1,IF(C132=""Plastic_up"",IF(I132&lt;1000,1),IF(C132=""Super_Up"",IF(OR(COUNTIF(C$4:C132,""Grandma"")-COUNTIF(C$4:C132"&amp;",""Sell_Grandma"")&lt;1,COUNTIF(C$4:C132,VLOOKUP(C132,Upgrades!$F$8:$N$8,7+COUNTIF(C$4:C132,C132)))-COUNTIF(C$4:C132,""Sell_""&amp;VLOOKUP(C132,Upgrades!$F$8:$N$8,7+COUNTIF(C$4:C132,C132)))&lt;15),1),IF(REGEXMATCH(C132,""_up""),IF(COUNTIF(C$4:C132,SUBSTITUTE(C132,"&amp;"""_up"",""""))&lt;IFERROR(VLOOKUP(C132,Upgrades!$L$3:$P$6,1+COUNTIF(C$4:C132,C132),0),999),1),IF(REGEXMATCH(C132,""Sell_""),IF(COUNTIF(C$4:C132,SUBSTITUTE(C132,""Sell_"",""""))-COUNTIF(C$4:C131,C132)&lt;1,1),FALSE)))))))))"),"")</f>
        <v/>
      </c>
      <c r="E132" s="71" t="str">
        <f>IFERROR(__xludf.DUMMYFUNCTION("IF(REGEXMATCH(C132,""^Sell_""),E131, IF(COUNTA(C132:C147)=0,"""",(COUNTIF(C$4:C132,""Cursor"")-COUNTIF(C$4:C132,""Sell_Cursor""))*(0.1*2^SWITCH(COUNTIF(C$4:C132,""Cursor_up""),0,0,1,1,2,2,3)+SWITCH(COUNTIF(C$4:C132,""Cursor_up""),4,0.1,0)*(ROW(C132)-4-COU"&amp;"NTIF(C$4:C132,""Cursor"")-COUNTIF(C$4:C132,""*""&amp;""_up"")-2*COUNTIF(C$4:C132,""Sell_""&amp;""*"")+COUNTIF(C$4:C132,""Sell_Cursor"")-COUNTIF(C$4:C132,"""")))+(COUNTIF(C$4:C132,""Grandma"")-COUNTIF(C$4:C132,""Sell_Grandma""))*(1*2^(COUNTIF(C$4:C132,""Grandma_up"&amp;""")+COUNTIF(C$4:C132,""Super_up"")))+(COUNTIF(C$4:C132,""Farm"")-COUNTIF(C$4:C132,""Sell_Farm""))*(8*2^COUNTIF(C$4:C132,""Farm_up""))*IF(COUNTIF(C$4:C132,""Super_up"")&gt;0,1+0.01*(COUNTIF(C$4:C132,""Grandma"")-COUNTIF(C$4:C132,""Sell_Grandma"")),1)+(COUNTIF"&amp;"(C$4:C132,""Mine"")-COUNTIF(C$4:C132,""Sell_Mine""))*((47*2^COUNTIF(C$4:C132,""Mine_up""))*IF(COUNTIF(C$4:C132,""Super_up"")&gt;1,1+0.005*(COUNTIF(C$4:C132,""Grandma"")-COUNTIF(C$4:C132,""Sell_Grandma"")),1))+(COUNTIF(C$4:C132,""Factory"")-COUNTIF(C$4:C132,"&amp;"""Sell_Factory""))*(260*2^COUNTIF(C$4:C132,""Factory_up""))))"),"")</f>
        <v/>
      </c>
      <c r="F132" s="73" t="str">
        <f>IFERROR(__xludf.DUMMYFUNCTION("IF(COUNTA(C132:C147)=0,"""",IF(REGEXMATCH(INDEX(FILTER(C$4:C132,C$4:C132&lt;&gt;""""),ROWS(FILTER(C$4:C132,C$4:C132&lt;&gt;""""))),""^Sell_""),INDEX(FILTER(F$4:F131,C$4:C131&lt;&gt;""""),ROWS(FILTER(C$4:C131,C$4:C131&lt;&gt;""""))),$AC$5*(2^SWITCH(COUNTIF(C$4:C132,""Cursor_up"")"&amp;",0,0,1,1,2,2,3)+SWITCH(COUNTIF(C$4:C132,""Cursor_up""),4,0.1,0)*(ROW(C132)-4-COUNTIF(C$4:C132,""Cursor"")-COUNTIF(C$4:C132,""*""&amp;""_up"")-2*COUNTIF(C$4:C132,""Sell_""&amp;""*"")+COUNTIF(C$4:C132,""Sell_Cursor"")-COUNTIF(C$4:C132,""""))+0.01*E132*COUNTIF(C$4:C"&amp;"132,""Plastic_up""))+E132))"),"")</f>
        <v/>
      </c>
      <c r="G132" s="14" t="str">
        <f>IFERROR(__xludf.DUMMYFUNCTION("IF(COUNTA(C132:C147)=0,"""",IF(REGEXMATCH(C132,""_up""),VLOOKUP(C132,Upgrades!$F$3:$J$8,1+COUNTIF(C$4:C132,C132),FALSE),IF(C132="""",0,IF(REGEXMATCH(C132,""^Sell_""),-ROUNDDOWN(ROUNDUP(INDEX(Upgrades!$C$3:$C$8,MATCH(SUBSTITUTE(C132,""Sell_"",""""),Upgrade"&amp;"s!$B$3:$B$8,0))*1.15^(COUNTIF(C$4:C131,SUBSTITUTE(C132,""Sell_"",""""))-COUNTIF(C$4:C131,""Sell_""&amp;SUBSTITUTE(C132,""Sell_"",""""))))/4),ROUNDUP(INDEX(Upgrades!$C$3:$C$7,MATCH(C132,Upgrades!$B$3:$B$7,0))*1.15^(COUNTIF(C$4:C131,C132)-COUNTIF(C$4:C131,""Sel"&amp;"l_""&amp;C132)))))))"),"")</f>
        <v/>
      </c>
      <c r="H132" s="14" t="str">
        <f t="shared" si="3"/>
        <v/>
      </c>
      <c r="I132" s="75" t="str">
        <f t="shared" si="4"/>
        <v/>
      </c>
      <c r="J132" s="76" t="str">
        <f t="shared" si="5"/>
        <v/>
      </c>
      <c r="K132" s="71" t="str">
        <f t="shared" si="6"/>
        <v/>
      </c>
      <c r="L132" s="77" t="str">
        <f t="shared" si="7"/>
        <v/>
      </c>
      <c r="M132" s="51" t="str">
        <f t="shared" si="8"/>
        <v/>
      </c>
      <c r="N132" s="52" t="str">
        <f>IFERROR(__xludf.DUMMYFUNCTION("IFS(AND(COUNTA(C132:C147)=0,COUNTA(P132:P147)=0),"""",OR(AND(L132&gt;=1000000,OR(Y132&gt;=1000000,COUNTA(P132:P147)=0)),AND(Y132&gt;=1000000,COUNTA(C132:C147)=0),AND(COUNTA(P132:P147)=0,O$3=TRUE)),
ROUNDDOWN((AB$1-AC$1)*MAX(INDEX(S$4:S147,MATCH(LARGE(FILTER(Y$4:Y1"&amp;"47,Y$4:Y147&lt;1000000),1),Y$4:Y147)),INDEX(F$4:F147,MATCH(LARGE(FILTER(L$4:L147,L$4:L147&lt;1000000),1),L$4:L147)))),AND(L132&lt;1000000,COUNTA(C132:C147)&gt;0,O$3=FALSE),
ROUNDDOWN(INDEX(Y$4:Y147,MATCH(LARGE(FILTER(W$4:W147,W$4:W147&lt;=J132),1),W$4:W147))+(J132-LARGE"&amp;"(FILTER(W$4:W147,W$4:W147&lt;=J132),1))*INDEX(S$4:S147,MATCH(LARGE(FILTER(W$4:W147,W$4:W147&lt;=J132),1),W$4:W147))-L132),1,
ROUNDDOWN(Y132-INDEX(L$4:L147,MATCH(LARGE(FILTER(J$4:J147,J$4:J147&lt;=W132),1),J$4:J147))-(W132-LARGE(FILTER(J$4:J147,J$4:J147&lt;=W132),1))*"&amp;"INDEX(F$4:F147,MATCH(LARGE(FILTER(J$4:J147,J$4:J147&lt;=W132),1),J$4:J147))))"),"")</f>
        <v/>
      </c>
      <c r="O132" s="65" t="str">
        <f t="shared" si="9"/>
        <v/>
      </c>
      <c r="P132" s="15"/>
      <c r="Q132" s="14" t="str">
        <f>IFERROR(__xludf.DUMMYFUNCTION("IF(COUNTA(P132:P147)=0,"""",IFERROR(IF(ISBLANK(P132),FALSE,IF(ISBLANK(T132),1,IF(NOT(COUNTIF($AA$24:$AA$34,SUBSTITUTE(P132,""Sell_"",""""))),1,IF(P132=""Plastic_up"",IF(V132&lt;1000,1),IF(P132=""Super_Up"",IF(OR(COUNTIF(P$4:P132,""Grandma"")-COUNTIF(P$4:P132"&amp;",""Sell_Grandma"")&lt;1,COUNTIF(P$4:P132,VLOOKUP(P132,Upgrades!$F$8:$N$8,7+COUNTIF(P$4:P132,P132)))-COUNTIF(P$4:P132,""Sell_""&amp;VLOOKUP(P132,Upgrades!$F$8:$N$8,7+COUNTIF(P$4:P132,P132)))&lt;15),1),IF(REGEXMATCH(P132,""_up""),IF(COUNTIF(P$4:P132,SUBSTITUTE(P132,"&amp;"""_up"",""""))&lt;IFERROR(VLOOKUP(P132,Upgrades!$L$3:$P$6,1+COUNTIF(P$4:P132,P132),0),999),1),IF(REGEXMATCH(P132,""Sell_""),IF(COUNTIF(P$4:P132,SUBSTITUTE(P132,""Sell_"",""""))-COUNTIF(P$4:P131,P132)&lt;1,1),FALSE)))))))))"),"")</f>
        <v/>
      </c>
      <c r="R132" s="71" t="str">
        <f>IFERROR(__xludf.DUMMYFUNCTION("IF(REGEXMATCH(P132,""^Sell_""),R131, IF(COUNTA(P132:P147)=0,"""",(COUNTIF(P$4:P132,""Cursor"")-COUNTIF(P$4:P132,""Sell_Cursor""))*(0.1*2^SWITCH(COUNTIF(P$4:P132,""Cursor_up""),0,0,1,1,2,2,3)+SWITCH(COUNTIF(P$4:P132,""Cursor_up""),4,0.1,0)*(ROW(P132)-4-COU"&amp;"NTIF(P$4:P132,""Cursor"")-COUNTIF(P$4:P132,""*""&amp;""_up"")-2*COUNTIF(P$4:P132,""Sell_""&amp;""*"")+COUNTIF(P$4:P132,""Sell_Cursor"")-COUNTIF(P$4:P132,"""")))+(COUNTIF(P$4:P132,""Grandma"")-COUNTIF(P$4:P132,""Sell_Grandma""))*(1*2^(COUNTIF(P$4:P132,""Grandma_up"&amp;""")+COUNTIF(P$4:P132,""Super_up"")))+(COUNTIF(P$4:P132,""Farm"")-COUNTIF(P$4:P132,""Sell_Farm""))*(8*2^COUNTIF(P$4:P132,""Farm_up""))*IF(COUNTIF(P$4:P132,""Super_up"")&gt;0,1+0.01*(COUNTIF(P$4:P132,""Grandma"")-COUNTIF(P$4:P132,""Sell_Grandma"")),1)+(COUNTIF"&amp;"(P$4:P132,""Mine"")-COUNTIF(P$4:P132,""Sell_Mine""))*((47*2^COUNTIF(P$4:P132,""Mine_up""))*IF(COUNTIF(P$4:P132,""Super_up"")&gt;1,1+0.005*(COUNTIF(P$4:P132,""Grandma"")-COUNTIF(P$4:P132,""Sell_Grandma"")),1))+(COUNTIF(P$4:P132,""Factory"")-COUNTIF(P$4:P132,"&amp;"""Sell_Factory""))*(260*2^COUNTIF(P$4:P132,""Factory_up""))))"),"")</f>
        <v/>
      </c>
      <c r="S132" s="73" t="str">
        <f>IFERROR(__xludf.DUMMYFUNCTION("IF(COUNTA(P132:P147)=0,"""",IF(REGEXMATCH(INDEX(FILTER(P$4:P132,P$4:P132&lt;&gt;""""),ROWS(FILTER(P$4:P132,P$4:P132&lt;&gt;""""))),""^Sell_""),INDEX(FILTER(S$4:S131,P$4:P131&lt;&gt;""""),ROWS(FILTER(P$4:P131,P$4:P131&lt;&gt;""""))),$AD$5*(2^SWITCH(COUNTIF(P$4:P132,""Cursor_up"")"&amp;",0,0,1,1,2,2,3)+SWITCH(COUNTIF(P$4:P132,""Cursor_up""),4,0.1,0)*(ROW(P132)-4-COUNTIF(P$4:P132,""Cursor"")-COUNTIF(P$4:P132,""*""&amp;""_up"")-2*COUNTIF(P$4:P132,""Sell_""&amp;""*"")+COUNTIF(P$4:P132,""Sell_Cursor"")-COUNTIF(P$4:P132,""""))+0.01*R132*COUNTIF(P$4:P"&amp;"132,""Plastic_up""))+R132))"),"")</f>
        <v/>
      </c>
      <c r="T132" s="14" t="str">
        <f>IFERROR(__xludf.DUMMYFUNCTION("IF(COUNTA(P132:P147)=0,"""",IF(REGEXMATCH(P132,""_up""),VLOOKUP(P132,Upgrades!$F$3:$J$8,1+COUNTIF(P$4:P132,P132),FALSE),IF(P132="""",0,IF(REGEXMATCH(P132,""^Sell_""),-ROUNDDOWN(ROUNDUP(INDEX(Upgrades!$C$3:$C$8,MATCH(SUBSTITUTE(P132,""Sell_"",""""),Upgrade"&amp;"s!$B$3:$B$8,0))*1.15^(COUNTIF(P$4:P131,SUBSTITUTE(P132,""Sell_"",""""))-COUNTIF(P$4:P131,""Sell_""&amp;SUBSTITUTE(P132,""Sell_"",""""))))/4),ROUNDUP(INDEX(Upgrades!$C$3:$C$7,MATCH(P132,Upgrades!$B$3:$B$7,0))*1.15^(COUNTIF(P$4:P131,P132)-COUNTIF(P$4:P131,""Sel"&amp;"l_""&amp;P132)))))))"),"")</f>
        <v/>
      </c>
      <c r="U132" s="14" t="str">
        <f t="shared" si="10"/>
        <v/>
      </c>
      <c r="V132" s="75" t="str">
        <f t="shared" si="11"/>
        <v/>
      </c>
      <c r="W132" s="76" t="str">
        <f t="shared" si="12"/>
        <v/>
      </c>
      <c r="X132" s="71" t="str">
        <f t="shared" si="13"/>
        <v/>
      </c>
      <c r="Y132" s="77" t="str">
        <f t="shared" si="14"/>
        <v/>
      </c>
      <c r="Z132" s="17"/>
      <c r="AA132" s="13"/>
      <c r="AB132" s="13"/>
      <c r="AC132" s="13"/>
      <c r="AD132" s="13"/>
      <c r="AE132" s="13"/>
      <c r="AF132" s="13"/>
      <c r="AG132" s="13"/>
    </row>
    <row r="133">
      <c r="A133" s="12"/>
      <c r="B133" s="65" t="str">
        <f t="shared" si="2"/>
        <v/>
      </c>
      <c r="C133" s="66"/>
      <c r="D133" s="14" t="str">
        <f>IFERROR(__xludf.DUMMYFUNCTION("IF(COUNTA(C133:C147)=0,"""",IFERROR(IF(ISBLANK(C133),FALSE,IF(ISBLANK(G133),1,IF(NOT(COUNTIF($AA$24:$AA$34,SUBSTITUTE(C133,""Sell_"",""""))),1,IF(C133=""Plastic_up"",IF(I133&lt;1000,1),IF(C133=""Super_Up"",IF(OR(COUNTIF(C$4:C133,""Grandma"")-COUNTIF(C$4:C133"&amp;",""Sell_Grandma"")&lt;1,COUNTIF(C$4:C133,VLOOKUP(C133,Upgrades!$F$8:$N$8,7+COUNTIF(C$4:C133,C133)))-COUNTIF(C$4:C133,""Sell_""&amp;VLOOKUP(C133,Upgrades!$F$8:$N$8,7+COUNTIF(C$4:C133,C133)))&lt;15),1),IF(REGEXMATCH(C133,""_up""),IF(COUNTIF(C$4:C133,SUBSTITUTE(C133,"&amp;"""_up"",""""))&lt;IFERROR(VLOOKUP(C133,Upgrades!$L$3:$P$6,1+COUNTIF(C$4:C133,C133),0),999),1),IF(REGEXMATCH(C133,""Sell_""),IF(COUNTIF(C$4:C133,SUBSTITUTE(C133,""Sell_"",""""))-COUNTIF(C$4:C132,C133)&lt;1,1),FALSE)))))))))"),"")</f>
        <v/>
      </c>
      <c r="E133" s="71" t="str">
        <f>IFERROR(__xludf.DUMMYFUNCTION("IF(REGEXMATCH(C133,""^Sell_""),E132, IF(COUNTA(C133:C147)=0,"""",(COUNTIF(C$4:C133,""Cursor"")-COUNTIF(C$4:C133,""Sell_Cursor""))*(0.1*2^SWITCH(COUNTIF(C$4:C133,""Cursor_up""),0,0,1,1,2,2,3)+SWITCH(COUNTIF(C$4:C133,""Cursor_up""),4,0.1,0)*(ROW(C133)-4-COU"&amp;"NTIF(C$4:C133,""Cursor"")-COUNTIF(C$4:C133,""*""&amp;""_up"")-2*COUNTIF(C$4:C133,""Sell_""&amp;""*"")+COUNTIF(C$4:C133,""Sell_Cursor"")-COUNTIF(C$4:C133,"""")))+(COUNTIF(C$4:C133,""Grandma"")-COUNTIF(C$4:C133,""Sell_Grandma""))*(1*2^(COUNTIF(C$4:C133,""Grandma_up"&amp;""")+COUNTIF(C$4:C133,""Super_up"")))+(COUNTIF(C$4:C133,""Farm"")-COUNTIF(C$4:C133,""Sell_Farm""))*(8*2^COUNTIF(C$4:C133,""Farm_up""))*IF(COUNTIF(C$4:C133,""Super_up"")&gt;0,1+0.01*(COUNTIF(C$4:C133,""Grandma"")-COUNTIF(C$4:C133,""Sell_Grandma"")),1)+(COUNTIF"&amp;"(C$4:C133,""Mine"")-COUNTIF(C$4:C133,""Sell_Mine""))*((47*2^COUNTIF(C$4:C133,""Mine_up""))*IF(COUNTIF(C$4:C133,""Super_up"")&gt;1,1+0.005*(COUNTIF(C$4:C133,""Grandma"")-COUNTIF(C$4:C133,""Sell_Grandma"")),1))+(COUNTIF(C$4:C133,""Factory"")-COUNTIF(C$4:C133,"&amp;"""Sell_Factory""))*(260*2^COUNTIF(C$4:C133,""Factory_up""))))"),"")</f>
        <v/>
      </c>
      <c r="F133" s="73" t="str">
        <f>IFERROR(__xludf.DUMMYFUNCTION("IF(COUNTA(C133:C147)=0,"""",IF(REGEXMATCH(INDEX(FILTER(C$4:C133,C$4:C133&lt;&gt;""""),ROWS(FILTER(C$4:C133,C$4:C133&lt;&gt;""""))),""^Sell_""),INDEX(FILTER(F$4:F132,C$4:C132&lt;&gt;""""),ROWS(FILTER(C$4:C132,C$4:C132&lt;&gt;""""))),$AC$5*(2^SWITCH(COUNTIF(C$4:C133,""Cursor_up"")"&amp;",0,0,1,1,2,2,3)+SWITCH(COUNTIF(C$4:C133,""Cursor_up""),4,0.1,0)*(ROW(C133)-4-COUNTIF(C$4:C133,""Cursor"")-COUNTIF(C$4:C133,""*""&amp;""_up"")-2*COUNTIF(C$4:C133,""Sell_""&amp;""*"")+COUNTIF(C$4:C133,""Sell_Cursor"")-COUNTIF(C$4:C133,""""))+0.01*E133*COUNTIF(C$4:C"&amp;"133,""Plastic_up""))+E133))"),"")</f>
        <v/>
      </c>
      <c r="G133" s="14" t="str">
        <f>IFERROR(__xludf.DUMMYFUNCTION("IF(COUNTA(C133:C147)=0,"""",IF(REGEXMATCH(C133,""_up""),VLOOKUP(C133,Upgrades!$F$3:$J$8,1+COUNTIF(C$4:C133,C133),FALSE),IF(C133="""",0,IF(REGEXMATCH(C133,""^Sell_""),-ROUNDDOWN(ROUNDUP(INDEX(Upgrades!$C$3:$C$8,MATCH(SUBSTITUTE(C133,""Sell_"",""""),Upgrade"&amp;"s!$B$3:$B$8,0))*1.15^(COUNTIF(C$4:C132,SUBSTITUTE(C133,""Sell_"",""""))-COUNTIF(C$4:C132,""Sell_""&amp;SUBSTITUTE(C133,""Sell_"",""""))))/4),ROUNDUP(INDEX(Upgrades!$C$3:$C$7,MATCH(C133,Upgrades!$B$3:$B$7,0))*1.15^(COUNTIF(C$4:C132,C133)-COUNTIF(C$4:C132,""Sel"&amp;"l_""&amp;C133)))))))"),"")</f>
        <v/>
      </c>
      <c r="H133" s="14" t="str">
        <f t="shared" si="3"/>
        <v/>
      </c>
      <c r="I133" s="75" t="str">
        <f t="shared" si="4"/>
        <v/>
      </c>
      <c r="J133" s="76" t="str">
        <f t="shared" si="5"/>
        <v/>
      </c>
      <c r="K133" s="71" t="str">
        <f t="shared" si="6"/>
        <v/>
      </c>
      <c r="L133" s="77" t="str">
        <f t="shared" si="7"/>
        <v/>
      </c>
      <c r="M133" s="51" t="str">
        <f t="shared" si="8"/>
        <v/>
      </c>
      <c r="N133" s="52" t="str">
        <f>IFERROR(__xludf.DUMMYFUNCTION("IFS(AND(COUNTA(C133:C147)=0,COUNTA(P133:P147)=0),"""",OR(AND(L133&gt;=1000000,OR(Y133&gt;=1000000,COUNTA(P133:P147)=0)),AND(Y133&gt;=1000000,COUNTA(C133:C147)=0),AND(COUNTA(P133:P147)=0,O$3=TRUE)),
ROUNDDOWN((AB$1-AC$1)*MAX(INDEX(S$4:S147,MATCH(LARGE(FILTER(Y$4:Y1"&amp;"47,Y$4:Y147&lt;1000000),1),Y$4:Y147)),INDEX(F$4:F147,MATCH(LARGE(FILTER(L$4:L147,L$4:L147&lt;1000000),1),L$4:L147)))),AND(L133&lt;1000000,COUNTA(C133:C147)&gt;0,O$3=FALSE),
ROUNDDOWN(INDEX(Y$4:Y147,MATCH(LARGE(FILTER(W$4:W147,W$4:W147&lt;=J133),1),W$4:W147))+(J133-LARGE"&amp;"(FILTER(W$4:W147,W$4:W147&lt;=J133),1))*INDEX(S$4:S147,MATCH(LARGE(FILTER(W$4:W147,W$4:W147&lt;=J133),1),W$4:W147))-L133),1,
ROUNDDOWN(Y133-INDEX(L$4:L147,MATCH(LARGE(FILTER(J$4:J147,J$4:J147&lt;=W133),1),J$4:J147))-(W133-LARGE(FILTER(J$4:J147,J$4:J147&lt;=W133),1))*"&amp;"INDEX(F$4:F147,MATCH(LARGE(FILTER(J$4:J147,J$4:J147&lt;=W133),1),J$4:J147))))"),"")</f>
        <v/>
      </c>
      <c r="O133" s="65" t="str">
        <f t="shared" si="9"/>
        <v/>
      </c>
      <c r="P133" s="15"/>
      <c r="Q133" s="14" t="str">
        <f>IFERROR(__xludf.DUMMYFUNCTION("IF(COUNTA(P133:P147)=0,"""",IFERROR(IF(ISBLANK(P133),FALSE,IF(ISBLANK(T133),1,IF(NOT(COUNTIF($AA$24:$AA$34,SUBSTITUTE(P133,""Sell_"",""""))),1,IF(P133=""Plastic_up"",IF(V133&lt;1000,1),IF(P133=""Super_Up"",IF(OR(COUNTIF(P$4:P133,""Grandma"")-COUNTIF(P$4:P133"&amp;",""Sell_Grandma"")&lt;1,COUNTIF(P$4:P133,VLOOKUP(P133,Upgrades!$F$8:$N$8,7+COUNTIF(P$4:P133,P133)))-COUNTIF(P$4:P133,""Sell_""&amp;VLOOKUP(P133,Upgrades!$F$8:$N$8,7+COUNTIF(P$4:P133,P133)))&lt;15),1),IF(REGEXMATCH(P133,""_up""),IF(COUNTIF(P$4:P133,SUBSTITUTE(P133,"&amp;"""_up"",""""))&lt;IFERROR(VLOOKUP(P133,Upgrades!$L$3:$P$6,1+COUNTIF(P$4:P133,P133),0),999),1),IF(REGEXMATCH(P133,""Sell_""),IF(COUNTIF(P$4:P133,SUBSTITUTE(P133,""Sell_"",""""))-COUNTIF(P$4:P132,P133)&lt;1,1),FALSE)))))))))"),"")</f>
        <v/>
      </c>
      <c r="R133" s="71" t="str">
        <f>IFERROR(__xludf.DUMMYFUNCTION("IF(REGEXMATCH(P133,""^Sell_""),R132, IF(COUNTA(P133:P147)=0,"""",(COUNTIF(P$4:P133,""Cursor"")-COUNTIF(P$4:P133,""Sell_Cursor""))*(0.1*2^SWITCH(COUNTIF(P$4:P133,""Cursor_up""),0,0,1,1,2,2,3)+SWITCH(COUNTIF(P$4:P133,""Cursor_up""),4,0.1,0)*(ROW(P133)-4-COU"&amp;"NTIF(P$4:P133,""Cursor"")-COUNTIF(P$4:P133,""*""&amp;""_up"")-2*COUNTIF(P$4:P133,""Sell_""&amp;""*"")+COUNTIF(P$4:P133,""Sell_Cursor"")-COUNTIF(P$4:P133,"""")))+(COUNTIF(P$4:P133,""Grandma"")-COUNTIF(P$4:P133,""Sell_Grandma""))*(1*2^(COUNTIF(P$4:P133,""Grandma_up"&amp;""")+COUNTIF(P$4:P133,""Super_up"")))+(COUNTIF(P$4:P133,""Farm"")-COUNTIF(P$4:P133,""Sell_Farm""))*(8*2^COUNTIF(P$4:P133,""Farm_up""))*IF(COUNTIF(P$4:P133,""Super_up"")&gt;0,1+0.01*(COUNTIF(P$4:P133,""Grandma"")-COUNTIF(P$4:P133,""Sell_Grandma"")),1)+(COUNTIF"&amp;"(P$4:P133,""Mine"")-COUNTIF(P$4:P133,""Sell_Mine""))*((47*2^COUNTIF(P$4:P133,""Mine_up""))*IF(COUNTIF(P$4:P133,""Super_up"")&gt;1,1+0.005*(COUNTIF(P$4:P133,""Grandma"")-COUNTIF(P$4:P133,""Sell_Grandma"")),1))+(COUNTIF(P$4:P133,""Factory"")-COUNTIF(P$4:P133,"&amp;"""Sell_Factory""))*(260*2^COUNTIF(P$4:P133,""Factory_up""))))"),"")</f>
        <v/>
      </c>
      <c r="S133" s="73" t="str">
        <f>IFERROR(__xludf.DUMMYFUNCTION("IF(COUNTA(P133:P147)=0,"""",IF(REGEXMATCH(INDEX(FILTER(P$4:P133,P$4:P133&lt;&gt;""""),ROWS(FILTER(P$4:P133,P$4:P133&lt;&gt;""""))),""^Sell_""),INDEX(FILTER(S$4:S132,P$4:P132&lt;&gt;""""),ROWS(FILTER(P$4:P132,P$4:P132&lt;&gt;""""))),$AD$5*(2^SWITCH(COUNTIF(P$4:P133,""Cursor_up"")"&amp;",0,0,1,1,2,2,3)+SWITCH(COUNTIF(P$4:P133,""Cursor_up""),4,0.1,0)*(ROW(P133)-4-COUNTIF(P$4:P133,""Cursor"")-COUNTIF(P$4:P133,""*""&amp;""_up"")-2*COUNTIF(P$4:P133,""Sell_""&amp;""*"")+COUNTIF(P$4:P133,""Sell_Cursor"")-COUNTIF(P$4:P133,""""))+0.01*R133*COUNTIF(P$4:P"&amp;"133,""Plastic_up""))+R133))"),"")</f>
        <v/>
      </c>
      <c r="T133" s="14" t="str">
        <f>IFERROR(__xludf.DUMMYFUNCTION("IF(COUNTA(P133:P147)=0,"""",IF(REGEXMATCH(P133,""_up""),VLOOKUP(P133,Upgrades!$F$3:$J$8,1+COUNTIF(P$4:P133,P133),FALSE),IF(P133="""",0,IF(REGEXMATCH(P133,""^Sell_""),-ROUNDDOWN(ROUNDUP(INDEX(Upgrades!$C$3:$C$8,MATCH(SUBSTITUTE(P133,""Sell_"",""""),Upgrade"&amp;"s!$B$3:$B$8,0))*1.15^(COUNTIF(P$4:P132,SUBSTITUTE(P133,""Sell_"",""""))-COUNTIF(P$4:P132,""Sell_""&amp;SUBSTITUTE(P133,""Sell_"",""""))))/4),ROUNDUP(INDEX(Upgrades!$C$3:$C$7,MATCH(P133,Upgrades!$B$3:$B$7,0))*1.15^(COUNTIF(P$4:P132,P133)-COUNTIF(P$4:P132,""Sel"&amp;"l_""&amp;P133)))))))"),"")</f>
        <v/>
      </c>
      <c r="U133" s="14" t="str">
        <f t="shared" si="10"/>
        <v/>
      </c>
      <c r="V133" s="75" t="str">
        <f t="shared" si="11"/>
        <v/>
      </c>
      <c r="W133" s="76" t="str">
        <f t="shared" si="12"/>
        <v/>
      </c>
      <c r="X133" s="71" t="str">
        <f t="shared" si="13"/>
        <v/>
      </c>
      <c r="Y133" s="77" t="str">
        <f t="shared" si="14"/>
        <v/>
      </c>
      <c r="Z133" s="17"/>
      <c r="AA133" s="13"/>
      <c r="AB133" s="13"/>
      <c r="AC133" s="13"/>
      <c r="AD133" s="13"/>
      <c r="AE133" s="13"/>
      <c r="AF133" s="13"/>
      <c r="AG133" s="13"/>
    </row>
    <row r="134">
      <c r="A134" s="12"/>
      <c r="B134" s="65" t="str">
        <f t="shared" si="2"/>
        <v/>
      </c>
      <c r="C134" s="66"/>
      <c r="D134" s="14" t="str">
        <f>IFERROR(__xludf.DUMMYFUNCTION("IF(COUNTA(C134:C147)=0,"""",IFERROR(IF(ISBLANK(C134),FALSE,IF(ISBLANK(G134),1,IF(NOT(COUNTIF($AA$24:$AA$34,SUBSTITUTE(C134,""Sell_"",""""))),1,IF(C134=""Plastic_up"",IF(I134&lt;1000,1),IF(C134=""Super_Up"",IF(OR(COUNTIF(C$4:C134,""Grandma"")-COUNTIF(C$4:C134"&amp;",""Sell_Grandma"")&lt;1,COUNTIF(C$4:C134,VLOOKUP(C134,Upgrades!$F$8:$N$8,7+COUNTIF(C$4:C134,C134)))-COUNTIF(C$4:C134,""Sell_""&amp;VLOOKUP(C134,Upgrades!$F$8:$N$8,7+COUNTIF(C$4:C134,C134)))&lt;15),1),IF(REGEXMATCH(C134,""_up""),IF(COUNTIF(C$4:C134,SUBSTITUTE(C134,"&amp;"""_up"",""""))&lt;IFERROR(VLOOKUP(C134,Upgrades!$L$3:$P$6,1+COUNTIF(C$4:C134,C134),0),999),1),IF(REGEXMATCH(C134,""Sell_""),IF(COUNTIF(C$4:C134,SUBSTITUTE(C134,""Sell_"",""""))-COUNTIF(C$4:C133,C134)&lt;1,1),FALSE)))))))))"),"")</f>
        <v/>
      </c>
      <c r="E134" s="71" t="str">
        <f>IFERROR(__xludf.DUMMYFUNCTION("IF(REGEXMATCH(C134,""^Sell_""),E133, IF(COUNTA(C134:C147)=0,"""",(COUNTIF(C$4:C134,""Cursor"")-COUNTIF(C$4:C134,""Sell_Cursor""))*(0.1*2^SWITCH(COUNTIF(C$4:C134,""Cursor_up""),0,0,1,1,2,2,3)+SWITCH(COUNTIF(C$4:C134,""Cursor_up""),4,0.1,0)*(ROW(C134)-4-COU"&amp;"NTIF(C$4:C134,""Cursor"")-COUNTIF(C$4:C134,""*""&amp;""_up"")-2*COUNTIF(C$4:C134,""Sell_""&amp;""*"")+COUNTIF(C$4:C134,""Sell_Cursor"")-COUNTIF(C$4:C134,"""")))+(COUNTIF(C$4:C134,""Grandma"")-COUNTIF(C$4:C134,""Sell_Grandma""))*(1*2^(COUNTIF(C$4:C134,""Grandma_up"&amp;""")+COUNTIF(C$4:C134,""Super_up"")))+(COUNTIF(C$4:C134,""Farm"")-COUNTIF(C$4:C134,""Sell_Farm""))*(8*2^COUNTIF(C$4:C134,""Farm_up""))*IF(COUNTIF(C$4:C134,""Super_up"")&gt;0,1+0.01*(COUNTIF(C$4:C134,""Grandma"")-COUNTIF(C$4:C134,""Sell_Grandma"")),1)+(COUNTIF"&amp;"(C$4:C134,""Mine"")-COUNTIF(C$4:C134,""Sell_Mine""))*((47*2^COUNTIF(C$4:C134,""Mine_up""))*IF(COUNTIF(C$4:C134,""Super_up"")&gt;1,1+0.005*(COUNTIF(C$4:C134,""Grandma"")-COUNTIF(C$4:C134,""Sell_Grandma"")),1))+(COUNTIF(C$4:C134,""Factory"")-COUNTIF(C$4:C134,"&amp;"""Sell_Factory""))*(260*2^COUNTIF(C$4:C134,""Factory_up""))))"),"")</f>
        <v/>
      </c>
      <c r="F134" s="73" t="str">
        <f>IFERROR(__xludf.DUMMYFUNCTION("IF(COUNTA(C134:C147)=0,"""",IF(REGEXMATCH(INDEX(FILTER(C$4:C134,C$4:C134&lt;&gt;""""),ROWS(FILTER(C$4:C134,C$4:C134&lt;&gt;""""))),""^Sell_""),INDEX(FILTER(F$4:F133,C$4:C133&lt;&gt;""""),ROWS(FILTER(C$4:C133,C$4:C133&lt;&gt;""""))),$AC$5*(2^SWITCH(COUNTIF(C$4:C134,""Cursor_up"")"&amp;",0,0,1,1,2,2,3)+SWITCH(COUNTIF(C$4:C134,""Cursor_up""),4,0.1,0)*(ROW(C134)-4-COUNTIF(C$4:C134,""Cursor"")-COUNTIF(C$4:C134,""*""&amp;""_up"")-2*COUNTIF(C$4:C134,""Sell_""&amp;""*"")+COUNTIF(C$4:C134,""Sell_Cursor"")-COUNTIF(C$4:C134,""""))+0.01*E134*COUNTIF(C$4:C"&amp;"134,""Plastic_up""))+E134))"),"")</f>
        <v/>
      </c>
      <c r="G134" s="14" t="str">
        <f>IFERROR(__xludf.DUMMYFUNCTION("IF(COUNTA(C134:C147)=0,"""",IF(REGEXMATCH(C134,""_up""),VLOOKUP(C134,Upgrades!$F$3:$J$8,1+COUNTIF(C$4:C134,C134),FALSE),IF(C134="""",0,IF(REGEXMATCH(C134,""^Sell_""),-ROUNDDOWN(ROUNDUP(INDEX(Upgrades!$C$3:$C$8,MATCH(SUBSTITUTE(C134,""Sell_"",""""),Upgrade"&amp;"s!$B$3:$B$8,0))*1.15^(COUNTIF(C$4:C133,SUBSTITUTE(C134,""Sell_"",""""))-COUNTIF(C$4:C133,""Sell_""&amp;SUBSTITUTE(C134,""Sell_"",""""))))/4),ROUNDUP(INDEX(Upgrades!$C$3:$C$7,MATCH(C134,Upgrades!$B$3:$B$7,0))*1.15^(COUNTIF(C$4:C133,C134)-COUNTIF(C$4:C133,""Sel"&amp;"l_""&amp;C134)))))))"),"")</f>
        <v/>
      </c>
      <c r="H134" s="14" t="str">
        <f t="shared" si="3"/>
        <v/>
      </c>
      <c r="I134" s="75" t="str">
        <f t="shared" si="4"/>
        <v/>
      </c>
      <c r="J134" s="76" t="str">
        <f t="shared" si="5"/>
        <v/>
      </c>
      <c r="K134" s="71" t="str">
        <f t="shared" si="6"/>
        <v/>
      </c>
      <c r="L134" s="77" t="str">
        <f t="shared" si="7"/>
        <v/>
      </c>
      <c r="M134" s="51" t="str">
        <f t="shared" si="8"/>
        <v/>
      </c>
      <c r="N134" s="52" t="str">
        <f>IFERROR(__xludf.DUMMYFUNCTION("IFS(AND(COUNTA(C134:C147)=0,COUNTA(P134:P147)=0),"""",OR(AND(L134&gt;=1000000,OR(Y134&gt;=1000000,COUNTA(P134:P147)=0)),AND(Y134&gt;=1000000,COUNTA(C134:C147)=0),AND(COUNTA(P134:P147)=0,O$3=TRUE)),
ROUNDDOWN((AB$1-AC$1)*MAX(INDEX(S$4:S147,MATCH(LARGE(FILTER(Y$4:Y1"&amp;"47,Y$4:Y147&lt;1000000),1),Y$4:Y147)),INDEX(F$4:F147,MATCH(LARGE(FILTER(L$4:L147,L$4:L147&lt;1000000),1),L$4:L147)))),AND(L134&lt;1000000,COUNTA(C134:C147)&gt;0,O$3=FALSE),
ROUNDDOWN(INDEX(Y$4:Y147,MATCH(LARGE(FILTER(W$4:W147,W$4:W147&lt;=J134),1),W$4:W147))+(J134-LARGE"&amp;"(FILTER(W$4:W147,W$4:W147&lt;=J134),1))*INDEX(S$4:S147,MATCH(LARGE(FILTER(W$4:W147,W$4:W147&lt;=J134),1),W$4:W147))-L134),1,
ROUNDDOWN(Y134-INDEX(L$4:L147,MATCH(LARGE(FILTER(J$4:J147,J$4:J147&lt;=W134),1),J$4:J147))-(W134-LARGE(FILTER(J$4:J147,J$4:J147&lt;=W134),1))*"&amp;"INDEX(F$4:F147,MATCH(LARGE(FILTER(J$4:J147,J$4:J147&lt;=W134),1),J$4:J147))))"),"")</f>
        <v/>
      </c>
      <c r="O134" s="65" t="str">
        <f t="shared" si="9"/>
        <v/>
      </c>
      <c r="P134" s="15"/>
      <c r="Q134" s="14" t="str">
        <f>IFERROR(__xludf.DUMMYFUNCTION("IF(COUNTA(P134:P147)=0,"""",IFERROR(IF(ISBLANK(P134),FALSE,IF(ISBLANK(T134),1,IF(NOT(COUNTIF($AA$24:$AA$34,SUBSTITUTE(P134,""Sell_"",""""))),1,IF(P134=""Plastic_up"",IF(V134&lt;1000,1),IF(P134=""Super_Up"",IF(OR(COUNTIF(P$4:P134,""Grandma"")-COUNTIF(P$4:P134"&amp;",""Sell_Grandma"")&lt;1,COUNTIF(P$4:P134,VLOOKUP(P134,Upgrades!$F$8:$N$8,7+COUNTIF(P$4:P134,P134)))-COUNTIF(P$4:P134,""Sell_""&amp;VLOOKUP(P134,Upgrades!$F$8:$N$8,7+COUNTIF(P$4:P134,P134)))&lt;15),1),IF(REGEXMATCH(P134,""_up""),IF(COUNTIF(P$4:P134,SUBSTITUTE(P134,"&amp;"""_up"",""""))&lt;IFERROR(VLOOKUP(P134,Upgrades!$L$3:$P$6,1+COUNTIF(P$4:P134,P134),0),999),1),IF(REGEXMATCH(P134,""Sell_""),IF(COUNTIF(P$4:P134,SUBSTITUTE(P134,""Sell_"",""""))-COUNTIF(P$4:P133,P134)&lt;1,1),FALSE)))))))))"),"")</f>
        <v/>
      </c>
      <c r="R134" s="71" t="str">
        <f>IFERROR(__xludf.DUMMYFUNCTION("IF(REGEXMATCH(P134,""^Sell_""),R133, IF(COUNTA(P134:P147)=0,"""",(COUNTIF(P$4:P134,""Cursor"")-COUNTIF(P$4:P134,""Sell_Cursor""))*(0.1*2^SWITCH(COUNTIF(P$4:P134,""Cursor_up""),0,0,1,1,2,2,3)+SWITCH(COUNTIF(P$4:P134,""Cursor_up""),4,0.1,0)*(ROW(P134)-4-COU"&amp;"NTIF(P$4:P134,""Cursor"")-COUNTIF(P$4:P134,""*""&amp;""_up"")-2*COUNTIF(P$4:P134,""Sell_""&amp;""*"")+COUNTIF(P$4:P134,""Sell_Cursor"")-COUNTIF(P$4:P134,"""")))+(COUNTIF(P$4:P134,""Grandma"")-COUNTIF(P$4:P134,""Sell_Grandma""))*(1*2^(COUNTIF(P$4:P134,""Grandma_up"&amp;""")+COUNTIF(P$4:P134,""Super_up"")))+(COUNTIF(P$4:P134,""Farm"")-COUNTIF(P$4:P134,""Sell_Farm""))*(8*2^COUNTIF(P$4:P134,""Farm_up""))*IF(COUNTIF(P$4:P134,""Super_up"")&gt;0,1+0.01*(COUNTIF(P$4:P134,""Grandma"")-COUNTIF(P$4:P134,""Sell_Grandma"")),1)+(COUNTIF"&amp;"(P$4:P134,""Mine"")-COUNTIF(P$4:P134,""Sell_Mine""))*((47*2^COUNTIF(P$4:P134,""Mine_up""))*IF(COUNTIF(P$4:P134,""Super_up"")&gt;1,1+0.005*(COUNTIF(P$4:P134,""Grandma"")-COUNTIF(P$4:P134,""Sell_Grandma"")),1))+(COUNTIF(P$4:P134,""Factory"")-COUNTIF(P$4:P134,"&amp;"""Sell_Factory""))*(260*2^COUNTIF(P$4:P134,""Factory_up""))))"),"")</f>
        <v/>
      </c>
      <c r="S134" s="73" t="str">
        <f>IFERROR(__xludf.DUMMYFUNCTION("IF(COUNTA(P134:P147)=0,"""",IF(REGEXMATCH(INDEX(FILTER(P$4:P134,P$4:P134&lt;&gt;""""),ROWS(FILTER(P$4:P134,P$4:P134&lt;&gt;""""))),""^Sell_""),INDEX(FILTER(S$4:S133,P$4:P133&lt;&gt;""""),ROWS(FILTER(P$4:P133,P$4:P133&lt;&gt;""""))),$AD$5*(2^SWITCH(COUNTIF(P$4:P134,""Cursor_up"")"&amp;",0,0,1,1,2,2,3)+SWITCH(COUNTIF(P$4:P134,""Cursor_up""),4,0.1,0)*(ROW(P134)-4-COUNTIF(P$4:P134,""Cursor"")-COUNTIF(P$4:P134,""*""&amp;""_up"")-2*COUNTIF(P$4:P134,""Sell_""&amp;""*"")+COUNTIF(P$4:P134,""Sell_Cursor"")-COUNTIF(P$4:P134,""""))+0.01*R134*COUNTIF(P$4:P"&amp;"134,""Plastic_up""))+R134))"),"")</f>
        <v/>
      </c>
      <c r="T134" s="14" t="str">
        <f>IFERROR(__xludf.DUMMYFUNCTION("IF(COUNTA(P134:P147)=0,"""",IF(REGEXMATCH(P134,""_up""),VLOOKUP(P134,Upgrades!$F$3:$J$8,1+COUNTIF(P$4:P134,P134),FALSE),IF(P134="""",0,IF(REGEXMATCH(P134,""^Sell_""),-ROUNDDOWN(ROUNDUP(INDEX(Upgrades!$C$3:$C$8,MATCH(SUBSTITUTE(P134,""Sell_"",""""),Upgrade"&amp;"s!$B$3:$B$8,0))*1.15^(COUNTIF(P$4:P133,SUBSTITUTE(P134,""Sell_"",""""))-COUNTIF(P$4:P133,""Sell_""&amp;SUBSTITUTE(P134,""Sell_"",""""))))/4),ROUNDUP(INDEX(Upgrades!$C$3:$C$7,MATCH(P134,Upgrades!$B$3:$B$7,0))*1.15^(COUNTIF(P$4:P133,P134)-COUNTIF(P$4:P133,""Sel"&amp;"l_""&amp;P134)))))))"),"")</f>
        <v/>
      </c>
      <c r="U134" s="14" t="str">
        <f t="shared" si="10"/>
        <v/>
      </c>
      <c r="V134" s="75" t="str">
        <f t="shared" si="11"/>
        <v/>
      </c>
      <c r="W134" s="76" t="str">
        <f t="shared" si="12"/>
        <v/>
      </c>
      <c r="X134" s="71" t="str">
        <f t="shared" si="13"/>
        <v/>
      </c>
      <c r="Y134" s="77" t="str">
        <f t="shared" si="14"/>
        <v/>
      </c>
      <c r="Z134" s="17"/>
      <c r="AA134" s="13"/>
      <c r="AB134" s="13"/>
      <c r="AC134" s="13"/>
      <c r="AD134" s="13"/>
      <c r="AE134" s="13"/>
      <c r="AF134" s="13"/>
      <c r="AG134" s="13"/>
    </row>
    <row r="135">
      <c r="A135" s="12"/>
      <c r="B135" s="65" t="str">
        <f t="shared" si="2"/>
        <v/>
      </c>
      <c r="C135" s="66"/>
      <c r="D135" s="14" t="str">
        <f>IFERROR(__xludf.DUMMYFUNCTION("IF(COUNTA(C135:C147)=0,"""",IFERROR(IF(ISBLANK(C135),FALSE,IF(ISBLANK(G135),1,IF(NOT(COUNTIF($AA$24:$AA$34,SUBSTITUTE(C135,""Sell_"",""""))),1,IF(C135=""Plastic_up"",IF(I135&lt;1000,1),IF(C135=""Super_Up"",IF(OR(COUNTIF(C$4:C135,""Grandma"")-COUNTIF(C$4:C135"&amp;",""Sell_Grandma"")&lt;1,COUNTIF(C$4:C135,VLOOKUP(C135,Upgrades!$F$8:$N$8,7+COUNTIF(C$4:C135,C135)))-COUNTIF(C$4:C135,""Sell_""&amp;VLOOKUP(C135,Upgrades!$F$8:$N$8,7+COUNTIF(C$4:C135,C135)))&lt;15),1),IF(REGEXMATCH(C135,""_up""),IF(COUNTIF(C$4:C135,SUBSTITUTE(C135,"&amp;"""_up"",""""))&lt;IFERROR(VLOOKUP(C135,Upgrades!$L$3:$P$6,1+COUNTIF(C$4:C135,C135),0),999),1),IF(REGEXMATCH(C135,""Sell_""),IF(COUNTIF(C$4:C135,SUBSTITUTE(C135,""Sell_"",""""))-COUNTIF(C$4:C134,C135)&lt;1,1),FALSE)))))))))"),"")</f>
        <v/>
      </c>
      <c r="E135" s="71" t="str">
        <f>IFERROR(__xludf.DUMMYFUNCTION("IF(REGEXMATCH(C135,""^Sell_""),E134, IF(COUNTA(C135:C147)=0,"""",(COUNTIF(C$4:C135,""Cursor"")-COUNTIF(C$4:C135,""Sell_Cursor""))*(0.1*2^SWITCH(COUNTIF(C$4:C135,""Cursor_up""),0,0,1,1,2,2,3)+SWITCH(COUNTIF(C$4:C135,""Cursor_up""),4,0.1,0)*(ROW(C135)-4-COU"&amp;"NTIF(C$4:C135,""Cursor"")-COUNTIF(C$4:C135,""*""&amp;""_up"")-2*COUNTIF(C$4:C135,""Sell_""&amp;""*"")+COUNTIF(C$4:C135,""Sell_Cursor"")-COUNTIF(C$4:C135,"""")))+(COUNTIF(C$4:C135,""Grandma"")-COUNTIF(C$4:C135,""Sell_Grandma""))*(1*2^(COUNTIF(C$4:C135,""Grandma_up"&amp;""")+COUNTIF(C$4:C135,""Super_up"")))+(COUNTIF(C$4:C135,""Farm"")-COUNTIF(C$4:C135,""Sell_Farm""))*(8*2^COUNTIF(C$4:C135,""Farm_up""))*IF(COUNTIF(C$4:C135,""Super_up"")&gt;0,1+0.01*(COUNTIF(C$4:C135,""Grandma"")-COUNTIF(C$4:C135,""Sell_Grandma"")),1)+(COUNTIF"&amp;"(C$4:C135,""Mine"")-COUNTIF(C$4:C135,""Sell_Mine""))*((47*2^COUNTIF(C$4:C135,""Mine_up""))*IF(COUNTIF(C$4:C135,""Super_up"")&gt;1,1+0.005*(COUNTIF(C$4:C135,""Grandma"")-COUNTIF(C$4:C135,""Sell_Grandma"")),1))+(COUNTIF(C$4:C135,""Factory"")-COUNTIF(C$4:C135,"&amp;"""Sell_Factory""))*(260*2^COUNTIF(C$4:C135,""Factory_up""))))"),"")</f>
        <v/>
      </c>
      <c r="F135" s="73" t="str">
        <f>IFERROR(__xludf.DUMMYFUNCTION("IF(COUNTA(C135:C147)=0,"""",IF(REGEXMATCH(INDEX(FILTER(C$4:C135,C$4:C135&lt;&gt;""""),ROWS(FILTER(C$4:C135,C$4:C135&lt;&gt;""""))),""^Sell_""),INDEX(FILTER(F$4:F134,C$4:C134&lt;&gt;""""),ROWS(FILTER(C$4:C134,C$4:C134&lt;&gt;""""))),$AC$5*(2^SWITCH(COUNTIF(C$4:C135,""Cursor_up"")"&amp;",0,0,1,1,2,2,3)+SWITCH(COUNTIF(C$4:C135,""Cursor_up""),4,0.1,0)*(ROW(C135)-4-COUNTIF(C$4:C135,""Cursor"")-COUNTIF(C$4:C135,""*""&amp;""_up"")-2*COUNTIF(C$4:C135,""Sell_""&amp;""*"")+COUNTIF(C$4:C135,""Sell_Cursor"")-COUNTIF(C$4:C135,""""))+0.01*E135*COUNTIF(C$4:C"&amp;"135,""Plastic_up""))+E135))"),"")</f>
        <v/>
      </c>
      <c r="G135" s="14" t="str">
        <f>IFERROR(__xludf.DUMMYFUNCTION("IF(COUNTA(C135:C147)=0,"""",IF(REGEXMATCH(C135,""_up""),VLOOKUP(C135,Upgrades!$F$3:$J$8,1+COUNTIF(C$4:C135,C135),FALSE),IF(C135="""",0,IF(REGEXMATCH(C135,""^Sell_""),-ROUNDDOWN(ROUNDUP(INDEX(Upgrades!$C$3:$C$8,MATCH(SUBSTITUTE(C135,""Sell_"",""""),Upgrade"&amp;"s!$B$3:$B$8,0))*1.15^(COUNTIF(C$4:C134,SUBSTITUTE(C135,""Sell_"",""""))-COUNTIF(C$4:C134,""Sell_""&amp;SUBSTITUTE(C135,""Sell_"",""""))))/4),ROUNDUP(INDEX(Upgrades!$C$3:$C$7,MATCH(C135,Upgrades!$B$3:$B$7,0))*1.15^(COUNTIF(C$4:C134,C135)-COUNTIF(C$4:C134,""Sel"&amp;"l_""&amp;C135)))))))"),"")</f>
        <v/>
      </c>
      <c r="H135" s="14" t="str">
        <f t="shared" si="3"/>
        <v/>
      </c>
      <c r="I135" s="75" t="str">
        <f t="shared" si="4"/>
        <v/>
      </c>
      <c r="J135" s="76" t="str">
        <f t="shared" si="5"/>
        <v/>
      </c>
      <c r="K135" s="71" t="str">
        <f t="shared" si="6"/>
        <v/>
      </c>
      <c r="L135" s="77" t="str">
        <f t="shared" si="7"/>
        <v/>
      </c>
      <c r="M135" s="51" t="str">
        <f t="shared" si="8"/>
        <v/>
      </c>
      <c r="N135" s="52" t="str">
        <f>IFERROR(__xludf.DUMMYFUNCTION("IFS(AND(COUNTA(C135:C147)=0,COUNTA(P135:P147)=0),"""",OR(AND(L135&gt;=1000000,OR(Y135&gt;=1000000,COUNTA(P135:P147)=0)),AND(Y135&gt;=1000000,COUNTA(C135:C147)=0),AND(COUNTA(P135:P147)=0,O$3=TRUE)),
ROUNDDOWN((AB$1-AC$1)*MAX(INDEX(S$4:S147,MATCH(LARGE(FILTER(Y$4:Y1"&amp;"47,Y$4:Y147&lt;1000000),1),Y$4:Y147)),INDEX(F$4:F147,MATCH(LARGE(FILTER(L$4:L147,L$4:L147&lt;1000000),1),L$4:L147)))),AND(L135&lt;1000000,COUNTA(C135:C147)&gt;0,O$3=FALSE),
ROUNDDOWN(INDEX(Y$4:Y147,MATCH(LARGE(FILTER(W$4:W147,W$4:W147&lt;=J135),1),W$4:W147))+(J135-LARGE"&amp;"(FILTER(W$4:W147,W$4:W147&lt;=J135),1))*INDEX(S$4:S147,MATCH(LARGE(FILTER(W$4:W147,W$4:W147&lt;=J135),1),W$4:W147))-L135),1,
ROUNDDOWN(Y135-INDEX(L$4:L147,MATCH(LARGE(FILTER(J$4:J147,J$4:J147&lt;=W135),1),J$4:J147))-(W135-LARGE(FILTER(J$4:J147,J$4:J147&lt;=W135),1))*"&amp;"INDEX(F$4:F147,MATCH(LARGE(FILTER(J$4:J147,J$4:J147&lt;=W135),1),J$4:J147))))"),"")</f>
        <v/>
      </c>
      <c r="O135" s="65" t="str">
        <f t="shared" si="9"/>
        <v/>
      </c>
      <c r="P135" s="15"/>
      <c r="Q135" s="14" t="str">
        <f>IFERROR(__xludf.DUMMYFUNCTION("IF(COUNTA(P135:P147)=0,"""",IFERROR(IF(ISBLANK(P135),FALSE,IF(ISBLANK(T135),1,IF(NOT(COUNTIF($AA$24:$AA$34,SUBSTITUTE(P135,""Sell_"",""""))),1,IF(P135=""Plastic_up"",IF(V135&lt;1000,1),IF(P135=""Super_Up"",IF(OR(COUNTIF(P$4:P135,""Grandma"")-COUNTIF(P$4:P135"&amp;",""Sell_Grandma"")&lt;1,COUNTIF(P$4:P135,VLOOKUP(P135,Upgrades!$F$8:$N$8,7+COUNTIF(P$4:P135,P135)))-COUNTIF(P$4:P135,""Sell_""&amp;VLOOKUP(P135,Upgrades!$F$8:$N$8,7+COUNTIF(P$4:P135,P135)))&lt;15),1),IF(REGEXMATCH(P135,""_up""),IF(COUNTIF(P$4:P135,SUBSTITUTE(P135,"&amp;"""_up"",""""))&lt;IFERROR(VLOOKUP(P135,Upgrades!$L$3:$P$6,1+COUNTIF(P$4:P135,P135),0),999),1),IF(REGEXMATCH(P135,""Sell_""),IF(COUNTIF(P$4:P135,SUBSTITUTE(P135,""Sell_"",""""))-COUNTIF(P$4:P134,P135)&lt;1,1),FALSE)))))))))"),"")</f>
        <v/>
      </c>
      <c r="R135" s="71" t="str">
        <f>IFERROR(__xludf.DUMMYFUNCTION("IF(REGEXMATCH(P135,""^Sell_""),R134, IF(COUNTA(P135:P147)=0,"""",(COUNTIF(P$4:P135,""Cursor"")-COUNTIF(P$4:P135,""Sell_Cursor""))*(0.1*2^SWITCH(COUNTIF(P$4:P135,""Cursor_up""),0,0,1,1,2,2,3)+SWITCH(COUNTIF(P$4:P135,""Cursor_up""),4,0.1,0)*(ROW(P135)-4-COU"&amp;"NTIF(P$4:P135,""Cursor"")-COUNTIF(P$4:P135,""*""&amp;""_up"")-2*COUNTIF(P$4:P135,""Sell_""&amp;""*"")+COUNTIF(P$4:P135,""Sell_Cursor"")-COUNTIF(P$4:P135,"""")))+(COUNTIF(P$4:P135,""Grandma"")-COUNTIF(P$4:P135,""Sell_Grandma""))*(1*2^(COUNTIF(P$4:P135,""Grandma_up"&amp;""")+COUNTIF(P$4:P135,""Super_up"")))+(COUNTIF(P$4:P135,""Farm"")-COUNTIF(P$4:P135,""Sell_Farm""))*(8*2^COUNTIF(P$4:P135,""Farm_up""))*IF(COUNTIF(P$4:P135,""Super_up"")&gt;0,1+0.01*(COUNTIF(P$4:P135,""Grandma"")-COUNTIF(P$4:P135,""Sell_Grandma"")),1)+(COUNTIF"&amp;"(P$4:P135,""Mine"")-COUNTIF(P$4:P135,""Sell_Mine""))*((47*2^COUNTIF(P$4:P135,""Mine_up""))*IF(COUNTIF(P$4:P135,""Super_up"")&gt;1,1+0.005*(COUNTIF(P$4:P135,""Grandma"")-COUNTIF(P$4:P135,""Sell_Grandma"")),1))+(COUNTIF(P$4:P135,""Factory"")-COUNTIF(P$4:P135,"&amp;"""Sell_Factory""))*(260*2^COUNTIF(P$4:P135,""Factory_up""))))"),"")</f>
        <v/>
      </c>
      <c r="S135" s="73" t="str">
        <f>IFERROR(__xludf.DUMMYFUNCTION("IF(COUNTA(P135:P147)=0,"""",IF(REGEXMATCH(INDEX(FILTER(P$4:P135,P$4:P135&lt;&gt;""""),ROWS(FILTER(P$4:P135,P$4:P135&lt;&gt;""""))),""^Sell_""),INDEX(FILTER(S$4:S134,P$4:P134&lt;&gt;""""),ROWS(FILTER(P$4:P134,P$4:P134&lt;&gt;""""))),$AD$5*(2^SWITCH(COUNTIF(P$4:P135,""Cursor_up"")"&amp;",0,0,1,1,2,2,3)+SWITCH(COUNTIF(P$4:P135,""Cursor_up""),4,0.1,0)*(ROW(P135)-4-COUNTIF(P$4:P135,""Cursor"")-COUNTIF(P$4:P135,""*""&amp;""_up"")-2*COUNTIF(P$4:P135,""Sell_""&amp;""*"")+COUNTIF(P$4:P135,""Sell_Cursor"")-COUNTIF(P$4:P135,""""))+0.01*R135*COUNTIF(P$4:P"&amp;"135,""Plastic_up""))+R135))"),"")</f>
        <v/>
      </c>
      <c r="T135" s="14" t="str">
        <f>IFERROR(__xludf.DUMMYFUNCTION("IF(COUNTA(P135:P147)=0,"""",IF(REGEXMATCH(P135,""_up""),VLOOKUP(P135,Upgrades!$F$3:$J$8,1+COUNTIF(P$4:P135,P135),FALSE),IF(P135="""",0,IF(REGEXMATCH(P135,""^Sell_""),-ROUNDDOWN(ROUNDUP(INDEX(Upgrades!$C$3:$C$8,MATCH(SUBSTITUTE(P135,""Sell_"",""""),Upgrade"&amp;"s!$B$3:$B$8,0))*1.15^(COUNTIF(P$4:P134,SUBSTITUTE(P135,""Sell_"",""""))-COUNTIF(P$4:P134,""Sell_""&amp;SUBSTITUTE(P135,""Sell_"",""""))))/4),ROUNDUP(INDEX(Upgrades!$C$3:$C$7,MATCH(P135,Upgrades!$B$3:$B$7,0))*1.15^(COUNTIF(P$4:P134,P135)-COUNTIF(P$4:P134,""Sel"&amp;"l_""&amp;P135)))))))"),"")</f>
        <v/>
      </c>
      <c r="U135" s="14" t="str">
        <f t="shared" si="10"/>
        <v/>
      </c>
      <c r="V135" s="75" t="str">
        <f t="shared" si="11"/>
        <v/>
      </c>
      <c r="W135" s="76" t="str">
        <f t="shared" si="12"/>
        <v/>
      </c>
      <c r="X135" s="71" t="str">
        <f t="shared" si="13"/>
        <v/>
      </c>
      <c r="Y135" s="77" t="str">
        <f t="shared" si="14"/>
        <v/>
      </c>
      <c r="Z135" s="17"/>
      <c r="AA135" s="13"/>
      <c r="AB135" s="15"/>
      <c r="AC135" s="13"/>
      <c r="AD135" s="13"/>
      <c r="AE135" s="13"/>
      <c r="AF135" s="13"/>
      <c r="AG135" s="13"/>
    </row>
    <row r="136">
      <c r="A136" s="12"/>
      <c r="B136" s="65" t="str">
        <f t="shared" si="2"/>
        <v/>
      </c>
      <c r="C136" s="66"/>
      <c r="D136" s="14" t="str">
        <f>IFERROR(__xludf.DUMMYFUNCTION("IF(COUNTA(C136:C147)=0,"""",IFERROR(IF(ISBLANK(C136),FALSE,IF(ISBLANK(G136),1,IF(NOT(COUNTIF($AA$24:$AA$34,SUBSTITUTE(C136,""Sell_"",""""))),1,IF(C136=""Plastic_up"",IF(I136&lt;1000,1),IF(C136=""Super_Up"",IF(OR(COUNTIF(C$4:C136,""Grandma"")-COUNTIF(C$4:C136"&amp;",""Sell_Grandma"")&lt;1,COUNTIF(C$4:C136,VLOOKUP(C136,Upgrades!$F$8:$N$8,7+COUNTIF(C$4:C136,C136)))-COUNTIF(C$4:C136,""Sell_""&amp;VLOOKUP(C136,Upgrades!$F$8:$N$8,7+COUNTIF(C$4:C136,C136)))&lt;15),1),IF(REGEXMATCH(C136,""_up""),IF(COUNTIF(C$4:C136,SUBSTITUTE(C136,"&amp;"""_up"",""""))&lt;IFERROR(VLOOKUP(C136,Upgrades!$L$3:$P$6,1+COUNTIF(C$4:C136,C136),0),999),1),IF(REGEXMATCH(C136,""Sell_""),IF(COUNTIF(C$4:C136,SUBSTITUTE(C136,""Sell_"",""""))-COUNTIF(C$4:C135,C136)&lt;1,1),FALSE)))))))))"),"")</f>
        <v/>
      </c>
      <c r="E136" s="71" t="str">
        <f>IFERROR(__xludf.DUMMYFUNCTION("IF(REGEXMATCH(C136,""^Sell_""),E135, IF(COUNTA(C136:C147)=0,"""",(COUNTIF(C$4:C136,""Cursor"")-COUNTIF(C$4:C136,""Sell_Cursor""))*(0.1*2^SWITCH(COUNTIF(C$4:C136,""Cursor_up""),0,0,1,1,2,2,3)+SWITCH(COUNTIF(C$4:C136,""Cursor_up""),4,0.1,0)*(ROW(C136)-4-COU"&amp;"NTIF(C$4:C136,""Cursor"")-COUNTIF(C$4:C136,""*""&amp;""_up"")-2*COUNTIF(C$4:C136,""Sell_""&amp;""*"")+COUNTIF(C$4:C136,""Sell_Cursor"")-COUNTIF(C$4:C136,"""")))+(COUNTIF(C$4:C136,""Grandma"")-COUNTIF(C$4:C136,""Sell_Grandma""))*(1*2^(COUNTIF(C$4:C136,""Grandma_up"&amp;""")+COUNTIF(C$4:C136,""Super_up"")))+(COUNTIF(C$4:C136,""Farm"")-COUNTIF(C$4:C136,""Sell_Farm""))*(8*2^COUNTIF(C$4:C136,""Farm_up""))*IF(COUNTIF(C$4:C136,""Super_up"")&gt;0,1+0.01*(COUNTIF(C$4:C136,""Grandma"")-COUNTIF(C$4:C136,""Sell_Grandma"")),1)+(COUNTIF"&amp;"(C$4:C136,""Mine"")-COUNTIF(C$4:C136,""Sell_Mine""))*((47*2^COUNTIF(C$4:C136,""Mine_up""))*IF(COUNTIF(C$4:C136,""Super_up"")&gt;1,1+0.005*(COUNTIF(C$4:C136,""Grandma"")-COUNTIF(C$4:C136,""Sell_Grandma"")),1))+(COUNTIF(C$4:C136,""Factory"")-COUNTIF(C$4:C136,"&amp;"""Sell_Factory""))*(260*2^COUNTIF(C$4:C136,""Factory_up""))))"),"")</f>
        <v/>
      </c>
      <c r="F136" s="73" t="str">
        <f>IFERROR(__xludf.DUMMYFUNCTION("IF(COUNTA(C136:C147)=0,"""",IF(REGEXMATCH(INDEX(FILTER(C$4:C136,C$4:C136&lt;&gt;""""),ROWS(FILTER(C$4:C136,C$4:C136&lt;&gt;""""))),""^Sell_""),INDEX(FILTER(F$4:F135,C$4:C135&lt;&gt;""""),ROWS(FILTER(C$4:C135,C$4:C135&lt;&gt;""""))),$AC$5*(2^SWITCH(COUNTIF(C$4:C136,""Cursor_up"")"&amp;",0,0,1,1,2,2,3)+SWITCH(COUNTIF(C$4:C136,""Cursor_up""),4,0.1,0)*(ROW(C136)-4-COUNTIF(C$4:C136,""Cursor"")-COUNTIF(C$4:C136,""*""&amp;""_up"")-2*COUNTIF(C$4:C136,""Sell_""&amp;""*"")+COUNTIF(C$4:C136,""Sell_Cursor"")-COUNTIF(C$4:C136,""""))+0.01*E136*COUNTIF(C$4:C"&amp;"136,""Plastic_up""))+E136))"),"")</f>
        <v/>
      </c>
      <c r="G136" s="14" t="str">
        <f>IFERROR(__xludf.DUMMYFUNCTION("IF(COUNTA(C136:C147)=0,"""",IF(REGEXMATCH(C136,""_up""),VLOOKUP(C136,Upgrades!$F$3:$J$8,1+COUNTIF(C$4:C136,C136),FALSE),IF(C136="""",0,IF(REGEXMATCH(C136,""^Sell_""),-ROUNDDOWN(ROUNDUP(INDEX(Upgrades!$C$3:$C$8,MATCH(SUBSTITUTE(C136,""Sell_"",""""),Upgrade"&amp;"s!$B$3:$B$8,0))*1.15^(COUNTIF(C$4:C135,SUBSTITUTE(C136,""Sell_"",""""))-COUNTIF(C$4:C135,""Sell_""&amp;SUBSTITUTE(C136,""Sell_"",""""))))/4),ROUNDUP(INDEX(Upgrades!$C$3:$C$7,MATCH(C136,Upgrades!$B$3:$B$7,0))*1.15^(COUNTIF(C$4:C135,C136)-COUNTIF(C$4:C135,""Sel"&amp;"l_""&amp;C136)))))))"),"")</f>
        <v/>
      </c>
      <c r="H136" s="14" t="str">
        <f t="shared" si="3"/>
        <v/>
      </c>
      <c r="I136" s="75" t="str">
        <f t="shared" si="4"/>
        <v/>
      </c>
      <c r="J136" s="76" t="str">
        <f t="shared" si="5"/>
        <v/>
      </c>
      <c r="K136" s="71" t="str">
        <f t="shared" si="6"/>
        <v/>
      </c>
      <c r="L136" s="77" t="str">
        <f t="shared" si="7"/>
        <v/>
      </c>
      <c r="M136" s="51" t="str">
        <f t="shared" si="8"/>
        <v/>
      </c>
      <c r="N136" s="52" t="str">
        <f>IFERROR(__xludf.DUMMYFUNCTION("IFS(AND(COUNTA(C136:C147)=0,COUNTA(P136:P147)=0),"""",OR(AND(L136&gt;=1000000,OR(Y136&gt;=1000000,COUNTA(P136:P147)=0)),AND(Y136&gt;=1000000,COUNTA(C136:C147)=0),AND(COUNTA(P136:P147)=0,O$3=TRUE)),
ROUNDDOWN((AB$1-AC$1)*MAX(INDEX(S$4:S147,MATCH(LARGE(FILTER(Y$4:Y1"&amp;"47,Y$4:Y147&lt;1000000),1),Y$4:Y147)),INDEX(F$4:F147,MATCH(LARGE(FILTER(L$4:L147,L$4:L147&lt;1000000),1),L$4:L147)))),AND(L136&lt;1000000,COUNTA(C136:C147)&gt;0,O$3=FALSE),
ROUNDDOWN(INDEX(Y$4:Y147,MATCH(LARGE(FILTER(W$4:W147,W$4:W147&lt;=J136),1),W$4:W147))+(J136-LARGE"&amp;"(FILTER(W$4:W147,W$4:W147&lt;=J136),1))*INDEX(S$4:S147,MATCH(LARGE(FILTER(W$4:W147,W$4:W147&lt;=J136),1),W$4:W147))-L136),1,
ROUNDDOWN(Y136-INDEX(L$4:L147,MATCH(LARGE(FILTER(J$4:J147,J$4:J147&lt;=W136),1),J$4:J147))-(W136-LARGE(FILTER(J$4:J147,J$4:J147&lt;=W136),1))*"&amp;"INDEX(F$4:F147,MATCH(LARGE(FILTER(J$4:J147,J$4:J147&lt;=W136),1),J$4:J147))))"),"")</f>
        <v/>
      </c>
      <c r="O136" s="65" t="str">
        <f t="shared" si="9"/>
        <v/>
      </c>
      <c r="P136" s="15"/>
      <c r="Q136" s="14" t="str">
        <f>IFERROR(__xludf.DUMMYFUNCTION("IF(COUNTA(P136:P147)=0,"""",IFERROR(IF(ISBLANK(P136),FALSE,IF(ISBLANK(T136),1,IF(NOT(COUNTIF($AA$24:$AA$34,SUBSTITUTE(P136,""Sell_"",""""))),1,IF(P136=""Plastic_up"",IF(V136&lt;1000,1),IF(P136=""Super_Up"",IF(OR(COUNTIF(P$4:P136,""Grandma"")-COUNTIF(P$4:P136"&amp;",""Sell_Grandma"")&lt;1,COUNTIF(P$4:P136,VLOOKUP(P136,Upgrades!$F$8:$N$8,7+COUNTIF(P$4:P136,P136)))-COUNTIF(P$4:P136,""Sell_""&amp;VLOOKUP(P136,Upgrades!$F$8:$N$8,7+COUNTIF(P$4:P136,P136)))&lt;15),1),IF(REGEXMATCH(P136,""_up""),IF(COUNTIF(P$4:P136,SUBSTITUTE(P136,"&amp;"""_up"",""""))&lt;IFERROR(VLOOKUP(P136,Upgrades!$L$3:$P$6,1+COUNTIF(P$4:P136,P136),0),999),1),IF(REGEXMATCH(P136,""Sell_""),IF(COUNTIF(P$4:P136,SUBSTITUTE(P136,""Sell_"",""""))-COUNTIF(P$4:P135,P136)&lt;1,1),FALSE)))))))))"),"")</f>
        <v/>
      </c>
      <c r="R136" s="71" t="str">
        <f>IFERROR(__xludf.DUMMYFUNCTION("IF(REGEXMATCH(P136,""^Sell_""),R135, IF(COUNTA(P136:P147)=0,"""",(COUNTIF(P$4:P136,""Cursor"")-COUNTIF(P$4:P136,""Sell_Cursor""))*(0.1*2^SWITCH(COUNTIF(P$4:P136,""Cursor_up""),0,0,1,1,2,2,3)+SWITCH(COUNTIF(P$4:P136,""Cursor_up""),4,0.1,0)*(ROW(P136)-4-COU"&amp;"NTIF(P$4:P136,""Cursor"")-COUNTIF(P$4:P136,""*""&amp;""_up"")-2*COUNTIF(P$4:P136,""Sell_""&amp;""*"")+COUNTIF(P$4:P136,""Sell_Cursor"")-COUNTIF(P$4:P136,"""")))+(COUNTIF(P$4:P136,""Grandma"")-COUNTIF(P$4:P136,""Sell_Grandma""))*(1*2^(COUNTIF(P$4:P136,""Grandma_up"&amp;""")+COUNTIF(P$4:P136,""Super_up"")))+(COUNTIF(P$4:P136,""Farm"")-COUNTIF(P$4:P136,""Sell_Farm""))*(8*2^COUNTIF(P$4:P136,""Farm_up""))*IF(COUNTIF(P$4:P136,""Super_up"")&gt;0,1+0.01*(COUNTIF(P$4:P136,""Grandma"")-COUNTIF(P$4:P136,""Sell_Grandma"")),1)+(COUNTIF"&amp;"(P$4:P136,""Mine"")-COUNTIF(P$4:P136,""Sell_Mine""))*((47*2^COUNTIF(P$4:P136,""Mine_up""))*IF(COUNTIF(P$4:P136,""Super_up"")&gt;1,1+0.005*(COUNTIF(P$4:P136,""Grandma"")-COUNTIF(P$4:P136,""Sell_Grandma"")),1))+(COUNTIF(P$4:P136,""Factory"")-COUNTIF(P$4:P136,"&amp;"""Sell_Factory""))*(260*2^COUNTIF(P$4:P136,""Factory_up""))))"),"")</f>
        <v/>
      </c>
      <c r="S136" s="73" t="str">
        <f>IFERROR(__xludf.DUMMYFUNCTION("IF(COUNTA(P136:P147)=0,"""",IF(REGEXMATCH(INDEX(FILTER(P$4:P136,P$4:P136&lt;&gt;""""),ROWS(FILTER(P$4:P136,P$4:P136&lt;&gt;""""))),""^Sell_""),INDEX(FILTER(S$4:S135,P$4:P135&lt;&gt;""""),ROWS(FILTER(P$4:P135,P$4:P135&lt;&gt;""""))),$AD$5*(2^SWITCH(COUNTIF(P$4:P136,""Cursor_up"")"&amp;",0,0,1,1,2,2,3)+SWITCH(COUNTIF(P$4:P136,""Cursor_up""),4,0.1,0)*(ROW(P136)-4-COUNTIF(P$4:P136,""Cursor"")-COUNTIF(P$4:P136,""*""&amp;""_up"")-2*COUNTIF(P$4:P136,""Sell_""&amp;""*"")+COUNTIF(P$4:P136,""Sell_Cursor"")-COUNTIF(P$4:P136,""""))+0.01*R136*COUNTIF(P$4:P"&amp;"136,""Plastic_up""))+R136))"),"")</f>
        <v/>
      </c>
      <c r="T136" s="14" t="str">
        <f>IFERROR(__xludf.DUMMYFUNCTION("IF(COUNTA(P136:P147)=0,"""",IF(REGEXMATCH(P136,""_up""),VLOOKUP(P136,Upgrades!$F$3:$J$8,1+COUNTIF(P$4:P136,P136),FALSE),IF(P136="""",0,IF(REGEXMATCH(P136,""^Sell_""),-ROUNDDOWN(ROUNDUP(INDEX(Upgrades!$C$3:$C$8,MATCH(SUBSTITUTE(P136,""Sell_"",""""),Upgrade"&amp;"s!$B$3:$B$8,0))*1.15^(COUNTIF(P$4:P135,SUBSTITUTE(P136,""Sell_"",""""))-COUNTIF(P$4:P135,""Sell_""&amp;SUBSTITUTE(P136,""Sell_"",""""))))/4),ROUNDUP(INDEX(Upgrades!$C$3:$C$7,MATCH(P136,Upgrades!$B$3:$B$7,0))*1.15^(COUNTIF(P$4:P135,P136)-COUNTIF(P$4:P135,""Sel"&amp;"l_""&amp;P136)))))))"),"")</f>
        <v/>
      </c>
      <c r="U136" s="14" t="str">
        <f t="shared" si="10"/>
        <v/>
      </c>
      <c r="V136" s="75" t="str">
        <f t="shared" si="11"/>
        <v/>
      </c>
      <c r="W136" s="76" t="str">
        <f t="shared" si="12"/>
        <v/>
      </c>
      <c r="X136" s="71" t="str">
        <f t="shared" si="13"/>
        <v/>
      </c>
      <c r="Y136" s="77" t="str">
        <f t="shared" si="14"/>
        <v/>
      </c>
      <c r="Z136" s="17"/>
      <c r="AA136" s="13"/>
      <c r="AB136" s="13"/>
      <c r="AC136" s="13"/>
      <c r="AD136" s="13"/>
      <c r="AE136" s="13"/>
      <c r="AF136" s="13"/>
      <c r="AG136" s="13"/>
    </row>
    <row r="137">
      <c r="A137" s="12"/>
      <c r="B137" s="65" t="str">
        <f t="shared" si="2"/>
        <v/>
      </c>
      <c r="C137" s="66"/>
      <c r="D137" s="14" t="str">
        <f>IFERROR(__xludf.DUMMYFUNCTION("IF(COUNTA(C137:C147)=0,"""",IFERROR(IF(ISBLANK(C137),FALSE,IF(ISBLANK(G137),1,IF(NOT(COUNTIF($AA$24:$AA$34,SUBSTITUTE(C137,""Sell_"",""""))),1,IF(C137=""Plastic_up"",IF(I137&lt;1000,1),IF(C137=""Super_Up"",IF(OR(COUNTIF(C$4:C137,""Grandma"")-COUNTIF(C$4:C137"&amp;",""Sell_Grandma"")&lt;1,COUNTIF(C$4:C137,VLOOKUP(C137,Upgrades!$F$8:$N$8,7+COUNTIF(C$4:C137,C137)))-COUNTIF(C$4:C137,""Sell_""&amp;VLOOKUP(C137,Upgrades!$F$8:$N$8,7+COUNTIF(C$4:C137,C137)))&lt;15),1),IF(REGEXMATCH(C137,""_up""),IF(COUNTIF(C$4:C137,SUBSTITUTE(C137,"&amp;"""_up"",""""))&lt;IFERROR(VLOOKUP(C137,Upgrades!$L$3:$P$6,1+COUNTIF(C$4:C137,C137),0),999),1),IF(REGEXMATCH(C137,""Sell_""),IF(COUNTIF(C$4:C137,SUBSTITUTE(C137,""Sell_"",""""))-COUNTIF(C$4:C136,C137)&lt;1,1),FALSE)))))))))"),"")</f>
        <v/>
      </c>
      <c r="E137" s="71" t="str">
        <f>IFERROR(__xludf.DUMMYFUNCTION("IF(REGEXMATCH(C137,""^Sell_""),E136, IF(COUNTA(C137:C147)=0,"""",(COUNTIF(C$4:C137,""Cursor"")-COUNTIF(C$4:C137,""Sell_Cursor""))*(0.1*2^SWITCH(COUNTIF(C$4:C137,""Cursor_up""),0,0,1,1,2,2,3)+SWITCH(COUNTIF(C$4:C137,""Cursor_up""),4,0.1,0)*(ROW(C137)-4-COU"&amp;"NTIF(C$4:C137,""Cursor"")-COUNTIF(C$4:C137,""*""&amp;""_up"")-2*COUNTIF(C$4:C137,""Sell_""&amp;""*"")+COUNTIF(C$4:C137,""Sell_Cursor"")-COUNTIF(C$4:C137,"""")))+(COUNTIF(C$4:C137,""Grandma"")-COUNTIF(C$4:C137,""Sell_Grandma""))*(1*2^(COUNTIF(C$4:C137,""Grandma_up"&amp;""")+COUNTIF(C$4:C137,""Super_up"")))+(COUNTIF(C$4:C137,""Farm"")-COUNTIF(C$4:C137,""Sell_Farm""))*(8*2^COUNTIF(C$4:C137,""Farm_up""))*IF(COUNTIF(C$4:C137,""Super_up"")&gt;0,1+0.01*(COUNTIF(C$4:C137,""Grandma"")-COUNTIF(C$4:C137,""Sell_Grandma"")),1)+(COUNTIF"&amp;"(C$4:C137,""Mine"")-COUNTIF(C$4:C137,""Sell_Mine""))*((47*2^COUNTIF(C$4:C137,""Mine_up""))*IF(COUNTIF(C$4:C137,""Super_up"")&gt;1,1+0.005*(COUNTIF(C$4:C137,""Grandma"")-COUNTIF(C$4:C137,""Sell_Grandma"")),1))+(COUNTIF(C$4:C137,""Factory"")-COUNTIF(C$4:C137,"&amp;"""Sell_Factory""))*(260*2^COUNTIF(C$4:C137,""Factory_up""))))"),"")</f>
        <v/>
      </c>
      <c r="F137" s="73" t="str">
        <f>IFERROR(__xludf.DUMMYFUNCTION("IF(COUNTA(C137:C147)=0,"""",IF(REGEXMATCH(INDEX(FILTER(C$4:C137,C$4:C137&lt;&gt;""""),ROWS(FILTER(C$4:C137,C$4:C137&lt;&gt;""""))),""^Sell_""),INDEX(FILTER(F$4:F136,C$4:C136&lt;&gt;""""),ROWS(FILTER(C$4:C136,C$4:C136&lt;&gt;""""))),$AC$5*(2^SWITCH(COUNTIF(C$4:C137,""Cursor_up"")"&amp;",0,0,1,1,2,2,3)+SWITCH(COUNTIF(C$4:C137,""Cursor_up""),4,0.1,0)*(ROW(C137)-4-COUNTIF(C$4:C137,""Cursor"")-COUNTIF(C$4:C137,""*""&amp;""_up"")-2*COUNTIF(C$4:C137,""Sell_""&amp;""*"")+COUNTIF(C$4:C137,""Sell_Cursor"")-COUNTIF(C$4:C137,""""))+0.01*E137*COUNTIF(C$4:C"&amp;"137,""Plastic_up""))+E137))"),"")</f>
        <v/>
      </c>
      <c r="G137" s="14" t="str">
        <f>IFERROR(__xludf.DUMMYFUNCTION("IF(COUNTA(C137:C147)=0,"""",IF(REGEXMATCH(C137,""_up""),VLOOKUP(C137,Upgrades!$F$3:$J$8,1+COUNTIF(C$4:C137,C137),FALSE),IF(C137="""",0,IF(REGEXMATCH(C137,""^Sell_""),-ROUNDDOWN(ROUNDUP(INDEX(Upgrades!$C$3:$C$8,MATCH(SUBSTITUTE(C137,""Sell_"",""""),Upgrade"&amp;"s!$B$3:$B$8,0))*1.15^(COUNTIF(C$4:C136,SUBSTITUTE(C137,""Sell_"",""""))-COUNTIF(C$4:C136,""Sell_""&amp;SUBSTITUTE(C137,""Sell_"",""""))))/4),ROUNDUP(INDEX(Upgrades!$C$3:$C$7,MATCH(C137,Upgrades!$B$3:$B$7,0))*1.15^(COUNTIF(C$4:C136,C137)-COUNTIF(C$4:C136,""Sel"&amp;"l_""&amp;C137)))))))"),"")</f>
        <v/>
      </c>
      <c r="H137" s="14" t="str">
        <f t="shared" si="3"/>
        <v/>
      </c>
      <c r="I137" s="75" t="str">
        <f t="shared" si="4"/>
        <v/>
      </c>
      <c r="J137" s="76" t="str">
        <f t="shared" si="5"/>
        <v/>
      </c>
      <c r="K137" s="71" t="str">
        <f t="shared" si="6"/>
        <v/>
      </c>
      <c r="L137" s="77" t="str">
        <f t="shared" si="7"/>
        <v/>
      </c>
      <c r="M137" s="51" t="str">
        <f t="shared" si="8"/>
        <v/>
      </c>
      <c r="N137" s="52" t="str">
        <f>IFERROR(__xludf.DUMMYFUNCTION("IFS(AND(COUNTA(C137:C147)=0,COUNTA(P137:P147)=0),"""",OR(AND(L137&gt;=1000000,OR(Y137&gt;=1000000,COUNTA(P137:P147)=0)),AND(Y137&gt;=1000000,COUNTA(C137:C147)=0),AND(COUNTA(P137:P147)=0,O$3=TRUE)),
ROUNDDOWN((AB$1-AC$1)*MAX(INDEX(S$4:S147,MATCH(LARGE(FILTER(Y$4:Y1"&amp;"47,Y$4:Y147&lt;1000000),1),Y$4:Y147)),INDEX(F$4:F147,MATCH(LARGE(FILTER(L$4:L147,L$4:L147&lt;1000000),1),L$4:L147)))),AND(L137&lt;1000000,COUNTA(C137:C147)&gt;0,O$3=FALSE),
ROUNDDOWN(INDEX(Y$4:Y147,MATCH(LARGE(FILTER(W$4:W147,W$4:W147&lt;=J137),1),W$4:W147))+(J137-LARGE"&amp;"(FILTER(W$4:W147,W$4:W147&lt;=J137),1))*INDEX(S$4:S147,MATCH(LARGE(FILTER(W$4:W147,W$4:W147&lt;=J137),1),W$4:W147))-L137),1,
ROUNDDOWN(Y137-INDEX(L$4:L147,MATCH(LARGE(FILTER(J$4:J147,J$4:J147&lt;=W137),1),J$4:J147))-(W137-LARGE(FILTER(J$4:J147,J$4:J147&lt;=W137),1))*"&amp;"INDEX(F$4:F147,MATCH(LARGE(FILTER(J$4:J147,J$4:J147&lt;=W137),1),J$4:J147))))"),"")</f>
        <v/>
      </c>
      <c r="O137" s="65" t="str">
        <f t="shared" si="9"/>
        <v/>
      </c>
      <c r="P137" s="15"/>
      <c r="Q137" s="14" t="str">
        <f>IFERROR(__xludf.DUMMYFUNCTION("IF(COUNTA(P137:P147)=0,"""",IFERROR(IF(ISBLANK(P137),FALSE,IF(ISBLANK(T137),1,IF(NOT(COUNTIF($AA$24:$AA$34,SUBSTITUTE(P137,""Sell_"",""""))),1,IF(P137=""Plastic_up"",IF(V137&lt;1000,1),IF(P137=""Super_Up"",IF(OR(COUNTIF(P$4:P137,""Grandma"")-COUNTIF(P$4:P137"&amp;",""Sell_Grandma"")&lt;1,COUNTIF(P$4:P137,VLOOKUP(P137,Upgrades!$F$8:$N$8,7+COUNTIF(P$4:P137,P137)))-COUNTIF(P$4:P137,""Sell_""&amp;VLOOKUP(P137,Upgrades!$F$8:$N$8,7+COUNTIF(P$4:P137,P137)))&lt;15),1),IF(REGEXMATCH(P137,""_up""),IF(COUNTIF(P$4:P137,SUBSTITUTE(P137,"&amp;"""_up"",""""))&lt;IFERROR(VLOOKUP(P137,Upgrades!$L$3:$P$6,1+COUNTIF(P$4:P137,P137),0),999),1),IF(REGEXMATCH(P137,""Sell_""),IF(COUNTIF(P$4:P137,SUBSTITUTE(P137,""Sell_"",""""))-COUNTIF(P$4:P136,P137)&lt;1,1),FALSE)))))))))"),"")</f>
        <v/>
      </c>
      <c r="R137" s="71" t="str">
        <f>IFERROR(__xludf.DUMMYFUNCTION("IF(REGEXMATCH(P137,""^Sell_""),R136, IF(COUNTA(P137:P147)=0,"""",(COUNTIF(P$4:P137,""Cursor"")-COUNTIF(P$4:P137,""Sell_Cursor""))*(0.1*2^SWITCH(COUNTIF(P$4:P137,""Cursor_up""),0,0,1,1,2,2,3)+SWITCH(COUNTIF(P$4:P137,""Cursor_up""),4,0.1,0)*(ROW(P137)-4-COU"&amp;"NTIF(P$4:P137,""Cursor"")-COUNTIF(P$4:P137,""*""&amp;""_up"")-2*COUNTIF(P$4:P137,""Sell_""&amp;""*"")+COUNTIF(P$4:P137,""Sell_Cursor"")-COUNTIF(P$4:P137,"""")))+(COUNTIF(P$4:P137,""Grandma"")-COUNTIF(P$4:P137,""Sell_Grandma""))*(1*2^(COUNTIF(P$4:P137,""Grandma_up"&amp;""")+COUNTIF(P$4:P137,""Super_up"")))+(COUNTIF(P$4:P137,""Farm"")-COUNTIF(P$4:P137,""Sell_Farm""))*(8*2^COUNTIF(P$4:P137,""Farm_up""))*IF(COUNTIF(P$4:P137,""Super_up"")&gt;0,1+0.01*(COUNTIF(P$4:P137,""Grandma"")-COUNTIF(P$4:P137,""Sell_Grandma"")),1)+(COUNTIF"&amp;"(P$4:P137,""Mine"")-COUNTIF(P$4:P137,""Sell_Mine""))*((47*2^COUNTIF(P$4:P137,""Mine_up""))*IF(COUNTIF(P$4:P137,""Super_up"")&gt;1,1+0.005*(COUNTIF(P$4:P137,""Grandma"")-COUNTIF(P$4:P137,""Sell_Grandma"")),1))+(COUNTIF(P$4:P137,""Factory"")-COUNTIF(P$4:P137,"&amp;"""Sell_Factory""))*(260*2^COUNTIF(P$4:P137,""Factory_up""))))"),"")</f>
        <v/>
      </c>
      <c r="S137" s="73" t="str">
        <f>IFERROR(__xludf.DUMMYFUNCTION("IF(COUNTA(P137:P147)=0,"""",IF(REGEXMATCH(INDEX(FILTER(P$4:P137,P$4:P137&lt;&gt;""""),ROWS(FILTER(P$4:P137,P$4:P137&lt;&gt;""""))),""^Sell_""),INDEX(FILTER(S$4:S136,P$4:P136&lt;&gt;""""),ROWS(FILTER(P$4:P136,P$4:P136&lt;&gt;""""))),$AD$5*(2^SWITCH(COUNTIF(P$4:P137,""Cursor_up"")"&amp;",0,0,1,1,2,2,3)+SWITCH(COUNTIF(P$4:P137,""Cursor_up""),4,0.1,0)*(ROW(P137)-4-COUNTIF(P$4:P137,""Cursor"")-COUNTIF(P$4:P137,""*""&amp;""_up"")-2*COUNTIF(P$4:P137,""Sell_""&amp;""*"")+COUNTIF(P$4:P137,""Sell_Cursor"")-COUNTIF(P$4:P137,""""))+0.01*R137*COUNTIF(P$4:P"&amp;"137,""Plastic_up""))+R137))"),"")</f>
        <v/>
      </c>
      <c r="T137" s="14" t="str">
        <f>IFERROR(__xludf.DUMMYFUNCTION("IF(COUNTA(P137:P147)=0,"""",IF(REGEXMATCH(P137,""_up""),VLOOKUP(P137,Upgrades!$F$3:$J$8,1+COUNTIF(P$4:P137,P137),FALSE),IF(P137="""",0,IF(REGEXMATCH(P137,""^Sell_""),-ROUNDDOWN(ROUNDUP(INDEX(Upgrades!$C$3:$C$8,MATCH(SUBSTITUTE(P137,""Sell_"",""""),Upgrade"&amp;"s!$B$3:$B$8,0))*1.15^(COUNTIF(P$4:P136,SUBSTITUTE(P137,""Sell_"",""""))-COUNTIF(P$4:P136,""Sell_""&amp;SUBSTITUTE(P137,""Sell_"",""""))))/4),ROUNDUP(INDEX(Upgrades!$C$3:$C$7,MATCH(P137,Upgrades!$B$3:$B$7,0))*1.15^(COUNTIF(P$4:P136,P137)-COUNTIF(P$4:P136,""Sel"&amp;"l_""&amp;P137)))))))"),"")</f>
        <v/>
      </c>
      <c r="U137" s="14" t="str">
        <f t="shared" si="10"/>
        <v/>
      </c>
      <c r="V137" s="75" t="str">
        <f t="shared" si="11"/>
        <v/>
      </c>
      <c r="W137" s="76" t="str">
        <f t="shared" si="12"/>
        <v/>
      </c>
      <c r="X137" s="71" t="str">
        <f t="shared" si="13"/>
        <v/>
      </c>
      <c r="Y137" s="77" t="str">
        <f t="shared" si="14"/>
        <v/>
      </c>
      <c r="Z137" s="17"/>
      <c r="AA137" s="13"/>
      <c r="AB137" s="13"/>
      <c r="AC137" s="13"/>
      <c r="AD137" s="13"/>
      <c r="AE137" s="13"/>
      <c r="AF137" s="13"/>
      <c r="AG137" s="13"/>
    </row>
    <row r="138">
      <c r="A138" s="12"/>
      <c r="B138" s="65" t="str">
        <f t="shared" si="2"/>
        <v/>
      </c>
      <c r="C138" s="66"/>
      <c r="D138" s="14" t="str">
        <f>IFERROR(__xludf.DUMMYFUNCTION("IF(COUNTA(C138:C147)=0,"""",IFERROR(IF(ISBLANK(C138),FALSE,IF(ISBLANK(G138),1,IF(NOT(COUNTIF($AA$24:$AA$34,SUBSTITUTE(C138,""Sell_"",""""))),1,IF(C138=""Plastic_up"",IF(I138&lt;1000,1),IF(C138=""Super_Up"",IF(OR(COUNTIF(C$4:C138,""Grandma"")-COUNTIF(C$4:C138"&amp;",""Sell_Grandma"")&lt;1,COUNTIF(C$4:C138,VLOOKUP(C138,Upgrades!$F$8:$N$8,7+COUNTIF(C$4:C138,C138)))-COUNTIF(C$4:C138,""Sell_""&amp;VLOOKUP(C138,Upgrades!$F$8:$N$8,7+COUNTIF(C$4:C138,C138)))&lt;15),1),IF(REGEXMATCH(C138,""_up""),IF(COUNTIF(C$4:C138,SUBSTITUTE(C138,"&amp;"""_up"",""""))&lt;IFERROR(VLOOKUP(C138,Upgrades!$L$3:$P$6,1+COUNTIF(C$4:C138,C138),0),999),1),IF(REGEXMATCH(C138,""Sell_""),IF(COUNTIF(C$4:C138,SUBSTITUTE(C138,""Sell_"",""""))-COUNTIF(C$4:C137,C138)&lt;1,1),FALSE)))))))))"),"")</f>
        <v/>
      </c>
      <c r="E138" s="71" t="str">
        <f>IFERROR(__xludf.DUMMYFUNCTION("IF(REGEXMATCH(C138,""^Sell_""),E137, IF(COUNTA(C138:C147)=0,"""",(COUNTIF(C$4:C138,""Cursor"")-COUNTIF(C$4:C138,""Sell_Cursor""))*(0.1*2^SWITCH(COUNTIF(C$4:C138,""Cursor_up""),0,0,1,1,2,2,3)+SWITCH(COUNTIF(C$4:C138,""Cursor_up""),4,0.1,0)*(ROW(C138)-4-COU"&amp;"NTIF(C$4:C138,""Cursor"")-COUNTIF(C$4:C138,""*""&amp;""_up"")-2*COUNTIF(C$4:C138,""Sell_""&amp;""*"")+COUNTIF(C$4:C138,""Sell_Cursor"")-COUNTIF(C$4:C138,"""")))+(COUNTIF(C$4:C138,""Grandma"")-COUNTIF(C$4:C138,""Sell_Grandma""))*(1*2^(COUNTIF(C$4:C138,""Grandma_up"&amp;""")+COUNTIF(C$4:C138,""Super_up"")))+(COUNTIF(C$4:C138,""Farm"")-COUNTIF(C$4:C138,""Sell_Farm""))*(8*2^COUNTIF(C$4:C138,""Farm_up""))*IF(COUNTIF(C$4:C138,""Super_up"")&gt;0,1+0.01*(COUNTIF(C$4:C138,""Grandma"")-COUNTIF(C$4:C138,""Sell_Grandma"")),1)+(COUNTIF"&amp;"(C$4:C138,""Mine"")-COUNTIF(C$4:C138,""Sell_Mine""))*((47*2^COUNTIF(C$4:C138,""Mine_up""))*IF(COUNTIF(C$4:C138,""Super_up"")&gt;1,1+0.005*(COUNTIF(C$4:C138,""Grandma"")-COUNTIF(C$4:C138,""Sell_Grandma"")),1))+(COUNTIF(C$4:C138,""Factory"")-COUNTIF(C$4:C138,"&amp;"""Sell_Factory""))*(260*2^COUNTIF(C$4:C138,""Factory_up""))))"),"")</f>
        <v/>
      </c>
      <c r="F138" s="73" t="str">
        <f>IFERROR(__xludf.DUMMYFUNCTION("IF(COUNTA(C138:C147)=0,"""",IF(REGEXMATCH(INDEX(FILTER(C$4:C138,C$4:C138&lt;&gt;""""),ROWS(FILTER(C$4:C138,C$4:C138&lt;&gt;""""))),""^Sell_""),INDEX(FILTER(F$4:F137,C$4:C137&lt;&gt;""""),ROWS(FILTER(C$4:C137,C$4:C137&lt;&gt;""""))),$AC$5*(2^SWITCH(COUNTIF(C$4:C138,""Cursor_up"")"&amp;",0,0,1,1,2,2,3)+SWITCH(COUNTIF(C$4:C138,""Cursor_up""),4,0.1,0)*(ROW(C138)-4-COUNTIF(C$4:C138,""Cursor"")-COUNTIF(C$4:C138,""*""&amp;""_up"")-2*COUNTIF(C$4:C138,""Sell_""&amp;""*"")+COUNTIF(C$4:C138,""Sell_Cursor"")-COUNTIF(C$4:C138,""""))+0.01*E138*COUNTIF(C$4:C"&amp;"138,""Plastic_up""))+E138))"),"")</f>
        <v/>
      </c>
      <c r="G138" s="14" t="str">
        <f>IFERROR(__xludf.DUMMYFUNCTION("IF(COUNTA(C138:C147)=0,"""",IF(REGEXMATCH(C138,""_up""),VLOOKUP(C138,Upgrades!$F$3:$J$8,1+COUNTIF(C$4:C138,C138),FALSE),IF(C138="""",0,IF(REGEXMATCH(C138,""^Sell_""),-ROUNDDOWN(ROUNDUP(INDEX(Upgrades!$C$3:$C$8,MATCH(SUBSTITUTE(C138,""Sell_"",""""),Upgrade"&amp;"s!$B$3:$B$8,0))*1.15^(COUNTIF(C$4:C137,SUBSTITUTE(C138,""Sell_"",""""))-COUNTIF(C$4:C137,""Sell_""&amp;SUBSTITUTE(C138,""Sell_"",""""))))/4),ROUNDUP(INDEX(Upgrades!$C$3:$C$7,MATCH(C138,Upgrades!$B$3:$B$7,0))*1.15^(COUNTIF(C$4:C137,C138)-COUNTIF(C$4:C137,""Sel"&amp;"l_""&amp;C138)))))))"),"")</f>
        <v/>
      </c>
      <c r="H138" s="14" t="str">
        <f t="shared" si="3"/>
        <v/>
      </c>
      <c r="I138" s="75" t="str">
        <f t="shared" si="4"/>
        <v/>
      </c>
      <c r="J138" s="76" t="str">
        <f t="shared" si="5"/>
        <v/>
      </c>
      <c r="K138" s="71" t="str">
        <f t="shared" si="6"/>
        <v/>
      </c>
      <c r="L138" s="77" t="str">
        <f t="shared" si="7"/>
        <v/>
      </c>
      <c r="M138" s="51" t="str">
        <f t="shared" si="8"/>
        <v/>
      </c>
      <c r="N138" s="52" t="str">
        <f>IFERROR(__xludf.DUMMYFUNCTION("IFS(AND(COUNTA(C138:C147)=0,COUNTA(P138:P147)=0),"""",OR(AND(L138&gt;=1000000,OR(Y138&gt;=1000000,COUNTA(P138:P147)=0)),AND(Y138&gt;=1000000,COUNTA(C138:C147)=0),AND(COUNTA(P138:P147)=0,O$3=TRUE)),
ROUNDDOWN((AB$1-AC$1)*MAX(INDEX(S$4:S147,MATCH(LARGE(FILTER(Y$4:Y1"&amp;"47,Y$4:Y147&lt;1000000),1),Y$4:Y147)),INDEX(F$4:F147,MATCH(LARGE(FILTER(L$4:L147,L$4:L147&lt;1000000),1),L$4:L147)))),AND(L138&lt;1000000,COUNTA(C138:C147)&gt;0,O$3=FALSE),
ROUNDDOWN(INDEX(Y$4:Y147,MATCH(LARGE(FILTER(W$4:W147,W$4:W147&lt;=J138),1),W$4:W147))+(J138-LARGE"&amp;"(FILTER(W$4:W147,W$4:W147&lt;=J138),1))*INDEX(S$4:S147,MATCH(LARGE(FILTER(W$4:W147,W$4:W147&lt;=J138),1),W$4:W147))-L138),1,
ROUNDDOWN(Y138-INDEX(L$4:L147,MATCH(LARGE(FILTER(J$4:J147,J$4:J147&lt;=W138),1),J$4:J147))-(W138-LARGE(FILTER(J$4:J147,J$4:J147&lt;=W138),1))*"&amp;"INDEX(F$4:F147,MATCH(LARGE(FILTER(J$4:J147,J$4:J147&lt;=W138),1),J$4:J147))))"),"")</f>
        <v/>
      </c>
      <c r="O138" s="65" t="str">
        <f t="shared" si="9"/>
        <v/>
      </c>
      <c r="P138" s="15"/>
      <c r="Q138" s="14" t="str">
        <f>IFERROR(__xludf.DUMMYFUNCTION("IF(COUNTA(P138:P147)=0,"""",IFERROR(IF(ISBLANK(P138),FALSE,IF(ISBLANK(T138),1,IF(NOT(COUNTIF($AA$24:$AA$34,SUBSTITUTE(P138,""Sell_"",""""))),1,IF(P138=""Plastic_up"",IF(V138&lt;1000,1),IF(P138=""Super_Up"",IF(OR(COUNTIF(P$4:P138,""Grandma"")-COUNTIF(P$4:P138"&amp;",""Sell_Grandma"")&lt;1,COUNTIF(P$4:P138,VLOOKUP(P138,Upgrades!$F$8:$N$8,7+COUNTIF(P$4:P138,P138)))-COUNTIF(P$4:P138,""Sell_""&amp;VLOOKUP(P138,Upgrades!$F$8:$N$8,7+COUNTIF(P$4:P138,P138)))&lt;15),1),IF(REGEXMATCH(P138,""_up""),IF(COUNTIF(P$4:P138,SUBSTITUTE(P138,"&amp;"""_up"",""""))&lt;IFERROR(VLOOKUP(P138,Upgrades!$L$3:$P$6,1+COUNTIF(P$4:P138,P138),0),999),1),IF(REGEXMATCH(P138,""Sell_""),IF(COUNTIF(P$4:P138,SUBSTITUTE(P138,""Sell_"",""""))-COUNTIF(P$4:P137,P138)&lt;1,1),FALSE)))))))))"),"")</f>
        <v/>
      </c>
      <c r="R138" s="71" t="str">
        <f>IFERROR(__xludf.DUMMYFUNCTION("IF(REGEXMATCH(P138,""^Sell_""),R137, IF(COUNTA(P138:P147)=0,"""",(COUNTIF(P$4:P138,""Cursor"")-COUNTIF(P$4:P138,""Sell_Cursor""))*(0.1*2^SWITCH(COUNTIF(P$4:P138,""Cursor_up""),0,0,1,1,2,2,3)+SWITCH(COUNTIF(P$4:P138,""Cursor_up""),4,0.1,0)*(ROW(P138)-4-COU"&amp;"NTIF(P$4:P138,""Cursor"")-COUNTIF(P$4:P138,""*""&amp;""_up"")-2*COUNTIF(P$4:P138,""Sell_""&amp;""*"")+COUNTIF(P$4:P138,""Sell_Cursor"")-COUNTIF(P$4:P138,"""")))+(COUNTIF(P$4:P138,""Grandma"")-COUNTIF(P$4:P138,""Sell_Grandma""))*(1*2^(COUNTIF(P$4:P138,""Grandma_up"&amp;""")+COUNTIF(P$4:P138,""Super_up"")))+(COUNTIF(P$4:P138,""Farm"")-COUNTIF(P$4:P138,""Sell_Farm""))*(8*2^COUNTIF(P$4:P138,""Farm_up""))*IF(COUNTIF(P$4:P138,""Super_up"")&gt;0,1+0.01*(COUNTIF(P$4:P138,""Grandma"")-COUNTIF(P$4:P138,""Sell_Grandma"")),1)+(COUNTIF"&amp;"(P$4:P138,""Mine"")-COUNTIF(P$4:P138,""Sell_Mine""))*((47*2^COUNTIF(P$4:P138,""Mine_up""))*IF(COUNTIF(P$4:P138,""Super_up"")&gt;1,1+0.005*(COUNTIF(P$4:P138,""Grandma"")-COUNTIF(P$4:P138,""Sell_Grandma"")),1))+(COUNTIF(P$4:P138,""Factory"")-COUNTIF(P$4:P138,"&amp;"""Sell_Factory""))*(260*2^COUNTIF(P$4:P138,""Factory_up""))))"),"")</f>
        <v/>
      </c>
      <c r="S138" s="73" t="str">
        <f>IFERROR(__xludf.DUMMYFUNCTION("IF(COUNTA(P138:P147)=0,"""",IF(REGEXMATCH(INDEX(FILTER(P$4:P138,P$4:P138&lt;&gt;""""),ROWS(FILTER(P$4:P138,P$4:P138&lt;&gt;""""))),""^Sell_""),INDEX(FILTER(S$4:S137,P$4:P137&lt;&gt;""""),ROWS(FILTER(P$4:P137,P$4:P137&lt;&gt;""""))),$AD$5*(2^SWITCH(COUNTIF(P$4:P138,""Cursor_up"")"&amp;",0,0,1,1,2,2,3)+SWITCH(COUNTIF(P$4:P138,""Cursor_up""),4,0.1,0)*(ROW(P138)-4-COUNTIF(P$4:P138,""Cursor"")-COUNTIF(P$4:P138,""*""&amp;""_up"")-2*COUNTIF(P$4:P138,""Sell_""&amp;""*"")+COUNTIF(P$4:P138,""Sell_Cursor"")-COUNTIF(P$4:P138,""""))+0.01*R138*COUNTIF(P$4:P"&amp;"138,""Plastic_up""))+R138))"),"")</f>
        <v/>
      </c>
      <c r="T138" s="14" t="str">
        <f>IFERROR(__xludf.DUMMYFUNCTION("IF(COUNTA(P138:P147)=0,"""",IF(REGEXMATCH(P138,""_up""),VLOOKUP(P138,Upgrades!$F$3:$J$8,1+COUNTIF(P$4:P138,P138),FALSE),IF(P138="""",0,IF(REGEXMATCH(P138,""^Sell_""),-ROUNDDOWN(ROUNDUP(INDEX(Upgrades!$C$3:$C$8,MATCH(SUBSTITUTE(P138,""Sell_"",""""),Upgrade"&amp;"s!$B$3:$B$8,0))*1.15^(COUNTIF(P$4:P137,SUBSTITUTE(P138,""Sell_"",""""))-COUNTIF(P$4:P137,""Sell_""&amp;SUBSTITUTE(P138,""Sell_"",""""))))/4),ROUNDUP(INDEX(Upgrades!$C$3:$C$7,MATCH(P138,Upgrades!$B$3:$B$7,0))*1.15^(COUNTIF(P$4:P137,P138)-COUNTIF(P$4:P137,""Sel"&amp;"l_""&amp;P138)))))))"),"")</f>
        <v/>
      </c>
      <c r="U138" s="14" t="str">
        <f t="shared" si="10"/>
        <v/>
      </c>
      <c r="V138" s="75" t="str">
        <f t="shared" si="11"/>
        <v/>
      </c>
      <c r="W138" s="76" t="str">
        <f t="shared" si="12"/>
        <v/>
      </c>
      <c r="X138" s="71" t="str">
        <f t="shared" si="13"/>
        <v/>
      </c>
      <c r="Y138" s="77" t="str">
        <f t="shared" si="14"/>
        <v/>
      </c>
      <c r="Z138" s="17"/>
      <c r="AA138" s="13"/>
      <c r="AB138" s="13"/>
      <c r="AC138" s="13"/>
      <c r="AD138" s="13"/>
      <c r="AE138" s="13"/>
      <c r="AF138" s="13"/>
      <c r="AG138" s="13"/>
    </row>
    <row r="139">
      <c r="A139" s="12"/>
      <c r="B139" s="65" t="str">
        <f t="shared" si="2"/>
        <v/>
      </c>
      <c r="C139" s="66"/>
      <c r="D139" s="14" t="str">
        <f>IFERROR(__xludf.DUMMYFUNCTION("IF(COUNTA(C139:C147)=0,"""",IFERROR(IF(ISBLANK(C139),FALSE,IF(ISBLANK(G139),1,IF(NOT(COUNTIF($AA$24:$AA$34,SUBSTITUTE(C139,""Sell_"",""""))),1,IF(C139=""Plastic_up"",IF(I139&lt;1000,1),IF(C139=""Super_Up"",IF(OR(COUNTIF(C$4:C139,""Grandma"")-COUNTIF(C$4:C139"&amp;",""Sell_Grandma"")&lt;1,COUNTIF(C$4:C139,VLOOKUP(C139,Upgrades!$F$8:$N$8,7+COUNTIF(C$4:C139,C139)))-COUNTIF(C$4:C139,""Sell_""&amp;VLOOKUP(C139,Upgrades!$F$8:$N$8,7+COUNTIF(C$4:C139,C139)))&lt;15),1),IF(REGEXMATCH(C139,""_up""),IF(COUNTIF(C$4:C139,SUBSTITUTE(C139,"&amp;"""_up"",""""))&lt;IFERROR(VLOOKUP(C139,Upgrades!$L$3:$P$6,1+COUNTIF(C$4:C139,C139),0),999),1),IF(REGEXMATCH(C139,""Sell_""),IF(COUNTIF(C$4:C139,SUBSTITUTE(C139,""Sell_"",""""))-COUNTIF(C$4:C138,C139)&lt;1,1),FALSE)))))))))"),"")</f>
        <v/>
      </c>
      <c r="E139" s="71" t="str">
        <f>IFERROR(__xludf.DUMMYFUNCTION("IF(REGEXMATCH(C139,""^Sell_""),E138, IF(COUNTA(C139:C147)=0,"""",(COUNTIF(C$4:C139,""Cursor"")-COUNTIF(C$4:C139,""Sell_Cursor""))*(0.1*2^SWITCH(COUNTIF(C$4:C139,""Cursor_up""),0,0,1,1,2,2,3)+SWITCH(COUNTIF(C$4:C139,""Cursor_up""),4,0.1,0)*(ROW(C139)-4-COU"&amp;"NTIF(C$4:C139,""Cursor"")-COUNTIF(C$4:C139,""*""&amp;""_up"")-2*COUNTIF(C$4:C139,""Sell_""&amp;""*"")+COUNTIF(C$4:C139,""Sell_Cursor"")-COUNTIF(C$4:C139,"""")))+(COUNTIF(C$4:C139,""Grandma"")-COUNTIF(C$4:C139,""Sell_Grandma""))*(1*2^(COUNTIF(C$4:C139,""Grandma_up"&amp;""")+COUNTIF(C$4:C139,""Super_up"")))+(COUNTIF(C$4:C139,""Farm"")-COUNTIF(C$4:C139,""Sell_Farm""))*(8*2^COUNTIF(C$4:C139,""Farm_up""))*IF(COUNTIF(C$4:C139,""Super_up"")&gt;0,1+0.01*(COUNTIF(C$4:C139,""Grandma"")-COUNTIF(C$4:C139,""Sell_Grandma"")),1)+(COUNTIF"&amp;"(C$4:C139,""Mine"")-COUNTIF(C$4:C139,""Sell_Mine""))*((47*2^COUNTIF(C$4:C139,""Mine_up""))*IF(COUNTIF(C$4:C139,""Super_up"")&gt;1,1+0.005*(COUNTIF(C$4:C139,""Grandma"")-COUNTIF(C$4:C139,""Sell_Grandma"")),1))+(COUNTIF(C$4:C139,""Factory"")-COUNTIF(C$4:C139,"&amp;"""Sell_Factory""))*(260*2^COUNTIF(C$4:C139,""Factory_up""))))"),"")</f>
        <v/>
      </c>
      <c r="F139" s="73" t="str">
        <f>IFERROR(__xludf.DUMMYFUNCTION("IF(COUNTA(C139:C147)=0,"""",IF(REGEXMATCH(INDEX(FILTER(C$4:C139,C$4:C139&lt;&gt;""""),ROWS(FILTER(C$4:C139,C$4:C139&lt;&gt;""""))),""^Sell_""),INDEX(FILTER(F$4:F138,C$4:C138&lt;&gt;""""),ROWS(FILTER(C$4:C138,C$4:C138&lt;&gt;""""))),$AC$5*(2^SWITCH(COUNTIF(C$4:C139,""Cursor_up"")"&amp;",0,0,1,1,2,2,3)+SWITCH(COUNTIF(C$4:C139,""Cursor_up""),4,0.1,0)*(ROW(C139)-4-COUNTIF(C$4:C139,""Cursor"")-COUNTIF(C$4:C139,""*""&amp;""_up"")-2*COUNTIF(C$4:C139,""Sell_""&amp;""*"")+COUNTIF(C$4:C139,""Sell_Cursor"")-COUNTIF(C$4:C139,""""))+0.01*E139*COUNTIF(C$4:C"&amp;"139,""Plastic_up""))+E139))"),"")</f>
        <v/>
      </c>
      <c r="G139" s="14" t="str">
        <f>IFERROR(__xludf.DUMMYFUNCTION("IF(COUNTA(C139:C147)=0,"""",IF(REGEXMATCH(C139,""_up""),VLOOKUP(C139,Upgrades!$F$3:$J$8,1+COUNTIF(C$4:C139,C139),FALSE),IF(C139="""",0,IF(REGEXMATCH(C139,""^Sell_""),-ROUNDDOWN(ROUNDUP(INDEX(Upgrades!$C$3:$C$8,MATCH(SUBSTITUTE(C139,""Sell_"",""""),Upgrade"&amp;"s!$B$3:$B$8,0))*1.15^(COUNTIF(C$4:C138,SUBSTITUTE(C139,""Sell_"",""""))-COUNTIF(C$4:C138,""Sell_""&amp;SUBSTITUTE(C139,""Sell_"",""""))))/4),ROUNDUP(INDEX(Upgrades!$C$3:$C$7,MATCH(C139,Upgrades!$B$3:$B$7,0))*1.15^(COUNTIF(C$4:C138,C139)-COUNTIF(C$4:C138,""Sel"&amp;"l_""&amp;C139)))))))"),"")</f>
        <v/>
      </c>
      <c r="H139" s="14" t="str">
        <f t="shared" si="3"/>
        <v/>
      </c>
      <c r="I139" s="75" t="str">
        <f t="shared" si="4"/>
        <v/>
      </c>
      <c r="J139" s="76" t="str">
        <f t="shared" si="5"/>
        <v/>
      </c>
      <c r="K139" s="71" t="str">
        <f t="shared" si="6"/>
        <v/>
      </c>
      <c r="L139" s="77" t="str">
        <f t="shared" si="7"/>
        <v/>
      </c>
      <c r="M139" s="51" t="str">
        <f t="shared" si="8"/>
        <v/>
      </c>
      <c r="N139" s="52" t="str">
        <f>IFERROR(__xludf.DUMMYFUNCTION("IFS(AND(COUNTA(C139:C147)=0,COUNTA(P139:P147)=0),"""",OR(AND(L139&gt;=1000000,OR(Y139&gt;=1000000,COUNTA(P139:P147)=0)),AND(Y139&gt;=1000000,COUNTA(C139:C147)=0),AND(COUNTA(P139:P147)=0,O$3=TRUE)),
ROUNDDOWN((AB$1-AC$1)*MAX(INDEX(S$4:S147,MATCH(LARGE(FILTER(Y$4:Y1"&amp;"47,Y$4:Y147&lt;1000000),1),Y$4:Y147)),INDEX(F$4:F147,MATCH(LARGE(FILTER(L$4:L147,L$4:L147&lt;1000000),1),L$4:L147)))),AND(L139&lt;1000000,COUNTA(C139:C147)&gt;0,O$3=FALSE),
ROUNDDOWN(INDEX(Y$4:Y147,MATCH(LARGE(FILTER(W$4:W147,W$4:W147&lt;=J139),1),W$4:W147))+(J139-LARGE"&amp;"(FILTER(W$4:W147,W$4:W147&lt;=J139),1))*INDEX(S$4:S147,MATCH(LARGE(FILTER(W$4:W147,W$4:W147&lt;=J139),1),W$4:W147))-L139),1,
ROUNDDOWN(Y139-INDEX(L$4:L147,MATCH(LARGE(FILTER(J$4:J147,J$4:J147&lt;=W139),1),J$4:J147))-(W139-LARGE(FILTER(J$4:J147,J$4:J147&lt;=W139),1))*"&amp;"INDEX(F$4:F147,MATCH(LARGE(FILTER(J$4:J147,J$4:J147&lt;=W139),1),J$4:J147))))"),"")</f>
        <v/>
      </c>
      <c r="O139" s="65" t="str">
        <f t="shared" si="9"/>
        <v/>
      </c>
      <c r="P139" s="15"/>
      <c r="Q139" s="14" t="str">
        <f>IFERROR(__xludf.DUMMYFUNCTION("IF(COUNTA(P139:P147)=0,"""",IFERROR(IF(ISBLANK(P139),FALSE,IF(ISBLANK(T139),1,IF(NOT(COUNTIF($AA$24:$AA$34,SUBSTITUTE(P139,""Sell_"",""""))),1,IF(P139=""Plastic_up"",IF(V139&lt;1000,1),IF(P139=""Super_Up"",IF(OR(COUNTIF(P$4:P139,""Grandma"")-COUNTIF(P$4:P139"&amp;",""Sell_Grandma"")&lt;1,COUNTIF(P$4:P139,VLOOKUP(P139,Upgrades!$F$8:$N$8,7+COUNTIF(P$4:P139,P139)))-COUNTIF(P$4:P139,""Sell_""&amp;VLOOKUP(P139,Upgrades!$F$8:$N$8,7+COUNTIF(P$4:P139,P139)))&lt;15),1),IF(REGEXMATCH(P139,""_up""),IF(COUNTIF(P$4:P139,SUBSTITUTE(P139,"&amp;"""_up"",""""))&lt;IFERROR(VLOOKUP(P139,Upgrades!$L$3:$P$6,1+COUNTIF(P$4:P139,P139),0),999),1),IF(REGEXMATCH(P139,""Sell_""),IF(COUNTIF(P$4:P139,SUBSTITUTE(P139,""Sell_"",""""))-COUNTIF(P$4:P138,P139)&lt;1,1),FALSE)))))))))"),"")</f>
        <v/>
      </c>
      <c r="R139" s="71" t="str">
        <f>IFERROR(__xludf.DUMMYFUNCTION("IF(REGEXMATCH(P139,""^Sell_""),R138, IF(COUNTA(P139:P147)=0,"""",(COUNTIF(P$4:P139,""Cursor"")-COUNTIF(P$4:P139,""Sell_Cursor""))*(0.1*2^SWITCH(COUNTIF(P$4:P139,""Cursor_up""),0,0,1,1,2,2,3)+SWITCH(COUNTIF(P$4:P139,""Cursor_up""),4,0.1,0)*(ROW(P139)-4-COU"&amp;"NTIF(P$4:P139,""Cursor"")-COUNTIF(P$4:P139,""*""&amp;""_up"")-2*COUNTIF(P$4:P139,""Sell_""&amp;""*"")+COUNTIF(P$4:P139,""Sell_Cursor"")-COUNTIF(P$4:P139,"""")))+(COUNTIF(P$4:P139,""Grandma"")-COUNTIF(P$4:P139,""Sell_Grandma""))*(1*2^(COUNTIF(P$4:P139,""Grandma_up"&amp;""")+COUNTIF(P$4:P139,""Super_up"")))+(COUNTIF(P$4:P139,""Farm"")-COUNTIF(P$4:P139,""Sell_Farm""))*(8*2^COUNTIF(P$4:P139,""Farm_up""))*IF(COUNTIF(P$4:P139,""Super_up"")&gt;0,1+0.01*(COUNTIF(P$4:P139,""Grandma"")-COUNTIF(P$4:P139,""Sell_Grandma"")),1)+(COUNTIF"&amp;"(P$4:P139,""Mine"")-COUNTIF(P$4:P139,""Sell_Mine""))*((47*2^COUNTIF(P$4:P139,""Mine_up""))*IF(COUNTIF(P$4:P139,""Super_up"")&gt;1,1+0.005*(COUNTIF(P$4:P139,""Grandma"")-COUNTIF(P$4:P139,""Sell_Grandma"")),1))+(COUNTIF(P$4:P139,""Factory"")-COUNTIF(P$4:P139,"&amp;"""Sell_Factory""))*(260*2^COUNTIF(P$4:P139,""Factory_up""))))"),"")</f>
        <v/>
      </c>
      <c r="S139" s="73" t="str">
        <f>IFERROR(__xludf.DUMMYFUNCTION("IF(COUNTA(P139:P147)=0,"""",IF(REGEXMATCH(INDEX(FILTER(P$4:P139,P$4:P139&lt;&gt;""""),ROWS(FILTER(P$4:P139,P$4:P139&lt;&gt;""""))),""^Sell_""),INDEX(FILTER(S$4:S138,P$4:P138&lt;&gt;""""),ROWS(FILTER(P$4:P138,P$4:P138&lt;&gt;""""))),$AD$5*(2^SWITCH(COUNTIF(P$4:P139,""Cursor_up"")"&amp;",0,0,1,1,2,2,3)+SWITCH(COUNTIF(P$4:P139,""Cursor_up""),4,0.1,0)*(ROW(P139)-4-COUNTIF(P$4:P139,""Cursor"")-COUNTIF(P$4:P139,""*""&amp;""_up"")-2*COUNTIF(P$4:P139,""Sell_""&amp;""*"")+COUNTIF(P$4:P139,""Sell_Cursor"")-COUNTIF(P$4:P139,""""))+0.01*R139*COUNTIF(P$4:P"&amp;"139,""Plastic_up""))+R139))"),"")</f>
        <v/>
      </c>
      <c r="T139" s="14" t="str">
        <f>IFERROR(__xludf.DUMMYFUNCTION("IF(COUNTA(P139:P147)=0,"""",IF(REGEXMATCH(P139,""_up""),VLOOKUP(P139,Upgrades!$F$3:$J$8,1+COUNTIF(P$4:P139,P139),FALSE),IF(P139="""",0,IF(REGEXMATCH(P139,""^Sell_""),-ROUNDDOWN(ROUNDUP(INDEX(Upgrades!$C$3:$C$8,MATCH(SUBSTITUTE(P139,""Sell_"",""""),Upgrade"&amp;"s!$B$3:$B$8,0))*1.15^(COUNTIF(P$4:P138,SUBSTITUTE(P139,""Sell_"",""""))-COUNTIF(P$4:P138,""Sell_""&amp;SUBSTITUTE(P139,""Sell_"",""""))))/4),ROUNDUP(INDEX(Upgrades!$C$3:$C$7,MATCH(P139,Upgrades!$B$3:$B$7,0))*1.15^(COUNTIF(P$4:P138,P139)-COUNTIF(P$4:P138,""Sel"&amp;"l_""&amp;P139)))))))"),"")</f>
        <v/>
      </c>
      <c r="U139" s="14" t="str">
        <f t="shared" si="10"/>
        <v/>
      </c>
      <c r="V139" s="75" t="str">
        <f t="shared" si="11"/>
        <v/>
      </c>
      <c r="W139" s="76" t="str">
        <f t="shared" si="12"/>
        <v/>
      </c>
      <c r="X139" s="71" t="str">
        <f t="shared" si="13"/>
        <v/>
      </c>
      <c r="Y139" s="77" t="str">
        <f t="shared" si="14"/>
        <v/>
      </c>
      <c r="Z139" s="17"/>
      <c r="AA139" s="13"/>
      <c r="AB139" s="13"/>
      <c r="AC139" s="13"/>
      <c r="AD139" s="13"/>
      <c r="AE139" s="13"/>
      <c r="AF139" s="13"/>
      <c r="AG139" s="13"/>
    </row>
    <row r="140">
      <c r="A140" s="12"/>
      <c r="B140" s="65" t="str">
        <f t="shared" si="2"/>
        <v/>
      </c>
      <c r="C140" s="66"/>
      <c r="D140" s="14" t="str">
        <f>IFERROR(__xludf.DUMMYFUNCTION("IF(COUNTA(C140:C147)=0,"""",IFERROR(IF(ISBLANK(C140),FALSE,IF(ISBLANK(G140),1,IF(NOT(COUNTIF($AA$24:$AA$34,SUBSTITUTE(C140,""Sell_"",""""))),1,IF(C140=""Plastic_up"",IF(I140&lt;1000,1),IF(C140=""Super_Up"",IF(OR(COUNTIF(C$4:C140,""Grandma"")-COUNTIF(C$4:C140"&amp;",""Sell_Grandma"")&lt;1,COUNTIF(C$4:C140,VLOOKUP(C140,Upgrades!$F$8:$N$8,7+COUNTIF(C$4:C140,C140)))-COUNTIF(C$4:C140,""Sell_""&amp;VLOOKUP(C140,Upgrades!$F$8:$N$8,7+COUNTIF(C$4:C140,C140)))&lt;15),1),IF(REGEXMATCH(C140,""_up""),IF(COUNTIF(C$4:C140,SUBSTITUTE(C140,"&amp;"""_up"",""""))&lt;IFERROR(VLOOKUP(C140,Upgrades!$L$3:$P$6,1+COUNTIF(C$4:C140,C140),0),999),1),IF(REGEXMATCH(C140,""Sell_""),IF(COUNTIF(C$4:C140,SUBSTITUTE(C140,""Sell_"",""""))-COUNTIF(C$4:C139,C140)&lt;1,1),FALSE)))))))))"),"")</f>
        <v/>
      </c>
      <c r="E140" s="71" t="str">
        <f>IFERROR(__xludf.DUMMYFUNCTION("IF(REGEXMATCH(C140,""^Sell_""),E139, IF(COUNTA(C140:C147)=0,"""",(COUNTIF(C$4:C140,""Cursor"")-COUNTIF(C$4:C140,""Sell_Cursor""))*(0.1*2^SWITCH(COUNTIF(C$4:C140,""Cursor_up""),0,0,1,1,2,2,3)+SWITCH(COUNTIF(C$4:C140,""Cursor_up""),4,0.1,0)*(ROW(C140)-4-COU"&amp;"NTIF(C$4:C140,""Cursor"")-COUNTIF(C$4:C140,""*""&amp;""_up"")-2*COUNTIF(C$4:C140,""Sell_""&amp;""*"")+COUNTIF(C$4:C140,""Sell_Cursor"")-COUNTIF(C$4:C140,"""")))+(COUNTIF(C$4:C140,""Grandma"")-COUNTIF(C$4:C140,""Sell_Grandma""))*(1*2^(COUNTIF(C$4:C140,""Grandma_up"&amp;""")+COUNTIF(C$4:C140,""Super_up"")))+(COUNTIF(C$4:C140,""Farm"")-COUNTIF(C$4:C140,""Sell_Farm""))*(8*2^COUNTIF(C$4:C140,""Farm_up""))*IF(COUNTIF(C$4:C140,""Super_up"")&gt;0,1+0.01*(COUNTIF(C$4:C140,""Grandma"")-COUNTIF(C$4:C140,""Sell_Grandma"")),1)+(COUNTIF"&amp;"(C$4:C140,""Mine"")-COUNTIF(C$4:C140,""Sell_Mine""))*((47*2^COUNTIF(C$4:C140,""Mine_up""))*IF(COUNTIF(C$4:C140,""Super_up"")&gt;1,1+0.005*(COUNTIF(C$4:C140,""Grandma"")-COUNTIF(C$4:C140,""Sell_Grandma"")),1))+(COUNTIF(C$4:C140,""Factory"")-COUNTIF(C$4:C140,"&amp;"""Sell_Factory""))*(260*2^COUNTIF(C$4:C140,""Factory_up""))))"),"")</f>
        <v/>
      </c>
      <c r="F140" s="73" t="str">
        <f>IFERROR(__xludf.DUMMYFUNCTION("IF(COUNTA(C140:C147)=0,"""",IF(REGEXMATCH(INDEX(FILTER(C$4:C140,C$4:C140&lt;&gt;""""),ROWS(FILTER(C$4:C140,C$4:C140&lt;&gt;""""))),""^Sell_""),INDEX(FILTER(F$4:F139,C$4:C139&lt;&gt;""""),ROWS(FILTER(C$4:C139,C$4:C139&lt;&gt;""""))),$AC$5*(2^SWITCH(COUNTIF(C$4:C140,""Cursor_up"")"&amp;",0,0,1,1,2,2,3)+SWITCH(COUNTIF(C$4:C140,""Cursor_up""),4,0.1,0)*(ROW(C140)-4-COUNTIF(C$4:C140,""Cursor"")-COUNTIF(C$4:C140,""*""&amp;""_up"")-2*COUNTIF(C$4:C140,""Sell_""&amp;""*"")+COUNTIF(C$4:C140,""Sell_Cursor"")-COUNTIF(C$4:C140,""""))+0.01*E140*COUNTIF(C$4:C"&amp;"140,""Plastic_up""))+E140))"),"")</f>
        <v/>
      </c>
      <c r="G140" s="14" t="str">
        <f>IFERROR(__xludf.DUMMYFUNCTION("IF(COUNTA(C140:C147)=0,"""",IF(REGEXMATCH(C140,""_up""),VLOOKUP(C140,Upgrades!$F$3:$J$8,1+COUNTIF(C$4:C140,C140),FALSE),IF(C140="""",0,IF(REGEXMATCH(C140,""^Sell_""),-ROUNDDOWN(ROUNDUP(INDEX(Upgrades!$C$3:$C$8,MATCH(SUBSTITUTE(C140,""Sell_"",""""),Upgrade"&amp;"s!$B$3:$B$8,0))*1.15^(COUNTIF(C$4:C139,SUBSTITUTE(C140,""Sell_"",""""))-COUNTIF(C$4:C139,""Sell_""&amp;SUBSTITUTE(C140,""Sell_"",""""))))/4),ROUNDUP(INDEX(Upgrades!$C$3:$C$7,MATCH(C140,Upgrades!$B$3:$B$7,0))*1.15^(COUNTIF(C$4:C139,C140)-COUNTIF(C$4:C139,""Sel"&amp;"l_""&amp;C140)))))))"),"")</f>
        <v/>
      </c>
      <c r="H140" s="14" t="str">
        <f t="shared" si="3"/>
        <v/>
      </c>
      <c r="I140" s="75" t="str">
        <f t="shared" si="4"/>
        <v/>
      </c>
      <c r="J140" s="76" t="str">
        <f t="shared" si="5"/>
        <v/>
      </c>
      <c r="K140" s="71" t="str">
        <f t="shared" si="6"/>
        <v/>
      </c>
      <c r="L140" s="77" t="str">
        <f t="shared" si="7"/>
        <v/>
      </c>
      <c r="M140" s="51" t="str">
        <f t="shared" si="8"/>
        <v/>
      </c>
      <c r="N140" s="52" t="str">
        <f>IFERROR(__xludf.DUMMYFUNCTION("IFS(AND(COUNTA(C140:C147)=0,COUNTA(P140:P147)=0),"""",OR(AND(L140&gt;=1000000,OR(Y140&gt;=1000000,COUNTA(P140:P147)=0)),AND(Y140&gt;=1000000,COUNTA(C140:C147)=0),AND(COUNTA(P140:P147)=0,O$3=TRUE)),
ROUNDDOWN((AB$1-AC$1)*MAX(INDEX(S$4:S147,MATCH(LARGE(FILTER(Y$4:Y1"&amp;"47,Y$4:Y147&lt;1000000),1),Y$4:Y147)),INDEX(F$4:F147,MATCH(LARGE(FILTER(L$4:L147,L$4:L147&lt;1000000),1),L$4:L147)))),AND(L140&lt;1000000,COUNTA(C140:C147)&gt;0,O$3=FALSE),
ROUNDDOWN(INDEX(Y$4:Y147,MATCH(LARGE(FILTER(W$4:W147,W$4:W147&lt;=J140),1),W$4:W147))+(J140-LARGE"&amp;"(FILTER(W$4:W147,W$4:W147&lt;=J140),1))*INDEX(S$4:S147,MATCH(LARGE(FILTER(W$4:W147,W$4:W147&lt;=J140),1),W$4:W147))-L140),1,
ROUNDDOWN(Y140-INDEX(L$4:L147,MATCH(LARGE(FILTER(J$4:J147,J$4:J147&lt;=W140),1),J$4:J147))-(W140-LARGE(FILTER(J$4:J147,J$4:J147&lt;=W140),1))*"&amp;"INDEX(F$4:F147,MATCH(LARGE(FILTER(J$4:J147,J$4:J147&lt;=W140),1),J$4:J147))))"),"")</f>
        <v/>
      </c>
      <c r="O140" s="65" t="str">
        <f t="shared" si="9"/>
        <v/>
      </c>
      <c r="P140" s="15"/>
      <c r="Q140" s="14" t="str">
        <f>IFERROR(__xludf.DUMMYFUNCTION("IF(COUNTA(P140:P147)=0,"""",IFERROR(IF(ISBLANK(P140),FALSE,IF(ISBLANK(T140),1,IF(NOT(COUNTIF($AA$24:$AA$34,SUBSTITUTE(P140,""Sell_"",""""))),1,IF(P140=""Plastic_up"",IF(V140&lt;1000,1),IF(P140=""Super_Up"",IF(OR(COUNTIF(P$4:P140,""Grandma"")-COUNTIF(P$4:P140"&amp;",""Sell_Grandma"")&lt;1,COUNTIF(P$4:P140,VLOOKUP(P140,Upgrades!$F$8:$N$8,7+COUNTIF(P$4:P140,P140)))-COUNTIF(P$4:P140,""Sell_""&amp;VLOOKUP(P140,Upgrades!$F$8:$N$8,7+COUNTIF(P$4:P140,P140)))&lt;15),1),IF(REGEXMATCH(P140,""_up""),IF(COUNTIF(P$4:P140,SUBSTITUTE(P140,"&amp;"""_up"",""""))&lt;IFERROR(VLOOKUP(P140,Upgrades!$L$3:$P$6,1+COUNTIF(P$4:P140,P140),0),999),1),IF(REGEXMATCH(P140,""Sell_""),IF(COUNTIF(P$4:P140,SUBSTITUTE(P140,""Sell_"",""""))-COUNTIF(P$4:P139,P140)&lt;1,1),FALSE)))))))))"),"")</f>
        <v/>
      </c>
      <c r="R140" s="71" t="str">
        <f>IFERROR(__xludf.DUMMYFUNCTION("IF(REGEXMATCH(P140,""^Sell_""),R139, IF(COUNTA(P140:P147)=0,"""",(COUNTIF(P$4:P140,""Cursor"")-COUNTIF(P$4:P140,""Sell_Cursor""))*(0.1*2^SWITCH(COUNTIF(P$4:P140,""Cursor_up""),0,0,1,1,2,2,3)+SWITCH(COUNTIF(P$4:P140,""Cursor_up""),4,0.1,0)*(ROW(P140)-4-COU"&amp;"NTIF(P$4:P140,""Cursor"")-COUNTIF(P$4:P140,""*""&amp;""_up"")-2*COUNTIF(P$4:P140,""Sell_""&amp;""*"")+COUNTIF(P$4:P140,""Sell_Cursor"")-COUNTIF(P$4:P140,"""")))+(COUNTIF(P$4:P140,""Grandma"")-COUNTIF(P$4:P140,""Sell_Grandma""))*(1*2^(COUNTIF(P$4:P140,""Grandma_up"&amp;""")+COUNTIF(P$4:P140,""Super_up"")))+(COUNTIF(P$4:P140,""Farm"")-COUNTIF(P$4:P140,""Sell_Farm""))*(8*2^COUNTIF(P$4:P140,""Farm_up""))*IF(COUNTIF(P$4:P140,""Super_up"")&gt;0,1+0.01*(COUNTIF(P$4:P140,""Grandma"")-COUNTIF(P$4:P140,""Sell_Grandma"")),1)+(COUNTIF"&amp;"(P$4:P140,""Mine"")-COUNTIF(P$4:P140,""Sell_Mine""))*((47*2^COUNTIF(P$4:P140,""Mine_up""))*IF(COUNTIF(P$4:P140,""Super_up"")&gt;1,1+0.005*(COUNTIF(P$4:P140,""Grandma"")-COUNTIF(P$4:P140,""Sell_Grandma"")),1))+(COUNTIF(P$4:P140,""Factory"")-COUNTIF(P$4:P140,"&amp;"""Sell_Factory""))*(260*2^COUNTIF(P$4:P140,""Factory_up""))))"),"")</f>
        <v/>
      </c>
      <c r="S140" s="73" t="str">
        <f>IFERROR(__xludf.DUMMYFUNCTION("IF(COUNTA(P140:P147)=0,"""",IF(REGEXMATCH(INDEX(FILTER(P$4:P140,P$4:P140&lt;&gt;""""),ROWS(FILTER(P$4:P140,P$4:P140&lt;&gt;""""))),""^Sell_""),INDEX(FILTER(S$4:S139,P$4:P139&lt;&gt;""""),ROWS(FILTER(P$4:P139,P$4:P139&lt;&gt;""""))),$AD$5*(2^SWITCH(COUNTIF(P$4:P140,""Cursor_up"")"&amp;",0,0,1,1,2,2,3)+SWITCH(COUNTIF(P$4:P140,""Cursor_up""),4,0.1,0)*(ROW(P140)-4-COUNTIF(P$4:P140,""Cursor"")-COUNTIF(P$4:P140,""*""&amp;""_up"")-2*COUNTIF(P$4:P140,""Sell_""&amp;""*"")+COUNTIF(P$4:P140,""Sell_Cursor"")-COUNTIF(P$4:P140,""""))+0.01*R140*COUNTIF(P$4:P"&amp;"140,""Plastic_up""))+R140))"),"")</f>
        <v/>
      </c>
      <c r="T140" s="14" t="str">
        <f>IFERROR(__xludf.DUMMYFUNCTION("IF(COUNTA(P140:P147)=0,"""",IF(REGEXMATCH(P140,""_up""),VLOOKUP(P140,Upgrades!$F$3:$J$8,1+COUNTIF(P$4:P140,P140),FALSE),IF(P140="""",0,IF(REGEXMATCH(P140,""^Sell_""),-ROUNDDOWN(ROUNDUP(INDEX(Upgrades!$C$3:$C$8,MATCH(SUBSTITUTE(P140,""Sell_"",""""),Upgrade"&amp;"s!$B$3:$B$8,0))*1.15^(COUNTIF(P$4:P139,SUBSTITUTE(P140,""Sell_"",""""))-COUNTIF(P$4:P139,""Sell_""&amp;SUBSTITUTE(P140,""Sell_"",""""))))/4),ROUNDUP(INDEX(Upgrades!$C$3:$C$7,MATCH(P140,Upgrades!$B$3:$B$7,0))*1.15^(COUNTIF(P$4:P139,P140)-COUNTIF(P$4:P139,""Sel"&amp;"l_""&amp;P140)))))))"),"")</f>
        <v/>
      </c>
      <c r="U140" s="14" t="str">
        <f t="shared" si="10"/>
        <v/>
      </c>
      <c r="V140" s="75" t="str">
        <f t="shared" si="11"/>
        <v/>
      </c>
      <c r="W140" s="76" t="str">
        <f t="shared" si="12"/>
        <v/>
      </c>
      <c r="X140" s="71" t="str">
        <f t="shared" si="13"/>
        <v/>
      </c>
      <c r="Y140" s="77" t="str">
        <f t="shared" si="14"/>
        <v/>
      </c>
      <c r="Z140" s="17"/>
      <c r="AA140" s="13"/>
      <c r="AB140" s="13"/>
      <c r="AC140" s="13"/>
      <c r="AD140" s="13"/>
      <c r="AE140" s="13"/>
      <c r="AF140" s="13"/>
      <c r="AG140" s="13"/>
    </row>
    <row r="141">
      <c r="A141" s="12"/>
      <c r="B141" s="65" t="str">
        <f t="shared" si="2"/>
        <v/>
      </c>
      <c r="C141" s="66"/>
      <c r="D141" s="14" t="str">
        <f>IFERROR(__xludf.DUMMYFUNCTION("IF(COUNTA(C141:C147)=0,"""",IFERROR(IF(ISBLANK(C141),FALSE,IF(ISBLANK(G141),1,IF(NOT(COUNTIF($AA$24:$AA$34,SUBSTITUTE(C141,""Sell_"",""""))),1,IF(C141=""Plastic_up"",IF(I141&lt;1000,1),IF(C141=""Super_Up"",IF(OR(COUNTIF(C$4:C141,""Grandma"")-COUNTIF(C$4:C141"&amp;",""Sell_Grandma"")&lt;1,COUNTIF(C$4:C141,VLOOKUP(C141,Upgrades!$F$8:$N$8,7+COUNTIF(C$4:C141,C141)))-COUNTIF(C$4:C141,""Sell_""&amp;VLOOKUP(C141,Upgrades!$F$8:$N$8,7+COUNTIF(C$4:C141,C141)))&lt;15),1),IF(REGEXMATCH(C141,""_up""),IF(COUNTIF(C$4:C141,SUBSTITUTE(C141,"&amp;"""_up"",""""))&lt;IFERROR(VLOOKUP(C141,Upgrades!$L$3:$P$6,1+COUNTIF(C$4:C141,C141),0),999),1),IF(REGEXMATCH(C141,""Sell_""),IF(COUNTIF(C$4:C141,SUBSTITUTE(C141,""Sell_"",""""))-COUNTIF(C$4:C140,C141)&lt;1,1),FALSE)))))))))"),"")</f>
        <v/>
      </c>
      <c r="E141" s="71" t="str">
        <f>IFERROR(__xludf.DUMMYFUNCTION("IF(REGEXMATCH(C141,""^Sell_""),E140, IF(COUNTA(C141:C147)=0,"""",(COUNTIF(C$4:C141,""Cursor"")-COUNTIF(C$4:C141,""Sell_Cursor""))*(0.1*2^SWITCH(COUNTIF(C$4:C141,""Cursor_up""),0,0,1,1,2,2,3)+SWITCH(COUNTIF(C$4:C141,""Cursor_up""),4,0.1,0)*(ROW(C141)-4-COU"&amp;"NTIF(C$4:C141,""Cursor"")-COUNTIF(C$4:C141,""*""&amp;""_up"")-2*COUNTIF(C$4:C141,""Sell_""&amp;""*"")+COUNTIF(C$4:C141,""Sell_Cursor"")-COUNTIF(C$4:C141,"""")))+(COUNTIF(C$4:C141,""Grandma"")-COUNTIF(C$4:C141,""Sell_Grandma""))*(1*2^(COUNTIF(C$4:C141,""Grandma_up"&amp;""")+COUNTIF(C$4:C141,""Super_up"")))+(COUNTIF(C$4:C141,""Farm"")-COUNTIF(C$4:C141,""Sell_Farm""))*(8*2^COUNTIF(C$4:C141,""Farm_up""))*IF(COUNTIF(C$4:C141,""Super_up"")&gt;0,1+0.01*(COUNTIF(C$4:C141,""Grandma"")-COUNTIF(C$4:C141,""Sell_Grandma"")),1)+(COUNTIF"&amp;"(C$4:C141,""Mine"")-COUNTIF(C$4:C141,""Sell_Mine""))*((47*2^COUNTIF(C$4:C141,""Mine_up""))*IF(COUNTIF(C$4:C141,""Super_up"")&gt;1,1+0.005*(COUNTIF(C$4:C141,""Grandma"")-COUNTIF(C$4:C141,""Sell_Grandma"")),1))+(COUNTIF(C$4:C141,""Factory"")-COUNTIF(C$4:C141,"&amp;"""Sell_Factory""))*(260*2^COUNTIF(C$4:C141,""Factory_up""))))"),"")</f>
        <v/>
      </c>
      <c r="F141" s="73" t="str">
        <f>IFERROR(__xludf.DUMMYFUNCTION("IF(COUNTA(C141:C147)=0,"""",IF(REGEXMATCH(INDEX(FILTER(C$4:C141,C$4:C141&lt;&gt;""""),ROWS(FILTER(C$4:C141,C$4:C141&lt;&gt;""""))),""^Sell_""),INDEX(FILTER(F$4:F140,C$4:C140&lt;&gt;""""),ROWS(FILTER(C$4:C140,C$4:C140&lt;&gt;""""))),$AC$5*(2^SWITCH(COUNTIF(C$4:C141,""Cursor_up"")"&amp;",0,0,1,1,2,2,3)+SWITCH(COUNTIF(C$4:C141,""Cursor_up""),4,0.1,0)*(ROW(C141)-4-COUNTIF(C$4:C141,""Cursor"")-COUNTIF(C$4:C141,""*""&amp;""_up"")-2*COUNTIF(C$4:C141,""Sell_""&amp;""*"")+COUNTIF(C$4:C141,""Sell_Cursor"")-COUNTIF(C$4:C141,""""))+0.01*E141*COUNTIF(C$4:C"&amp;"141,""Plastic_up""))+E141))"),"")</f>
        <v/>
      </c>
      <c r="G141" s="14" t="str">
        <f>IFERROR(__xludf.DUMMYFUNCTION("IF(COUNTA(C141:C147)=0,"""",IF(REGEXMATCH(C141,""_up""),VLOOKUP(C141,Upgrades!$F$3:$J$8,1+COUNTIF(C$4:C141,C141),FALSE),IF(C141="""",0,IF(REGEXMATCH(C141,""^Sell_""),-ROUNDDOWN(ROUNDUP(INDEX(Upgrades!$C$3:$C$8,MATCH(SUBSTITUTE(C141,""Sell_"",""""),Upgrade"&amp;"s!$B$3:$B$8,0))*1.15^(COUNTIF(C$4:C140,SUBSTITUTE(C141,""Sell_"",""""))-COUNTIF(C$4:C140,""Sell_""&amp;SUBSTITUTE(C141,""Sell_"",""""))))/4),ROUNDUP(INDEX(Upgrades!$C$3:$C$7,MATCH(C141,Upgrades!$B$3:$B$7,0))*1.15^(COUNTIF(C$4:C140,C141)-COUNTIF(C$4:C140,""Sel"&amp;"l_""&amp;C141)))))))"),"")</f>
        <v/>
      </c>
      <c r="H141" s="14" t="str">
        <f t="shared" si="3"/>
        <v/>
      </c>
      <c r="I141" s="75" t="str">
        <f t="shared" si="4"/>
        <v/>
      </c>
      <c r="J141" s="76" t="str">
        <f t="shared" si="5"/>
        <v/>
      </c>
      <c r="K141" s="71" t="str">
        <f t="shared" si="6"/>
        <v/>
      </c>
      <c r="L141" s="77" t="str">
        <f t="shared" si="7"/>
        <v/>
      </c>
      <c r="M141" s="51" t="str">
        <f t="shared" si="8"/>
        <v/>
      </c>
      <c r="N141" s="52" t="str">
        <f>IFERROR(__xludf.DUMMYFUNCTION("IFS(AND(COUNTA(C141:C147)=0,COUNTA(P141:P147)=0),"""",OR(AND(L141&gt;=1000000,OR(Y141&gt;=1000000,COUNTA(P141:P147)=0)),AND(Y141&gt;=1000000,COUNTA(C141:C147)=0),AND(COUNTA(P141:P147)=0,O$3=TRUE)),
ROUNDDOWN((AB$1-AC$1)*MAX(INDEX(S$4:S147,MATCH(LARGE(FILTER(Y$4:Y1"&amp;"47,Y$4:Y147&lt;1000000),1),Y$4:Y147)),INDEX(F$4:F147,MATCH(LARGE(FILTER(L$4:L147,L$4:L147&lt;1000000),1),L$4:L147)))),AND(L141&lt;1000000,COUNTA(C141:C147)&gt;0,O$3=FALSE),
ROUNDDOWN(INDEX(Y$4:Y147,MATCH(LARGE(FILTER(W$4:W147,W$4:W147&lt;=J141),1),W$4:W147))+(J141-LARGE"&amp;"(FILTER(W$4:W147,W$4:W147&lt;=J141),1))*INDEX(S$4:S147,MATCH(LARGE(FILTER(W$4:W147,W$4:W147&lt;=J141),1),W$4:W147))-L141),1,
ROUNDDOWN(Y141-INDEX(L$4:L147,MATCH(LARGE(FILTER(J$4:J147,J$4:J147&lt;=W141),1),J$4:J147))-(W141-LARGE(FILTER(J$4:J147,J$4:J147&lt;=W141),1))*"&amp;"INDEX(F$4:F147,MATCH(LARGE(FILTER(J$4:J147,J$4:J147&lt;=W141),1),J$4:J147))))"),"")</f>
        <v/>
      </c>
      <c r="O141" s="65" t="str">
        <f t="shared" si="9"/>
        <v/>
      </c>
      <c r="P141" s="15"/>
      <c r="Q141" s="14" t="str">
        <f>IFERROR(__xludf.DUMMYFUNCTION("IF(COUNTA(P141:P147)=0,"""",IFERROR(IF(ISBLANK(P141),FALSE,IF(ISBLANK(T141),1,IF(NOT(COUNTIF($AA$24:$AA$34,SUBSTITUTE(P141,""Sell_"",""""))),1,IF(P141=""Plastic_up"",IF(V141&lt;1000,1),IF(P141=""Super_Up"",IF(OR(COUNTIF(P$4:P141,""Grandma"")-COUNTIF(P$4:P141"&amp;",""Sell_Grandma"")&lt;1,COUNTIF(P$4:P141,VLOOKUP(P141,Upgrades!$F$8:$N$8,7+COUNTIF(P$4:P141,P141)))-COUNTIF(P$4:P141,""Sell_""&amp;VLOOKUP(P141,Upgrades!$F$8:$N$8,7+COUNTIF(P$4:P141,P141)))&lt;15),1),IF(REGEXMATCH(P141,""_up""),IF(COUNTIF(P$4:P141,SUBSTITUTE(P141,"&amp;"""_up"",""""))&lt;IFERROR(VLOOKUP(P141,Upgrades!$L$3:$P$6,1+COUNTIF(P$4:P141,P141),0),999),1),IF(REGEXMATCH(P141,""Sell_""),IF(COUNTIF(P$4:P141,SUBSTITUTE(P141,""Sell_"",""""))-COUNTIF(P$4:P140,P141)&lt;1,1),FALSE)))))))))"),"")</f>
        <v/>
      </c>
      <c r="R141" s="71" t="str">
        <f>IFERROR(__xludf.DUMMYFUNCTION("IF(REGEXMATCH(P141,""^Sell_""),R140, IF(COUNTA(P141:P147)=0,"""",(COUNTIF(P$4:P141,""Cursor"")-COUNTIF(P$4:P141,""Sell_Cursor""))*(0.1*2^SWITCH(COUNTIF(P$4:P141,""Cursor_up""),0,0,1,1,2,2,3)+SWITCH(COUNTIF(P$4:P141,""Cursor_up""),4,0.1,0)*(ROW(P141)-4-COU"&amp;"NTIF(P$4:P141,""Cursor"")-COUNTIF(P$4:P141,""*""&amp;""_up"")-2*COUNTIF(P$4:P141,""Sell_""&amp;""*"")+COUNTIF(P$4:P141,""Sell_Cursor"")-COUNTIF(P$4:P141,"""")))+(COUNTIF(P$4:P141,""Grandma"")-COUNTIF(P$4:P141,""Sell_Grandma""))*(1*2^(COUNTIF(P$4:P141,""Grandma_up"&amp;""")+COUNTIF(P$4:P141,""Super_up"")))+(COUNTIF(P$4:P141,""Farm"")-COUNTIF(P$4:P141,""Sell_Farm""))*(8*2^COUNTIF(P$4:P141,""Farm_up""))*IF(COUNTIF(P$4:P141,""Super_up"")&gt;0,1+0.01*(COUNTIF(P$4:P141,""Grandma"")-COUNTIF(P$4:P141,""Sell_Grandma"")),1)+(COUNTIF"&amp;"(P$4:P141,""Mine"")-COUNTIF(P$4:P141,""Sell_Mine""))*((47*2^COUNTIF(P$4:P141,""Mine_up""))*IF(COUNTIF(P$4:P141,""Super_up"")&gt;1,1+0.005*(COUNTIF(P$4:P141,""Grandma"")-COUNTIF(P$4:P141,""Sell_Grandma"")),1))+(COUNTIF(P$4:P141,""Factory"")-COUNTIF(P$4:P141,"&amp;"""Sell_Factory""))*(260*2^COUNTIF(P$4:P141,""Factory_up""))))"),"")</f>
        <v/>
      </c>
      <c r="S141" s="73" t="str">
        <f>IFERROR(__xludf.DUMMYFUNCTION("IF(COUNTA(P141:P147)=0,"""",IF(REGEXMATCH(INDEX(FILTER(P$4:P141,P$4:P141&lt;&gt;""""),ROWS(FILTER(P$4:P141,P$4:P141&lt;&gt;""""))),""^Sell_""),INDEX(FILTER(S$4:S140,P$4:P140&lt;&gt;""""),ROWS(FILTER(P$4:P140,P$4:P140&lt;&gt;""""))),$AD$5*(2^SWITCH(COUNTIF(P$4:P141,""Cursor_up"")"&amp;",0,0,1,1,2,2,3)+SWITCH(COUNTIF(P$4:P141,""Cursor_up""),4,0.1,0)*(ROW(P141)-4-COUNTIF(P$4:P141,""Cursor"")-COUNTIF(P$4:P141,""*""&amp;""_up"")-2*COUNTIF(P$4:P141,""Sell_""&amp;""*"")+COUNTIF(P$4:P141,""Sell_Cursor"")-COUNTIF(P$4:P141,""""))+0.01*R141*COUNTIF(P$4:P"&amp;"141,""Plastic_up""))+R141))"),"")</f>
        <v/>
      </c>
      <c r="T141" s="14" t="str">
        <f>IFERROR(__xludf.DUMMYFUNCTION("IF(COUNTA(P141:P147)=0,"""",IF(REGEXMATCH(P141,""_up""),VLOOKUP(P141,Upgrades!$F$3:$J$8,1+COUNTIF(P$4:P141,P141),FALSE),IF(P141="""",0,IF(REGEXMATCH(P141,""^Sell_""),-ROUNDDOWN(ROUNDUP(INDEX(Upgrades!$C$3:$C$8,MATCH(SUBSTITUTE(P141,""Sell_"",""""),Upgrade"&amp;"s!$B$3:$B$8,0))*1.15^(COUNTIF(P$4:P140,SUBSTITUTE(P141,""Sell_"",""""))-COUNTIF(P$4:P140,""Sell_""&amp;SUBSTITUTE(P141,""Sell_"",""""))))/4),ROUNDUP(INDEX(Upgrades!$C$3:$C$7,MATCH(P141,Upgrades!$B$3:$B$7,0))*1.15^(COUNTIF(P$4:P140,P141)-COUNTIF(P$4:P140,""Sel"&amp;"l_""&amp;P141)))))))"),"")</f>
        <v/>
      </c>
      <c r="U141" s="14" t="str">
        <f t="shared" si="10"/>
        <v/>
      </c>
      <c r="V141" s="75" t="str">
        <f t="shared" si="11"/>
        <v/>
      </c>
      <c r="W141" s="76" t="str">
        <f t="shared" si="12"/>
        <v/>
      </c>
      <c r="X141" s="71" t="str">
        <f t="shared" si="13"/>
        <v/>
      </c>
      <c r="Y141" s="77" t="str">
        <f t="shared" si="14"/>
        <v/>
      </c>
      <c r="Z141" s="17"/>
      <c r="AA141" s="13"/>
      <c r="AB141" s="13"/>
      <c r="AC141" s="13"/>
      <c r="AD141" s="13"/>
      <c r="AE141" s="13"/>
      <c r="AF141" s="13"/>
      <c r="AG141" s="13"/>
    </row>
    <row r="142">
      <c r="A142" s="12"/>
      <c r="B142" s="65" t="str">
        <f t="shared" si="2"/>
        <v/>
      </c>
      <c r="C142" s="66"/>
      <c r="D142" s="14" t="str">
        <f>IFERROR(__xludf.DUMMYFUNCTION("IF(COUNTA(C142:C147)=0,"""",IFERROR(IF(ISBLANK(C142),FALSE,IF(ISBLANK(G142),1,IF(NOT(COUNTIF($AA$24:$AA$34,SUBSTITUTE(C142,""Sell_"",""""))),1,IF(C142=""Plastic_up"",IF(I142&lt;1000,1),IF(C142=""Super_Up"",IF(OR(COUNTIF(C$4:C142,""Grandma"")-COUNTIF(C$4:C142"&amp;",""Sell_Grandma"")&lt;1,COUNTIF(C$4:C142,VLOOKUP(C142,Upgrades!$F$8:$N$8,7+COUNTIF(C$4:C142,C142)))-COUNTIF(C$4:C142,""Sell_""&amp;VLOOKUP(C142,Upgrades!$F$8:$N$8,7+COUNTIF(C$4:C142,C142)))&lt;15),1),IF(REGEXMATCH(C142,""_up""),IF(COUNTIF(C$4:C142,SUBSTITUTE(C142,"&amp;"""_up"",""""))&lt;IFERROR(VLOOKUP(C142,Upgrades!$L$3:$P$6,1+COUNTIF(C$4:C142,C142),0),999),1),IF(REGEXMATCH(C142,""Sell_""),IF(COUNTIF(C$4:C142,SUBSTITUTE(C142,""Sell_"",""""))-COUNTIF(C$4:C141,C142)&lt;1,1),FALSE)))))))))"),"")</f>
        <v/>
      </c>
      <c r="E142" s="71" t="str">
        <f>IFERROR(__xludf.DUMMYFUNCTION("IF(REGEXMATCH(C142,""^Sell_""),E141, IF(COUNTA(C142:C147)=0,"""",(COUNTIF(C$4:C142,""Cursor"")-COUNTIF(C$4:C142,""Sell_Cursor""))*(0.1*2^SWITCH(COUNTIF(C$4:C142,""Cursor_up""),0,0,1,1,2,2,3)+SWITCH(COUNTIF(C$4:C142,""Cursor_up""),4,0.1,0)*(ROW(C142)-4-COU"&amp;"NTIF(C$4:C142,""Cursor"")-COUNTIF(C$4:C142,""*""&amp;""_up"")-2*COUNTIF(C$4:C142,""Sell_""&amp;""*"")+COUNTIF(C$4:C142,""Sell_Cursor"")-COUNTIF(C$4:C142,"""")))+(COUNTIF(C$4:C142,""Grandma"")-COUNTIF(C$4:C142,""Sell_Grandma""))*(1*2^(COUNTIF(C$4:C142,""Grandma_up"&amp;""")+COUNTIF(C$4:C142,""Super_up"")))+(COUNTIF(C$4:C142,""Farm"")-COUNTIF(C$4:C142,""Sell_Farm""))*(8*2^COUNTIF(C$4:C142,""Farm_up""))*IF(COUNTIF(C$4:C142,""Super_up"")&gt;0,1+0.01*(COUNTIF(C$4:C142,""Grandma"")-COUNTIF(C$4:C142,""Sell_Grandma"")),1)+(COUNTIF"&amp;"(C$4:C142,""Mine"")-COUNTIF(C$4:C142,""Sell_Mine""))*((47*2^COUNTIF(C$4:C142,""Mine_up""))*IF(COUNTIF(C$4:C142,""Super_up"")&gt;1,1+0.005*(COUNTIF(C$4:C142,""Grandma"")-COUNTIF(C$4:C142,""Sell_Grandma"")),1))+(COUNTIF(C$4:C142,""Factory"")-COUNTIF(C$4:C142,"&amp;"""Sell_Factory""))*(260*2^COUNTIF(C$4:C142,""Factory_up""))))"),"")</f>
        <v/>
      </c>
      <c r="F142" s="73" t="str">
        <f>IFERROR(__xludf.DUMMYFUNCTION("IF(COUNTA(C142:C147)=0,"""",IF(REGEXMATCH(INDEX(FILTER(C$4:C142,C$4:C142&lt;&gt;""""),ROWS(FILTER(C$4:C142,C$4:C142&lt;&gt;""""))),""^Sell_""),INDEX(FILTER(F$4:F141,C$4:C141&lt;&gt;""""),ROWS(FILTER(C$4:C141,C$4:C141&lt;&gt;""""))),$AC$5*(2^SWITCH(COUNTIF(C$4:C142,""Cursor_up"")"&amp;",0,0,1,1,2,2,3)+SWITCH(COUNTIF(C$4:C142,""Cursor_up""),4,0.1,0)*(ROW(C142)-4-COUNTIF(C$4:C142,""Cursor"")-COUNTIF(C$4:C142,""*""&amp;""_up"")-2*COUNTIF(C$4:C142,""Sell_""&amp;""*"")+COUNTIF(C$4:C142,""Sell_Cursor"")-COUNTIF(C$4:C142,""""))+0.01*E142*COUNTIF(C$4:C"&amp;"142,""Plastic_up""))+E142))"),"")</f>
        <v/>
      </c>
      <c r="G142" s="14" t="str">
        <f>IFERROR(__xludf.DUMMYFUNCTION("IF(COUNTA(C142:C147)=0,"""",IF(REGEXMATCH(C142,""_up""),VLOOKUP(C142,Upgrades!$F$3:$J$8,1+COUNTIF(C$4:C142,C142),FALSE),IF(C142="""",0,IF(REGEXMATCH(C142,""^Sell_""),-ROUNDDOWN(ROUNDUP(INDEX(Upgrades!$C$3:$C$8,MATCH(SUBSTITUTE(C142,""Sell_"",""""),Upgrade"&amp;"s!$B$3:$B$8,0))*1.15^(COUNTIF(C$4:C141,SUBSTITUTE(C142,""Sell_"",""""))-COUNTIF(C$4:C141,""Sell_""&amp;SUBSTITUTE(C142,""Sell_"",""""))))/4),ROUNDUP(INDEX(Upgrades!$C$3:$C$7,MATCH(C142,Upgrades!$B$3:$B$7,0))*1.15^(COUNTIF(C$4:C141,C142)-COUNTIF(C$4:C141,""Sel"&amp;"l_""&amp;C142)))))))"),"")</f>
        <v/>
      </c>
      <c r="H142" s="14" t="str">
        <f t="shared" si="3"/>
        <v/>
      </c>
      <c r="I142" s="75" t="str">
        <f t="shared" si="4"/>
        <v/>
      </c>
      <c r="J142" s="76" t="str">
        <f t="shared" si="5"/>
        <v/>
      </c>
      <c r="K142" s="71" t="str">
        <f t="shared" si="6"/>
        <v/>
      </c>
      <c r="L142" s="77" t="str">
        <f t="shared" si="7"/>
        <v/>
      </c>
      <c r="M142" s="51" t="str">
        <f t="shared" si="8"/>
        <v/>
      </c>
      <c r="N142" s="52" t="str">
        <f>IFERROR(__xludf.DUMMYFUNCTION("IFS(AND(COUNTA(C142:C147)=0,COUNTA(P142:P147)=0),"""",OR(AND(L142&gt;=1000000,OR(Y142&gt;=1000000,COUNTA(P142:P147)=0)),AND(Y142&gt;=1000000,COUNTA(C142:C147)=0),AND(COUNTA(P142:P147)=0,O$3=TRUE)),
ROUNDDOWN((AB$1-AC$1)*MAX(INDEX(S$4:S147,MATCH(LARGE(FILTER(Y$4:Y1"&amp;"47,Y$4:Y147&lt;1000000),1),Y$4:Y147)),INDEX(F$4:F147,MATCH(LARGE(FILTER(L$4:L147,L$4:L147&lt;1000000),1),L$4:L147)))),AND(L142&lt;1000000,COUNTA(C142:C147)&gt;0,O$3=FALSE),
ROUNDDOWN(INDEX(Y$4:Y147,MATCH(LARGE(FILTER(W$4:W147,W$4:W147&lt;=J142),1),W$4:W147))+(J142-LARGE"&amp;"(FILTER(W$4:W147,W$4:W147&lt;=J142),1))*INDEX(S$4:S147,MATCH(LARGE(FILTER(W$4:W147,W$4:W147&lt;=J142),1),W$4:W147))-L142),1,
ROUNDDOWN(Y142-INDEX(L$4:L147,MATCH(LARGE(FILTER(J$4:J147,J$4:J147&lt;=W142),1),J$4:J147))-(W142-LARGE(FILTER(J$4:J147,J$4:J147&lt;=W142),1))*"&amp;"INDEX(F$4:F147,MATCH(LARGE(FILTER(J$4:J147,J$4:J147&lt;=W142),1),J$4:J147))))"),"")</f>
        <v/>
      </c>
      <c r="O142" s="65" t="str">
        <f t="shared" si="9"/>
        <v/>
      </c>
      <c r="P142" s="15"/>
      <c r="Q142" s="14" t="str">
        <f>IFERROR(__xludf.DUMMYFUNCTION("IF(COUNTA(P142:P147)=0,"""",IFERROR(IF(ISBLANK(P142),FALSE,IF(ISBLANK(T142),1,IF(NOT(COUNTIF($AA$24:$AA$34,SUBSTITUTE(P142,""Sell_"",""""))),1,IF(P142=""Plastic_up"",IF(V142&lt;1000,1),IF(P142=""Super_Up"",IF(OR(COUNTIF(P$4:P142,""Grandma"")-COUNTIF(P$4:P142"&amp;",""Sell_Grandma"")&lt;1,COUNTIF(P$4:P142,VLOOKUP(P142,Upgrades!$F$8:$N$8,7+COUNTIF(P$4:P142,P142)))-COUNTIF(P$4:P142,""Sell_""&amp;VLOOKUP(P142,Upgrades!$F$8:$N$8,7+COUNTIF(P$4:P142,P142)))&lt;15),1),IF(REGEXMATCH(P142,""_up""),IF(COUNTIF(P$4:P142,SUBSTITUTE(P142,"&amp;"""_up"",""""))&lt;IFERROR(VLOOKUP(P142,Upgrades!$L$3:$P$6,1+COUNTIF(P$4:P142,P142),0),999),1),IF(REGEXMATCH(P142,""Sell_""),IF(COUNTIF(P$4:P142,SUBSTITUTE(P142,""Sell_"",""""))-COUNTIF(P$4:P141,P142)&lt;1,1),FALSE)))))))))"),"")</f>
        <v/>
      </c>
      <c r="R142" s="71" t="str">
        <f>IFERROR(__xludf.DUMMYFUNCTION("IF(REGEXMATCH(P142,""^Sell_""),R141, IF(COUNTA(P142:P147)=0,"""",(COUNTIF(P$4:P142,""Cursor"")-COUNTIF(P$4:P142,""Sell_Cursor""))*(0.1*2^SWITCH(COUNTIF(P$4:P142,""Cursor_up""),0,0,1,1,2,2,3)+SWITCH(COUNTIF(P$4:P142,""Cursor_up""),4,0.1,0)*(ROW(P142)-4-COU"&amp;"NTIF(P$4:P142,""Cursor"")-COUNTIF(P$4:P142,""*""&amp;""_up"")-2*COUNTIF(P$4:P142,""Sell_""&amp;""*"")+COUNTIF(P$4:P142,""Sell_Cursor"")-COUNTIF(P$4:P142,"""")))+(COUNTIF(P$4:P142,""Grandma"")-COUNTIF(P$4:P142,""Sell_Grandma""))*(1*2^(COUNTIF(P$4:P142,""Grandma_up"&amp;""")+COUNTIF(P$4:P142,""Super_up"")))+(COUNTIF(P$4:P142,""Farm"")-COUNTIF(P$4:P142,""Sell_Farm""))*(8*2^COUNTIF(P$4:P142,""Farm_up""))*IF(COUNTIF(P$4:P142,""Super_up"")&gt;0,1+0.01*(COUNTIF(P$4:P142,""Grandma"")-COUNTIF(P$4:P142,""Sell_Grandma"")),1)+(COUNTIF"&amp;"(P$4:P142,""Mine"")-COUNTIF(P$4:P142,""Sell_Mine""))*((47*2^COUNTIF(P$4:P142,""Mine_up""))*IF(COUNTIF(P$4:P142,""Super_up"")&gt;1,1+0.005*(COUNTIF(P$4:P142,""Grandma"")-COUNTIF(P$4:P142,""Sell_Grandma"")),1))+(COUNTIF(P$4:P142,""Factory"")-COUNTIF(P$4:P142,"&amp;"""Sell_Factory""))*(260*2^COUNTIF(P$4:P142,""Factory_up""))))"),"")</f>
        <v/>
      </c>
      <c r="S142" s="73" t="str">
        <f>IFERROR(__xludf.DUMMYFUNCTION("IF(COUNTA(P142:P147)=0,"""",IF(REGEXMATCH(INDEX(FILTER(P$4:P142,P$4:P142&lt;&gt;""""),ROWS(FILTER(P$4:P142,P$4:P142&lt;&gt;""""))),""^Sell_""),INDEX(FILTER(S$4:S141,P$4:P141&lt;&gt;""""),ROWS(FILTER(P$4:P141,P$4:P141&lt;&gt;""""))),$AD$5*(2^SWITCH(COUNTIF(P$4:P142,""Cursor_up"")"&amp;",0,0,1,1,2,2,3)+SWITCH(COUNTIF(P$4:P142,""Cursor_up""),4,0.1,0)*(ROW(P142)-4-COUNTIF(P$4:P142,""Cursor"")-COUNTIF(P$4:P142,""*""&amp;""_up"")-2*COUNTIF(P$4:P142,""Sell_""&amp;""*"")+COUNTIF(P$4:P142,""Sell_Cursor"")-COUNTIF(P$4:P142,""""))+0.01*R142*COUNTIF(P$4:P"&amp;"142,""Plastic_up""))+R142))"),"")</f>
        <v/>
      </c>
      <c r="T142" s="14" t="str">
        <f>IFERROR(__xludf.DUMMYFUNCTION("IF(COUNTA(P142:P147)=0,"""",IF(REGEXMATCH(P142,""_up""),VLOOKUP(P142,Upgrades!$F$3:$J$8,1+COUNTIF(P$4:P142,P142),FALSE),IF(P142="""",0,IF(REGEXMATCH(P142,""^Sell_""),-ROUNDDOWN(ROUNDUP(INDEX(Upgrades!$C$3:$C$8,MATCH(SUBSTITUTE(P142,""Sell_"",""""),Upgrade"&amp;"s!$B$3:$B$8,0))*1.15^(COUNTIF(P$4:P141,SUBSTITUTE(P142,""Sell_"",""""))-COUNTIF(P$4:P141,""Sell_""&amp;SUBSTITUTE(P142,""Sell_"",""""))))/4),ROUNDUP(INDEX(Upgrades!$C$3:$C$7,MATCH(P142,Upgrades!$B$3:$B$7,0))*1.15^(COUNTIF(P$4:P141,P142)-COUNTIF(P$4:P141,""Sel"&amp;"l_""&amp;P142)))))))"),"")</f>
        <v/>
      </c>
      <c r="U142" s="14" t="str">
        <f t="shared" si="10"/>
        <v/>
      </c>
      <c r="V142" s="75" t="str">
        <f t="shared" si="11"/>
        <v/>
      </c>
      <c r="W142" s="76" t="str">
        <f t="shared" si="12"/>
        <v/>
      </c>
      <c r="X142" s="71" t="str">
        <f t="shared" si="13"/>
        <v/>
      </c>
      <c r="Y142" s="77" t="str">
        <f t="shared" si="14"/>
        <v/>
      </c>
      <c r="Z142" s="17"/>
      <c r="AA142" s="13"/>
      <c r="AB142" s="13"/>
      <c r="AC142" s="13"/>
      <c r="AD142" s="13"/>
      <c r="AE142" s="13"/>
      <c r="AF142" s="13"/>
      <c r="AG142" s="13"/>
    </row>
    <row r="143">
      <c r="A143" s="12"/>
      <c r="B143" s="65" t="str">
        <f t="shared" si="2"/>
        <v/>
      </c>
      <c r="C143" s="66"/>
      <c r="D143" s="14" t="str">
        <f>IFERROR(__xludf.DUMMYFUNCTION("IF(COUNTA(C143:C147)=0,"""",IFERROR(IF(ISBLANK(C143),FALSE,IF(ISBLANK(G143),1,IF(NOT(COUNTIF($AA$24:$AA$34,SUBSTITUTE(C143,""Sell_"",""""))),1,IF(C143=""Plastic_up"",IF(I143&lt;1000,1),IF(C143=""Super_Up"",IF(OR(COUNTIF(C$4:C143,""Grandma"")-COUNTIF(C$4:C143"&amp;",""Sell_Grandma"")&lt;1,COUNTIF(C$4:C143,VLOOKUP(C143,Upgrades!$F$8:$N$8,7+COUNTIF(C$4:C143,C143)))-COUNTIF(C$4:C143,""Sell_""&amp;VLOOKUP(C143,Upgrades!$F$8:$N$8,7+COUNTIF(C$4:C143,C143)))&lt;15),1),IF(REGEXMATCH(C143,""_up""),IF(COUNTIF(C$4:C143,SUBSTITUTE(C143,"&amp;"""_up"",""""))&lt;IFERROR(VLOOKUP(C143,Upgrades!$L$3:$P$6,1+COUNTIF(C$4:C143,C143),0),999),1),IF(REGEXMATCH(C143,""Sell_""),IF(COUNTIF(C$4:C143,SUBSTITUTE(C143,""Sell_"",""""))-COUNTIF(C$4:C142,C143)&lt;1,1),FALSE)))))))))"),"")</f>
        <v/>
      </c>
      <c r="E143" s="71" t="str">
        <f>IFERROR(__xludf.DUMMYFUNCTION("IF(REGEXMATCH(C143,""^Sell_""),E142, IF(COUNTA(C143:C147)=0,"""",(COUNTIF(C$4:C143,""Cursor"")-COUNTIF(C$4:C143,""Sell_Cursor""))*(0.1*2^SWITCH(COUNTIF(C$4:C143,""Cursor_up""),0,0,1,1,2,2,3)+SWITCH(COUNTIF(C$4:C143,""Cursor_up""),4,0.1,0)*(ROW(C143)-4-COU"&amp;"NTIF(C$4:C143,""Cursor"")-COUNTIF(C$4:C143,""*""&amp;""_up"")-2*COUNTIF(C$4:C143,""Sell_""&amp;""*"")+COUNTIF(C$4:C143,""Sell_Cursor"")-COUNTIF(C$4:C143,"""")))+(COUNTIF(C$4:C143,""Grandma"")-COUNTIF(C$4:C143,""Sell_Grandma""))*(1*2^(COUNTIF(C$4:C143,""Grandma_up"&amp;""")+COUNTIF(C$4:C143,""Super_up"")))+(COUNTIF(C$4:C143,""Farm"")-COUNTIF(C$4:C143,""Sell_Farm""))*(8*2^COUNTIF(C$4:C143,""Farm_up""))*IF(COUNTIF(C$4:C143,""Super_up"")&gt;0,1+0.01*(COUNTIF(C$4:C143,""Grandma"")-COUNTIF(C$4:C143,""Sell_Grandma"")),1)+(COUNTIF"&amp;"(C$4:C143,""Mine"")-COUNTIF(C$4:C143,""Sell_Mine""))*((47*2^COUNTIF(C$4:C143,""Mine_up""))*IF(COUNTIF(C$4:C143,""Super_up"")&gt;1,1+0.005*(COUNTIF(C$4:C143,""Grandma"")-COUNTIF(C$4:C143,""Sell_Grandma"")),1))+(COUNTIF(C$4:C143,""Factory"")-COUNTIF(C$4:C143,"&amp;"""Sell_Factory""))*(260*2^COUNTIF(C$4:C143,""Factory_up""))))"),"")</f>
        <v/>
      </c>
      <c r="F143" s="73" t="str">
        <f>IFERROR(__xludf.DUMMYFUNCTION("IF(COUNTA(C143:C147)=0,"""",IF(REGEXMATCH(INDEX(FILTER(C$4:C143,C$4:C143&lt;&gt;""""),ROWS(FILTER(C$4:C143,C$4:C143&lt;&gt;""""))),""^Sell_""),INDEX(FILTER(F$4:F142,C$4:C142&lt;&gt;""""),ROWS(FILTER(C$4:C142,C$4:C142&lt;&gt;""""))),$AC$5*(2^SWITCH(COUNTIF(C$4:C143,""Cursor_up"")"&amp;",0,0,1,1,2,2,3)+SWITCH(COUNTIF(C$4:C143,""Cursor_up""),4,0.1,0)*(ROW(C143)-4-COUNTIF(C$4:C143,""Cursor"")-COUNTIF(C$4:C143,""*""&amp;""_up"")-2*COUNTIF(C$4:C143,""Sell_""&amp;""*"")+COUNTIF(C$4:C143,""Sell_Cursor"")-COUNTIF(C$4:C143,""""))+0.01*E143*COUNTIF(C$4:C"&amp;"143,""Plastic_up""))+E143))"),"")</f>
        <v/>
      </c>
      <c r="G143" s="14" t="str">
        <f>IFERROR(__xludf.DUMMYFUNCTION("IF(COUNTA(C143:C147)=0,"""",IF(REGEXMATCH(C143,""_up""),VLOOKUP(C143,Upgrades!$F$3:$J$8,1+COUNTIF(C$4:C143,C143),FALSE),IF(C143="""",0,IF(REGEXMATCH(C143,""^Sell_""),-ROUNDDOWN(ROUNDUP(INDEX(Upgrades!$C$3:$C$8,MATCH(SUBSTITUTE(C143,""Sell_"",""""),Upgrade"&amp;"s!$B$3:$B$8,0))*1.15^(COUNTIF(C$4:C142,SUBSTITUTE(C143,""Sell_"",""""))-COUNTIF(C$4:C142,""Sell_""&amp;SUBSTITUTE(C143,""Sell_"",""""))))/4),ROUNDUP(INDEX(Upgrades!$C$3:$C$7,MATCH(C143,Upgrades!$B$3:$B$7,0))*1.15^(COUNTIF(C$4:C142,C143)-COUNTIF(C$4:C142,""Sel"&amp;"l_""&amp;C143)))))))"),"")</f>
        <v/>
      </c>
      <c r="H143" s="14" t="str">
        <f t="shared" si="3"/>
        <v/>
      </c>
      <c r="I143" s="75" t="str">
        <f t="shared" si="4"/>
        <v/>
      </c>
      <c r="J143" s="76" t="str">
        <f t="shared" si="5"/>
        <v/>
      </c>
      <c r="K143" s="71" t="str">
        <f t="shared" si="6"/>
        <v/>
      </c>
      <c r="L143" s="77" t="str">
        <f t="shared" si="7"/>
        <v/>
      </c>
      <c r="M143" s="51" t="str">
        <f t="shared" si="8"/>
        <v/>
      </c>
      <c r="N143" s="52" t="str">
        <f>IFERROR(__xludf.DUMMYFUNCTION("IFS(AND(COUNTA(C143:C147)=0,COUNTA(P143:P147)=0),"""",OR(AND(L143&gt;=1000000,OR(Y143&gt;=1000000,COUNTA(P143:P147)=0)),AND(Y143&gt;=1000000,COUNTA(C143:C147)=0),AND(COUNTA(P143:P147)=0,O$3=TRUE)),
ROUNDDOWN((AB$1-AC$1)*MAX(INDEX(S$4:S147,MATCH(LARGE(FILTER(Y$4:Y1"&amp;"47,Y$4:Y147&lt;1000000),1),Y$4:Y147)),INDEX(F$4:F147,MATCH(LARGE(FILTER(L$4:L147,L$4:L147&lt;1000000),1),L$4:L147)))),AND(L143&lt;1000000,COUNTA(C143:C147)&gt;0,O$3=FALSE),
ROUNDDOWN(INDEX(Y$4:Y147,MATCH(LARGE(FILTER(W$4:W147,W$4:W147&lt;=J143),1),W$4:W147))+(J143-LARGE"&amp;"(FILTER(W$4:W147,W$4:W147&lt;=J143),1))*INDEX(S$4:S147,MATCH(LARGE(FILTER(W$4:W147,W$4:W147&lt;=J143),1),W$4:W147))-L143),1,
ROUNDDOWN(Y143-INDEX(L$4:L147,MATCH(LARGE(FILTER(J$4:J147,J$4:J147&lt;=W143),1),J$4:J147))-(W143-LARGE(FILTER(J$4:J147,J$4:J147&lt;=W143),1))*"&amp;"INDEX(F$4:F147,MATCH(LARGE(FILTER(J$4:J147,J$4:J147&lt;=W143),1),J$4:J147))))"),"")</f>
        <v/>
      </c>
      <c r="O143" s="65" t="str">
        <f t="shared" si="9"/>
        <v/>
      </c>
      <c r="P143" s="15"/>
      <c r="Q143" s="14" t="str">
        <f>IFERROR(__xludf.DUMMYFUNCTION("IF(COUNTA(P143:P147)=0,"""",IFERROR(IF(ISBLANK(P143),FALSE,IF(ISBLANK(T143),1,IF(NOT(COUNTIF($AA$24:$AA$34,SUBSTITUTE(P143,""Sell_"",""""))),1,IF(P143=""Plastic_up"",IF(V143&lt;1000,1),IF(P143=""Super_Up"",IF(OR(COUNTIF(P$4:P143,""Grandma"")-COUNTIF(P$4:P143"&amp;",""Sell_Grandma"")&lt;1,COUNTIF(P$4:P143,VLOOKUP(P143,Upgrades!$F$8:$N$8,7+COUNTIF(P$4:P143,P143)))-COUNTIF(P$4:P143,""Sell_""&amp;VLOOKUP(P143,Upgrades!$F$8:$N$8,7+COUNTIF(P$4:P143,P143)))&lt;15),1),IF(REGEXMATCH(P143,""_up""),IF(COUNTIF(P$4:P143,SUBSTITUTE(P143,"&amp;"""_up"",""""))&lt;IFERROR(VLOOKUP(P143,Upgrades!$L$3:$P$6,1+COUNTIF(P$4:P143,P143),0),999),1),IF(REGEXMATCH(P143,""Sell_""),IF(COUNTIF(P$4:P143,SUBSTITUTE(P143,""Sell_"",""""))-COUNTIF(P$4:P142,P143)&lt;1,1),FALSE)))))))))"),"")</f>
        <v/>
      </c>
      <c r="R143" s="71" t="str">
        <f>IFERROR(__xludf.DUMMYFUNCTION("IF(REGEXMATCH(P143,""^Sell_""),R142, IF(COUNTA(P143:P147)=0,"""",(COUNTIF(P$4:P143,""Cursor"")-COUNTIF(P$4:P143,""Sell_Cursor""))*(0.1*2^SWITCH(COUNTIF(P$4:P143,""Cursor_up""),0,0,1,1,2,2,3)+SWITCH(COUNTIF(P$4:P143,""Cursor_up""),4,0.1,0)*(ROW(P143)-4-COU"&amp;"NTIF(P$4:P143,""Cursor"")-COUNTIF(P$4:P143,""*""&amp;""_up"")-2*COUNTIF(P$4:P143,""Sell_""&amp;""*"")+COUNTIF(P$4:P143,""Sell_Cursor"")-COUNTIF(P$4:P143,"""")))+(COUNTIF(P$4:P143,""Grandma"")-COUNTIF(P$4:P143,""Sell_Grandma""))*(1*2^(COUNTIF(P$4:P143,""Grandma_up"&amp;""")+COUNTIF(P$4:P143,""Super_up"")))+(COUNTIF(P$4:P143,""Farm"")-COUNTIF(P$4:P143,""Sell_Farm""))*(8*2^COUNTIF(P$4:P143,""Farm_up""))*IF(COUNTIF(P$4:P143,""Super_up"")&gt;0,1+0.01*(COUNTIF(P$4:P143,""Grandma"")-COUNTIF(P$4:P143,""Sell_Grandma"")),1)+(COUNTIF"&amp;"(P$4:P143,""Mine"")-COUNTIF(P$4:P143,""Sell_Mine""))*((47*2^COUNTIF(P$4:P143,""Mine_up""))*IF(COUNTIF(P$4:P143,""Super_up"")&gt;1,1+0.005*(COUNTIF(P$4:P143,""Grandma"")-COUNTIF(P$4:P143,""Sell_Grandma"")),1))+(COUNTIF(P$4:P143,""Factory"")-COUNTIF(P$4:P143,"&amp;"""Sell_Factory""))*(260*2^COUNTIF(P$4:P143,""Factory_up""))))"),"")</f>
        <v/>
      </c>
      <c r="S143" s="73" t="str">
        <f>IFERROR(__xludf.DUMMYFUNCTION("IF(COUNTA(P143:P147)=0,"""",IF(REGEXMATCH(INDEX(FILTER(P$4:P143,P$4:P143&lt;&gt;""""),ROWS(FILTER(P$4:P143,P$4:P143&lt;&gt;""""))),""^Sell_""),INDEX(FILTER(S$4:S142,P$4:P142&lt;&gt;""""),ROWS(FILTER(P$4:P142,P$4:P142&lt;&gt;""""))),$AD$5*(2^SWITCH(COUNTIF(P$4:P143,""Cursor_up"")"&amp;",0,0,1,1,2,2,3)+SWITCH(COUNTIF(P$4:P143,""Cursor_up""),4,0.1,0)*(ROW(P143)-4-COUNTIF(P$4:P143,""Cursor"")-COUNTIF(P$4:P143,""*""&amp;""_up"")-2*COUNTIF(P$4:P143,""Sell_""&amp;""*"")+COUNTIF(P$4:P143,""Sell_Cursor"")-COUNTIF(P$4:P143,""""))+0.01*R143*COUNTIF(P$4:P"&amp;"143,""Plastic_up""))+R143))"),"")</f>
        <v/>
      </c>
      <c r="T143" s="14" t="str">
        <f>IFERROR(__xludf.DUMMYFUNCTION("IF(COUNTA(P143:P147)=0,"""",IF(REGEXMATCH(P143,""_up""),VLOOKUP(P143,Upgrades!$F$3:$J$8,1+COUNTIF(P$4:P143,P143),FALSE),IF(P143="""",0,IF(REGEXMATCH(P143,""^Sell_""),-ROUNDDOWN(ROUNDUP(INDEX(Upgrades!$C$3:$C$8,MATCH(SUBSTITUTE(P143,""Sell_"",""""),Upgrade"&amp;"s!$B$3:$B$8,0))*1.15^(COUNTIF(P$4:P142,SUBSTITUTE(P143,""Sell_"",""""))-COUNTIF(P$4:P142,""Sell_""&amp;SUBSTITUTE(P143,""Sell_"",""""))))/4),ROUNDUP(INDEX(Upgrades!$C$3:$C$7,MATCH(P143,Upgrades!$B$3:$B$7,0))*1.15^(COUNTIF(P$4:P142,P143)-COUNTIF(P$4:P142,""Sel"&amp;"l_""&amp;P143)))))))"),"")</f>
        <v/>
      </c>
      <c r="U143" s="14" t="str">
        <f t="shared" si="10"/>
        <v/>
      </c>
      <c r="V143" s="75" t="str">
        <f t="shared" si="11"/>
        <v/>
      </c>
      <c r="W143" s="76" t="str">
        <f t="shared" si="12"/>
        <v/>
      </c>
      <c r="X143" s="71" t="str">
        <f t="shared" si="13"/>
        <v/>
      </c>
      <c r="Y143" s="77" t="str">
        <f t="shared" si="14"/>
        <v/>
      </c>
      <c r="Z143" s="17"/>
      <c r="AA143" s="13"/>
      <c r="AB143" s="13"/>
      <c r="AC143" s="13"/>
      <c r="AD143" s="13"/>
      <c r="AE143" s="13"/>
      <c r="AF143" s="13"/>
      <c r="AG143" s="13"/>
    </row>
    <row r="144">
      <c r="A144" s="12"/>
      <c r="B144" s="65" t="str">
        <f t="shared" si="2"/>
        <v/>
      </c>
      <c r="C144" s="66"/>
      <c r="D144" s="14" t="str">
        <f>IFERROR(__xludf.DUMMYFUNCTION("IF(COUNTA(C144:C147)=0,"""",IFERROR(IF(ISBLANK(C144),FALSE,IF(ISBLANK(G144),1,IF(NOT(COUNTIF($AA$24:$AA$34,SUBSTITUTE(C144,""Sell_"",""""))),1,IF(C144=""Plastic_up"",IF(I144&lt;1000,1),IF(C144=""Super_Up"",IF(OR(COUNTIF(C$4:C144,""Grandma"")-COUNTIF(C$4:C144"&amp;",""Sell_Grandma"")&lt;1,COUNTIF(C$4:C144,VLOOKUP(C144,Upgrades!$F$8:$N$8,7+COUNTIF(C$4:C144,C144)))-COUNTIF(C$4:C144,""Sell_""&amp;VLOOKUP(C144,Upgrades!$F$8:$N$8,7+COUNTIF(C$4:C144,C144)))&lt;15),1),IF(REGEXMATCH(C144,""_up""),IF(COUNTIF(C$4:C144,SUBSTITUTE(C144,"&amp;"""_up"",""""))&lt;IFERROR(VLOOKUP(C144,Upgrades!$L$3:$P$6,1+COUNTIF(C$4:C144,C144),0),999),1),IF(REGEXMATCH(C144,""Sell_""),IF(COUNTIF(C$4:C144,SUBSTITUTE(C144,""Sell_"",""""))-COUNTIF(C$4:C143,C144)&lt;1,1),FALSE)))))))))"),"")</f>
        <v/>
      </c>
      <c r="E144" s="71" t="str">
        <f>IFERROR(__xludf.DUMMYFUNCTION("IF(REGEXMATCH(C144,""^Sell_""),E143, IF(COUNTA(C144:C147)=0,"""",(COUNTIF(C$4:C144,""Cursor"")-COUNTIF(C$4:C144,""Sell_Cursor""))*(0.1*2^SWITCH(COUNTIF(C$4:C144,""Cursor_up""),0,0,1,1,2,2,3)+SWITCH(COUNTIF(C$4:C144,""Cursor_up""),4,0.1,0)*(ROW(C144)-4-COU"&amp;"NTIF(C$4:C144,""Cursor"")-COUNTIF(C$4:C144,""*""&amp;""_up"")-2*COUNTIF(C$4:C144,""Sell_""&amp;""*"")+COUNTIF(C$4:C144,""Sell_Cursor"")-COUNTIF(C$4:C144,"""")))+(COUNTIF(C$4:C144,""Grandma"")-COUNTIF(C$4:C144,""Sell_Grandma""))*(1*2^(COUNTIF(C$4:C144,""Grandma_up"&amp;""")+COUNTIF(C$4:C144,""Super_up"")))+(COUNTIF(C$4:C144,""Farm"")-COUNTIF(C$4:C144,""Sell_Farm""))*(8*2^COUNTIF(C$4:C144,""Farm_up""))*IF(COUNTIF(C$4:C144,""Super_up"")&gt;0,1+0.01*(COUNTIF(C$4:C144,""Grandma"")-COUNTIF(C$4:C144,""Sell_Grandma"")),1)+(COUNTIF"&amp;"(C$4:C144,""Mine"")-COUNTIF(C$4:C144,""Sell_Mine""))*((47*2^COUNTIF(C$4:C144,""Mine_up""))*IF(COUNTIF(C$4:C144,""Super_up"")&gt;1,1+0.005*(COUNTIF(C$4:C144,""Grandma"")-COUNTIF(C$4:C144,""Sell_Grandma"")),1))+(COUNTIF(C$4:C144,""Factory"")-COUNTIF(C$4:C144,"&amp;"""Sell_Factory""))*(260*2^COUNTIF(C$4:C144,""Factory_up""))))"),"")</f>
        <v/>
      </c>
      <c r="F144" s="73" t="str">
        <f>IFERROR(__xludf.DUMMYFUNCTION("IF(COUNTA(C144:C147)=0,"""",IF(REGEXMATCH(INDEX(FILTER(C$4:C144,C$4:C144&lt;&gt;""""),ROWS(FILTER(C$4:C144,C$4:C144&lt;&gt;""""))),""^Sell_""),INDEX(FILTER(F$4:F143,C$4:C143&lt;&gt;""""),ROWS(FILTER(C$4:C143,C$4:C143&lt;&gt;""""))),$AC$5*(2^SWITCH(COUNTIF(C$4:C144,""Cursor_up"")"&amp;",0,0,1,1,2,2,3)+SWITCH(COUNTIF(C$4:C144,""Cursor_up""),4,0.1,0)*(ROW(C144)-4-COUNTIF(C$4:C144,""Cursor"")-COUNTIF(C$4:C144,""*""&amp;""_up"")-2*COUNTIF(C$4:C144,""Sell_""&amp;""*"")+COUNTIF(C$4:C144,""Sell_Cursor"")-COUNTIF(C$4:C144,""""))+0.01*E144*COUNTIF(C$4:C"&amp;"144,""Plastic_up""))+E144))"),"")</f>
        <v/>
      </c>
      <c r="G144" s="14" t="str">
        <f>IFERROR(__xludf.DUMMYFUNCTION("IF(COUNTA(C144:C147)=0,"""",IF(REGEXMATCH(C144,""_up""),VLOOKUP(C144,Upgrades!$F$3:$J$8,1+COUNTIF(C$4:C144,C144),FALSE),IF(C144="""",0,IF(REGEXMATCH(C144,""^Sell_""),-ROUNDDOWN(ROUNDUP(INDEX(Upgrades!$C$3:$C$8,MATCH(SUBSTITUTE(C144,""Sell_"",""""),Upgrade"&amp;"s!$B$3:$B$8,0))*1.15^(COUNTIF(C$4:C143,SUBSTITUTE(C144,""Sell_"",""""))-COUNTIF(C$4:C143,""Sell_""&amp;SUBSTITUTE(C144,""Sell_"",""""))))/4),ROUNDUP(INDEX(Upgrades!$C$3:$C$7,MATCH(C144,Upgrades!$B$3:$B$7,0))*1.15^(COUNTIF(C$4:C143,C144)-COUNTIF(C$4:C143,""Sel"&amp;"l_""&amp;C144)))))))"),"")</f>
        <v/>
      </c>
      <c r="H144" s="14" t="str">
        <f t="shared" si="3"/>
        <v/>
      </c>
      <c r="I144" s="75" t="str">
        <f t="shared" si="4"/>
        <v/>
      </c>
      <c r="J144" s="76" t="str">
        <f t="shared" si="5"/>
        <v/>
      </c>
      <c r="K144" s="71" t="str">
        <f t="shared" si="6"/>
        <v/>
      </c>
      <c r="L144" s="77" t="str">
        <f t="shared" si="7"/>
        <v/>
      </c>
      <c r="M144" s="51" t="str">
        <f t="shared" si="8"/>
        <v/>
      </c>
      <c r="N144" s="52" t="str">
        <f>IFERROR(__xludf.DUMMYFUNCTION("IFS(AND(COUNTA(C144:C147)=0,COUNTA(P144:P147)=0),"""",OR(AND(L144&gt;=1000000,OR(Y144&gt;=1000000,COUNTA(P144:P147)=0)),AND(Y144&gt;=1000000,COUNTA(C144:C147)=0),AND(COUNTA(P144:P147)=0,O$3=TRUE)),
ROUNDDOWN((AB$1-AC$1)*MAX(INDEX(S$4:S147,MATCH(LARGE(FILTER(Y$4:Y1"&amp;"47,Y$4:Y147&lt;1000000),1),Y$4:Y147)),INDEX(F$4:F147,MATCH(LARGE(FILTER(L$4:L147,L$4:L147&lt;1000000),1),L$4:L147)))),AND(L144&lt;1000000,COUNTA(C144:C147)&gt;0,O$3=FALSE),
ROUNDDOWN(INDEX(Y$4:Y147,MATCH(LARGE(FILTER(W$4:W147,W$4:W147&lt;=J144),1),W$4:W147))+(J144-LARGE"&amp;"(FILTER(W$4:W147,W$4:W147&lt;=J144),1))*INDEX(S$4:S147,MATCH(LARGE(FILTER(W$4:W147,W$4:W147&lt;=J144),1),W$4:W147))-L144),1,
ROUNDDOWN(Y144-INDEX(L$4:L147,MATCH(LARGE(FILTER(J$4:J147,J$4:J147&lt;=W144),1),J$4:J147))-(W144-LARGE(FILTER(J$4:J147,J$4:J147&lt;=W144),1))*"&amp;"INDEX(F$4:F147,MATCH(LARGE(FILTER(J$4:J147,J$4:J147&lt;=W144),1),J$4:J147))))"),"")</f>
        <v/>
      </c>
      <c r="O144" s="65" t="str">
        <f t="shared" si="9"/>
        <v/>
      </c>
      <c r="P144" s="15"/>
      <c r="Q144" s="14" t="str">
        <f>IFERROR(__xludf.DUMMYFUNCTION("IF(COUNTA(P144:P147)=0,"""",IFERROR(IF(ISBLANK(P144),FALSE,IF(ISBLANK(T144),1,IF(NOT(COUNTIF($AA$24:$AA$34,SUBSTITUTE(P144,""Sell_"",""""))),1,IF(P144=""Plastic_up"",IF(V144&lt;1000,1),IF(P144=""Super_Up"",IF(OR(COUNTIF(P$4:P144,""Grandma"")-COUNTIF(P$4:P144"&amp;",""Sell_Grandma"")&lt;1,COUNTIF(P$4:P144,VLOOKUP(P144,Upgrades!$F$8:$N$8,7+COUNTIF(P$4:P144,P144)))-COUNTIF(P$4:P144,""Sell_""&amp;VLOOKUP(P144,Upgrades!$F$8:$N$8,7+COUNTIF(P$4:P144,P144)))&lt;15),1),IF(REGEXMATCH(P144,""_up""),IF(COUNTIF(P$4:P144,SUBSTITUTE(P144,"&amp;"""_up"",""""))&lt;IFERROR(VLOOKUP(P144,Upgrades!$L$3:$P$6,1+COUNTIF(P$4:P144,P144),0),999),1),IF(REGEXMATCH(P144,""Sell_""),IF(COUNTIF(P$4:P144,SUBSTITUTE(P144,""Sell_"",""""))-COUNTIF(P$4:P143,P144)&lt;1,1),FALSE)))))))))"),"")</f>
        <v/>
      </c>
      <c r="R144" s="71" t="str">
        <f>IFERROR(__xludf.DUMMYFUNCTION("IF(REGEXMATCH(P144,""^Sell_""),R143, IF(COUNTA(P144:P147)=0,"""",(COUNTIF(P$4:P144,""Cursor"")-COUNTIF(P$4:P144,""Sell_Cursor""))*(0.1*2^SWITCH(COUNTIF(P$4:P144,""Cursor_up""),0,0,1,1,2,2,3)+SWITCH(COUNTIF(P$4:P144,""Cursor_up""),4,0.1,0)*(ROW(P144)-4-COU"&amp;"NTIF(P$4:P144,""Cursor"")-COUNTIF(P$4:P144,""*""&amp;""_up"")-2*COUNTIF(P$4:P144,""Sell_""&amp;""*"")+COUNTIF(P$4:P144,""Sell_Cursor"")-COUNTIF(P$4:P144,"""")))+(COUNTIF(P$4:P144,""Grandma"")-COUNTIF(P$4:P144,""Sell_Grandma""))*(1*2^(COUNTIF(P$4:P144,""Grandma_up"&amp;""")+COUNTIF(P$4:P144,""Super_up"")))+(COUNTIF(P$4:P144,""Farm"")-COUNTIF(P$4:P144,""Sell_Farm""))*(8*2^COUNTIF(P$4:P144,""Farm_up""))*IF(COUNTIF(P$4:P144,""Super_up"")&gt;0,1+0.01*(COUNTIF(P$4:P144,""Grandma"")-COUNTIF(P$4:P144,""Sell_Grandma"")),1)+(COUNTIF"&amp;"(P$4:P144,""Mine"")-COUNTIF(P$4:P144,""Sell_Mine""))*((47*2^COUNTIF(P$4:P144,""Mine_up""))*IF(COUNTIF(P$4:P144,""Super_up"")&gt;1,1+0.005*(COUNTIF(P$4:P144,""Grandma"")-COUNTIF(P$4:P144,""Sell_Grandma"")),1))+(COUNTIF(P$4:P144,""Factory"")-COUNTIF(P$4:P144,"&amp;"""Sell_Factory""))*(260*2^COUNTIF(P$4:P144,""Factory_up""))))"),"")</f>
        <v/>
      </c>
      <c r="S144" s="73" t="str">
        <f>IFERROR(__xludf.DUMMYFUNCTION("IF(COUNTA(P144:P147)=0,"""",IF(REGEXMATCH(INDEX(FILTER(P$4:P144,P$4:P144&lt;&gt;""""),ROWS(FILTER(P$4:P144,P$4:P144&lt;&gt;""""))),""^Sell_""),INDEX(FILTER(S$4:S143,P$4:P143&lt;&gt;""""),ROWS(FILTER(P$4:P143,P$4:P143&lt;&gt;""""))),$AD$5*(2^SWITCH(COUNTIF(P$4:P144,""Cursor_up"")"&amp;",0,0,1,1,2,2,3)+SWITCH(COUNTIF(P$4:P144,""Cursor_up""),4,0.1,0)*(ROW(P144)-4-COUNTIF(P$4:P144,""Cursor"")-COUNTIF(P$4:P144,""*""&amp;""_up"")-2*COUNTIF(P$4:P144,""Sell_""&amp;""*"")+COUNTIF(P$4:P144,""Sell_Cursor"")-COUNTIF(P$4:P144,""""))+0.01*R144*COUNTIF(P$4:P"&amp;"144,""Plastic_up""))+R144))"),"")</f>
        <v/>
      </c>
      <c r="T144" s="14" t="str">
        <f>IFERROR(__xludf.DUMMYFUNCTION("IF(COUNTA(P144:P147)=0,"""",IF(REGEXMATCH(P144,""_up""),VLOOKUP(P144,Upgrades!$F$3:$J$8,1+COUNTIF(P$4:P144,P144),FALSE),IF(P144="""",0,IF(REGEXMATCH(P144,""^Sell_""),-ROUNDDOWN(ROUNDUP(INDEX(Upgrades!$C$3:$C$8,MATCH(SUBSTITUTE(P144,""Sell_"",""""),Upgrade"&amp;"s!$B$3:$B$8,0))*1.15^(COUNTIF(P$4:P143,SUBSTITUTE(P144,""Sell_"",""""))-COUNTIF(P$4:P143,""Sell_""&amp;SUBSTITUTE(P144,""Sell_"",""""))))/4),ROUNDUP(INDEX(Upgrades!$C$3:$C$7,MATCH(P144,Upgrades!$B$3:$B$7,0))*1.15^(COUNTIF(P$4:P143,P144)-COUNTIF(P$4:P143,""Sel"&amp;"l_""&amp;P144)))))))"),"")</f>
        <v/>
      </c>
      <c r="U144" s="14" t="str">
        <f t="shared" si="10"/>
        <v/>
      </c>
      <c r="V144" s="75" t="str">
        <f t="shared" si="11"/>
        <v/>
      </c>
      <c r="W144" s="76" t="str">
        <f t="shared" si="12"/>
        <v/>
      </c>
      <c r="X144" s="71" t="str">
        <f t="shared" si="13"/>
        <v/>
      </c>
      <c r="Y144" s="77" t="str">
        <f t="shared" si="14"/>
        <v/>
      </c>
      <c r="Z144" s="17"/>
      <c r="AA144" s="13"/>
      <c r="AB144" s="13"/>
      <c r="AC144" s="13"/>
      <c r="AD144" s="13"/>
      <c r="AE144" s="13"/>
      <c r="AF144" s="13"/>
      <c r="AG144" s="13"/>
    </row>
    <row r="145">
      <c r="A145" s="12"/>
      <c r="B145" s="65" t="str">
        <f t="shared" si="2"/>
        <v/>
      </c>
      <c r="C145" s="66"/>
      <c r="D145" s="14" t="str">
        <f>IFERROR(__xludf.DUMMYFUNCTION("IF(COUNTA(C145:C147)=0,"""",IFERROR(IF(ISBLANK(C145),FALSE,IF(ISBLANK(G145),1,IF(NOT(COUNTIF($AA$24:$AA$34,SUBSTITUTE(C145,""Sell_"",""""))),1,IF(C145=""Plastic_up"",IF(I145&lt;1000,1),IF(C145=""Super_Up"",IF(OR(COUNTIF(C$4:C145,""Grandma"")-COUNTIF(C$4:C145"&amp;",""Sell_Grandma"")&lt;1,COUNTIF(C$4:C145,VLOOKUP(C145,Upgrades!$F$8:$N$8,7+COUNTIF(C$4:C145,C145)))-COUNTIF(C$4:C145,""Sell_""&amp;VLOOKUP(C145,Upgrades!$F$8:$N$8,7+COUNTIF(C$4:C145,C145)))&lt;15),1),IF(REGEXMATCH(C145,""_up""),IF(COUNTIF(C$4:C145,SUBSTITUTE(C145,"&amp;"""_up"",""""))&lt;IFERROR(VLOOKUP(C145,Upgrades!$L$3:$P$6,1+COUNTIF(C$4:C145,C145),0),999),1),IF(REGEXMATCH(C145,""Sell_""),IF(COUNTIF(C$4:C145,SUBSTITUTE(C145,""Sell_"",""""))-COUNTIF(C$4:C144,C145)&lt;1,1),FALSE)))))))))"),"")</f>
        <v/>
      </c>
      <c r="E145" s="71" t="str">
        <f>IFERROR(__xludf.DUMMYFUNCTION("IF(REGEXMATCH(C145,""^Sell_""),E144, IF(COUNTA(C145:C147)=0,"""",(COUNTIF(C$4:C145,""Cursor"")-COUNTIF(C$4:C145,""Sell_Cursor""))*(0.1*2^SWITCH(COUNTIF(C$4:C145,""Cursor_up""),0,0,1,1,2,2,3)+SWITCH(COUNTIF(C$4:C145,""Cursor_up""),4,0.1,0)*(ROW(C145)-4-COU"&amp;"NTIF(C$4:C145,""Cursor"")-COUNTIF(C$4:C145,""*""&amp;""_up"")-2*COUNTIF(C$4:C145,""Sell_""&amp;""*"")+COUNTIF(C$4:C145,""Sell_Cursor"")-COUNTIF(C$4:C145,"""")))+(COUNTIF(C$4:C145,""Grandma"")-COUNTIF(C$4:C145,""Sell_Grandma""))*(1*2^(COUNTIF(C$4:C145,""Grandma_up"&amp;""")+COUNTIF(C$4:C145,""Super_up"")))+(COUNTIF(C$4:C145,""Farm"")-COUNTIF(C$4:C145,""Sell_Farm""))*(8*2^COUNTIF(C$4:C145,""Farm_up""))*IF(COUNTIF(C$4:C145,""Super_up"")&gt;0,1+0.01*(COUNTIF(C$4:C145,""Grandma"")-COUNTIF(C$4:C145,""Sell_Grandma"")),1)+(COUNTIF"&amp;"(C$4:C145,""Mine"")-COUNTIF(C$4:C145,""Sell_Mine""))*((47*2^COUNTIF(C$4:C145,""Mine_up""))*IF(COUNTIF(C$4:C145,""Super_up"")&gt;1,1+0.005*(COUNTIF(C$4:C145,""Grandma"")-COUNTIF(C$4:C145,""Sell_Grandma"")),1))+(COUNTIF(C$4:C145,""Factory"")-COUNTIF(C$4:C145,"&amp;"""Sell_Factory""))*(260*2^COUNTIF(C$4:C145,""Factory_up""))))"),"")</f>
        <v/>
      </c>
      <c r="F145" s="73" t="str">
        <f>IFERROR(__xludf.DUMMYFUNCTION("IF(COUNTA(C145:C147)=0,"""",IF(REGEXMATCH(INDEX(FILTER(C$4:C145,C$4:C145&lt;&gt;""""),ROWS(FILTER(C$4:C145,C$4:C145&lt;&gt;""""))),""^Sell_""),INDEX(FILTER(F$4:F144,C$4:C144&lt;&gt;""""),ROWS(FILTER(C$4:C144,C$4:C144&lt;&gt;""""))),$AC$5*(2^SWITCH(COUNTIF(C$4:C145,""Cursor_up"")"&amp;",0,0,1,1,2,2,3)+SWITCH(COUNTIF(C$4:C145,""Cursor_up""),4,0.1,0)*(ROW(C145)-4-COUNTIF(C$4:C145,""Cursor"")-COUNTIF(C$4:C145,""*""&amp;""_up"")-2*COUNTIF(C$4:C145,""Sell_""&amp;""*"")+COUNTIF(C$4:C145,""Sell_Cursor"")-COUNTIF(C$4:C145,""""))+0.01*E145*COUNTIF(C$4:C"&amp;"145,""Plastic_up""))+E145))"),"")</f>
        <v/>
      </c>
      <c r="G145" s="14" t="str">
        <f>IFERROR(__xludf.DUMMYFUNCTION("IF(COUNTA(C145:C147)=0,"""",IF(REGEXMATCH(C145,""_up""),VLOOKUP(C145,Upgrades!$F$3:$J$8,1+COUNTIF(C$4:C145,C145),FALSE),IF(C145="""",0,IF(REGEXMATCH(C145,""^Sell_""),-ROUNDDOWN(ROUNDUP(INDEX(Upgrades!$C$3:$C$8,MATCH(SUBSTITUTE(C145,""Sell_"",""""),Upgrade"&amp;"s!$B$3:$B$8,0))*1.15^(COUNTIF(C$4:C144,SUBSTITUTE(C145,""Sell_"",""""))-COUNTIF(C$4:C144,""Sell_""&amp;SUBSTITUTE(C145,""Sell_"",""""))))/4),ROUNDUP(INDEX(Upgrades!$C$3:$C$7,MATCH(C145,Upgrades!$B$3:$B$7,0))*1.15^(COUNTIF(C$4:C144,C145)-COUNTIF(C$4:C144,""Sel"&amp;"l_""&amp;C145)))))))"),"")</f>
        <v/>
      </c>
      <c r="H145" s="14" t="str">
        <f t="shared" si="3"/>
        <v/>
      </c>
      <c r="I145" s="75" t="str">
        <f t="shared" si="4"/>
        <v/>
      </c>
      <c r="J145" s="76" t="str">
        <f t="shared" si="5"/>
        <v/>
      </c>
      <c r="K145" s="71" t="str">
        <f t="shared" si="6"/>
        <v/>
      </c>
      <c r="L145" s="77" t="str">
        <f t="shared" si="7"/>
        <v/>
      </c>
      <c r="M145" s="51" t="str">
        <f t="shared" si="8"/>
        <v/>
      </c>
      <c r="N145" s="52" t="str">
        <f>IFERROR(__xludf.DUMMYFUNCTION("IFS(AND(COUNTA(C145:C147)=0,COUNTA(P145:P147)=0),"""",OR(AND(L145&gt;=1000000,OR(Y145&gt;=1000000,COUNTA(P145:P147)=0)),AND(Y145&gt;=1000000,COUNTA(C145:C147)=0),AND(COUNTA(P145:P147)=0,O$3=TRUE)),
ROUNDDOWN((AB$1-AC$1)*MAX(INDEX(S$4:S147,MATCH(LARGE(FILTER(Y$4:Y1"&amp;"47,Y$4:Y147&lt;1000000),1),Y$4:Y147)),INDEX(F$4:F147,MATCH(LARGE(FILTER(L$4:L147,L$4:L147&lt;1000000),1),L$4:L147)))),AND(L145&lt;1000000,COUNTA(C145:C147)&gt;0,O$3=FALSE),
ROUNDDOWN(INDEX(Y$4:Y147,MATCH(LARGE(FILTER(W$4:W147,W$4:W147&lt;=J145),1),W$4:W147))+(J145-LARGE"&amp;"(FILTER(W$4:W147,W$4:W147&lt;=J145),1))*INDEX(S$4:S147,MATCH(LARGE(FILTER(W$4:W147,W$4:W147&lt;=J145),1),W$4:W147))-L145),1,
ROUNDDOWN(Y145-INDEX(L$4:L147,MATCH(LARGE(FILTER(J$4:J147,J$4:J147&lt;=W145),1),J$4:J147))-(W145-LARGE(FILTER(J$4:J147,J$4:J147&lt;=W145),1))*"&amp;"INDEX(F$4:F147,MATCH(LARGE(FILTER(J$4:J147,J$4:J147&lt;=W145),1),J$4:J147))))"),"")</f>
        <v/>
      </c>
      <c r="O145" s="65" t="str">
        <f t="shared" si="9"/>
        <v/>
      </c>
      <c r="P145" s="66"/>
      <c r="Q145" s="14" t="str">
        <f>IFERROR(__xludf.DUMMYFUNCTION("IF(COUNTA(P145:P147)=0,"""",IFERROR(IF(ISBLANK(P145),FALSE,IF(ISBLANK(T145),1,IF(NOT(COUNTIF($AA$24:$AA$34,SUBSTITUTE(P145,""Sell_"",""""))),1,IF(P145=""Plastic_up"",IF(V145&lt;1000,1),IF(P145=""Super_Up"",IF(OR(COUNTIF(P$4:P145,""Grandma"")-COUNTIF(P$4:P145"&amp;",""Sell_Grandma"")&lt;1,COUNTIF(P$4:P145,VLOOKUP(P145,Upgrades!$F$8:$N$8,7+COUNTIF(P$4:P145,P145)))-COUNTIF(P$4:P145,""Sell_""&amp;VLOOKUP(P145,Upgrades!$F$8:$N$8,7+COUNTIF(P$4:P145,P145)))&lt;15),1),IF(REGEXMATCH(P145,""_up""),IF(COUNTIF(P$4:P145,SUBSTITUTE(P145,"&amp;"""_up"",""""))&lt;IFERROR(VLOOKUP(P145,Upgrades!$L$3:$P$6,1+COUNTIF(P$4:P145,P145),0),999),1),IF(REGEXMATCH(P145,""Sell_""),IF(COUNTIF(P$4:P145,SUBSTITUTE(P145,""Sell_"",""""))-COUNTIF(P$4:P144,P145)&lt;1,1),FALSE)))))))))"),"")</f>
        <v/>
      </c>
      <c r="R145" s="71" t="str">
        <f>IFERROR(__xludf.DUMMYFUNCTION("IF(REGEXMATCH(P145,""^Sell_""),R144, IF(COUNTA(P145:P147)=0,"""",(COUNTIF(P$4:P145,""Cursor"")-COUNTIF(P$4:P145,""Sell_Cursor""))*(0.1*2^SWITCH(COUNTIF(P$4:P145,""Cursor_up""),0,0,1,1,2,2,3)+SWITCH(COUNTIF(P$4:P145,""Cursor_up""),4,0.1,0)*(ROW(P145)-4-COU"&amp;"NTIF(P$4:P145,""Cursor"")-COUNTIF(P$4:P145,""*""&amp;""_up"")-2*COUNTIF(P$4:P145,""Sell_""&amp;""*"")+COUNTIF(P$4:P145,""Sell_Cursor"")-COUNTIF(P$4:P145,"""")))+(COUNTIF(P$4:P145,""Grandma"")-COUNTIF(P$4:P145,""Sell_Grandma""))*(1*2^(COUNTIF(P$4:P145,""Grandma_up"&amp;""")+COUNTIF(P$4:P145,""Super_up"")))+(COUNTIF(P$4:P145,""Farm"")-COUNTIF(P$4:P145,""Sell_Farm""))*(8*2^COUNTIF(P$4:P145,""Farm_up""))*IF(COUNTIF(P$4:P145,""Super_up"")&gt;0,1+0.01*(COUNTIF(P$4:P145,""Grandma"")-COUNTIF(P$4:P145,""Sell_Grandma"")),1)+(COUNTIF"&amp;"(P$4:P145,""Mine"")-COUNTIF(P$4:P145,""Sell_Mine""))*((47*2^COUNTIF(P$4:P145,""Mine_up""))*IF(COUNTIF(P$4:P145,""Super_up"")&gt;1,1+0.005*(COUNTIF(P$4:P145,""Grandma"")-COUNTIF(P$4:P145,""Sell_Grandma"")),1))+(COUNTIF(P$4:P145,""Factory"")-COUNTIF(P$4:P145,"&amp;"""Sell_Factory""))*(260*2^COUNTIF(P$4:P145,""Factory_up""))))"),"")</f>
        <v/>
      </c>
      <c r="S145" s="73" t="str">
        <f>IFERROR(__xludf.DUMMYFUNCTION("IF(COUNTA(P145:P147)=0,"""",IF(REGEXMATCH(INDEX(FILTER(P$4:P145,P$4:P145&lt;&gt;""""),ROWS(FILTER(P$4:P145,P$4:P145&lt;&gt;""""))),""^Sell_""),INDEX(FILTER(S$4:S144,P$4:P144&lt;&gt;""""),ROWS(FILTER(P$4:P144,P$4:P144&lt;&gt;""""))),$AD$5*(2^SWITCH(COUNTIF(P$4:P145,""Cursor_up"")"&amp;",0,0,1,1,2,2,3)+SWITCH(COUNTIF(P$4:P145,""Cursor_up""),4,0.1,0)*(ROW(P145)-4-COUNTIF(P$4:P145,""Cursor"")-COUNTIF(P$4:P145,""*""&amp;""_up"")-2*COUNTIF(P$4:P145,""Sell_""&amp;""*"")+COUNTIF(P$4:P145,""Sell_Cursor"")-COUNTIF(P$4:P145,""""))+0.01*R145*COUNTIF(P$4:P"&amp;"145,""Plastic_up""))+R145))"),"")</f>
        <v/>
      </c>
      <c r="T145" s="14" t="str">
        <f>IFERROR(__xludf.DUMMYFUNCTION("IF(COUNTA(P145:P147)=0,"""",IF(REGEXMATCH(P145,""_up""),VLOOKUP(P145,Upgrades!$F$3:$J$8,1+COUNTIF(P$4:P145,P145),FALSE),IF(P145="""",0,IF(REGEXMATCH(P145,""^Sell_""),-ROUNDDOWN(ROUNDUP(INDEX(Upgrades!$C$3:$C$8,MATCH(SUBSTITUTE(P145,""Sell_"",""""),Upgrade"&amp;"s!$B$3:$B$8,0))*1.15^(COUNTIF(P$4:P144,SUBSTITUTE(P145,""Sell_"",""""))-COUNTIF(P$4:P144,""Sell_""&amp;SUBSTITUTE(P145,""Sell_"",""""))))/4),ROUNDUP(INDEX(Upgrades!$C$3:$C$7,MATCH(P145,Upgrades!$B$3:$B$7,0))*1.15^(COUNTIF(P$4:P144,P145)-COUNTIF(P$4:P144,""Sel"&amp;"l_""&amp;P145)))))))"),"")</f>
        <v/>
      </c>
      <c r="U145" s="14" t="str">
        <f t="shared" si="10"/>
        <v/>
      </c>
      <c r="V145" s="75" t="str">
        <f t="shared" si="11"/>
        <v/>
      </c>
      <c r="W145" s="76" t="str">
        <f t="shared" si="12"/>
        <v/>
      </c>
      <c r="X145" s="71" t="str">
        <f t="shared" si="13"/>
        <v/>
      </c>
      <c r="Y145" s="77" t="str">
        <f t="shared" si="14"/>
        <v/>
      </c>
      <c r="Z145" s="17"/>
      <c r="AA145" s="13"/>
      <c r="AB145" s="13"/>
      <c r="AC145" s="13"/>
      <c r="AD145" s="13"/>
      <c r="AE145" s="13"/>
      <c r="AF145" s="13"/>
      <c r="AG145" s="13"/>
    </row>
    <row r="146">
      <c r="A146" s="12"/>
      <c r="B146" s="65" t="str">
        <f t="shared" si="2"/>
        <v/>
      </c>
      <c r="C146" s="66"/>
      <c r="D146" s="14" t="str">
        <f>IFERROR(__xludf.DUMMYFUNCTION("IF(COUNTA(C146:C147)=0,"""",IFERROR(IF(ISBLANK(C146),FALSE,IF(ISBLANK(G146),1,IF(NOT(COUNTIF($AA$24:$AA$34,SUBSTITUTE(C146,""Sell_"",""""))),1,IF(C146=""Plastic_up"",IF(I146&lt;1000,1),IF(C146=""Super_Up"",IF(OR(COUNTIF(C$4:C146,""Grandma"")-COUNTIF(C$4:C146"&amp;",""Sell_Grandma"")&lt;1,COUNTIF(C$4:C146,VLOOKUP(C146,Upgrades!$F$8:$N$8,7+COUNTIF(C$4:C146,C146)))-COUNTIF(C$4:C146,""Sell_""&amp;VLOOKUP(C146,Upgrades!$F$8:$N$8,7+COUNTIF(C$4:C146,C146)))&lt;15),1),IF(REGEXMATCH(C146,""_up""),IF(COUNTIF(C$4:C146,SUBSTITUTE(C146,"&amp;"""_up"",""""))&lt;IFERROR(VLOOKUP(C146,Upgrades!$L$3:$P$6,1+COUNTIF(C$4:C146,C146),0),999),1),IF(REGEXMATCH(C146,""Sell_""),IF(COUNTIF(C$4:C146,SUBSTITUTE(C146,""Sell_"",""""))-COUNTIF(C$4:C145,C146)&lt;1,1),FALSE)))))))))"),"")</f>
        <v/>
      </c>
      <c r="E146" s="71" t="str">
        <f>IFERROR(__xludf.DUMMYFUNCTION("IF(REGEXMATCH(C146,""^Sell_""),E145, IF(COUNTA(C146:C147)=0,"""",(COUNTIF(C$4:C146,""Cursor"")-COUNTIF(C$4:C146,""Sell_Cursor""))*(0.1*2^SWITCH(COUNTIF(C$4:C146,""Cursor_up""),0,0,1,1,2,2,3)+SWITCH(COUNTIF(C$4:C146,""Cursor_up""),4,0.1,0)*(ROW(C146)-4-COU"&amp;"NTIF(C$4:C146,""Cursor"")-COUNTIF(C$4:C146,""*""&amp;""_up"")-2*COUNTIF(C$4:C146,""Sell_""&amp;""*"")+COUNTIF(C$4:C146,""Sell_Cursor"")-COUNTIF(C$4:C146,"""")))+(COUNTIF(C$4:C146,""Grandma"")-COUNTIF(C$4:C146,""Sell_Grandma""))*(1*2^(COUNTIF(C$4:C146,""Grandma_up"&amp;""")+COUNTIF(C$4:C146,""Super_up"")))+(COUNTIF(C$4:C146,""Farm"")-COUNTIF(C$4:C146,""Sell_Farm""))*(8*2^COUNTIF(C$4:C146,""Farm_up""))*IF(COUNTIF(C$4:C146,""Super_up"")&gt;0,1+0.01*(COUNTIF(C$4:C146,""Grandma"")-COUNTIF(C$4:C146,""Sell_Grandma"")),1)+(COUNTIF"&amp;"(C$4:C146,""Mine"")-COUNTIF(C$4:C146,""Sell_Mine""))*((47*2^COUNTIF(C$4:C146,""Mine_up""))*IF(COUNTIF(C$4:C146,""Super_up"")&gt;1,1+0.005*(COUNTIF(C$4:C146,""Grandma"")-COUNTIF(C$4:C146,""Sell_Grandma"")),1))+(COUNTIF(C$4:C146,""Factory"")-COUNTIF(C$4:C146,"&amp;"""Sell_Factory""))*(260*2^COUNTIF(C$4:C146,""Factory_up""))))"),"")</f>
        <v/>
      </c>
      <c r="F146" s="73" t="str">
        <f>IFERROR(__xludf.DUMMYFUNCTION("IF(COUNTA(C146:C147)=0,"""",IF(REGEXMATCH(INDEX(FILTER(C$4:C146,C$4:C146&lt;&gt;""""),ROWS(FILTER(C$4:C146,C$4:C146&lt;&gt;""""))),""^Sell_""),INDEX(FILTER(F$4:F145,C$4:C145&lt;&gt;""""),ROWS(FILTER(C$4:C145,C$4:C145&lt;&gt;""""))),$AC$5*(2^SWITCH(COUNTIF(C$4:C146,""Cursor_up"")"&amp;",0,0,1,1,2,2,3)+SWITCH(COUNTIF(C$4:C146,""Cursor_up""),4,0.1,0)*(ROW(C146)-4-COUNTIF(C$4:C146,""Cursor"")-COUNTIF(C$4:C146,""*""&amp;""_up"")-2*COUNTIF(C$4:C146,""Sell_""&amp;""*"")+COUNTIF(C$4:C146,""Sell_Cursor"")-COUNTIF(C$4:C146,""""))+0.01*E146*COUNTIF(C$4:C"&amp;"146,""Plastic_up""))+E146))"),"")</f>
        <v/>
      </c>
      <c r="G146" s="14" t="str">
        <f>IFERROR(__xludf.DUMMYFUNCTION("IF(COUNTA(C146:C147)=0,"""",IF(REGEXMATCH(C146,""_up""),VLOOKUP(C146,Upgrades!$F$3:$J$8,1+COUNTIF(C$4:C146,C146),FALSE),IF(C146="""",0,IF(REGEXMATCH(C146,""^Sell_""),-ROUNDDOWN(ROUNDUP(INDEX(Upgrades!$C$3:$C$8,MATCH(SUBSTITUTE(C146,""Sell_"",""""),Upgrade"&amp;"s!$B$3:$B$8,0))*1.15^(COUNTIF(C$4:C145,SUBSTITUTE(C146,""Sell_"",""""))-COUNTIF(C$4:C145,""Sell_""&amp;SUBSTITUTE(C146,""Sell_"",""""))))/4),ROUNDUP(INDEX(Upgrades!$C$3:$C$7,MATCH(C146,Upgrades!$B$3:$B$7,0))*1.15^(COUNTIF(C$4:C145,C146)-COUNTIF(C$4:C145,""Sel"&amp;"l_""&amp;C146)))))))"),"")</f>
        <v/>
      </c>
      <c r="H146" s="14" t="str">
        <f t="shared" si="3"/>
        <v/>
      </c>
      <c r="I146" s="75" t="str">
        <f t="shared" si="4"/>
        <v/>
      </c>
      <c r="J146" s="76" t="str">
        <f t="shared" si="5"/>
        <v/>
      </c>
      <c r="K146" s="71" t="str">
        <f t="shared" si="6"/>
        <v/>
      </c>
      <c r="L146" s="77" t="str">
        <f t="shared" si="7"/>
        <v/>
      </c>
      <c r="M146" s="51" t="str">
        <f t="shared" si="8"/>
        <v/>
      </c>
      <c r="N146" s="52" t="str">
        <f>IFERROR(__xludf.DUMMYFUNCTION("IFS(AND(COUNTA(C146:C147)=0,COUNTA(P146:P147)=0),"""",OR(AND(L146&gt;=1000000,OR(Y146&gt;=1000000,COUNTA(P146:P147)=0)),AND(Y146&gt;=1000000,COUNTA(C146:C147)=0),AND(COUNTA(P146:P147)=0,O$3=TRUE)),
ROUNDDOWN((AB$1-AC$1)*MAX(INDEX(S$4:S147,MATCH(LARGE(FILTER(Y$4:Y1"&amp;"47,Y$4:Y147&lt;1000000),1),Y$4:Y147)),INDEX(F$4:F147,MATCH(LARGE(FILTER(L$4:L147,L$4:L147&lt;1000000),1),L$4:L147)))),AND(L146&lt;1000000,COUNTA(C146:C147)&gt;0,O$3=FALSE),
ROUNDDOWN(INDEX(Y$4:Y147,MATCH(LARGE(FILTER(W$4:W147,W$4:W147&lt;=J146),1),W$4:W147))+(J146-LARGE"&amp;"(FILTER(W$4:W147,W$4:W147&lt;=J146),1))*INDEX(S$4:S147,MATCH(LARGE(FILTER(W$4:W147,W$4:W147&lt;=J146),1),W$4:W147))-L146),1,
ROUNDDOWN(Y146-INDEX(L$4:L147,MATCH(LARGE(FILTER(J$4:J147,J$4:J147&lt;=W146),1),J$4:J147))-(W146-LARGE(FILTER(J$4:J147,J$4:J147&lt;=W146),1))*"&amp;"INDEX(F$4:F147,MATCH(LARGE(FILTER(J$4:J147,J$4:J147&lt;=W146),1),J$4:J147))))"),"")</f>
        <v/>
      </c>
      <c r="O146" s="65" t="str">
        <f t="shared" si="9"/>
        <v/>
      </c>
      <c r="P146" s="66"/>
      <c r="Q146" s="14" t="str">
        <f>IFERROR(__xludf.DUMMYFUNCTION("IF(COUNTA(P146:P147)=0,"""",IFERROR(IF(ISBLANK(P146),FALSE,IF(ISBLANK(T146),1,IF(NOT(COUNTIF($AA$24:$AA$34,SUBSTITUTE(P146,""Sell_"",""""))),1,IF(P146=""Plastic_up"",IF(V146&lt;1000,1),IF(P146=""Super_Up"",IF(OR(COUNTIF(P$4:P146,""Grandma"")-COUNTIF(P$4:P146"&amp;",""Sell_Grandma"")&lt;1,COUNTIF(P$4:P146,VLOOKUP(P146,Upgrades!$F$8:$N$8,7+COUNTIF(P$4:P146,P146)))-COUNTIF(P$4:P146,""Sell_""&amp;VLOOKUP(P146,Upgrades!$F$8:$N$8,7+COUNTIF(P$4:P146,P146)))&lt;15),1),IF(REGEXMATCH(P146,""_up""),IF(COUNTIF(P$4:P146,SUBSTITUTE(P146,"&amp;"""_up"",""""))&lt;IFERROR(VLOOKUP(P146,Upgrades!$L$3:$P$6,1+COUNTIF(P$4:P146,P146),0),999),1),IF(REGEXMATCH(P146,""Sell_""),IF(COUNTIF(P$4:P146,SUBSTITUTE(P146,""Sell_"",""""))-COUNTIF(P$4:P145,P146)&lt;1,1),FALSE)))))))))"),"")</f>
        <v/>
      </c>
      <c r="R146" s="71" t="str">
        <f>IFERROR(__xludf.DUMMYFUNCTION("IF(REGEXMATCH(P146,""^Sell_""),R145, IF(COUNTA(P146:P147)=0,"""",(COUNTIF(P$4:P146,""Cursor"")-COUNTIF(P$4:P146,""Sell_Cursor""))*(0.1*2^SWITCH(COUNTIF(P$4:P146,""Cursor_up""),0,0,1,1,2,2,3)+SWITCH(COUNTIF(P$4:P146,""Cursor_up""),4,0.1,0)*(ROW(P146)-4-COU"&amp;"NTIF(P$4:P146,""Cursor"")-COUNTIF(P$4:P146,""*""&amp;""_up"")-2*COUNTIF(P$4:P146,""Sell_""&amp;""*"")+COUNTIF(P$4:P146,""Sell_Cursor"")-COUNTIF(P$4:P146,"""")))+(COUNTIF(P$4:P146,""Grandma"")-COUNTIF(P$4:P146,""Sell_Grandma""))*(1*2^(COUNTIF(P$4:P146,""Grandma_up"&amp;""")+COUNTIF(P$4:P146,""Super_up"")))+(COUNTIF(P$4:P146,""Farm"")-COUNTIF(P$4:P146,""Sell_Farm""))*(8*2^COUNTIF(P$4:P146,""Farm_up""))*IF(COUNTIF(P$4:P146,""Super_up"")&gt;0,1+0.01*(COUNTIF(P$4:P146,""Grandma"")-COUNTIF(P$4:P146,""Sell_Grandma"")),1)+(COUNTIF"&amp;"(P$4:P146,""Mine"")-COUNTIF(P$4:P146,""Sell_Mine""))*((47*2^COUNTIF(P$4:P146,""Mine_up""))*IF(COUNTIF(P$4:P146,""Super_up"")&gt;1,1+0.005*(COUNTIF(P$4:P146,""Grandma"")-COUNTIF(P$4:P146,""Sell_Grandma"")),1))+(COUNTIF(P$4:P146,""Factory"")-COUNTIF(P$4:P146,"&amp;"""Sell_Factory""))*(260*2^COUNTIF(P$4:P146,""Factory_up""))))"),"")</f>
        <v/>
      </c>
      <c r="S146" s="73" t="str">
        <f>IFERROR(__xludf.DUMMYFUNCTION("IF(COUNTA(P146:P147)=0,"""",IF(REGEXMATCH(INDEX(FILTER(P$4:P146,P$4:P146&lt;&gt;""""),ROWS(FILTER(P$4:P146,P$4:P146&lt;&gt;""""))),""^Sell_""),INDEX(FILTER(S$4:S145,P$4:P145&lt;&gt;""""),ROWS(FILTER(P$4:P145,P$4:P145&lt;&gt;""""))),$AD$5*(2^SWITCH(COUNTIF(P$4:P146,""Cursor_up"")"&amp;",0,0,1,1,2,2,3)+SWITCH(COUNTIF(P$4:P146,""Cursor_up""),4,0.1,0)*(ROW(P146)-4-COUNTIF(P$4:P146,""Cursor"")-COUNTIF(P$4:P146,""*""&amp;""_up"")-2*COUNTIF(P$4:P146,""Sell_""&amp;""*"")+COUNTIF(P$4:P146,""Sell_Cursor"")-COUNTIF(P$4:P146,""""))+0.01*R146*COUNTIF(P$4:P"&amp;"146,""Plastic_up""))+R146))"),"")</f>
        <v/>
      </c>
      <c r="T146" s="14" t="str">
        <f>IFERROR(__xludf.DUMMYFUNCTION("IF(COUNTA(P146:P147)=0,"""",IF(REGEXMATCH(P146,""_up""),VLOOKUP(P146,Upgrades!$F$3:$J$8,1+COUNTIF(P$4:P146,P146),FALSE),IF(P146="""",0,IF(REGEXMATCH(P146,""^Sell_""),-ROUNDDOWN(ROUNDUP(INDEX(Upgrades!$C$3:$C$8,MATCH(SUBSTITUTE(P146,""Sell_"",""""),Upgrade"&amp;"s!$B$3:$B$8,0))*1.15^(COUNTIF(P$4:P145,SUBSTITUTE(P146,""Sell_"",""""))-COUNTIF(P$4:P145,""Sell_""&amp;SUBSTITUTE(P146,""Sell_"",""""))))/4),ROUNDUP(INDEX(Upgrades!$C$3:$C$7,MATCH(P146,Upgrades!$B$3:$B$7,0))*1.15^(COUNTIF(P$4:P145,P146)-COUNTIF(P$4:P145,""Sel"&amp;"l_""&amp;P146)))))))"),"")</f>
        <v/>
      </c>
      <c r="U146" s="14" t="str">
        <f t="shared" si="10"/>
        <v/>
      </c>
      <c r="V146" s="75" t="str">
        <f t="shared" si="11"/>
        <v/>
      </c>
      <c r="W146" s="76" t="str">
        <f t="shared" si="12"/>
        <v/>
      </c>
      <c r="X146" s="71" t="str">
        <f t="shared" si="13"/>
        <v/>
      </c>
      <c r="Y146" s="77" t="str">
        <f t="shared" si="14"/>
        <v/>
      </c>
      <c r="Z146" s="17"/>
      <c r="AA146" s="13"/>
      <c r="AB146" s="13"/>
      <c r="AC146" s="13"/>
      <c r="AD146" s="13"/>
      <c r="AE146" s="13"/>
      <c r="AF146" s="13"/>
      <c r="AG146" s="13"/>
    </row>
    <row r="147" ht="11.25" customHeight="1">
      <c r="A147" s="12"/>
      <c r="B147" s="120"/>
      <c r="C147" s="121"/>
      <c r="D147" s="120"/>
      <c r="E147" s="24"/>
      <c r="F147" s="26"/>
      <c r="G147" s="26"/>
      <c r="H147" s="26"/>
      <c r="I147" s="120"/>
      <c r="J147" s="26"/>
      <c r="K147" s="26"/>
      <c r="L147" s="26"/>
      <c r="M147" s="122"/>
      <c r="N147" s="123"/>
      <c r="O147" s="120"/>
      <c r="P147" s="24"/>
      <c r="Q147" s="120"/>
      <c r="R147" s="24"/>
      <c r="S147" s="26"/>
      <c r="T147" s="26"/>
      <c r="U147" s="26"/>
      <c r="V147" s="120"/>
      <c r="W147" s="26"/>
      <c r="X147" s="26"/>
      <c r="Y147" s="26"/>
      <c r="Z147" s="17"/>
      <c r="AA147" s="13"/>
      <c r="AB147" s="13"/>
      <c r="AC147" s="13"/>
      <c r="AD147" s="13"/>
      <c r="AE147" s="13"/>
      <c r="AF147" s="13"/>
      <c r="AG147" s="13"/>
    </row>
  </sheetData>
  <mergeCells count="8">
    <mergeCell ref="AC1:AD1"/>
    <mergeCell ref="AA2:AA3"/>
    <mergeCell ref="AB2:AB3"/>
    <mergeCell ref="AC2:AD3"/>
    <mergeCell ref="AE2:AE3"/>
    <mergeCell ref="AF2:AF3"/>
    <mergeCell ref="AA5:AB5"/>
    <mergeCell ref="AD39:AE39"/>
  </mergeCells>
  <conditionalFormatting sqref="M4:M147">
    <cfRule type="containsText" dxfId="0" priority="1" operator="containsText" text="-">
      <formula>NOT(ISERROR(SEARCH(("-"),(M4))))</formula>
    </cfRule>
  </conditionalFormatting>
  <conditionalFormatting sqref="M4:M147">
    <cfRule type="cellIs" dxfId="1" priority="2" operator="greaterThan">
      <formula>0</formula>
    </cfRule>
  </conditionalFormatting>
  <conditionalFormatting sqref="M4:N147">
    <cfRule type="cellIs" dxfId="0" priority="3" operator="greaterThan">
      <formula>0</formula>
    </cfRule>
  </conditionalFormatting>
  <conditionalFormatting sqref="M4:N147">
    <cfRule type="containsText" dxfId="1" priority="4" operator="containsText" text="-">
      <formula>NOT(ISERROR(SEARCH(("-"),(M4))))</formula>
    </cfRule>
  </conditionalFormatting>
  <conditionalFormatting sqref="AC5:AD5 AC7 AC39:AD39">
    <cfRule type="cellIs" dxfId="1" priority="5" operator="equal">
      <formula>"NO"</formula>
    </cfRule>
  </conditionalFormatting>
  <conditionalFormatting sqref="AC5:AD5 AC7 AC39:AD39">
    <cfRule type="cellIs" dxfId="0" priority="6" operator="equal">
      <formula>"YES"</formula>
    </cfRule>
  </conditionalFormatting>
  <conditionalFormatting sqref="C4:C146 P124:P146">
    <cfRule type="expression" dxfId="2" priority="7">
      <formula>D4=1</formula>
    </cfRule>
  </conditionalFormatting>
  <conditionalFormatting sqref="AC5:AD5 AC7 AC39:AD39">
    <cfRule type="cellIs" dxfId="2" priority="8" operator="lessThan">
      <formula>0</formula>
    </cfRule>
  </conditionalFormatting>
  <conditionalFormatting sqref="C4:C146 P124:P146">
    <cfRule type="expression" dxfId="2" priority="9">
      <formula>D4=1</formula>
    </cfRule>
  </conditionalFormatting>
  <conditionalFormatting sqref="N4:N147">
    <cfRule type="containsText" dxfId="3" priority="10" operator="containsText" text="-">
      <formula>NOT(ISERROR(SEARCH(("-"),(N4))))</formula>
    </cfRule>
  </conditionalFormatting>
  <conditionalFormatting sqref="N4:N147">
    <cfRule type="cellIs" dxfId="4" priority="11" operator="notEqual">
      <formula>0</formula>
    </cfRule>
  </conditionalFormatting>
  <conditionalFormatting sqref="M4:M147">
    <cfRule type="expression" dxfId="3" priority="12">
      <formula>VALUE(M4)&gt;10000</formula>
    </cfRule>
  </conditionalFormatting>
  <conditionalFormatting sqref="AC7 AC39:AD39">
    <cfRule type="cellIs" dxfId="4" priority="13" operator="equal">
      <formula>"YES"</formula>
    </cfRule>
  </conditionalFormatting>
  <conditionalFormatting sqref="AF2:AF3">
    <cfRule type="cellIs" dxfId="4" priority="14" operator="lessThan">
      <formula>0</formula>
    </cfRule>
  </conditionalFormatting>
  <conditionalFormatting sqref="AF2:AF3">
    <cfRule type="cellIs" dxfId="3" priority="15" operator="greaterThan">
      <formula>0</formula>
    </cfRule>
  </conditionalFormatting>
  <conditionalFormatting sqref="Y1:Y147 L1:L147">
    <cfRule type="cellIs" dxfId="1" priority="16" operator="greaterThanOrEqual">
      <formula>1000000</formula>
    </cfRule>
  </conditionalFormatting>
  <hyperlinks>
    <hyperlink r:id="rId1" ref="AD3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
    <col customWidth="1" min="2" max="2" width="3.0"/>
    <col customWidth="1" min="3" max="3" width="12.0"/>
    <col customWidth="1" hidden="1" min="4" max="4" width="10.63"/>
    <col customWidth="1" hidden="1" min="5" max="5" width="9.13"/>
    <col customWidth="1" min="6" max="6" width="8.63"/>
    <col customWidth="1" hidden="1" min="7" max="7" width="9.88"/>
    <col customWidth="1" hidden="1" min="8" max="8" width="9.25"/>
    <col customWidth="1" hidden="1" min="9" max="9" width="10.38"/>
    <col customWidth="1" min="10" max="10" width="8.25"/>
    <col customWidth="1" hidden="1" min="11" max="11" width="8.38"/>
    <col customWidth="1" min="12" max="12" width="9.0"/>
    <col customWidth="1" min="13" max="13" width="8.25"/>
    <col customWidth="1" min="14" max="14" width="8.88"/>
    <col customWidth="1" min="15" max="15" width="3.0"/>
    <col customWidth="1" min="16" max="16" width="12.0"/>
    <col customWidth="1" hidden="1" min="17" max="17" width="10.63"/>
    <col customWidth="1" min="18" max="18" width="9.13"/>
    <col customWidth="1" min="19" max="19" width="8.63"/>
    <col customWidth="1" min="20" max="20" width="9.88"/>
    <col customWidth="1" hidden="1" min="21" max="21" width="9.25"/>
    <col customWidth="1" hidden="1" min="22" max="22" width="10.38"/>
    <col customWidth="1" min="23" max="23" width="8.25"/>
    <col customWidth="1" min="24" max="24" width="11.38"/>
    <col customWidth="1" min="25" max="25" width="9.0"/>
    <col customWidth="1" min="26" max="26" width="2.0"/>
    <col customWidth="1" min="27" max="27" width="11.88"/>
    <col customWidth="1" min="28" max="28" width="11.38"/>
    <col customWidth="1" min="29" max="30" width="5.75"/>
    <col customWidth="1" min="31" max="31" width="4.63"/>
    <col customWidth="1" min="32" max="32" width="9.38"/>
    <col customWidth="1" min="33" max="33" width="2.0"/>
  </cols>
  <sheetData>
    <row r="1" ht="15.0" hidden="1" customHeight="1">
      <c r="E1" s="1"/>
      <c r="M1" s="2"/>
      <c r="N1" s="4"/>
      <c r="R1" s="1"/>
      <c r="AB1" s="19">
        <f t="array" ref="AB1">INDEX(J$4:J147,MATCH(LARGE(L$4:L147,COUNTIF(L$4:L147,"&gt;"&amp;1000000)+1),L$4:L147,1))+(1000000-LARGE(L$4:L147,COUNTIF(L$4:L147,"&gt;"&amp;1000000)+1))/INDEX(F$4:F147,MATCH(LARGE(L$4:L147,COUNTIF(L$4:L147,"&gt;"&amp;1000000)+1),L$4:L147,1))</f>
        <v>1054.621253</v>
      </c>
      <c r="AC1" s="19">
        <f t="array" ref="AC1">INDEX(W$4:W147,MATCH(LARGE(Y$4:Y147,COUNTIF(Y$4:Y147,"&gt;"&amp;1000000)+1),Y$4:Y147,1))+(1000000-LARGE(Y$4:Y147,COUNTIF(Y$4:Y147,"&gt;"&amp;1000000)+1))/INDEX(S$4:S147,MATCH(LARGE(Y$4:Y147,COUNTIF(Y$4:Y147,"&gt;"&amp;1000000)+1),Y$4:Y147,1))</f>
        <v>1054.621253</v>
      </c>
    </row>
    <row r="2" ht="11.25" customHeight="1">
      <c r="A2" s="12"/>
      <c r="B2" s="12"/>
      <c r="C2" s="21"/>
      <c r="D2" s="12"/>
      <c r="E2" s="24"/>
      <c r="F2" s="26"/>
      <c r="G2" s="26"/>
      <c r="H2" s="26"/>
      <c r="I2" s="12"/>
      <c r="J2" s="26"/>
      <c r="K2" s="26"/>
      <c r="L2" s="17"/>
      <c r="M2" s="29"/>
      <c r="N2" s="30"/>
      <c r="O2" s="12"/>
      <c r="P2" s="21"/>
      <c r="Q2" s="12"/>
      <c r="R2" s="24"/>
      <c r="S2" s="26"/>
      <c r="T2" s="26"/>
      <c r="U2" s="26"/>
      <c r="V2" s="12"/>
      <c r="W2" s="26"/>
      <c r="X2" s="26"/>
      <c r="Y2" s="17"/>
      <c r="Z2" s="17"/>
      <c r="AA2" s="33" t="s">
        <v>28</v>
      </c>
      <c r="AB2" s="37" t="str">
        <f t="shared" ref="AB2:AC2" si="1">IF(AB1&gt;3600,TRUNC(AB1/3600)&amp;"h ","")&amp;IF(AB1&gt;59,IF(AND(AB1&gt;3599,QUOTIENT(MOD(AB1,3600),60)&lt;10),"0","")&amp;QUOTIENT(MOD(AB1,3600),60)&amp;"m ","")&amp;IF(AND(AB1&gt;=10,MOD(AB1,60)&lt;10),"0","")&amp;ROUNDDOWN(MOD(AB1,60),0)&amp;"s"</f>
        <v>17m 34s</v>
      </c>
      <c r="AC2" s="38" t="str">
        <f t="shared" si="1"/>
        <v>17m 34s</v>
      </c>
      <c r="AD2" s="39"/>
      <c r="AE2" s="40" t="s">
        <v>29</v>
      </c>
      <c r="AF2" s="42">
        <f>AC1-AB1</f>
        <v>0</v>
      </c>
      <c r="AG2" s="13"/>
    </row>
    <row r="3" ht="15.0" customHeight="1">
      <c r="A3" s="44"/>
      <c r="B3" s="46" t="s">
        <v>32</v>
      </c>
      <c r="C3" s="47" t="s">
        <v>34</v>
      </c>
      <c r="D3" s="47" t="s">
        <v>35</v>
      </c>
      <c r="E3" s="49" t="s">
        <v>36</v>
      </c>
      <c r="F3" s="47" t="s">
        <v>37</v>
      </c>
      <c r="G3" s="47" t="s">
        <v>38</v>
      </c>
      <c r="H3" s="47" t="s">
        <v>39</v>
      </c>
      <c r="I3" s="47" t="s">
        <v>22</v>
      </c>
      <c r="J3" s="50" t="s">
        <v>40</v>
      </c>
      <c r="K3" s="50" t="s">
        <v>41</v>
      </c>
      <c r="L3" s="50" t="s">
        <v>42</v>
      </c>
      <c r="M3" s="51" t="s">
        <v>43</v>
      </c>
      <c r="N3" s="52" t="s">
        <v>44</v>
      </c>
      <c r="O3" s="54" t="b">
        <v>1</v>
      </c>
      <c r="P3" s="56" t="s">
        <v>45</v>
      </c>
      <c r="Q3" s="56" t="s">
        <v>35</v>
      </c>
      <c r="R3" s="56" t="s">
        <v>36</v>
      </c>
      <c r="S3" s="56" t="s">
        <v>37</v>
      </c>
      <c r="T3" s="56" t="s">
        <v>38</v>
      </c>
      <c r="U3" s="56" t="s">
        <v>39</v>
      </c>
      <c r="V3" s="56" t="s">
        <v>22</v>
      </c>
      <c r="W3" s="56" t="s">
        <v>40</v>
      </c>
      <c r="X3" s="56" t="s">
        <v>46</v>
      </c>
      <c r="Y3" s="56" t="s">
        <v>42</v>
      </c>
      <c r="Z3" s="17"/>
      <c r="AA3" s="58"/>
      <c r="AB3" s="59"/>
      <c r="AC3" s="60"/>
      <c r="AD3" s="59"/>
      <c r="AE3" s="61"/>
      <c r="AF3" s="61"/>
      <c r="AG3" s="13"/>
    </row>
    <row r="4" ht="15.75" customHeight="1">
      <c r="A4" s="12"/>
      <c r="B4" s="65">
        <f>COUNTIF(C$4:C4,C4)-COUNTIF(C$4:C4,"Sell_"&amp;C4)</f>
        <v>1</v>
      </c>
      <c r="C4" s="66" t="s">
        <v>47</v>
      </c>
      <c r="D4" s="14" t="b">
        <v>0</v>
      </c>
      <c r="E4" s="68">
        <v>0.0</v>
      </c>
      <c r="F4" s="14">
        <f>IF($AC$5&gt;0,$AC$5,15)</f>
        <v>15</v>
      </c>
      <c r="G4" s="14">
        <v>0.0</v>
      </c>
      <c r="H4" s="14">
        <v>0.0</v>
      </c>
      <c r="I4" s="14">
        <v>0.0</v>
      </c>
      <c r="J4" s="70">
        <v>0.0</v>
      </c>
      <c r="K4" s="14" t="s">
        <v>48</v>
      </c>
      <c r="L4" s="71">
        <v>0.0</v>
      </c>
      <c r="M4" s="51">
        <v>0.0</v>
      </c>
      <c r="N4" s="52">
        <v>0.0</v>
      </c>
      <c r="O4" s="65">
        <f>COUNTIF(P$4:P4,P4)-COUNTIF(P$4:P4,"Sell_"&amp;P4)</f>
        <v>1</v>
      </c>
      <c r="P4" s="66" t="s">
        <v>47</v>
      </c>
      <c r="Q4" s="14" t="b">
        <v>0</v>
      </c>
      <c r="R4" s="68">
        <v>0.0</v>
      </c>
      <c r="S4" s="14">
        <f>IF($AD$5&gt;0,$AD$5,15)</f>
        <v>15</v>
      </c>
      <c r="T4" s="14">
        <v>0.0</v>
      </c>
      <c r="U4" s="14">
        <v>0.0</v>
      </c>
      <c r="V4" s="14">
        <v>0.0</v>
      </c>
      <c r="W4" s="70">
        <v>0.0</v>
      </c>
      <c r="X4" s="14" t="s">
        <v>48</v>
      </c>
      <c r="Y4" s="71">
        <v>0.0</v>
      </c>
      <c r="Z4" s="17"/>
      <c r="AG4" s="13"/>
    </row>
    <row r="5">
      <c r="A5" s="12"/>
      <c r="B5" s="65">
        <f t="shared" ref="B5:B146" si="2">IF(COUNTA(C5:C147)=0,"",COUNTIF(C$4:C5,C5)-COUNTIF(C$4:C5,"Sell_"&amp;C5))</f>
        <v>1</v>
      </c>
      <c r="C5" s="66" t="s">
        <v>10</v>
      </c>
      <c r="D5" s="14" t="b">
        <f>IFERROR(__xludf.DUMMYFUNCTION("IF(COUNTA(C5:C147)=0,"""",IFERROR(IF(ISBLANK(C5),FALSE,IF(ISBLANK(G5),1,IF(NOT(COUNTIF($AA$24:$AA$34,SUBSTITUTE(C5,""Sell_"",""""))),1,IF(C5=""Plastic_up"",IF(I5&lt;1000,1),IF(C5=""Super_Up"",IF(OR(COUNTIF(C$4:C5,""Grandma"")-COUNTIF(C$4:C5,""Sell_Grandma"")"&amp;"&lt;1,COUNTIF(C$4:C5,VLOOKUP(C5,Upgrades!$F$8:$N$8,7+COUNTIF(C$4:C5,C5)))-COUNTIF(C$4:C5,""Sell_""&amp;VLOOKUP(C5,Upgrades!$F$8:$N$8,7+COUNTIF(C$4:C5,C5)))&lt;15),1),IF(REGEXMATCH(C5,""_up""),IF(COUNTIF(C$4:C5,SUBSTITUTE(C5,""_up"",""""))&lt;IFERROR(VLOOKUP(C5,Upgrade"&amp;"s!$L$3:$P$6,1+COUNTIF(C$4:C5,C5),0),999),1),IF(REGEXMATCH(C5,""Sell_""),IF(COUNTIF(C$4:C5,SUBSTITUTE(C5,""Sell_"",""""))-COUNTIF(C$4:C4,C5)&lt;1,1),FALSE)))))))))"),FALSE)</f>
        <v>0</v>
      </c>
      <c r="E5" s="71">
        <f>IFERROR(__xludf.DUMMYFUNCTION("IF(REGEXMATCH(C5,""^Sell_""),E4, IF(COUNTA(C5:C147)=0,"""",(COUNTIF(C$4:C5,""Cursor"")-COUNTIF(C$4:C5,""Sell_Cursor""))*(0.1*2^SWITCH(COUNTIF(C$4:C5,""Cursor_up""),0,0,1,1,2,2,3)+SWITCH(COUNTIF(C$4:C5,""Cursor_up""),4,0.1,0)*(ROW(C5)-4-COUNTIF(C$4:C5,""Cu"&amp;"rsor"")-COUNTIF(C$4:C5,""*""&amp;""_up"")-2*COUNTIF(C$4:C5,""Sell_""&amp;""*"")+COUNTIF(C$4:C5,""Sell_Cursor"")-COUNTIF(C$4:C5,"""")))+(COUNTIF(C$4:C5,""Grandma"")-COUNTIF(C$4:C5,""Sell_Grandma""))*(1*2^(COUNTIF(C$4:C5,""Grandma_up"")+COUNTIF(C$4:C5,""Super_up"")"&amp;"))+(COUNTIF(C$4:C5,""Farm"")-COUNTIF(C$4:C5,""Sell_Farm""))*(8*2^COUNTIF(C$4:C5,""Farm_up""))*IF(COUNTIF(C$4:C5,""Super_up"")&gt;0,1+0.01*(COUNTIF(C$4:C5,""Grandma"")-COUNTIF(C$4:C5,""Sell_Grandma"")),1)+(COUNTIF(C$4:C5,""Mine"")-COUNTIF(C$4:C5,""Sell_Mine"""&amp;"))*((47*2^COUNTIF(C$4:C5,""Mine_up""))*IF(COUNTIF(C$4:C5,""Super_up"")&gt;1,1+0.005*(COUNTIF(C$4:C5,""Grandma"")-COUNTIF(C$4:C5,""Sell_Grandma"")),1))+(COUNTIF(C$4:C5,""Factory"")-COUNTIF(C$4:C5,""Sell_Factory""))*(260*2^COUNTIF(C$4:C5,""Factory_up""))))"),0.1)</f>
        <v>0.1</v>
      </c>
      <c r="F5" s="73">
        <f>IFERROR(__xludf.DUMMYFUNCTION("IF(COUNTA(C5:C147)=0,"""",IF(REGEXMATCH(INDEX(FILTER(C$4:C5,C$4:C5&lt;&gt;""""),ROWS(FILTER(C$4:C5,C$4:C5&lt;&gt;""""))),""^Sell_""),INDEX(FILTER(F$4:F4,C$4:C4&lt;&gt;""""),ROWS(FILTER(C$4:C4,C$4:C4&lt;&gt;""""))),$AC$5*(2^SWITCH(COUNTIF(C$4:C5,""Cursor_up""),0,0,1,1,2,2,3)+SWIT"&amp;"CH(COUNTIF(C$4:C5,""Cursor_up""),4,0.1,0)*(ROW(C5)-4-COUNTIF(C$4:C5,""Cursor"")-COUNTIF(C$4:C5,""*""&amp;""_up"")-2*COUNTIF(C$4:C5,""Sell_""&amp;""*"")+COUNTIF(C$4:C5,""Sell_Cursor"")-COUNTIF(C$4:C5,""""))+0.01*E5*COUNTIF(C$4:C5,""Plastic_up""))+E5))"),15.1)</f>
        <v>15.1</v>
      </c>
      <c r="G5" s="14">
        <f>IFERROR(__xludf.DUMMYFUNCTION("IF(COUNTA(C5:C147)=0,"""",IF(REGEXMATCH(C5,""_up""),VLOOKUP(C5,Upgrades!$F$3:$J$8,1+COUNTIF(C$4:C5,C5),FALSE),IF(C5="""",0,IF(REGEXMATCH(C5,""^Sell_""),-ROUNDDOWN(ROUNDUP(INDEX(Upgrades!$C$3:$C$8,MATCH(SUBSTITUTE(C5,""Sell_"",""""),Upgrades!$B$3:$B$8,0))*"&amp;"1.15^(COUNTIF(C$4:C4,SUBSTITUTE(C5,""Sell_"",""""))-COUNTIF(C$4:C4,""Sell_""&amp;SUBSTITUTE(C5,""Sell_"",""""))))/4),ROUNDUP(INDEX(Upgrades!$C$3:$C$7,MATCH(C5,Upgrades!$B$3:$B$7,0))*1.15^(COUNTIF(C$4:C4,C5)-COUNTIF(C$4:C4,""Sell_""&amp;C5)))))))"),15.0)</f>
        <v>15</v>
      </c>
      <c r="H5" s="14">
        <f t="shared" ref="H5:H146" si="3">IF(COUNTA(C5:C147)=0,"",G5+IF(H4&lt;0,H4))</f>
        <v>15</v>
      </c>
      <c r="I5" s="75">
        <f t="shared" ref="I5:I146" si="4">IF(COUNTA(C5:C147)=0,"",(F4-E4)*(J5)+I4)</f>
        <v>15</v>
      </c>
      <c r="J5" s="76">
        <f t="shared" ref="J5:J146" si="5">IF(COUNTA(C5:C147)=0,"",J4+IF(H5&gt;0,H5,0)/F4)
</f>
        <v>1</v>
      </c>
      <c r="K5" s="71" t="str">
        <f t="shared" ref="K5:K146" si="6">IF(COUNTA(C5:C147)=0,"",IF(J5&gt;3600,TRUNC(J5/3600)&amp;"h ","")&amp;IF(J5&gt;59,IF(AND(J5&gt;3599,QUOTIENT(MOD(J5,3600),60)&lt;10),"0","")&amp;QUOTIENT(MOD(J5,3600),60)&amp;"m ","")&amp;IF(AND(J5&gt;=10,MOD(J5,60)&lt;10),"0","")&amp;ROUNDDOWN(MOD(J5,60),0)&amp;"s")</f>
        <v>1s</v>
      </c>
      <c r="L5" s="77">
        <f t="shared" ref="L5:L146" si="7">IF(COUNTA(C5:C147)=0,"",L4+IF(H5&gt;0,H5,0))</f>
        <v>15</v>
      </c>
      <c r="M5" s="51">
        <f t="shared" ref="M5:M146" si="8">IFS(AND(COUNTA(C5:C147)=0,COUNTA(P5:P147)=0),"",OR(AND(L5&gt;=1000000,OR(Y5&gt;=1000000,COUNTA(P5:P147)=0)),AND(Y5&gt;=1000000,COUNTA(C5:C147)=0),AND(COUNTA(P5:P147)=0,O$3=TRUE)),AF$2,
AND(L5&lt;1000000,COUNTA(C5:C147)&gt;0,O$3=FALSE),TRUNC(LARGE(W$4:W147,COUNTIF(Y$4:Y147,"&gt;"&amp;L5)+1)+(L5-LARGE(Y$4:Y147,COUNTIF(Y$4:Y147,"&gt;"&amp;L5)+1))/LARGE(S$4:S147,COUNTIF(Y$4:Y147,"&gt;"&amp;L5)+1)-J5,5),1,
TRUNC(W5-LARGE(J$4:J147,COUNTIF(L$4:L147,"&gt;"&amp;Y5)+1)-(Y5-LARGE(L$4:L147,COUNTIF(L$4:L147,"&gt;"&amp;Y5)+1))/LARGE(F$4:F147,COUNTIF(L$4:L147,"&gt;"&amp;Y5)+1),5))</f>
        <v>0</v>
      </c>
      <c r="N5" s="52">
        <f>IFERROR(__xludf.DUMMYFUNCTION("IFS(AND(COUNTA(C5:C147)=0,COUNTA(P5:P147)=0),"""",OR(AND(L5&gt;=1000000,OR(Y5&gt;=1000000,COUNTA(P5:P147)=0)),AND(Y5&gt;=1000000,COUNTA(C5:C147)=0),AND(COUNTA(P5:P147)=0,O$3=TRUE)),
ROUNDDOWN((AB$1-AC$1)*MAX(INDEX(S$4:S147,MATCH(LARGE(FILTER(Y$4:Y147,Y$4:Y147&lt;1000"&amp;"000),1),Y$4:Y147)),INDEX(F$4:F147,MATCH(LARGE(FILTER(L$4:L147,L$4:L147&lt;1000000),1),L$4:L147)))),AND(L5&lt;1000000,COUNTA(C5:C147)&gt;0,O$3=FALSE),
ROUNDDOWN(INDEX(Y$4:Y147,MATCH(LARGE(FILTER(W$4:W147,W$4:W147&lt;=J5),1),W$4:W147))+(J5-LARGE(FILTER(W$4:W147,W$4:W14"&amp;"7&lt;=J5),1))*INDEX(S$4:S147,MATCH(LARGE(FILTER(W$4:W147,W$4:W147&lt;=J5),1),W$4:W147))-L5),1,
ROUNDDOWN(Y5-INDEX(L$4:L147,MATCH(LARGE(FILTER(J$4:J147,J$4:J147&lt;=W5),1),J$4:J147))-(W5-LARGE(FILTER(J$4:J147,J$4:J147&lt;=W5),1))*INDEX(F$4:F147,MATCH(LARGE(FILTER(J$4:"&amp;"J147,J$4:J147&lt;=W5),1),J$4:J147))))"),0.0)</f>
        <v>0</v>
      </c>
      <c r="O5" s="65">
        <f t="shared" ref="O5:O146" si="9">IF(COUNTA(P5:P147)=0,"",COUNTIF(P$4:P5,P5)-COUNTIF(P$4:P5,"Sell_"&amp;P5))</f>
        <v>1</v>
      </c>
      <c r="P5" s="66" t="s">
        <v>10</v>
      </c>
      <c r="Q5" s="14" t="b">
        <f>IFERROR(__xludf.DUMMYFUNCTION("IF(COUNTA(P5:P147)=0,"""",IFERROR(IF(ISBLANK(P5),FALSE,IF(ISBLANK(T5),1,IF(NOT(COUNTIF($AA$24:$AA$34,SUBSTITUTE(P5,""Sell_"",""""))),1,IF(P5=""Plastic_up"",IF(V5&lt;1000,1),IF(P5=""Super_Up"",IF(OR(COUNTIF(P$4:P5,""Grandma"")-COUNTIF(P$4:P5,""Sell_Grandma"")"&amp;"&lt;1,COUNTIF(P$4:P5,VLOOKUP(P5,Upgrades!$F$8:$N$8,7+COUNTIF(P$4:P5,P5)))-COUNTIF(P$4:P5,""Sell_""&amp;VLOOKUP(P5,Upgrades!$F$8:$N$8,7+COUNTIF(P$4:P5,P5)))&lt;15),1),IF(REGEXMATCH(P5,""_up""),IF(COUNTIF(P$4:P5,SUBSTITUTE(P5,""_up"",""""))&lt;IFERROR(VLOOKUP(P5,Upgrade"&amp;"s!$L$3:$P$6,1+COUNTIF(P$4:P5,P5),0),999),1),IF(REGEXMATCH(P5,""Sell_""),IF(COUNTIF(P$4:P5,SUBSTITUTE(P5,""Sell_"",""""))-COUNTIF(P$4:P4,P5)&lt;1,1),FALSE)))))))))"),FALSE)</f>
        <v>0</v>
      </c>
      <c r="R5" s="71">
        <f>IFERROR(__xludf.DUMMYFUNCTION("IF(REGEXMATCH(P5,""^Sell_""),R4, IF(COUNTA(P5:P147)=0,"""",(COUNTIF(P$4:P5,""Cursor"")-COUNTIF(P$4:P5,""Sell_Cursor""))*(0.1*2^SWITCH(COUNTIF(P$4:P5,""Cursor_up""),0,0,1,1,2,2,3)+SWITCH(COUNTIF(P$4:P5,""Cursor_up""),4,0.1,0)*(ROW(P5)-4-COUNTIF(P$4:P5,""Cu"&amp;"rsor"")-COUNTIF(P$4:P5,""*""&amp;""_up"")-2*COUNTIF(P$4:P5,""Sell_""&amp;""*"")+COUNTIF(P$4:P5,""Sell_Cursor"")-COUNTIF(P$4:P5,"""")))+(COUNTIF(P$4:P5,""Grandma"")-COUNTIF(P$4:P5,""Sell_Grandma""))*(1*2^(COUNTIF(P$4:P5,""Grandma_up"")+COUNTIF(P$4:P5,""Super_up"")"&amp;"))+(COUNTIF(P$4:P5,""Farm"")-COUNTIF(P$4:P5,""Sell_Farm""))*(8*2^COUNTIF(P$4:P5,""Farm_up""))*IF(COUNTIF(P$4:P5,""Super_up"")&gt;0,1+0.01*(COUNTIF(P$4:P5,""Grandma"")-COUNTIF(P$4:P5,""Sell_Grandma"")),1)+(COUNTIF(P$4:P5,""Mine"")-COUNTIF(P$4:P5,""Sell_Mine"""&amp;"))*((47*2^COUNTIF(P$4:P5,""Mine_up""))*IF(COUNTIF(P$4:P5,""Super_up"")&gt;1,1+0.005*(COUNTIF(P$4:P5,""Grandma"")-COUNTIF(P$4:P5,""Sell_Grandma"")),1))+(COUNTIF(P$4:P5,""Factory"")-COUNTIF(P$4:P5,""Sell_Factory""))*(260*2^COUNTIF(P$4:P5,""Factory_up""))))"),0.1)</f>
        <v>0.1</v>
      </c>
      <c r="S5" s="73">
        <f>IFERROR(__xludf.DUMMYFUNCTION("IF(COUNTA(P5:P147)=0,"""",IF(REGEXMATCH(INDEX(FILTER(P$4:P5,P$4:P5&lt;&gt;""""),ROWS(FILTER(P$4:P5,P$4:P5&lt;&gt;""""))),""^Sell_""),INDEX(FILTER(S$4:S4,P$4:P4&lt;&gt;""""),ROWS(FILTER(P$4:P4,P$4:P4&lt;&gt;""""))),$AD$5*(2^SWITCH(COUNTIF(P$4:P5,""Cursor_up""),0,0,1,1,2,2,3)+SWIT"&amp;"CH(COUNTIF(P$4:P5,""Cursor_up""),4,0.1,0)*(ROW(P5)-4-COUNTIF(P$4:P5,""Cursor"")-COUNTIF(P$4:P5,""*""&amp;""_up"")-2*COUNTIF(P$4:P5,""Sell_""&amp;""*"")+COUNTIF(P$4:P5,""Sell_Cursor"")-COUNTIF(P$4:P5,""""))+0.01*R5*COUNTIF(P$4:P5,""Plastic_up""))+R5))"),15.1)</f>
        <v>15.1</v>
      </c>
      <c r="T5" s="14">
        <f>IFERROR(__xludf.DUMMYFUNCTION("IF(COUNTA(P5:P147)=0,"""",IF(REGEXMATCH(P5,""_up""),VLOOKUP(P5,Upgrades!$F$3:$J$8,1+COUNTIF(P$4:P5,P5),FALSE),IF(P5="""",0,IF(REGEXMATCH(P5,""^Sell_""),-ROUNDDOWN(ROUNDUP(INDEX(Upgrades!$C$3:$C$8,MATCH(SUBSTITUTE(P5,""Sell_"",""""),Upgrades!$B$3:$B$8,0))*"&amp;"1.15^(COUNTIF(P$4:P4,SUBSTITUTE(P5,""Sell_"",""""))-COUNTIF(P$4:P4,""Sell_""&amp;SUBSTITUTE(P5,""Sell_"",""""))))/4),ROUNDUP(INDEX(Upgrades!$C$3:$C$7,MATCH(P5,Upgrades!$B$3:$B$7,0))*1.15^(COUNTIF(P$4:P4,P5)-COUNTIF(P$4:P4,""Sell_""&amp;P5)))))))"),15.0)</f>
        <v>15</v>
      </c>
      <c r="U5" s="14">
        <f t="shared" ref="U5:U146" si="10">IF(COUNTA(P5:P147)=0,"",T5+IF(U4&lt;0,U4))</f>
        <v>15</v>
      </c>
      <c r="V5" s="75">
        <f t="shared" ref="V5:V146" si="11">IF(COUNTA(P5:P147)=0,"",(S4-R4)*(W5)+V4)</f>
        <v>15</v>
      </c>
      <c r="W5" s="76">
        <f t="shared" ref="W5:W146" si="12">IF(COUNTA(P5:P147)=0,"",W4+IF(U5&gt;0,U5,0)/S4)
</f>
        <v>1</v>
      </c>
      <c r="X5" s="71" t="str">
        <f t="shared" ref="X5:X146" si="13">IF(COUNTA(P5:P147)=0,"",IF(W5&gt;3600,TRUNC(W5/3600)&amp;"h ","")&amp;IF(W5&gt;59,IF(AND(W5&gt;3599,QUOTIENT(MOD(W5,3600),60)&lt;10),"0","")&amp;QUOTIENT(MOD(W5,3600),60)&amp;"m ","")&amp;IF(AND(W5&gt;=10,MOD(W5,60)&lt;10),"0","")&amp;ROUNDDOWN(MOD(W5,60),0)&amp;"s")</f>
        <v>1s</v>
      </c>
      <c r="Y5" s="77">
        <f t="shared" ref="Y5:Y146" si="14">IF(COUNTA(P5:P147)=0,"",Y4+IF(U5&gt;0,U5,0))</f>
        <v>15</v>
      </c>
      <c r="Z5" s="17"/>
      <c r="AA5" s="78" t="s">
        <v>49</v>
      </c>
      <c r="AB5" s="79"/>
      <c r="AC5" s="80">
        <v>15.0</v>
      </c>
      <c r="AD5" s="81">
        <v>15.0</v>
      </c>
      <c r="AG5" s="13"/>
    </row>
    <row r="6">
      <c r="A6" s="12"/>
      <c r="B6" s="65">
        <f t="shared" si="2"/>
        <v>1</v>
      </c>
      <c r="C6" s="66" t="s">
        <v>11</v>
      </c>
      <c r="D6" s="14" t="b">
        <f>IFERROR(__xludf.DUMMYFUNCTION("IF(COUNTA(C6:C147)=0,"""",IFERROR(IF(ISBLANK(C6),FALSE,IF(ISBLANK(G6),1,IF(NOT(COUNTIF($AA$24:$AA$34,SUBSTITUTE(C6,""Sell_"",""""))),1,IF(C6=""Plastic_up"",IF(I6&lt;1000,1),IF(C6=""Super_Up"",IF(OR(COUNTIF(C$4:C6,""Grandma"")-COUNTIF(C$4:C6,""Sell_Grandma"")"&amp;"&lt;1,COUNTIF(C$4:C6,VLOOKUP(C6,Upgrades!$F$8:$N$8,7+COUNTIF(C$4:C6,C6)))-COUNTIF(C$4:C6,""Sell_""&amp;VLOOKUP(C6,Upgrades!$F$8:$N$8,7+COUNTIF(C$4:C6,C6)))&lt;15),1),IF(REGEXMATCH(C6,""_up""),IF(COUNTIF(C$4:C6,SUBSTITUTE(C6,""_up"",""""))&lt;IFERROR(VLOOKUP(C6,Upgrade"&amp;"s!$L$3:$P$6,1+COUNTIF(C$4:C6,C6),0),999),1),IF(REGEXMATCH(C6,""Sell_""),IF(COUNTIF(C$4:C6,SUBSTITUTE(C6,""Sell_"",""""))-COUNTIF(C$4:C5,C6)&lt;1,1),FALSE)))))))))"),FALSE)</f>
        <v>0</v>
      </c>
      <c r="E6" s="71">
        <f>IFERROR(__xludf.DUMMYFUNCTION("IF(REGEXMATCH(C6,""^Sell_""),E5, IF(COUNTA(C6:C147)=0,"""",(COUNTIF(C$4:C6,""Cursor"")-COUNTIF(C$4:C6,""Sell_Cursor""))*(0.1*2^SWITCH(COUNTIF(C$4:C6,""Cursor_up""),0,0,1,1,2,2,3)+SWITCH(COUNTIF(C$4:C6,""Cursor_up""),4,0.1,0)*(ROW(C6)-4-COUNTIF(C$4:C6,""Cu"&amp;"rsor"")-COUNTIF(C$4:C6,""*""&amp;""_up"")-2*COUNTIF(C$4:C6,""Sell_""&amp;""*"")+COUNTIF(C$4:C6,""Sell_Cursor"")-COUNTIF(C$4:C6,"""")))+(COUNTIF(C$4:C6,""Grandma"")-COUNTIF(C$4:C6,""Sell_Grandma""))*(1*2^(COUNTIF(C$4:C6,""Grandma_up"")+COUNTIF(C$4:C6,""Super_up"")"&amp;"))+(COUNTIF(C$4:C6,""Farm"")-COUNTIF(C$4:C6,""Sell_Farm""))*(8*2^COUNTIF(C$4:C6,""Farm_up""))*IF(COUNTIF(C$4:C6,""Super_up"")&gt;0,1+0.01*(COUNTIF(C$4:C6,""Grandma"")-COUNTIF(C$4:C6,""Sell_Grandma"")),1)+(COUNTIF(C$4:C6,""Mine"")-COUNTIF(C$4:C6,""Sell_Mine"""&amp;"))*((47*2^COUNTIF(C$4:C6,""Mine_up""))*IF(COUNTIF(C$4:C6,""Super_up"")&gt;1,1+0.005*(COUNTIF(C$4:C6,""Grandma"")-COUNTIF(C$4:C6,""Sell_Grandma"")),1))+(COUNTIF(C$4:C6,""Factory"")-COUNTIF(C$4:C6,""Sell_Factory""))*(260*2^COUNTIF(C$4:C6,""Factory_up""))))"),0.2)</f>
        <v>0.2</v>
      </c>
      <c r="F6" s="73">
        <f>IFERROR(__xludf.DUMMYFUNCTION("IF(COUNTA(C6:C147)=0,"""",IF(REGEXMATCH(INDEX(FILTER(C$4:C6,C$4:C6&lt;&gt;""""),ROWS(FILTER(C$4:C6,C$4:C6&lt;&gt;""""))),""^Sell_""),INDEX(FILTER(F$4:F5,C$4:C5&lt;&gt;""""),ROWS(FILTER(C$4:C5,C$4:C5&lt;&gt;""""))),$AC$5*(2^SWITCH(COUNTIF(C$4:C6,""Cursor_up""),0,0,1,1,2,2,3)+SWIT"&amp;"CH(COUNTIF(C$4:C6,""Cursor_up""),4,0.1,0)*(ROW(C6)-4-COUNTIF(C$4:C6,""Cursor"")-COUNTIF(C$4:C6,""*""&amp;""_up"")-2*COUNTIF(C$4:C6,""Sell_""&amp;""*"")+COUNTIF(C$4:C6,""Sell_Cursor"")-COUNTIF(C$4:C6,""""))+0.01*E6*COUNTIF(C$4:C6,""Plastic_up""))+E6))"),30.2)</f>
        <v>30.2</v>
      </c>
      <c r="G6" s="14">
        <f>IFERROR(__xludf.DUMMYFUNCTION("IF(COUNTA(C6:C147)=0,"""",IF(REGEXMATCH(C6,""_up""),VLOOKUP(C6,Upgrades!$F$3:$J$8,1+COUNTIF(C$4:C6,C6),FALSE),IF(C6="""",0,IF(REGEXMATCH(C6,""^Sell_""),-ROUNDDOWN(ROUNDUP(INDEX(Upgrades!$C$3:$C$8,MATCH(SUBSTITUTE(C6,""Sell_"",""""),Upgrades!$B$3:$B$8,0))*"&amp;"1.15^(COUNTIF(C$4:C5,SUBSTITUTE(C6,""Sell_"",""""))-COUNTIF(C$4:C5,""Sell_""&amp;SUBSTITUTE(C6,""Sell_"",""""))))/4),ROUNDUP(INDEX(Upgrades!$C$3:$C$7,MATCH(C6,Upgrades!$B$3:$B$7,0))*1.15^(COUNTIF(C$4:C5,C6)-COUNTIF(C$4:C5,""Sell_""&amp;C6)))))))"),100.0)</f>
        <v>100</v>
      </c>
      <c r="H6" s="14">
        <f t="shared" si="3"/>
        <v>100</v>
      </c>
      <c r="I6" s="75">
        <f t="shared" si="4"/>
        <v>129.3377483</v>
      </c>
      <c r="J6" s="76">
        <f t="shared" si="5"/>
        <v>7.622516556</v>
      </c>
      <c r="K6" s="71" t="str">
        <f t="shared" si="6"/>
        <v>7s</v>
      </c>
      <c r="L6" s="77">
        <f t="shared" si="7"/>
        <v>115</v>
      </c>
      <c r="M6" s="51">
        <f t="shared" si="8"/>
        <v>0</v>
      </c>
      <c r="N6" s="52">
        <f>IFERROR(__xludf.DUMMYFUNCTION("IFS(AND(COUNTA(C6:C147)=0,COUNTA(P6:P147)=0),"""",OR(AND(L6&gt;=1000000,OR(Y6&gt;=1000000,COUNTA(P6:P147)=0)),AND(Y6&gt;=1000000,COUNTA(C6:C147)=0),AND(COUNTA(P6:P147)=0,O$3=TRUE)),
ROUNDDOWN((AB$1-AC$1)*MAX(INDEX(S$4:S147,MATCH(LARGE(FILTER(Y$4:Y147,Y$4:Y147&lt;1000"&amp;"000),1),Y$4:Y147)),INDEX(F$4:F147,MATCH(LARGE(FILTER(L$4:L147,L$4:L147&lt;1000000),1),L$4:L147)))),AND(L6&lt;1000000,COUNTA(C6:C147)&gt;0,O$3=FALSE),
ROUNDDOWN(INDEX(Y$4:Y147,MATCH(LARGE(FILTER(W$4:W147,W$4:W147&lt;=J6),1),W$4:W147))+(J6-LARGE(FILTER(W$4:W147,W$4:W14"&amp;"7&lt;=J6),1))*INDEX(S$4:S147,MATCH(LARGE(FILTER(W$4:W147,W$4:W147&lt;=J6),1),W$4:W147))-L6),1,
ROUNDDOWN(Y6-INDEX(L$4:L147,MATCH(LARGE(FILTER(J$4:J147,J$4:J147&lt;=W6),1),J$4:J147))-(W6-LARGE(FILTER(J$4:J147,J$4:J147&lt;=W6),1))*INDEX(F$4:F147,MATCH(LARGE(FILTER(J$4:"&amp;"J147,J$4:J147&lt;=W6),1),J$4:J147))))"),0.0)</f>
        <v>0</v>
      </c>
      <c r="O6" s="65">
        <f t="shared" si="9"/>
        <v>1</v>
      </c>
      <c r="P6" s="66" t="s">
        <v>11</v>
      </c>
      <c r="Q6" s="14" t="b">
        <f>IFERROR(__xludf.DUMMYFUNCTION("IF(COUNTA(P6:P147)=0,"""",IFERROR(IF(ISBLANK(P6),FALSE,IF(ISBLANK(T6),1,IF(NOT(COUNTIF($AA$24:$AA$34,SUBSTITUTE(P6,""Sell_"",""""))),1,IF(P6=""Plastic_up"",IF(V6&lt;1000,1),IF(P6=""Super_Up"",IF(OR(COUNTIF(P$4:P6,""Grandma"")-COUNTIF(P$4:P6,""Sell_Grandma"")"&amp;"&lt;1,COUNTIF(P$4:P6,VLOOKUP(P6,Upgrades!$F$8:$N$8,7+COUNTIF(P$4:P6,P6)))-COUNTIF(P$4:P6,""Sell_""&amp;VLOOKUP(P6,Upgrades!$F$8:$N$8,7+COUNTIF(P$4:P6,P6)))&lt;15),1),IF(REGEXMATCH(P6,""_up""),IF(COUNTIF(P$4:P6,SUBSTITUTE(P6,""_up"",""""))&lt;IFERROR(VLOOKUP(P6,Upgrade"&amp;"s!$L$3:$P$6,1+COUNTIF(P$4:P6,P6),0),999),1),IF(REGEXMATCH(P6,""Sell_""),IF(COUNTIF(P$4:P6,SUBSTITUTE(P6,""Sell_"",""""))-COUNTIF(P$4:P5,P6)&lt;1,1),FALSE)))))))))"),FALSE)</f>
        <v>0</v>
      </c>
      <c r="R6" s="71">
        <f>IFERROR(__xludf.DUMMYFUNCTION("IF(REGEXMATCH(P6,""^Sell_""),R5, IF(COUNTA(P6:P147)=0,"""",(COUNTIF(P$4:P6,""Cursor"")-COUNTIF(P$4:P6,""Sell_Cursor""))*(0.1*2^SWITCH(COUNTIF(P$4:P6,""Cursor_up""),0,0,1,1,2,2,3)+SWITCH(COUNTIF(P$4:P6,""Cursor_up""),4,0.1,0)*(ROW(P6)-4-COUNTIF(P$4:P6,""Cu"&amp;"rsor"")-COUNTIF(P$4:P6,""*""&amp;""_up"")-2*COUNTIF(P$4:P6,""Sell_""&amp;""*"")+COUNTIF(P$4:P6,""Sell_Cursor"")-COUNTIF(P$4:P6,"""")))+(COUNTIF(P$4:P6,""Grandma"")-COUNTIF(P$4:P6,""Sell_Grandma""))*(1*2^(COUNTIF(P$4:P6,""Grandma_up"")+COUNTIF(P$4:P6,""Super_up"")"&amp;"))+(COUNTIF(P$4:P6,""Farm"")-COUNTIF(P$4:P6,""Sell_Farm""))*(8*2^COUNTIF(P$4:P6,""Farm_up""))*IF(COUNTIF(P$4:P6,""Super_up"")&gt;0,1+0.01*(COUNTIF(P$4:P6,""Grandma"")-COUNTIF(P$4:P6,""Sell_Grandma"")),1)+(COUNTIF(P$4:P6,""Mine"")-COUNTIF(P$4:P6,""Sell_Mine"""&amp;"))*((47*2^COUNTIF(P$4:P6,""Mine_up""))*IF(COUNTIF(P$4:P6,""Super_up"")&gt;1,1+0.005*(COUNTIF(P$4:P6,""Grandma"")-COUNTIF(P$4:P6,""Sell_Grandma"")),1))+(COUNTIF(P$4:P6,""Factory"")-COUNTIF(P$4:P6,""Sell_Factory""))*(260*2^COUNTIF(P$4:P6,""Factory_up""))))"),0.2)</f>
        <v>0.2</v>
      </c>
      <c r="S6" s="73">
        <f>IFERROR(__xludf.DUMMYFUNCTION("IF(COUNTA(P6:P147)=0,"""",IF(REGEXMATCH(INDEX(FILTER(P$4:P6,P$4:P6&lt;&gt;""""),ROWS(FILTER(P$4:P6,P$4:P6&lt;&gt;""""))),""^Sell_""),INDEX(FILTER(S$4:S5,P$4:P5&lt;&gt;""""),ROWS(FILTER(P$4:P5,P$4:P5&lt;&gt;""""))),$AD$5*(2^SWITCH(COUNTIF(P$4:P6,""Cursor_up""),0,0,1,1,2,2,3)+SWIT"&amp;"CH(COUNTIF(P$4:P6,""Cursor_up""),4,0.1,0)*(ROW(P6)-4-COUNTIF(P$4:P6,""Cursor"")-COUNTIF(P$4:P6,""*""&amp;""_up"")-2*COUNTIF(P$4:P6,""Sell_""&amp;""*"")+COUNTIF(P$4:P6,""Sell_Cursor"")-COUNTIF(P$4:P6,""""))+0.01*R6*COUNTIF(P$4:P6,""Plastic_up""))+R6))"),30.2)</f>
        <v>30.2</v>
      </c>
      <c r="T6" s="14">
        <f>IFERROR(__xludf.DUMMYFUNCTION("IF(COUNTA(P6:P147)=0,"""",IF(REGEXMATCH(P6,""_up""),VLOOKUP(P6,Upgrades!$F$3:$J$8,1+COUNTIF(P$4:P6,P6),FALSE),IF(P6="""",0,IF(REGEXMATCH(P6,""^Sell_""),-ROUNDDOWN(ROUNDUP(INDEX(Upgrades!$C$3:$C$8,MATCH(SUBSTITUTE(P6,""Sell_"",""""),Upgrades!$B$3:$B$8,0))*"&amp;"1.15^(COUNTIF(P$4:P5,SUBSTITUTE(P6,""Sell_"",""""))-COUNTIF(P$4:P5,""Sell_""&amp;SUBSTITUTE(P6,""Sell_"",""""))))/4),ROUNDUP(INDEX(Upgrades!$C$3:$C$7,MATCH(P6,Upgrades!$B$3:$B$7,0))*1.15^(COUNTIF(P$4:P5,P6)-COUNTIF(P$4:P5,""Sell_""&amp;P6)))))))"),100.0)</f>
        <v>100</v>
      </c>
      <c r="U6" s="14">
        <f t="shared" si="10"/>
        <v>100</v>
      </c>
      <c r="V6" s="75">
        <f t="shared" si="11"/>
        <v>129.3377483</v>
      </c>
      <c r="W6" s="76">
        <f t="shared" si="12"/>
        <v>7.622516556</v>
      </c>
      <c r="X6" s="71" t="str">
        <f t="shared" si="13"/>
        <v>7s</v>
      </c>
      <c r="Y6" s="77">
        <f t="shared" si="14"/>
        <v>115</v>
      </c>
      <c r="Z6" s="17"/>
      <c r="AG6" s="13"/>
    </row>
    <row r="7">
      <c r="A7" s="12"/>
      <c r="B7" s="65">
        <f t="shared" si="2"/>
        <v>2</v>
      </c>
      <c r="C7" s="66" t="s">
        <v>11</v>
      </c>
      <c r="D7" s="14" t="b">
        <f>IFERROR(__xludf.DUMMYFUNCTION("IF(COUNTA(C7:C147)=0,"""",IFERROR(IF(ISBLANK(C7),FALSE,IF(ISBLANK(G7),1,IF(NOT(COUNTIF($AA$24:$AA$34,SUBSTITUTE(C7,""Sell_"",""""))),1,IF(C7=""Plastic_up"",IF(I7&lt;1000,1),IF(C7=""Super_Up"",IF(OR(COUNTIF(C$4:C7,""Grandma"")-COUNTIF(C$4:C7,""Sell_Grandma"")"&amp;"&lt;1,COUNTIF(C$4:C7,VLOOKUP(C7,Upgrades!$F$8:$N$8,7+COUNTIF(C$4:C7,C7)))-COUNTIF(C$4:C7,""Sell_""&amp;VLOOKUP(C7,Upgrades!$F$8:$N$8,7+COUNTIF(C$4:C7,C7)))&lt;15),1),IF(REGEXMATCH(C7,""_up""),IF(COUNTIF(C$4:C7,SUBSTITUTE(C7,""_up"",""""))&lt;IFERROR(VLOOKUP(C7,Upgrade"&amp;"s!$L$3:$P$6,1+COUNTIF(C$4:C7,C7),0),999),1),IF(REGEXMATCH(C7,""Sell_""),IF(COUNTIF(C$4:C7,SUBSTITUTE(C7,""Sell_"",""""))-COUNTIF(C$4:C6,C7)&lt;1,1),FALSE)))))))))"),FALSE)</f>
        <v>0</v>
      </c>
      <c r="E7" s="71">
        <f>IFERROR(__xludf.DUMMYFUNCTION("IF(REGEXMATCH(C7,""^Sell_""),E6, IF(COUNTA(C7:C147)=0,"""",(COUNTIF(C$4:C7,""Cursor"")-COUNTIF(C$4:C7,""Sell_Cursor""))*(0.1*2^SWITCH(COUNTIF(C$4:C7,""Cursor_up""),0,0,1,1,2,2,3)+SWITCH(COUNTIF(C$4:C7,""Cursor_up""),4,0.1,0)*(ROW(C7)-4-COUNTIF(C$4:C7,""Cu"&amp;"rsor"")-COUNTIF(C$4:C7,""*""&amp;""_up"")-2*COUNTIF(C$4:C7,""Sell_""&amp;""*"")+COUNTIF(C$4:C7,""Sell_Cursor"")-COUNTIF(C$4:C7,"""")))+(COUNTIF(C$4:C7,""Grandma"")-COUNTIF(C$4:C7,""Sell_Grandma""))*(1*2^(COUNTIF(C$4:C7,""Grandma_up"")+COUNTIF(C$4:C7,""Super_up"")"&amp;"))+(COUNTIF(C$4:C7,""Farm"")-COUNTIF(C$4:C7,""Sell_Farm""))*(8*2^COUNTIF(C$4:C7,""Farm_up""))*IF(COUNTIF(C$4:C7,""Super_up"")&gt;0,1+0.01*(COUNTIF(C$4:C7,""Grandma"")-COUNTIF(C$4:C7,""Sell_Grandma"")),1)+(COUNTIF(C$4:C7,""Mine"")-COUNTIF(C$4:C7,""Sell_Mine"""&amp;"))*((47*2^COUNTIF(C$4:C7,""Mine_up""))*IF(COUNTIF(C$4:C7,""Super_up"")&gt;1,1+0.005*(COUNTIF(C$4:C7,""Grandma"")-COUNTIF(C$4:C7,""Sell_Grandma"")),1))+(COUNTIF(C$4:C7,""Factory"")-COUNTIF(C$4:C7,""Sell_Factory""))*(260*2^COUNTIF(C$4:C7,""Factory_up""))))"),0.4)</f>
        <v>0.4</v>
      </c>
      <c r="F7" s="73">
        <f>IFERROR(__xludf.DUMMYFUNCTION("IF(COUNTA(C7:C147)=0,"""",IF(REGEXMATCH(INDEX(FILTER(C$4:C7,C$4:C7&lt;&gt;""""),ROWS(FILTER(C$4:C7,C$4:C7&lt;&gt;""""))),""^Sell_""),INDEX(FILTER(F$4:F6,C$4:C6&lt;&gt;""""),ROWS(FILTER(C$4:C6,C$4:C6&lt;&gt;""""))),$AC$5*(2^SWITCH(COUNTIF(C$4:C7,""Cursor_up""),0,0,1,1,2,2,3)+SWIT"&amp;"CH(COUNTIF(C$4:C7,""Cursor_up""),4,0.1,0)*(ROW(C7)-4-COUNTIF(C$4:C7,""Cursor"")-COUNTIF(C$4:C7,""*""&amp;""_up"")-2*COUNTIF(C$4:C7,""Sell_""&amp;""*"")+COUNTIF(C$4:C7,""Sell_Cursor"")-COUNTIF(C$4:C7,""""))+0.01*E7*COUNTIF(C$4:C7,""Plastic_up""))+E7))"),60.4)</f>
        <v>60.4</v>
      </c>
      <c r="G7" s="14">
        <f>IFERROR(__xludf.DUMMYFUNCTION("IF(COUNTA(C7:C147)=0,"""",IF(REGEXMATCH(C7,""_up""),VLOOKUP(C7,Upgrades!$F$3:$J$8,1+COUNTIF(C$4:C7,C7),FALSE),IF(C7="""",0,IF(REGEXMATCH(C7,""^Sell_""),-ROUNDDOWN(ROUNDUP(INDEX(Upgrades!$C$3:$C$8,MATCH(SUBSTITUTE(C7,""Sell_"",""""),Upgrades!$B$3:$B$8,0))*"&amp;"1.15^(COUNTIF(C$4:C6,SUBSTITUTE(C7,""Sell_"",""""))-COUNTIF(C$4:C6,""Sell_""&amp;SUBSTITUTE(C7,""Sell_"",""""))))/4),ROUNDUP(INDEX(Upgrades!$C$3:$C$7,MATCH(C7,Upgrades!$B$3:$B$7,0))*1.15^(COUNTIF(C$4:C6,C7)-COUNTIF(C$4:C6,""Sell_""&amp;C7)))))))"),500.0)</f>
        <v>500</v>
      </c>
      <c r="H7" s="14">
        <f t="shared" si="3"/>
        <v>500</v>
      </c>
      <c r="I7" s="75">
        <f t="shared" si="4"/>
        <v>854.7019868</v>
      </c>
      <c r="J7" s="76">
        <f t="shared" si="5"/>
        <v>24.17880795</v>
      </c>
      <c r="K7" s="71" t="str">
        <f t="shared" si="6"/>
        <v>24s</v>
      </c>
      <c r="L7" s="77">
        <f t="shared" si="7"/>
        <v>615</v>
      </c>
      <c r="M7" s="51">
        <f t="shared" si="8"/>
        <v>0</v>
      </c>
      <c r="N7" s="52">
        <f>IFERROR(__xludf.DUMMYFUNCTION("IFS(AND(COUNTA(C7:C147)=0,COUNTA(P7:P147)=0),"""",OR(AND(L7&gt;=1000000,OR(Y7&gt;=1000000,COUNTA(P7:P147)=0)),AND(Y7&gt;=1000000,COUNTA(C7:C147)=0),AND(COUNTA(P7:P147)=0,O$3=TRUE)),
ROUNDDOWN((AB$1-AC$1)*MAX(INDEX(S$4:S147,MATCH(LARGE(FILTER(Y$4:Y147,Y$4:Y147&lt;1000"&amp;"000),1),Y$4:Y147)),INDEX(F$4:F147,MATCH(LARGE(FILTER(L$4:L147,L$4:L147&lt;1000000),1),L$4:L147)))),AND(L7&lt;1000000,COUNTA(C7:C147)&gt;0,O$3=FALSE),
ROUNDDOWN(INDEX(Y$4:Y147,MATCH(LARGE(FILTER(W$4:W147,W$4:W147&lt;=J7),1),W$4:W147))+(J7-LARGE(FILTER(W$4:W147,W$4:W14"&amp;"7&lt;=J7),1))*INDEX(S$4:S147,MATCH(LARGE(FILTER(W$4:W147,W$4:W147&lt;=J7),1),W$4:W147))-L7),1,
ROUNDDOWN(Y7-INDEX(L$4:L147,MATCH(LARGE(FILTER(J$4:J147,J$4:J147&lt;=W7),1),J$4:J147))-(W7-LARGE(FILTER(J$4:J147,J$4:J147&lt;=W7),1))*INDEX(F$4:F147,MATCH(LARGE(FILTER(J$4:"&amp;"J147,J$4:J147&lt;=W7),1),J$4:J147))))"),0.0)</f>
        <v>0</v>
      </c>
      <c r="O7" s="65">
        <f t="shared" si="9"/>
        <v>2</v>
      </c>
      <c r="P7" s="66" t="s">
        <v>11</v>
      </c>
      <c r="Q7" s="14" t="b">
        <f>IFERROR(__xludf.DUMMYFUNCTION("IF(COUNTA(P7:P147)=0,"""",IFERROR(IF(ISBLANK(P7),FALSE,IF(ISBLANK(T7),1,IF(NOT(COUNTIF($AA$24:$AA$34,SUBSTITUTE(P7,""Sell_"",""""))),1,IF(P7=""Plastic_up"",IF(V7&lt;1000,1),IF(P7=""Super_Up"",IF(OR(COUNTIF(P$4:P7,""Grandma"")-COUNTIF(P$4:P7,""Sell_Grandma"")"&amp;"&lt;1,COUNTIF(P$4:P7,VLOOKUP(P7,Upgrades!$F$8:$N$8,7+COUNTIF(P$4:P7,P7)))-COUNTIF(P$4:P7,""Sell_""&amp;VLOOKUP(P7,Upgrades!$F$8:$N$8,7+COUNTIF(P$4:P7,P7)))&lt;15),1),IF(REGEXMATCH(P7,""_up""),IF(COUNTIF(P$4:P7,SUBSTITUTE(P7,""_up"",""""))&lt;IFERROR(VLOOKUP(P7,Upgrade"&amp;"s!$L$3:$P$6,1+COUNTIF(P$4:P7,P7),0),999),1),IF(REGEXMATCH(P7,""Sell_""),IF(COUNTIF(P$4:P7,SUBSTITUTE(P7,""Sell_"",""""))-COUNTIF(P$4:P6,P7)&lt;1,1),FALSE)))))))))"),FALSE)</f>
        <v>0</v>
      </c>
      <c r="R7" s="71">
        <f>IFERROR(__xludf.DUMMYFUNCTION("IF(REGEXMATCH(P7,""^Sell_""),R6, IF(COUNTA(P7:P147)=0,"""",(COUNTIF(P$4:P7,""Cursor"")-COUNTIF(P$4:P7,""Sell_Cursor""))*(0.1*2^SWITCH(COUNTIF(P$4:P7,""Cursor_up""),0,0,1,1,2,2,3)+SWITCH(COUNTIF(P$4:P7,""Cursor_up""),4,0.1,0)*(ROW(P7)-4-COUNTIF(P$4:P7,""Cu"&amp;"rsor"")-COUNTIF(P$4:P7,""*""&amp;""_up"")-2*COUNTIF(P$4:P7,""Sell_""&amp;""*"")+COUNTIF(P$4:P7,""Sell_Cursor"")-COUNTIF(P$4:P7,"""")))+(COUNTIF(P$4:P7,""Grandma"")-COUNTIF(P$4:P7,""Sell_Grandma""))*(1*2^(COUNTIF(P$4:P7,""Grandma_up"")+COUNTIF(P$4:P7,""Super_up"")"&amp;"))+(COUNTIF(P$4:P7,""Farm"")-COUNTIF(P$4:P7,""Sell_Farm""))*(8*2^COUNTIF(P$4:P7,""Farm_up""))*IF(COUNTIF(P$4:P7,""Super_up"")&gt;0,1+0.01*(COUNTIF(P$4:P7,""Grandma"")-COUNTIF(P$4:P7,""Sell_Grandma"")),1)+(COUNTIF(P$4:P7,""Mine"")-COUNTIF(P$4:P7,""Sell_Mine"""&amp;"))*((47*2^COUNTIF(P$4:P7,""Mine_up""))*IF(COUNTIF(P$4:P7,""Super_up"")&gt;1,1+0.005*(COUNTIF(P$4:P7,""Grandma"")-COUNTIF(P$4:P7,""Sell_Grandma"")),1))+(COUNTIF(P$4:P7,""Factory"")-COUNTIF(P$4:P7,""Sell_Factory""))*(260*2^COUNTIF(P$4:P7,""Factory_up""))))"),0.4)</f>
        <v>0.4</v>
      </c>
      <c r="S7" s="73">
        <f>IFERROR(__xludf.DUMMYFUNCTION("IF(COUNTA(P7:P147)=0,"""",IF(REGEXMATCH(INDEX(FILTER(P$4:P7,P$4:P7&lt;&gt;""""),ROWS(FILTER(P$4:P7,P$4:P7&lt;&gt;""""))),""^Sell_""),INDEX(FILTER(S$4:S6,P$4:P6&lt;&gt;""""),ROWS(FILTER(P$4:P6,P$4:P6&lt;&gt;""""))),$AD$5*(2^SWITCH(COUNTIF(P$4:P7,""Cursor_up""),0,0,1,1,2,2,3)+SWIT"&amp;"CH(COUNTIF(P$4:P7,""Cursor_up""),4,0.1,0)*(ROW(P7)-4-COUNTIF(P$4:P7,""Cursor"")-COUNTIF(P$4:P7,""*""&amp;""_up"")-2*COUNTIF(P$4:P7,""Sell_""&amp;""*"")+COUNTIF(P$4:P7,""Sell_Cursor"")-COUNTIF(P$4:P7,""""))+0.01*R7*COUNTIF(P$4:P7,""Plastic_up""))+R7))"),60.4)</f>
        <v>60.4</v>
      </c>
      <c r="T7" s="14">
        <f>IFERROR(__xludf.DUMMYFUNCTION("IF(COUNTA(P7:P147)=0,"""",IF(REGEXMATCH(P7,""_up""),VLOOKUP(P7,Upgrades!$F$3:$J$8,1+COUNTIF(P$4:P7,P7),FALSE),IF(P7="""",0,IF(REGEXMATCH(P7,""^Sell_""),-ROUNDDOWN(ROUNDUP(INDEX(Upgrades!$C$3:$C$8,MATCH(SUBSTITUTE(P7,""Sell_"",""""),Upgrades!$B$3:$B$8,0))*"&amp;"1.15^(COUNTIF(P$4:P6,SUBSTITUTE(P7,""Sell_"",""""))-COUNTIF(P$4:P6,""Sell_""&amp;SUBSTITUTE(P7,""Sell_"",""""))))/4),ROUNDUP(INDEX(Upgrades!$C$3:$C$7,MATCH(P7,Upgrades!$B$3:$B$7,0))*1.15^(COUNTIF(P$4:P6,P7)-COUNTIF(P$4:P6,""Sell_""&amp;P7)))))))"),500.0)</f>
        <v>500</v>
      </c>
      <c r="U7" s="14">
        <f t="shared" si="10"/>
        <v>500</v>
      </c>
      <c r="V7" s="75">
        <f t="shared" si="11"/>
        <v>854.7019868</v>
      </c>
      <c r="W7" s="76">
        <f t="shared" si="12"/>
        <v>24.17880795</v>
      </c>
      <c r="X7" s="71" t="str">
        <f t="shared" si="13"/>
        <v>24s</v>
      </c>
      <c r="Y7" s="77">
        <f t="shared" si="14"/>
        <v>615</v>
      </c>
      <c r="Z7" s="17"/>
      <c r="AA7" s="87" t="s">
        <v>63</v>
      </c>
      <c r="AB7" s="88"/>
      <c r="AC7" s="81" t="str">
        <f>IF(AF2&lt;0,"YES","NO")</f>
        <v>NO</v>
      </c>
      <c r="AG7" s="13"/>
    </row>
    <row r="8">
      <c r="A8" s="12"/>
      <c r="B8" s="65">
        <f t="shared" si="2"/>
        <v>2</v>
      </c>
      <c r="C8" s="66" t="s">
        <v>10</v>
      </c>
      <c r="D8" s="14" t="b">
        <f>IFERROR(__xludf.DUMMYFUNCTION("IF(COUNTA(C8:C147)=0,"""",IFERROR(IF(ISBLANK(C8),FALSE,IF(ISBLANK(G8),1,IF(NOT(COUNTIF($AA$24:$AA$34,SUBSTITUTE(C8,""Sell_"",""""))),1,IF(C8=""Plastic_up"",IF(I8&lt;1000,1),IF(C8=""Super_Up"",IF(OR(COUNTIF(C$4:C8,""Grandma"")-COUNTIF(C$4:C8,""Sell_Grandma"")"&amp;"&lt;1,COUNTIF(C$4:C8,VLOOKUP(C8,Upgrades!$F$8:$N$8,7+COUNTIF(C$4:C8,C8)))-COUNTIF(C$4:C8,""Sell_""&amp;VLOOKUP(C8,Upgrades!$F$8:$N$8,7+COUNTIF(C$4:C8,C8)))&lt;15),1),IF(REGEXMATCH(C8,""_up""),IF(COUNTIF(C$4:C8,SUBSTITUTE(C8,""_up"",""""))&lt;IFERROR(VLOOKUP(C8,Upgrade"&amp;"s!$L$3:$P$6,1+COUNTIF(C$4:C8,C8),0),999),1),IF(REGEXMATCH(C8,""Sell_""),IF(COUNTIF(C$4:C8,SUBSTITUTE(C8,""Sell_"",""""))-COUNTIF(C$4:C7,C8)&lt;1,1),FALSE)))))))))"),FALSE)</f>
        <v>0</v>
      </c>
      <c r="E8" s="71">
        <f>IFERROR(__xludf.DUMMYFUNCTION("IF(REGEXMATCH(C8,""^Sell_""),E7, IF(COUNTA(C8:C147)=0,"""",(COUNTIF(C$4:C8,""Cursor"")-COUNTIF(C$4:C8,""Sell_Cursor""))*(0.1*2^SWITCH(COUNTIF(C$4:C8,""Cursor_up""),0,0,1,1,2,2,3)+SWITCH(COUNTIF(C$4:C8,""Cursor_up""),4,0.1,0)*(ROW(C8)-4-COUNTIF(C$4:C8,""Cu"&amp;"rsor"")-COUNTIF(C$4:C8,""*""&amp;""_up"")-2*COUNTIF(C$4:C8,""Sell_""&amp;""*"")+COUNTIF(C$4:C8,""Sell_Cursor"")-COUNTIF(C$4:C8,"""")))+(COUNTIF(C$4:C8,""Grandma"")-COUNTIF(C$4:C8,""Sell_Grandma""))*(1*2^(COUNTIF(C$4:C8,""Grandma_up"")+COUNTIF(C$4:C8,""Super_up"")"&amp;"))+(COUNTIF(C$4:C8,""Farm"")-COUNTIF(C$4:C8,""Sell_Farm""))*(8*2^COUNTIF(C$4:C8,""Farm_up""))*IF(COUNTIF(C$4:C8,""Super_up"")&gt;0,1+0.01*(COUNTIF(C$4:C8,""Grandma"")-COUNTIF(C$4:C8,""Sell_Grandma"")),1)+(COUNTIF(C$4:C8,""Mine"")-COUNTIF(C$4:C8,""Sell_Mine"""&amp;"))*((47*2^COUNTIF(C$4:C8,""Mine_up""))*IF(COUNTIF(C$4:C8,""Super_up"")&gt;1,1+0.005*(COUNTIF(C$4:C8,""Grandma"")-COUNTIF(C$4:C8,""Sell_Grandma"")),1))+(COUNTIF(C$4:C8,""Factory"")-COUNTIF(C$4:C8,""Sell_Factory""))*(260*2^COUNTIF(C$4:C8,""Factory_up""))))"),0.8)</f>
        <v>0.8</v>
      </c>
      <c r="F8" s="73">
        <f>IFERROR(__xludf.DUMMYFUNCTION("IF(COUNTA(C8:C147)=0,"""",IF(REGEXMATCH(INDEX(FILTER(C$4:C8,C$4:C8&lt;&gt;""""),ROWS(FILTER(C$4:C8,C$4:C8&lt;&gt;""""))),""^Sell_""),INDEX(FILTER(F$4:F7,C$4:C7&lt;&gt;""""),ROWS(FILTER(C$4:C7,C$4:C7&lt;&gt;""""))),$AC$5*(2^SWITCH(COUNTIF(C$4:C8,""Cursor_up""),0,0,1,1,2,2,3)+SWIT"&amp;"CH(COUNTIF(C$4:C8,""Cursor_up""),4,0.1,0)*(ROW(C8)-4-COUNTIF(C$4:C8,""Cursor"")-COUNTIF(C$4:C8,""*""&amp;""_up"")-2*COUNTIF(C$4:C8,""Sell_""&amp;""*"")+COUNTIF(C$4:C8,""Sell_Cursor"")-COUNTIF(C$4:C8,""""))+0.01*E8*COUNTIF(C$4:C8,""Plastic_up""))+E8))"),60.8)</f>
        <v>60.8</v>
      </c>
      <c r="G8" s="14">
        <f>IFERROR(__xludf.DUMMYFUNCTION("IF(COUNTA(C8:C147)=0,"""",IF(REGEXMATCH(C8,""_up""),VLOOKUP(C8,Upgrades!$F$3:$J$8,1+COUNTIF(C$4:C8,C8),FALSE),IF(C8="""",0,IF(REGEXMATCH(C8,""^Sell_""),-ROUNDDOWN(ROUNDUP(INDEX(Upgrades!$C$3:$C$8,MATCH(SUBSTITUTE(C8,""Sell_"",""""),Upgrades!$B$3:$B$8,0))*"&amp;"1.15^(COUNTIF(C$4:C7,SUBSTITUTE(C8,""Sell_"",""""))-COUNTIF(C$4:C7,""Sell_""&amp;SUBSTITUTE(C8,""Sell_"",""""))))/4),ROUNDUP(INDEX(Upgrades!$C$3:$C$7,MATCH(C8,Upgrades!$B$3:$B$7,0))*1.15^(COUNTIF(C$4:C7,C8)-COUNTIF(C$4:C7,""Sell_""&amp;C8)))))))"),18.0)</f>
        <v>18</v>
      </c>
      <c r="H8" s="14">
        <f t="shared" si="3"/>
        <v>18</v>
      </c>
      <c r="I8" s="75">
        <f t="shared" si="4"/>
        <v>2323.311258</v>
      </c>
      <c r="J8" s="76">
        <f t="shared" si="5"/>
        <v>24.47682119</v>
      </c>
      <c r="K8" s="71" t="str">
        <f t="shared" si="6"/>
        <v>24s</v>
      </c>
      <c r="L8" s="77">
        <f t="shared" si="7"/>
        <v>633</v>
      </c>
      <c r="M8" s="51">
        <f t="shared" si="8"/>
        <v>0</v>
      </c>
      <c r="N8" s="52">
        <f>IFERROR(__xludf.DUMMYFUNCTION("IFS(AND(COUNTA(C8:C147)=0,COUNTA(P8:P147)=0),"""",OR(AND(L8&gt;=1000000,OR(Y8&gt;=1000000,COUNTA(P8:P147)=0)),AND(Y8&gt;=1000000,COUNTA(C8:C147)=0),AND(COUNTA(P8:P147)=0,O$3=TRUE)),
ROUNDDOWN((AB$1-AC$1)*MAX(INDEX(S$4:S147,MATCH(LARGE(FILTER(Y$4:Y147,Y$4:Y147&lt;1000"&amp;"000),1),Y$4:Y147)),INDEX(F$4:F147,MATCH(LARGE(FILTER(L$4:L147,L$4:L147&lt;1000000),1),L$4:L147)))),AND(L8&lt;1000000,COUNTA(C8:C147)&gt;0,O$3=FALSE),
ROUNDDOWN(INDEX(Y$4:Y147,MATCH(LARGE(FILTER(W$4:W147,W$4:W147&lt;=J8),1),W$4:W147))+(J8-LARGE(FILTER(W$4:W147,W$4:W14"&amp;"7&lt;=J8),1))*INDEX(S$4:S147,MATCH(LARGE(FILTER(W$4:W147,W$4:W147&lt;=J8),1),W$4:W147))-L8),1,
ROUNDDOWN(Y8-INDEX(L$4:L147,MATCH(LARGE(FILTER(J$4:J147,J$4:J147&lt;=W8),1),J$4:J147))-(W8-LARGE(FILTER(J$4:J147,J$4:J147&lt;=W8),1))*INDEX(F$4:F147,MATCH(LARGE(FILTER(J$4:"&amp;"J147,J$4:J147&lt;=W8),1),J$4:J147))))"),0.0)</f>
        <v>0</v>
      </c>
      <c r="O8" s="65">
        <f t="shared" si="9"/>
        <v>2</v>
      </c>
      <c r="P8" s="66" t="s">
        <v>10</v>
      </c>
      <c r="Q8" s="14" t="b">
        <f>IFERROR(__xludf.DUMMYFUNCTION("IF(COUNTA(P8:P147)=0,"""",IFERROR(IF(ISBLANK(P8),FALSE,IF(ISBLANK(T8),1,IF(NOT(COUNTIF($AA$24:$AA$34,SUBSTITUTE(P8,""Sell_"",""""))),1,IF(P8=""Plastic_up"",IF(V8&lt;1000,1),IF(P8=""Super_Up"",IF(OR(COUNTIF(P$4:P8,""Grandma"")-COUNTIF(P$4:P8,""Sell_Grandma"")"&amp;"&lt;1,COUNTIF(P$4:P8,VLOOKUP(P8,Upgrades!$F$8:$N$8,7+COUNTIF(P$4:P8,P8)))-COUNTIF(P$4:P8,""Sell_""&amp;VLOOKUP(P8,Upgrades!$F$8:$N$8,7+COUNTIF(P$4:P8,P8)))&lt;15),1),IF(REGEXMATCH(P8,""_up""),IF(COUNTIF(P$4:P8,SUBSTITUTE(P8,""_up"",""""))&lt;IFERROR(VLOOKUP(P8,Upgrade"&amp;"s!$L$3:$P$6,1+COUNTIF(P$4:P8,P8),0),999),1),IF(REGEXMATCH(P8,""Sell_""),IF(COUNTIF(P$4:P8,SUBSTITUTE(P8,""Sell_"",""""))-COUNTIF(P$4:P7,P8)&lt;1,1),FALSE)))))))))"),FALSE)</f>
        <v>0</v>
      </c>
      <c r="R8" s="71">
        <f>IFERROR(__xludf.DUMMYFUNCTION("IF(REGEXMATCH(P8,""^Sell_""),R7, IF(COUNTA(P8:P147)=0,"""",(COUNTIF(P$4:P8,""Cursor"")-COUNTIF(P$4:P8,""Sell_Cursor""))*(0.1*2^SWITCH(COUNTIF(P$4:P8,""Cursor_up""),0,0,1,1,2,2,3)+SWITCH(COUNTIF(P$4:P8,""Cursor_up""),4,0.1,0)*(ROW(P8)-4-COUNTIF(P$4:P8,""Cu"&amp;"rsor"")-COUNTIF(P$4:P8,""*""&amp;""_up"")-2*COUNTIF(P$4:P8,""Sell_""&amp;""*"")+COUNTIF(P$4:P8,""Sell_Cursor"")-COUNTIF(P$4:P8,"""")))+(COUNTIF(P$4:P8,""Grandma"")-COUNTIF(P$4:P8,""Sell_Grandma""))*(1*2^(COUNTIF(P$4:P8,""Grandma_up"")+COUNTIF(P$4:P8,""Super_up"")"&amp;"))+(COUNTIF(P$4:P8,""Farm"")-COUNTIF(P$4:P8,""Sell_Farm""))*(8*2^COUNTIF(P$4:P8,""Farm_up""))*IF(COUNTIF(P$4:P8,""Super_up"")&gt;0,1+0.01*(COUNTIF(P$4:P8,""Grandma"")-COUNTIF(P$4:P8,""Sell_Grandma"")),1)+(COUNTIF(P$4:P8,""Mine"")-COUNTIF(P$4:P8,""Sell_Mine"""&amp;"))*((47*2^COUNTIF(P$4:P8,""Mine_up""))*IF(COUNTIF(P$4:P8,""Super_up"")&gt;1,1+0.005*(COUNTIF(P$4:P8,""Grandma"")-COUNTIF(P$4:P8,""Sell_Grandma"")),1))+(COUNTIF(P$4:P8,""Factory"")-COUNTIF(P$4:P8,""Sell_Factory""))*(260*2^COUNTIF(P$4:P8,""Factory_up""))))"),0.8)</f>
        <v>0.8</v>
      </c>
      <c r="S8" s="73">
        <f>IFERROR(__xludf.DUMMYFUNCTION("IF(COUNTA(P8:P147)=0,"""",IF(REGEXMATCH(INDEX(FILTER(P$4:P8,P$4:P8&lt;&gt;""""),ROWS(FILTER(P$4:P8,P$4:P8&lt;&gt;""""))),""^Sell_""),INDEX(FILTER(S$4:S7,P$4:P7&lt;&gt;""""),ROWS(FILTER(P$4:P7,P$4:P7&lt;&gt;""""))),$AD$5*(2^SWITCH(COUNTIF(P$4:P8,""Cursor_up""),0,0,1,1,2,2,3)+SWIT"&amp;"CH(COUNTIF(P$4:P8,""Cursor_up""),4,0.1,0)*(ROW(P8)-4-COUNTIF(P$4:P8,""Cursor"")-COUNTIF(P$4:P8,""*""&amp;""_up"")-2*COUNTIF(P$4:P8,""Sell_""&amp;""*"")+COUNTIF(P$4:P8,""Sell_Cursor"")-COUNTIF(P$4:P8,""""))+0.01*R8*COUNTIF(P$4:P8,""Plastic_up""))+R8))"),60.8)</f>
        <v>60.8</v>
      </c>
      <c r="T8" s="14">
        <f>IFERROR(__xludf.DUMMYFUNCTION("IF(COUNTA(P8:P147)=0,"""",IF(REGEXMATCH(P8,""_up""),VLOOKUP(P8,Upgrades!$F$3:$J$8,1+COUNTIF(P$4:P8,P8),FALSE),IF(P8="""",0,IF(REGEXMATCH(P8,""^Sell_""),-ROUNDDOWN(ROUNDUP(INDEX(Upgrades!$C$3:$C$8,MATCH(SUBSTITUTE(P8,""Sell_"",""""),Upgrades!$B$3:$B$8,0))*"&amp;"1.15^(COUNTIF(P$4:P7,SUBSTITUTE(P8,""Sell_"",""""))-COUNTIF(P$4:P7,""Sell_""&amp;SUBSTITUTE(P8,""Sell_"",""""))))/4),ROUNDUP(INDEX(Upgrades!$C$3:$C$7,MATCH(P8,Upgrades!$B$3:$B$7,0))*1.15^(COUNTIF(P$4:P7,P8)-COUNTIF(P$4:P7,""Sell_""&amp;P8)))))))"),18.0)</f>
        <v>18</v>
      </c>
      <c r="U8" s="14">
        <f t="shared" si="10"/>
        <v>18</v>
      </c>
      <c r="V8" s="75">
        <f t="shared" si="11"/>
        <v>2323.311258</v>
      </c>
      <c r="W8" s="76">
        <f t="shared" si="12"/>
        <v>24.47682119</v>
      </c>
      <c r="X8" s="71" t="str">
        <f t="shared" si="13"/>
        <v>24s</v>
      </c>
      <c r="Y8" s="77">
        <f t="shared" si="14"/>
        <v>633</v>
      </c>
      <c r="Z8" s="17"/>
      <c r="AG8" s="13"/>
    </row>
    <row r="9">
      <c r="A9" s="12"/>
      <c r="B9" s="65">
        <f t="shared" si="2"/>
        <v>3</v>
      </c>
      <c r="C9" s="66" t="s">
        <v>10</v>
      </c>
      <c r="D9" s="14" t="b">
        <f>IFERROR(__xludf.DUMMYFUNCTION("IF(COUNTA(C9:C147)=0,"""",IFERROR(IF(ISBLANK(C9),FALSE,IF(ISBLANK(G9),1,IF(NOT(COUNTIF($AA$24:$AA$34,SUBSTITUTE(C9,""Sell_"",""""))),1,IF(C9=""Plastic_up"",IF(I9&lt;1000,1),IF(C9=""Super_Up"",IF(OR(COUNTIF(C$4:C9,""Grandma"")-COUNTIF(C$4:C9,""Sell_Grandma"")"&amp;"&lt;1,COUNTIF(C$4:C9,VLOOKUP(C9,Upgrades!$F$8:$N$8,7+COUNTIF(C$4:C9,C9)))-COUNTIF(C$4:C9,""Sell_""&amp;VLOOKUP(C9,Upgrades!$F$8:$N$8,7+COUNTIF(C$4:C9,C9)))&lt;15),1),IF(REGEXMATCH(C9,""_up""),IF(COUNTIF(C$4:C9,SUBSTITUTE(C9,""_up"",""""))&lt;IFERROR(VLOOKUP(C9,Upgrade"&amp;"s!$L$3:$P$6,1+COUNTIF(C$4:C9,C9),0),999),1),IF(REGEXMATCH(C9,""Sell_""),IF(COUNTIF(C$4:C9,SUBSTITUTE(C9,""Sell_"",""""))-COUNTIF(C$4:C8,C9)&lt;1,1),FALSE)))))))))"),FALSE)</f>
        <v>0</v>
      </c>
      <c r="E9" s="71">
        <f>IFERROR(__xludf.DUMMYFUNCTION("IF(REGEXMATCH(C9,""^Sell_""),E8, IF(COUNTA(C9:C147)=0,"""",(COUNTIF(C$4:C9,""Cursor"")-COUNTIF(C$4:C9,""Sell_Cursor""))*(0.1*2^SWITCH(COUNTIF(C$4:C9,""Cursor_up""),0,0,1,1,2,2,3)+SWITCH(COUNTIF(C$4:C9,""Cursor_up""),4,0.1,0)*(ROW(C9)-4-COUNTIF(C$4:C9,""Cu"&amp;"rsor"")-COUNTIF(C$4:C9,""*""&amp;""_up"")-2*COUNTIF(C$4:C9,""Sell_""&amp;""*"")+COUNTIF(C$4:C9,""Sell_Cursor"")-COUNTIF(C$4:C9,"""")))+(COUNTIF(C$4:C9,""Grandma"")-COUNTIF(C$4:C9,""Sell_Grandma""))*(1*2^(COUNTIF(C$4:C9,""Grandma_up"")+COUNTIF(C$4:C9,""Super_up"")"&amp;"))+(COUNTIF(C$4:C9,""Farm"")-COUNTIF(C$4:C9,""Sell_Farm""))*(8*2^COUNTIF(C$4:C9,""Farm_up""))*IF(COUNTIF(C$4:C9,""Super_up"")&gt;0,1+0.01*(COUNTIF(C$4:C9,""Grandma"")-COUNTIF(C$4:C9,""Sell_Grandma"")),1)+(COUNTIF(C$4:C9,""Mine"")-COUNTIF(C$4:C9,""Sell_Mine"""&amp;"))*((47*2^COUNTIF(C$4:C9,""Mine_up""))*IF(COUNTIF(C$4:C9,""Super_up"")&gt;1,1+0.005*(COUNTIF(C$4:C9,""Grandma"")-COUNTIF(C$4:C9,""Sell_Grandma"")),1))+(COUNTIF(C$4:C9,""Factory"")-COUNTIF(C$4:C9,""Sell_Factory""))*(260*2^COUNTIF(C$4:C9,""Factory_up""))))"),1.2000000000000002)</f>
        <v>1.2</v>
      </c>
      <c r="F9" s="73">
        <f>IFERROR(__xludf.DUMMYFUNCTION("IF(COUNTA(C9:C147)=0,"""",IF(REGEXMATCH(INDEX(FILTER(C$4:C9,C$4:C9&lt;&gt;""""),ROWS(FILTER(C$4:C9,C$4:C9&lt;&gt;""""))),""^Sell_""),INDEX(FILTER(F$4:F8,C$4:C8&lt;&gt;""""),ROWS(FILTER(C$4:C8,C$4:C8&lt;&gt;""""))),$AC$5*(2^SWITCH(COUNTIF(C$4:C9,""Cursor_up""),0,0,1,1,2,2,3)+SWIT"&amp;"CH(COUNTIF(C$4:C9,""Cursor_up""),4,0.1,0)*(ROW(C9)-4-COUNTIF(C$4:C9,""Cursor"")-COUNTIF(C$4:C9,""*""&amp;""_up"")-2*COUNTIF(C$4:C9,""Sell_""&amp;""*"")+COUNTIF(C$4:C9,""Sell_Cursor"")-COUNTIF(C$4:C9,""""))+0.01*E9*COUNTIF(C$4:C9,""Plastic_up""))+E9))"),61.2)</f>
        <v>61.2</v>
      </c>
      <c r="G9" s="14">
        <f>IFERROR(__xludf.DUMMYFUNCTION("IF(COUNTA(C9:C147)=0,"""",IF(REGEXMATCH(C9,""_up""),VLOOKUP(C9,Upgrades!$F$3:$J$8,1+COUNTIF(C$4:C9,C9),FALSE),IF(C9="""",0,IF(REGEXMATCH(C9,""^Sell_""),-ROUNDDOWN(ROUNDUP(INDEX(Upgrades!$C$3:$C$8,MATCH(SUBSTITUTE(C9,""Sell_"",""""),Upgrades!$B$3:$B$8,0))*"&amp;"1.15^(COUNTIF(C$4:C8,SUBSTITUTE(C9,""Sell_"",""""))-COUNTIF(C$4:C8,""Sell_""&amp;SUBSTITUTE(C9,""Sell_"",""""))))/4),ROUNDUP(INDEX(Upgrades!$C$3:$C$7,MATCH(C9,Upgrades!$B$3:$B$7,0))*1.15^(COUNTIF(C$4:C8,C9)-COUNTIF(C$4:C8,""Sell_""&amp;C9)))))))"),20.0)</f>
        <v>20</v>
      </c>
      <c r="H9" s="14">
        <f t="shared" si="3"/>
        <v>20</v>
      </c>
      <c r="I9" s="75">
        <f t="shared" si="4"/>
        <v>3811.657372</v>
      </c>
      <c r="J9" s="76">
        <f t="shared" si="5"/>
        <v>24.80576856</v>
      </c>
      <c r="K9" s="71" t="str">
        <f t="shared" si="6"/>
        <v>24s</v>
      </c>
      <c r="L9" s="77">
        <f t="shared" si="7"/>
        <v>653</v>
      </c>
      <c r="M9" s="51">
        <f t="shared" si="8"/>
        <v>0</v>
      </c>
      <c r="N9" s="52">
        <f>IFERROR(__xludf.DUMMYFUNCTION("IFS(AND(COUNTA(C9:C147)=0,COUNTA(P9:P147)=0),"""",OR(AND(L9&gt;=1000000,OR(Y9&gt;=1000000,COUNTA(P9:P147)=0)),AND(Y9&gt;=1000000,COUNTA(C9:C147)=0),AND(COUNTA(P9:P147)=0,O$3=TRUE)),
ROUNDDOWN((AB$1-AC$1)*MAX(INDEX(S$4:S147,MATCH(LARGE(FILTER(Y$4:Y147,Y$4:Y147&lt;1000"&amp;"000),1),Y$4:Y147)),INDEX(F$4:F147,MATCH(LARGE(FILTER(L$4:L147,L$4:L147&lt;1000000),1),L$4:L147)))),AND(L9&lt;1000000,COUNTA(C9:C147)&gt;0,O$3=FALSE),
ROUNDDOWN(INDEX(Y$4:Y147,MATCH(LARGE(FILTER(W$4:W147,W$4:W147&lt;=J9),1),W$4:W147))+(J9-LARGE(FILTER(W$4:W147,W$4:W14"&amp;"7&lt;=J9),1))*INDEX(S$4:S147,MATCH(LARGE(FILTER(W$4:W147,W$4:W147&lt;=J9),1),W$4:W147))-L9),1,
ROUNDDOWN(Y9-INDEX(L$4:L147,MATCH(LARGE(FILTER(J$4:J147,J$4:J147&lt;=W9),1),J$4:J147))-(W9-LARGE(FILTER(J$4:J147,J$4:J147&lt;=W9),1))*INDEX(F$4:F147,MATCH(LARGE(FILTER(J$4:"&amp;"J147,J$4:J147&lt;=W9),1),J$4:J147))))"),0.0)</f>
        <v>0</v>
      </c>
      <c r="O9" s="65">
        <f t="shared" si="9"/>
        <v>3</v>
      </c>
      <c r="P9" s="66" t="s">
        <v>10</v>
      </c>
      <c r="Q9" s="14" t="b">
        <f>IFERROR(__xludf.DUMMYFUNCTION("IF(COUNTA(P9:P147)=0,"""",IFERROR(IF(ISBLANK(P9),FALSE,IF(ISBLANK(T9),1,IF(NOT(COUNTIF($AA$24:$AA$34,SUBSTITUTE(P9,""Sell_"",""""))),1,IF(P9=""Plastic_up"",IF(V9&lt;1000,1),IF(P9=""Super_Up"",IF(OR(COUNTIF(P$4:P9,""Grandma"")-COUNTIF(P$4:P9,""Sell_Grandma"")"&amp;"&lt;1,COUNTIF(P$4:P9,VLOOKUP(P9,Upgrades!$F$8:$N$8,7+COUNTIF(P$4:P9,P9)))-COUNTIF(P$4:P9,""Sell_""&amp;VLOOKUP(P9,Upgrades!$F$8:$N$8,7+COUNTIF(P$4:P9,P9)))&lt;15),1),IF(REGEXMATCH(P9,""_up""),IF(COUNTIF(P$4:P9,SUBSTITUTE(P9,""_up"",""""))&lt;IFERROR(VLOOKUP(P9,Upgrade"&amp;"s!$L$3:$P$6,1+COUNTIF(P$4:P9,P9),0),999),1),IF(REGEXMATCH(P9,""Sell_""),IF(COUNTIF(P$4:P9,SUBSTITUTE(P9,""Sell_"",""""))-COUNTIF(P$4:P8,P9)&lt;1,1),FALSE)))))))))"),FALSE)</f>
        <v>0</v>
      </c>
      <c r="R9" s="71">
        <f>IFERROR(__xludf.DUMMYFUNCTION("IF(REGEXMATCH(P9,""^Sell_""),R8, IF(COUNTA(P9:P147)=0,"""",(COUNTIF(P$4:P9,""Cursor"")-COUNTIF(P$4:P9,""Sell_Cursor""))*(0.1*2^SWITCH(COUNTIF(P$4:P9,""Cursor_up""),0,0,1,1,2,2,3)+SWITCH(COUNTIF(P$4:P9,""Cursor_up""),4,0.1,0)*(ROW(P9)-4-COUNTIF(P$4:P9,""Cu"&amp;"rsor"")-COUNTIF(P$4:P9,""*""&amp;""_up"")-2*COUNTIF(P$4:P9,""Sell_""&amp;""*"")+COUNTIF(P$4:P9,""Sell_Cursor"")-COUNTIF(P$4:P9,"""")))+(COUNTIF(P$4:P9,""Grandma"")-COUNTIF(P$4:P9,""Sell_Grandma""))*(1*2^(COUNTIF(P$4:P9,""Grandma_up"")+COUNTIF(P$4:P9,""Super_up"")"&amp;"))+(COUNTIF(P$4:P9,""Farm"")-COUNTIF(P$4:P9,""Sell_Farm""))*(8*2^COUNTIF(P$4:P9,""Farm_up""))*IF(COUNTIF(P$4:P9,""Super_up"")&gt;0,1+0.01*(COUNTIF(P$4:P9,""Grandma"")-COUNTIF(P$4:P9,""Sell_Grandma"")),1)+(COUNTIF(P$4:P9,""Mine"")-COUNTIF(P$4:P9,""Sell_Mine"""&amp;"))*((47*2^COUNTIF(P$4:P9,""Mine_up""))*IF(COUNTIF(P$4:P9,""Super_up"")&gt;1,1+0.005*(COUNTIF(P$4:P9,""Grandma"")-COUNTIF(P$4:P9,""Sell_Grandma"")),1))+(COUNTIF(P$4:P9,""Factory"")-COUNTIF(P$4:P9,""Sell_Factory""))*(260*2^COUNTIF(P$4:P9,""Factory_up""))))"),1.2000000000000002)</f>
        <v>1.2</v>
      </c>
      <c r="S9" s="73">
        <f>IFERROR(__xludf.DUMMYFUNCTION("IF(COUNTA(P9:P147)=0,"""",IF(REGEXMATCH(INDEX(FILTER(P$4:P9,P$4:P9&lt;&gt;""""),ROWS(FILTER(P$4:P9,P$4:P9&lt;&gt;""""))),""^Sell_""),INDEX(FILTER(S$4:S8,P$4:P8&lt;&gt;""""),ROWS(FILTER(P$4:P8,P$4:P8&lt;&gt;""""))),$AD$5*(2^SWITCH(COUNTIF(P$4:P9,""Cursor_up""),0,0,1,1,2,2,3)+SWIT"&amp;"CH(COUNTIF(P$4:P9,""Cursor_up""),4,0.1,0)*(ROW(P9)-4-COUNTIF(P$4:P9,""Cursor"")-COUNTIF(P$4:P9,""*""&amp;""_up"")-2*COUNTIF(P$4:P9,""Sell_""&amp;""*"")+COUNTIF(P$4:P9,""Sell_Cursor"")-COUNTIF(P$4:P9,""""))+0.01*R9*COUNTIF(P$4:P9,""Plastic_up""))+R9))"),61.2)</f>
        <v>61.2</v>
      </c>
      <c r="T9" s="14">
        <f>IFERROR(__xludf.DUMMYFUNCTION("IF(COUNTA(P9:P147)=0,"""",IF(REGEXMATCH(P9,""_up""),VLOOKUP(P9,Upgrades!$F$3:$J$8,1+COUNTIF(P$4:P9,P9),FALSE),IF(P9="""",0,IF(REGEXMATCH(P9,""^Sell_""),-ROUNDDOWN(ROUNDUP(INDEX(Upgrades!$C$3:$C$8,MATCH(SUBSTITUTE(P9,""Sell_"",""""),Upgrades!$B$3:$B$8,0))*"&amp;"1.15^(COUNTIF(P$4:P8,SUBSTITUTE(P9,""Sell_"",""""))-COUNTIF(P$4:P8,""Sell_""&amp;SUBSTITUTE(P9,""Sell_"",""""))))/4),ROUNDUP(INDEX(Upgrades!$C$3:$C$7,MATCH(P9,Upgrades!$B$3:$B$7,0))*1.15^(COUNTIF(P$4:P8,P9)-COUNTIF(P$4:P8,""Sell_""&amp;P9)))))))"),20.0)</f>
        <v>20</v>
      </c>
      <c r="U9" s="14">
        <f t="shared" si="10"/>
        <v>20</v>
      </c>
      <c r="V9" s="75">
        <f t="shared" si="11"/>
        <v>3811.657372</v>
      </c>
      <c r="W9" s="76">
        <f t="shared" si="12"/>
        <v>24.80576856</v>
      </c>
      <c r="X9" s="71" t="str">
        <f t="shared" si="13"/>
        <v>24s</v>
      </c>
      <c r="Y9" s="77">
        <f t="shared" si="14"/>
        <v>653</v>
      </c>
      <c r="Z9" s="17"/>
      <c r="AA9" s="89" t="s">
        <v>64</v>
      </c>
      <c r="AB9" s="90"/>
      <c r="AC9" s="90"/>
      <c r="AD9" s="90"/>
      <c r="AE9" s="90"/>
      <c r="AF9" s="91"/>
      <c r="AG9" s="13"/>
    </row>
    <row r="10">
      <c r="A10" s="12"/>
      <c r="B10" s="65">
        <f t="shared" si="2"/>
        <v>4</v>
      </c>
      <c r="C10" s="66" t="s">
        <v>10</v>
      </c>
      <c r="D10" s="14" t="b">
        <f>IFERROR(__xludf.DUMMYFUNCTION("IF(COUNTA(C10:C147)=0,"""",IFERROR(IF(ISBLANK(C10),FALSE,IF(ISBLANK(G10),1,IF(NOT(COUNTIF($AA$24:$AA$34,SUBSTITUTE(C10,""Sell_"",""""))),1,IF(C10=""Plastic_up"",IF(I10&lt;1000,1),IF(C10=""Super_Up"",IF(OR(COUNTIF(C$4:C10,""Grandma"")-COUNTIF(C$4:C10,""Sell_G"&amp;"randma"")&lt;1,COUNTIF(C$4:C10,VLOOKUP(C10,Upgrades!$F$8:$N$8,7+COUNTIF(C$4:C10,C10)))-COUNTIF(C$4:C10,""Sell_""&amp;VLOOKUP(C10,Upgrades!$F$8:$N$8,7+COUNTIF(C$4:C10,C10)))&lt;15),1),IF(REGEXMATCH(C10,""_up""),IF(COUNTIF(C$4:C10,SUBSTITUTE(C10,""_up"",""""))&lt;IFERRO"&amp;"R(VLOOKUP(C10,Upgrades!$L$3:$P$6,1+COUNTIF(C$4:C10,C10),0),999),1),IF(REGEXMATCH(C10,""Sell_""),IF(COUNTIF(C$4:C10,SUBSTITUTE(C10,""Sell_"",""""))-COUNTIF(C$4:C9,C10)&lt;1,1),FALSE)))))))))"),FALSE)</f>
        <v>0</v>
      </c>
      <c r="E10" s="71">
        <f>IFERROR(__xludf.DUMMYFUNCTION("IF(REGEXMATCH(C10,""^Sell_""),E9, IF(COUNTA(C10:C147)=0,"""",(COUNTIF(C$4:C10,""Cursor"")-COUNTIF(C$4:C10,""Sell_Cursor""))*(0.1*2^SWITCH(COUNTIF(C$4:C10,""Cursor_up""),0,0,1,1,2,2,3)+SWITCH(COUNTIF(C$4:C10,""Cursor_up""),4,0.1,0)*(ROW(C10)-4-COUNTIF(C$4:"&amp;"C10,""Cursor"")-COUNTIF(C$4:C10,""*""&amp;""_up"")-2*COUNTIF(C$4:C10,""Sell_""&amp;""*"")+COUNTIF(C$4:C10,""Sell_Cursor"")-COUNTIF(C$4:C10,"""")))+(COUNTIF(C$4:C10,""Grandma"")-COUNTIF(C$4:C10,""Sell_Grandma""))*(1*2^(COUNTIF(C$4:C10,""Grandma_up"")+COUNTIF(C$4:C"&amp;"10,""Super_up"")))+(COUNTIF(C$4:C10,""Farm"")-COUNTIF(C$4:C10,""Sell_Farm""))*(8*2^COUNTIF(C$4:C10,""Farm_up""))*IF(COUNTIF(C$4:C10,""Super_up"")&gt;0,1+0.01*(COUNTIF(C$4:C10,""Grandma"")-COUNTIF(C$4:C10,""Sell_Grandma"")),1)+(COUNTIF(C$4:C10,""Mine"")-COUNT"&amp;"IF(C$4:C10,""Sell_Mine""))*((47*2^COUNTIF(C$4:C10,""Mine_up""))*IF(COUNTIF(C$4:C10,""Super_up"")&gt;1,1+0.005*(COUNTIF(C$4:C10,""Grandma"")-COUNTIF(C$4:C10,""Sell_Grandma"")),1))+(COUNTIF(C$4:C10,""Factory"")-COUNTIF(C$4:C10,""Sell_Factory""))*(260*2^COUNTIF"&amp;"(C$4:C10,""Factory_up""))))"),1.6)</f>
        <v>1.6</v>
      </c>
      <c r="F10" s="73">
        <f>IFERROR(__xludf.DUMMYFUNCTION("IF(COUNTA(C10:C147)=0,"""",IF(REGEXMATCH(INDEX(FILTER(C$4:C10,C$4:C10&lt;&gt;""""),ROWS(FILTER(C$4:C10,C$4:C10&lt;&gt;""""))),""^Sell_""),INDEX(FILTER(F$4:F9,C$4:C9&lt;&gt;""""),ROWS(FILTER(C$4:C9,C$4:C9&lt;&gt;""""))),$AC$5*(2^SWITCH(COUNTIF(C$4:C10,""Cursor_up""),0,0,1,1,2,2,3"&amp;")+SWITCH(COUNTIF(C$4:C10,""Cursor_up""),4,0.1,0)*(ROW(C10)-4-COUNTIF(C$4:C10,""Cursor"")-COUNTIF(C$4:C10,""*""&amp;""_up"")-2*COUNTIF(C$4:C10,""Sell_""&amp;""*"")+COUNTIF(C$4:C10,""Sell_Cursor"")-COUNTIF(C$4:C10,""""))+0.01*E10*COUNTIF(C$4:C10,""Plastic_up""))+E1"&amp;"0))"),61.6)</f>
        <v>61.6</v>
      </c>
      <c r="G10" s="14">
        <f>IFERROR(__xludf.DUMMYFUNCTION("IF(COUNTA(C10:C147)=0,"""",IF(REGEXMATCH(C10,""_up""),VLOOKUP(C10,Upgrades!$F$3:$J$8,1+COUNTIF(C$4:C10,C10),FALSE),IF(C10="""",0,IF(REGEXMATCH(C10,""^Sell_""),-ROUNDDOWN(ROUNDUP(INDEX(Upgrades!$C$3:$C$8,MATCH(SUBSTITUTE(C10,""Sell_"",""""),Upgrades!$B$3:$"&amp;"B$8,0))*1.15^(COUNTIF(C$4:C9,SUBSTITUTE(C10,""Sell_"",""""))-COUNTIF(C$4:C9,""Sell_""&amp;SUBSTITUTE(C10,""Sell_"",""""))))/4),ROUNDUP(INDEX(Upgrades!$C$3:$C$7,MATCH(C10,Upgrades!$B$3:$B$7,0))*1.15^(COUNTIF(C$4:C9,C10)-COUNTIF(C$4:C9,""Sell_""&amp;C10)))))))"),23.0)</f>
        <v>23</v>
      </c>
      <c r="H10" s="14">
        <f t="shared" si="3"/>
        <v>23</v>
      </c>
      <c r="I10" s="75">
        <f t="shared" si="4"/>
        <v>5322.552505</v>
      </c>
      <c r="J10" s="76">
        <f t="shared" si="5"/>
        <v>25.18158555</v>
      </c>
      <c r="K10" s="71" t="str">
        <f t="shared" si="6"/>
        <v>25s</v>
      </c>
      <c r="L10" s="77">
        <f t="shared" si="7"/>
        <v>676</v>
      </c>
      <c r="M10" s="51">
        <f t="shared" si="8"/>
        <v>0</v>
      </c>
      <c r="N10" s="52">
        <f>IFERROR(__xludf.DUMMYFUNCTION("IFS(AND(COUNTA(C10:C147)=0,COUNTA(P10:P147)=0),"""",OR(AND(L10&gt;=1000000,OR(Y10&gt;=1000000,COUNTA(P10:P147)=0)),AND(Y10&gt;=1000000,COUNTA(C10:C147)=0),AND(COUNTA(P10:P147)=0,O$3=TRUE)),
ROUNDDOWN((AB$1-AC$1)*MAX(INDEX(S$4:S147,MATCH(LARGE(FILTER(Y$4:Y147,Y$4:Y"&amp;"147&lt;1000000),1),Y$4:Y147)),INDEX(F$4:F147,MATCH(LARGE(FILTER(L$4:L147,L$4:L147&lt;1000000),1),L$4:L147)))),AND(L10&lt;1000000,COUNTA(C10:C147)&gt;0,O$3=FALSE),
ROUNDDOWN(INDEX(Y$4:Y147,MATCH(LARGE(FILTER(W$4:W147,W$4:W147&lt;=J10),1),W$4:W147))+(J10-LARGE(FILTER(W$4:"&amp;"W147,W$4:W147&lt;=J10),1))*INDEX(S$4:S147,MATCH(LARGE(FILTER(W$4:W147,W$4:W147&lt;=J10),1),W$4:W147))-L10),1,
ROUNDDOWN(Y10-INDEX(L$4:L147,MATCH(LARGE(FILTER(J$4:J147,J$4:J147&lt;=W10),1),J$4:J147))-(W10-LARGE(FILTER(J$4:J147,J$4:J147&lt;=W10),1))*INDEX(F$4:F147,MATC"&amp;"H(LARGE(FILTER(J$4:J147,J$4:J147&lt;=W10),1),J$4:J147))))"),0.0)</f>
        <v>0</v>
      </c>
      <c r="O10" s="65">
        <f t="shared" si="9"/>
        <v>4</v>
      </c>
      <c r="P10" s="66" t="s">
        <v>10</v>
      </c>
      <c r="Q10" s="14" t="b">
        <f>IFERROR(__xludf.DUMMYFUNCTION("IF(COUNTA(P10:P147)=0,"""",IFERROR(IF(ISBLANK(P10),FALSE,IF(ISBLANK(T10),1,IF(NOT(COUNTIF($AA$24:$AA$34,SUBSTITUTE(P10,""Sell_"",""""))),1,IF(P10=""Plastic_up"",IF(V10&lt;1000,1),IF(P10=""Super_Up"",IF(OR(COUNTIF(P$4:P10,""Grandma"")-COUNTIF(P$4:P10,""Sell_G"&amp;"randma"")&lt;1,COUNTIF(P$4:P10,VLOOKUP(P10,Upgrades!$F$8:$N$8,7+COUNTIF(P$4:P10,P10)))-COUNTIF(P$4:P10,""Sell_""&amp;VLOOKUP(P10,Upgrades!$F$8:$N$8,7+COUNTIF(P$4:P10,P10)))&lt;15),1),IF(REGEXMATCH(P10,""_up""),IF(COUNTIF(P$4:P10,SUBSTITUTE(P10,""_up"",""""))&lt;IFERRO"&amp;"R(VLOOKUP(P10,Upgrades!$L$3:$P$6,1+COUNTIF(P$4:P10,P10),0),999),1),IF(REGEXMATCH(P10,""Sell_""),IF(COUNTIF(P$4:P10,SUBSTITUTE(P10,""Sell_"",""""))-COUNTIF(P$4:P9,P10)&lt;1,1),FALSE)))))))))"),FALSE)</f>
        <v>0</v>
      </c>
      <c r="R10" s="71">
        <f>IFERROR(__xludf.DUMMYFUNCTION("IF(REGEXMATCH(P10,""^Sell_""),R9, IF(COUNTA(P10:P147)=0,"""",(COUNTIF(P$4:P10,""Cursor"")-COUNTIF(P$4:P10,""Sell_Cursor""))*(0.1*2^SWITCH(COUNTIF(P$4:P10,""Cursor_up""),0,0,1,1,2,2,3)+SWITCH(COUNTIF(P$4:P10,""Cursor_up""),4,0.1,0)*(ROW(P10)-4-COUNTIF(P$4:"&amp;"P10,""Cursor"")-COUNTIF(P$4:P10,""*""&amp;""_up"")-2*COUNTIF(P$4:P10,""Sell_""&amp;""*"")+COUNTIF(P$4:P10,""Sell_Cursor"")-COUNTIF(P$4:P10,"""")))+(COUNTIF(P$4:P10,""Grandma"")-COUNTIF(P$4:P10,""Sell_Grandma""))*(1*2^(COUNTIF(P$4:P10,""Grandma_up"")+COUNTIF(P$4:P"&amp;"10,""Super_up"")))+(COUNTIF(P$4:P10,""Farm"")-COUNTIF(P$4:P10,""Sell_Farm""))*(8*2^COUNTIF(P$4:P10,""Farm_up""))*IF(COUNTIF(P$4:P10,""Super_up"")&gt;0,1+0.01*(COUNTIF(P$4:P10,""Grandma"")-COUNTIF(P$4:P10,""Sell_Grandma"")),1)+(COUNTIF(P$4:P10,""Mine"")-COUNT"&amp;"IF(P$4:P10,""Sell_Mine""))*((47*2^COUNTIF(P$4:P10,""Mine_up""))*IF(COUNTIF(P$4:P10,""Super_up"")&gt;1,1+0.005*(COUNTIF(P$4:P10,""Grandma"")-COUNTIF(P$4:P10,""Sell_Grandma"")),1))+(COUNTIF(P$4:P10,""Factory"")-COUNTIF(P$4:P10,""Sell_Factory""))*(260*2^COUNTIF"&amp;"(P$4:P10,""Factory_up""))))"),1.6)</f>
        <v>1.6</v>
      </c>
      <c r="S10" s="73">
        <f>IFERROR(__xludf.DUMMYFUNCTION("IF(COUNTA(P10:P147)=0,"""",IF(REGEXMATCH(INDEX(FILTER(P$4:P10,P$4:P10&lt;&gt;""""),ROWS(FILTER(P$4:P10,P$4:P10&lt;&gt;""""))),""^Sell_""),INDEX(FILTER(S$4:S9,P$4:P9&lt;&gt;""""),ROWS(FILTER(P$4:P9,P$4:P9&lt;&gt;""""))),$AD$5*(2^SWITCH(COUNTIF(P$4:P10,""Cursor_up""),0,0,1,1,2,2,3"&amp;")+SWITCH(COUNTIF(P$4:P10,""Cursor_up""),4,0.1,0)*(ROW(P10)-4-COUNTIF(P$4:P10,""Cursor"")-COUNTIF(P$4:P10,""*""&amp;""_up"")-2*COUNTIF(P$4:P10,""Sell_""&amp;""*"")+COUNTIF(P$4:P10,""Sell_Cursor"")-COUNTIF(P$4:P10,""""))+0.01*R10*COUNTIF(P$4:P10,""Plastic_up""))+R1"&amp;"0))"),61.6)</f>
        <v>61.6</v>
      </c>
      <c r="T10" s="14">
        <f>IFERROR(__xludf.DUMMYFUNCTION("IF(COUNTA(P10:P147)=0,"""",IF(REGEXMATCH(P10,""_up""),VLOOKUP(P10,Upgrades!$F$3:$J$8,1+COUNTIF(P$4:P10,P10),FALSE),IF(P10="""",0,IF(REGEXMATCH(P10,""^Sell_""),-ROUNDDOWN(ROUNDUP(INDEX(Upgrades!$C$3:$C$8,MATCH(SUBSTITUTE(P10,""Sell_"",""""),Upgrades!$B$3:$"&amp;"B$8,0))*1.15^(COUNTIF(P$4:P9,SUBSTITUTE(P10,""Sell_"",""""))-COUNTIF(P$4:P9,""Sell_""&amp;SUBSTITUTE(P10,""Sell_"",""""))))/4),ROUNDUP(INDEX(Upgrades!$C$3:$C$7,MATCH(P10,Upgrades!$B$3:$B$7,0))*1.15^(COUNTIF(P$4:P9,P10)-COUNTIF(P$4:P9,""Sell_""&amp;P10)))))))"),23.0)</f>
        <v>23</v>
      </c>
      <c r="U10" s="14">
        <f t="shared" si="10"/>
        <v>23</v>
      </c>
      <c r="V10" s="75">
        <f t="shared" si="11"/>
        <v>5322.552505</v>
      </c>
      <c r="W10" s="76">
        <f t="shared" si="12"/>
        <v>25.18158555</v>
      </c>
      <c r="X10" s="71" t="str">
        <f t="shared" si="13"/>
        <v>25s</v>
      </c>
      <c r="Y10" s="77">
        <f t="shared" si="14"/>
        <v>676</v>
      </c>
      <c r="Z10" s="17"/>
      <c r="AA10" s="92" t="s">
        <v>65</v>
      </c>
      <c r="AB10" s="93"/>
      <c r="AC10" s="93"/>
      <c r="AD10" s="93"/>
      <c r="AE10" s="93"/>
      <c r="AF10" s="94"/>
      <c r="AG10" s="13"/>
    </row>
    <row r="11">
      <c r="A11" s="12"/>
      <c r="B11" s="65">
        <f t="shared" si="2"/>
        <v>5</v>
      </c>
      <c r="C11" s="66" t="s">
        <v>10</v>
      </c>
      <c r="D11" s="14" t="b">
        <f>IFERROR(__xludf.DUMMYFUNCTION("IF(COUNTA(C11:C147)=0,"""",IFERROR(IF(ISBLANK(C11),FALSE,IF(ISBLANK(G11),1,IF(NOT(COUNTIF($AA$24:$AA$34,SUBSTITUTE(C11,""Sell_"",""""))),1,IF(C11=""Plastic_up"",IF(I11&lt;1000,1),IF(C11=""Super_Up"",IF(OR(COUNTIF(C$4:C11,""Grandma"")-COUNTIF(C$4:C11,""Sell_G"&amp;"randma"")&lt;1,COUNTIF(C$4:C11,VLOOKUP(C11,Upgrades!$F$8:$N$8,7+COUNTIF(C$4:C11,C11)))-COUNTIF(C$4:C11,""Sell_""&amp;VLOOKUP(C11,Upgrades!$F$8:$N$8,7+COUNTIF(C$4:C11,C11)))&lt;15),1),IF(REGEXMATCH(C11,""_up""),IF(COUNTIF(C$4:C11,SUBSTITUTE(C11,""_up"",""""))&lt;IFERRO"&amp;"R(VLOOKUP(C11,Upgrades!$L$3:$P$6,1+COUNTIF(C$4:C11,C11),0),999),1),IF(REGEXMATCH(C11,""Sell_""),IF(COUNTIF(C$4:C11,SUBSTITUTE(C11,""Sell_"",""""))-COUNTIF(C$4:C10,C11)&lt;1,1),FALSE)))))))))"),FALSE)</f>
        <v>0</v>
      </c>
      <c r="E11" s="71">
        <f>IFERROR(__xludf.DUMMYFUNCTION("IF(REGEXMATCH(C11,""^Sell_""),E10, IF(COUNTA(C11:C147)=0,"""",(COUNTIF(C$4:C11,""Cursor"")-COUNTIF(C$4:C11,""Sell_Cursor""))*(0.1*2^SWITCH(COUNTIF(C$4:C11,""Cursor_up""),0,0,1,1,2,2,3)+SWITCH(COUNTIF(C$4:C11,""Cursor_up""),4,0.1,0)*(ROW(C11)-4-COUNTIF(C$4"&amp;":C11,""Cursor"")-COUNTIF(C$4:C11,""*""&amp;""_up"")-2*COUNTIF(C$4:C11,""Sell_""&amp;""*"")+COUNTIF(C$4:C11,""Sell_Cursor"")-COUNTIF(C$4:C11,"""")))+(COUNTIF(C$4:C11,""Grandma"")-COUNTIF(C$4:C11,""Sell_Grandma""))*(1*2^(COUNTIF(C$4:C11,""Grandma_up"")+COUNTIF(C$4:"&amp;"C11,""Super_up"")))+(COUNTIF(C$4:C11,""Farm"")-COUNTIF(C$4:C11,""Sell_Farm""))*(8*2^COUNTIF(C$4:C11,""Farm_up""))*IF(COUNTIF(C$4:C11,""Super_up"")&gt;0,1+0.01*(COUNTIF(C$4:C11,""Grandma"")-COUNTIF(C$4:C11,""Sell_Grandma"")),1)+(COUNTIF(C$4:C11,""Mine"")-COUN"&amp;"TIF(C$4:C11,""Sell_Mine""))*((47*2^COUNTIF(C$4:C11,""Mine_up""))*IF(COUNTIF(C$4:C11,""Super_up"")&gt;1,1+0.005*(COUNTIF(C$4:C11,""Grandma"")-COUNTIF(C$4:C11,""Sell_Grandma"")),1))+(COUNTIF(C$4:C11,""Factory"")-COUNTIF(C$4:C11,""Sell_Factory""))*(260*2^COUNTI"&amp;"F(C$4:C11,""Factory_up""))))"),2.0)</f>
        <v>2</v>
      </c>
      <c r="F11" s="73">
        <f>IFERROR(__xludf.DUMMYFUNCTION("IF(COUNTA(C11:C147)=0,"""",IF(REGEXMATCH(INDEX(FILTER(C$4:C11,C$4:C11&lt;&gt;""""),ROWS(FILTER(C$4:C11,C$4:C11&lt;&gt;""""))),""^Sell_""),INDEX(FILTER(F$4:F10,C$4:C10&lt;&gt;""""),ROWS(FILTER(C$4:C10,C$4:C10&lt;&gt;""""))),$AC$5*(2^SWITCH(COUNTIF(C$4:C11,""Cursor_up""),0,0,1,1,2"&amp;",2,3)+SWITCH(COUNTIF(C$4:C11,""Cursor_up""),4,0.1,0)*(ROW(C11)-4-COUNTIF(C$4:C11,""Cursor"")-COUNTIF(C$4:C11,""*""&amp;""_up"")-2*COUNTIF(C$4:C11,""Sell_""&amp;""*"")+COUNTIF(C$4:C11,""Sell_Cursor"")-COUNTIF(C$4:C11,""""))+0.01*E11*COUNTIF(C$4:C11,""Plastic_up"")"&amp;")+E11))"),62.0)</f>
        <v>62</v>
      </c>
      <c r="G11" s="14">
        <f>IFERROR(__xludf.DUMMYFUNCTION("IF(COUNTA(C11:C147)=0,"""",IF(REGEXMATCH(C11,""_up""),VLOOKUP(C11,Upgrades!$F$3:$J$8,1+COUNTIF(C$4:C11,C11),FALSE),IF(C11="""",0,IF(REGEXMATCH(C11,""^Sell_""),-ROUNDDOWN(ROUNDUP(INDEX(Upgrades!$C$3:$C$8,MATCH(SUBSTITUTE(C11,""Sell_"",""""),Upgrades!$B$3:$"&amp;"B$8,0))*1.15^(COUNTIF(C$4:C10,SUBSTITUTE(C11,""Sell_"",""""))-COUNTIF(C$4:C10,""Sell_""&amp;SUBSTITUTE(C11,""Sell_"",""""))))/4),ROUNDUP(INDEX(Upgrades!$C$3:$C$7,MATCH(C11,Upgrades!$B$3:$B$7,0))*1.15^(COUNTIF(C$4:C10,C11)-COUNTIF(C$4:C10,""Sell_""&amp;C11)))))))"),27.0)</f>
        <v>27</v>
      </c>
      <c r="H11" s="14">
        <f t="shared" si="3"/>
        <v>27</v>
      </c>
      <c r="I11" s="75">
        <f t="shared" si="4"/>
        <v>6859.74634</v>
      </c>
      <c r="J11" s="76">
        <f t="shared" si="5"/>
        <v>25.61989724</v>
      </c>
      <c r="K11" s="71" t="str">
        <f t="shared" si="6"/>
        <v>25s</v>
      </c>
      <c r="L11" s="77">
        <f t="shared" si="7"/>
        <v>703</v>
      </c>
      <c r="M11" s="51">
        <f t="shared" si="8"/>
        <v>0</v>
      </c>
      <c r="N11" s="52">
        <f>IFERROR(__xludf.DUMMYFUNCTION("IFS(AND(COUNTA(C11:C147)=0,COUNTA(P11:P147)=0),"""",OR(AND(L11&gt;=1000000,OR(Y11&gt;=1000000,COUNTA(P11:P147)=0)),AND(Y11&gt;=1000000,COUNTA(C11:C147)=0),AND(COUNTA(P11:P147)=0,O$3=TRUE)),
ROUNDDOWN((AB$1-AC$1)*MAX(INDEX(S$4:S147,MATCH(LARGE(FILTER(Y$4:Y147,Y$4:Y"&amp;"147&lt;1000000),1),Y$4:Y147)),INDEX(F$4:F147,MATCH(LARGE(FILTER(L$4:L147,L$4:L147&lt;1000000),1),L$4:L147)))),AND(L11&lt;1000000,COUNTA(C11:C147)&gt;0,O$3=FALSE),
ROUNDDOWN(INDEX(Y$4:Y147,MATCH(LARGE(FILTER(W$4:W147,W$4:W147&lt;=J11),1),W$4:W147))+(J11-LARGE(FILTER(W$4:"&amp;"W147,W$4:W147&lt;=J11),1))*INDEX(S$4:S147,MATCH(LARGE(FILTER(W$4:W147,W$4:W147&lt;=J11),1),W$4:W147))-L11),1,
ROUNDDOWN(Y11-INDEX(L$4:L147,MATCH(LARGE(FILTER(J$4:J147,J$4:J147&lt;=W11),1),J$4:J147))-(W11-LARGE(FILTER(J$4:J147,J$4:J147&lt;=W11),1))*INDEX(F$4:F147,MATC"&amp;"H(LARGE(FILTER(J$4:J147,J$4:J147&lt;=W11),1),J$4:J147))))"),0.0)</f>
        <v>0</v>
      </c>
      <c r="O11" s="65">
        <f t="shared" si="9"/>
        <v>5</v>
      </c>
      <c r="P11" s="66" t="s">
        <v>10</v>
      </c>
      <c r="Q11" s="14" t="b">
        <f>IFERROR(__xludf.DUMMYFUNCTION("IF(COUNTA(P11:P147)=0,"""",IFERROR(IF(ISBLANK(P11),FALSE,IF(ISBLANK(T11),1,IF(NOT(COUNTIF($AA$24:$AA$34,SUBSTITUTE(P11,""Sell_"",""""))),1,IF(P11=""Plastic_up"",IF(V11&lt;1000,1),IF(P11=""Super_Up"",IF(OR(COUNTIF(P$4:P11,""Grandma"")-COUNTIF(P$4:P11,""Sell_G"&amp;"randma"")&lt;1,COUNTIF(P$4:P11,VLOOKUP(P11,Upgrades!$F$8:$N$8,7+COUNTIF(P$4:P11,P11)))-COUNTIF(P$4:P11,""Sell_""&amp;VLOOKUP(P11,Upgrades!$F$8:$N$8,7+COUNTIF(P$4:P11,P11)))&lt;15),1),IF(REGEXMATCH(P11,""_up""),IF(COUNTIF(P$4:P11,SUBSTITUTE(P11,""_up"",""""))&lt;IFERRO"&amp;"R(VLOOKUP(P11,Upgrades!$L$3:$P$6,1+COUNTIF(P$4:P11,P11),0),999),1),IF(REGEXMATCH(P11,""Sell_""),IF(COUNTIF(P$4:P11,SUBSTITUTE(P11,""Sell_"",""""))-COUNTIF(P$4:P10,P11)&lt;1,1),FALSE)))))))))"),FALSE)</f>
        <v>0</v>
      </c>
      <c r="R11" s="71">
        <f>IFERROR(__xludf.DUMMYFUNCTION("IF(REGEXMATCH(P11,""^Sell_""),R10, IF(COUNTA(P11:P147)=0,"""",(COUNTIF(P$4:P11,""Cursor"")-COUNTIF(P$4:P11,""Sell_Cursor""))*(0.1*2^SWITCH(COUNTIF(P$4:P11,""Cursor_up""),0,0,1,1,2,2,3)+SWITCH(COUNTIF(P$4:P11,""Cursor_up""),4,0.1,0)*(ROW(P11)-4-COUNTIF(P$4"&amp;":P11,""Cursor"")-COUNTIF(P$4:P11,""*""&amp;""_up"")-2*COUNTIF(P$4:P11,""Sell_""&amp;""*"")+COUNTIF(P$4:P11,""Sell_Cursor"")-COUNTIF(P$4:P11,"""")))+(COUNTIF(P$4:P11,""Grandma"")-COUNTIF(P$4:P11,""Sell_Grandma""))*(1*2^(COUNTIF(P$4:P11,""Grandma_up"")+COUNTIF(P$4:"&amp;"P11,""Super_up"")))+(COUNTIF(P$4:P11,""Farm"")-COUNTIF(P$4:P11,""Sell_Farm""))*(8*2^COUNTIF(P$4:P11,""Farm_up""))*IF(COUNTIF(P$4:P11,""Super_up"")&gt;0,1+0.01*(COUNTIF(P$4:P11,""Grandma"")-COUNTIF(P$4:P11,""Sell_Grandma"")),1)+(COUNTIF(P$4:P11,""Mine"")-COUN"&amp;"TIF(P$4:P11,""Sell_Mine""))*((47*2^COUNTIF(P$4:P11,""Mine_up""))*IF(COUNTIF(P$4:P11,""Super_up"")&gt;1,1+0.005*(COUNTIF(P$4:P11,""Grandma"")-COUNTIF(P$4:P11,""Sell_Grandma"")),1))+(COUNTIF(P$4:P11,""Factory"")-COUNTIF(P$4:P11,""Sell_Factory""))*(260*2^COUNTI"&amp;"F(P$4:P11,""Factory_up""))))"),2.0)</f>
        <v>2</v>
      </c>
      <c r="S11" s="73">
        <f>IFERROR(__xludf.DUMMYFUNCTION("IF(COUNTA(P11:P147)=0,"""",IF(REGEXMATCH(INDEX(FILTER(P$4:P11,P$4:P11&lt;&gt;""""),ROWS(FILTER(P$4:P11,P$4:P11&lt;&gt;""""))),""^Sell_""),INDEX(FILTER(S$4:S10,P$4:P10&lt;&gt;""""),ROWS(FILTER(P$4:P10,P$4:P10&lt;&gt;""""))),$AD$5*(2^SWITCH(COUNTIF(P$4:P11,""Cursor_up""),0,0,1,1,2"&amp;",2,3)+SWITCH(COUNTIF(P$4:P11,""Cursor_up""),4,0.1,0)*(ROW(P11)-4-COUNTIF(P$4:P11,""Cursor"")-COUNTIF(P$4:P11,""*""&amp;""_up"")-2*COUNTIF(P$4:P11,""Sell_""&amp;""*"")+COUNTIF(P$4:P11,""Sell_Cursor"")-COUNTIF(P$4:P11,""""))+0.01*R11*COUNTIF(P$4:P11,""Plastic_up"")"&amp;")+R11))"),62.0)</f>
        <v>62</v>
      </c>
      <c r="T11" s="14">
        <f>IFERROR(__xludf.DUMMYFUNCTION("IF(COUNTA(P11:P147)=0,"""",IF(REGEXMATCH(P11,""_up""),VLOOKUP(P11,Upgrades!$F$3:$J$8,1+COUNTIF(P$4:P11,P11),FALSE),IF(P11="""",0,IF(REGEXMATCH(P11,""^Sell_""),-ROUNDDOWN(ROUNDUP(INDEX(Upgrades!$C$3:$C$8,MATCH(SUBSTITUTE(P11,""Sell_"",""""),Upgrades!$B$3:$"&amp;"B$8,0))*1.15^(COUNTIF(P$4:P10,SUBSTITUTE(P11,""Sell_"",""""))-COUNTIF(P$4:P10,""Sell_""&amp;SUBSTITUTE(P11,""Sell_"",""""))))/4),ROUNDUP(INDEX(Upgrades!$C$3:$C$7,MATCH(P11,Upgrades!$B$3:$B$7,0))*1.15^(COUNTIF(P$4:P10,P11)-COUNTIF(P$4:P10,""Sell_""&amp;P11)))))))"),27.0)</f>
        <v>27</v>
      </c>
      <c r="U11" s="14">
        <f t="shared" si="10"/>
        <v>27</v>
      </c>
      <c r="V11" s="75">
        <f t="shared" si="11"/>
        <v>6859.74634</v>
      </c>
      <c r="W11" s="76">
        <f t="shared" si="12"/>
        <v>25.61989724</v>
      </c>
      <c r="X11" s="71" t="str">
        <f t="shared" si="13"/>
        <v>25s</v>
      </c>
      <c r="Y11" s="77">
        <f t="shared" si="14"/>
        <v>703</v>
      </c>
      <c r="Z11" s="17"/>
      <c r="AA11" s="92" t="s">
        <v>66</v>
      </c>
      <c r="AB11" s="93"/>
      <c r="AC11" s="93"/>
      <c r="AD11" s="93"/>
      <c r="AE11" s="93"/>
      <c r="AF11" s="94"/>
      <c r="AG11" s="13"/>
    </row>
    <row r="12">
      <c r="A12" s="12"/>
      <c r="B12" s="65">
        <f t="shared" si="2"/>
        <v>6</v>
      </c>
      <c r="C12" s="66" t="s">
        <v>10</v>
      </c>
      <c r="D12" s="14" t="b">
        <f>IFERROR(__xludf.DUMMYFUNCTION("IF(COUNTA(C12:C147)=0,"""",IFERROR(IF(ISBLANK(C12),FALSE,IF(ISBLANK(G12),1,IF(NOT(COUNTIF($AA$24:$AA$34,SUBSTITUTE(C12,""Sell_"",""""))),1,IF(C12=""Plastic_up"",IF(I12&lt;1000,1),IF(C12=""Super_Up"",IF(OR(COUNTIF(C$4:C12,""Grandma"")-COUNTIF(C$4:C12,""Sell_G"&amp;"randma"")&lt;1,COUNTIF(C$4:C12,VLOOKUP(C12,Upgrades!$F$8:$N$8,7+COUNTIF(C$4:C12,C12)))-COUNTIF(C$4:C12,""Sell_""&amp;VLOOKUP(C12,Upgrades!$F$8:$N$8,7+COUNTIF(C$4:C12,C12)))&lt;15),1),IF(REGEXMATCH(C12,""_up""),IF(COUNTIF(C$4:C12,SUBSTITUTE(C12,""_up"",""""))&lt;IFERRO"&amp;"R(VLOOKUP(C12,Upgrades!$L$3:$P$6,1+COUNTIF(C$4:C12,C12),0),999),1),IF(REGEXMATCH(C12,""Sell_""),IF(COUNTIF(C$4:C12,SUBSTITUTE(C12,""Sell_"",""""))-COUNTIF(C$4:C11,C12)&lt;1,1),FALSE)))))))))"),FALSE)</f>
        <v>0</v>
      </c>
      <c r="E12" s="71">
        <f>IFERROR(__xludf.DUMMYFUNCTION("IF(REGEXMATCH(C12,""^Sell_""),E11, IF(COUNTA(C12:C147)=0,"""",(COUNTIF(C$4:C12,""Cursor"")-COUNTIF(C$4:C12,""Sell_Cursor""))*(0.1*2^SWITCH(COUNTIF(C$4:C12,""Cursor_up""),0,0,1,1,2,2,3)+SWITCH(COUNTIF(C$4:C12,""Cursor_up""),4,0.1,0)*(ROW(C12)-4-COUNTIF(C$4"&amp;":C12,""Cursor"")-COUNTIF(C$4:C12,""*""&amp;""_up"")-2*COUNTIF(C$4:C12,""Sell_""&amp;""*"")+COUNTIF(C$4:C12,""Sell_Cursor"")-COUNTIF(C$4:C12,"""")))+(COUNTIF(C$4:C12,""Grandma"")-COUNTIF(C$4:C12,""Sell_Grandma""))*(1*2^(COUNTIF(C$4:C12,""Grandma_up"")+COUNTIF(C$4:"&amp;"C12,""Super_up"")))+(COUNTIF(C$4:C12,""Farm"")-COUNTIF(C$4:C12,""Sell_Farm""))*(8*2^COUNTIF(C$4:C12,""Farm_up""))*IF(COUNTIF(C$4:C12,""Super_up"")&gt;0,1+0.01*(COUNTIF(C$4:C12,""Grandma"")-COUNTIF(C$4:C12,""Sell_Grandma"")),1)+(COUNTIF(C$4:C12,""Mine"")-COUN"&amp;"TIF(C$4:C12,""Sell_Mine""))*((47*2^COUNTIF(C$4:C12,""Mine_up""))*IF(COUNTIF(C$4:C12,""Super_up"")&gt;1,1+0.005*(COUNTIF(C$4:C12,""Grandma"")-COUNTIF(C$4:C12,""Sell_Grandma"")),1))+(COUNTIF(C$4:C12,""Factory"")-COUNTIF(C$4:C12,""Sell_Factory""))*(260*2^COUNTI"&amp;"F(C$4:C12,""Factory_up""))))"),2.4000000000000004)</f>
        <v>2.4</v>
      </c>
      <c r="F12" s="73">
        <f>IFERROR(__xludf.DUMMYFUNCTION("IF(COUNTA(C12:C147)=0,"""",IF(REGEXMATCH(INDEX(FILTER(C$4:C12,C$4:C12&lt;&gt;""""),ROWS(FILTER(C$4:C12,C$4:C12&lt;&gt;""""))),""^Sell_""),INDEX(FILTER(F$4:F11,C$4:C11&lt;&gt;""""),ROWS(FILTER(C$4:C11,C$4:C11&lt;&gt;""""))),$AC$5*(2^SWITCH(COUNTIF(C$4:C12,""Cursor_up""),0,0,1,1,2"&amp;",2,3)+SWITCH(COUNTIF(C$4:C12,""Cursor_up""),4,0.1,0)*(ROW(C12)-4-COUNTIF(C$4:C12,""Cursor"")-COUNTIF(C$4:C12,""*""&amp;""_up"")-2*COUNTIF(C$4:C12,""Sell_""&amp;""*"")+COUNTIF(C$4:C12,""Sell_Cursor"")-COUNTIF(C$4:C12,""""))+0.01*E12*COUNTIF(C$4:C12,""Plastic_up"")"&amp;")+E12))"),62.4)</f>
        <v>62.4</v>
      </c>
      <c r="G12" s="14">
        <f>IFERROR(__xludf.DUMMYFUNCTION("IF(COUNTA(C12:C147)=0,"""",IF(REGEXMATCH(C12,""_up""),VLOOKUP(C12,Upgrades!$F$3:$J$8,1+COUNTIF(C$4:C12,C12),FALSE),IF(C12="""",0,IF(REGEXMATCH(C12,""^Sell_""),-ROUNDDOWN(ROUNDUP(INDEX(Upgrades!$C$3:$C$8,MATCH(SUBSTITUTE(C12,""Sell_"",""""),Upgrades!$B$3:$"&amp;"B$8,0))*1.15^(COUNTIF(C$4:C11,SUBSTITUTE(C12,""Sell_"",""""))-COUNTIF(C$4:C11,""Sell_""&amp;SUBSTITUTE(C12,""Sell_"",""""))))/4),ROUNDUP(INDEX(Upgrades!$C$3:$C$7,MATCH(C12,Upgrades!$B$3:$B$7,0))*1.15^(COUNTIF(C$4:C11,C12)-COUNTIF(C$4:C11,""Sell_""&amp;C12)))))))"),31.0)</f>
        <v>31</v>
      </c>
      <c r="H12" s="14">
        <f t="shared" si="3"/>
        <v>31</v>
      </c>
      <c r="I12" s="75">
        <f t="shared" si="4"/>
        <v>8426.940174</v>
      </c>
      <c r="J12" s="76">
        <f t="shared" si="5"/>
        <v>26.11989724</v>
      </c>
      <c r="K12" s="71" t="str">
        <f t="shared" si="6"/>
        <v>26s</v>
      </c>
      <c r="L12" s="77">
        <f t="shared" si="7"/>
        <v>734</v>
      </c>
      <c r="M12" s="51">
        <f t="shared" si="8"/>
        <v>0</v>
      </c>
      <c r="N12" s="52">
        <f>IFERROR(__xludf.DUMMYFUNCTION("IFS(AND(COUNTA(C12:C147)=0,COUNTA(P12:P147)=0),"""",OR(AND(L12&gt;=1000000,OR(Y12&gt;=1000000,COUNTA(P12:P147)=0)),AND(Y12&gt;=1000000,COUNTA(C12:C147)=0),AND(COUNTA(P12:P147)=0,O$3=TRUE)),
ROUNDDOWN((AB$1-AC$1)*MAX(INDEX(S$4:S147,MATCH(LARGE(FILTER(Y$4:Y147,Y$4:Y"&amp;"147&lt;1000000),1),Y$4:Y147)),INDEX(F$4:F147,MATCH(LARGE(FILTER(L$4:L147,L$4:L147&lt;1000000),1),L$4:L147)))),AND(L12&lt;1000000,COUNTA(C12:C147)&gt;0,O$3=FALSE),
ROUNDDOWN(INDEX(Y$4:Y147,MATCH(LARGE(FILTER(W$4:W147,W$4:W147&lt;=J12),1),W$4:W147))+(J12-LARGE(FILTER(W$4:"&amp;"W147,W$4:W147&lt;=J12),1))*INDEX(S$4:S147,MATCH(LARGE(FILTER(W$4:W147,W$4:W147&lt;=J12),1),W$4:W147))-L12),1,
ROUNDDOWN(Y12-INDEX(L$4:L147,MATCH(LARGE(FILTER(J$4:J147,J$4:J147&lt;=W12),1),J$4:J147))-(W12-LARGE(FILTER(J$4:J147,J$4:J147&lt;=W12),1))*INDEX(F$4:F147,MATC"&amp;"H(LARGE(FILTER(J$4:J147,J$4:J147&lt;=W12),1),J$4:J147))))"),0.0)</f>
        <v>0</v>
      </c>
      <c r="O12" s="65">
        <f t="shared" si="9"/>
        <v>6</v>
      </c>
      <c r="P12" s="66" t="s">
        <v>10</v>
      </c>
      <c r="Q12" s="14" t="b">
        <f>IFERROR(__xludf.DUMMYFUNCTION("IF(COUNTA(P12:P147)=0,"""",IFERROR(IF(ISBLANK(P12),FALSE,IF(ISBLANK(T12),1,IF(NOT(COUNTIF($AA$24:$AA$34,SUBSTITUTE(P12,""Sell_"",""""))),1,IF(P12=""Plastic_up"",IF(V12&lt;1000,1),IF(P12=""Super_Up"",IF(OR(COUNTIF(P$4:P12,""Grandma"")-COUNTIF(P$4:P12,""Sell_G"&amp;"randma"")&lt;1,COUNTIF(P$4:P12,VLOOKUP(P12,Upgrades!$F$8:$N$8,7+COUNTIF(P$4:P12,P12)))-COUNTIF(P$4:P12,""Sell_""&amp;VLOOKUP(P12,Upgrades!$F$8:$N$8,7+COUNTIF(P$4:P12,P12)))&lt;15),1),IF(REGEXMATCH(P12,""_up""),IF(COUNTIF(P$4:P12,SUBSTITUTE(P12,""_up"",""""))&lt;IFERRO"&amp;"R(VLOOKUP(P12,Upgrades!$L$3:$P$6,1+COUNTIF(P$4:P12,P12),0),999),1),IF(REGEXMATCH(P12,""Sell_""),IF(COUNTIF(P$4:P12,SUBSTITUTE(P12,""Sell_"",""""))-COUNTIF(P$4:P11,P12)&lt;1,1),FALSE)))))))))"),FALSE)</f>
        <v>0</v>
      </c>
      <c r="R12" s="71">
        <f>IFERROR(__xludf.DUMMYFUNCTION("IF(REGEXMATCH(P12,""^Sell_""),R11, IF(COUNTA(P12:P147)=0,"""",(COUNTIF(P$4:P12,""Cursor"")-COUNTIF(P$4:P12,""Sell_Cursor""))*(0.1*2^SWITCH(COUNTIF(P$4:P12,""Cursor_up""),0,0,1,1,2,2,3)+SWITCH(COUNTIF(P$4:P12,""Cursor_up""),4,0.1,0)*(ROW(P12)-4-COUNTIF(P$4"&amp;":P12,""Cursor"")-COUNTIF(P$4:P12,""*""&amp;""_up"")-2*COUNTIF(P$4:P12,""Sell_""&amp;""*"")+COUNTIF(P$4:P12,""Sell_Cursor"")-COUNTIF(P$4:P12,"""")))+(COUNTIF(P$4:P12,""Grandma"")-COUNTIF(P$4:P12,""Sell_Grandma""))*(1*2^(COUNTIF(P$4:P12,""Grandma_up"")+COUNTIF(P$4:"&amp;"P12,""Super_up"")))+(COUNTIF(P$4:P12,""Farm"")-COUNTIF(P$4:P12,""Sell_Farm""))*(8*2^COUNTIF(P$4:P12,""Farm_up""))*IF(COUNTIF(P$4:P12,""Super_up"")&gt;0,1+0.01*(COUNTIF(P$4:P12,""Grandma"")-COUNTIF(P$4:P12,""Sell_Grandma"")),1)+(COUNTIF(P$4:P12,""Mine"")-COUN"&amp;"TIF(P$4:P12,""Sell_Mine""))*((47*2^COUNTIF(P$4:P12,""Mine_up""))*IF(COUNTIF(P$4:P12,""Super_up"")&gt;1,1+0.005*(COUNTIF(P$4:P12,""Grandma"")-COUNTIF(P$4:P12,""Sell_Grandma"")),1))+(COUNTIF(P$4:P12,""Factory"")-COUNTIF(P$4:P12,""Sell_Factory""))*(260*2^COUNTI"&amp;"F(P$4:P12,""Factory_up""))))"),2.4000000000000004)</f>
        <v>2.4</v>
      </c>
      <c r="S12" s="73">
        <f>IFERROR(__xludf.DUMMYFUNCTION("IF(COUNTA(P12:P147)=0,"""",IF(REGEXMATCH(INDEX(FILTER(P$4:P12,P$4:P12&lt;&gt;""""),ROWS(FILTER(P$4:P12,P$4:P12&lt;&gt;""""))),""^Sell_""),INDEX(FILTER(S$4:S11,P$4:P11&lt;&gt;""""),ROWS(FILTER(P$4:P11,P$4:P11&lt;&gt;""""))),$AD$5*(2^SWITCH(COUNTIF(P$4:P12,""Cursor_up""),0,0,1,1,2"&amp;",2,3)+SWITCH(COUNTIF(P$4:P12,""Cursor_up""),4,0.1,0)*(ROW(P12)-4-COUNTIF(P$4:P12,""Cursor"")-COUNTIF(P$4:P12,""*""&amp;""_up"")-2*COUNTIF(P$4:P12,""Sell_""&amp;""*"")+COUNTIF(P$4:P12,""Sell_Cursor"")-COUNTIF(P$4:P12,""""))+0.01*R12*COUNTIF(P$4:P12,""Plastic_up"")"&amp;")+R12))"),62.4)</f>
        <v>62.4</v>
      </c>
      <c r="T12" s="14">
        <f>IFERROR(__xludf.DUMMYFUNCTION("IF(COUNTA(P12:P147)=0,"""",IF(REGEXMATCH(P12,""_up""),VLOOKUP(P12,Upgrades!$F$3:$J$8,1+COUNTIF(P$4:P12,P12),FALSE),IF(P12="""",0,IF(REGEXMATCH(P12,""^Sell_""),-ROUNDDOWN(ROUNDUP(INDEX(Upgrades!$C$3:$C$8,MATCH(SUBSTITUTE(P12,""Sell_"",""""),Upgrades!$B$3:$"&amp;"B$8,0))*1.15^(COUNTIF(P$4:P11,SUBSTITUTE(P12,""Sell_"",""""))-COUNTIF(P$4:P11,""Sell_""&amp;SUBSTITUTE(P12,""Sell_"",""""))))/4),ROUNDUP(INDEX(Upgrades!$C$3:$C$7,MATCH(P12,Upgrades!$B$3:$B$7,0))*1.15^(COUNTIF(P$4:P11,P12)-COUNTIF(P$4:P11,""Sell_""&amp;P12)))))))"),31.0)</f>
        <v>31</v>
      </c>
      <c r="U12" s="14">
        <f t="shared" si="10"/>
        <v>31</v>
      </c>
      <c r="V12" s="75">
        <f t="shared" si="11"/>
        <v>8426.940174</v>
      </c>
      <c r="W12" s="76">
        <f t="shared" si="12"/>
        <v>26.11989724</v>
      </c>
      <c r="X12" s="71" t="str">
        <f t="shared" si="13"/>
        <v>26s</v>
      </c>
      <c r="Y12" s="77">
        <f t="shared" si="14"/>
        <v>734</v>
      </c>
      <c r="Z12" s="17"/>
      <c r="AA12" s="95" t="s">
        <v>67</v>
      </c>
      <c r="AB12" s="96"/>
      <c r="AC12" s="96"/>
      <c r="AD12" s="96"/>
      <c r="AE12" s="96"/>
      <c r="AF12" s="97"/>
      <c r="AG12" s="13"/>
    </row>
    <row r="13">
      <c r="A13" s="12"/>
      <c r="B13" s="65">
        <f t="shared" si="2"/>
        <v>7</v>
      </c>
      <c r="C13" s="66" t="s">
        <v>10</v>
      </c>
      <c r="D13" s="14" t="b">
        <f>IFERROR(__xludf.DUMMYFUNCTION("IF(COUNTA(C13:C147)=0,"""",IFERROR(IF(ISBLANK(C13),FALSE,IF(ISBLANK(G13),1,IF(NOT(COUNTIF($AA$24:$AA$34,SUBSTITUTE(C13,""Sell_"",""""))),1,IF(C13=""Plastic_up"",IF(I13&lt;1000,1),IF(C13=""Super_Up"",IF(OR(COUNTIF(C$4:C13,""Grandma"")-COUNTIF(C$4:C13,""Sell_G"&amp;"randma"")&lt;1,COUNTIF(C$4:C13,VLOOKUP(C13,Upgrades!$F$8:$N$8,7+COUNTIF(C$4:C13,C13)))-COUNTIF(C$4:C13,""Sell_""&amp;VLOOKUP(C13,Upgrades!$F$8:$N$8,7+COUNTIF(C$4:C13,C13)))&lt;15),1),IF(REGEXMATCH(C13,""_up""),IF(COUNTIF(C$4:C13,SUBSTITUTE(C13,""_up"",""""))&lt;IFERRO"&amp;"R(VLOOKUP(C13,Upgrades!$L$3:$P$6,1+COUNTIF(C$4:C13,C13),0),999),1),IF(REGEXMATCH(C13,""Sell_""),IF(COUNTIF(C$4:C13,SUBSTITUTE(C13,""Sell_"",""""))-COUNTIF(C$4:C12,C13)&lt;1,1),FALSE)))))))))"),FALSE)</f>
        <v>0</v>
      </c>
      <c r="E13" s="71">
        <f>IFERROR(__xludf.DUMMYFUNCTION("IF(REGEXMATCH(C13,""^Sell_""),E12, IF(COUNTA(C13:C147)=0,"""",(COUNTIF(C$4:C13,""Cursor"")-COUNTIF(C$4:C13,""Sell_Cursor""))*(0.1*2^SWITCH(COUNTIF(C$4:C13,""Cursor_up""),0,0,1,1,2,2,3)+SWITCH(COUNTIF(C$4:C13,""Cursor_up""),4,0.1,0)*(ROW(C13)-4-COUNTIF(C$4"&amp;":C13,""Cursor"")-COUNTIF(C$4:C13,""*""&amp;""_up"")-2*COUNTIF(C$4:C13,""Sell_""&amp;""*"")+COUNTIF(C$4:C13,""Sell_Cursor"")-COUNTIF(C$4:C13,"""")))+(COUNTIF(C$4:C13,""Grandma"")-COUNTIF(C$4:C13,""Sell_Grandma""))*(1*2^(COUNTIF(C$4:C13,""Grandma_up"")+COUNTIF(C$4:"&amp;"C13,""Super_up"")))+(COUNTIF(C$4:C13,""Farm"")-COUNTIF(C$4:C13,""Sell_Farm""))*(8*2^COUNTIF(C$4:C13,""Farm_up""))*IF(COUNTIF(C$4:C13,""Super_up"")&gt;0,1+0.01*(COUNTIF(C$4:C13,""Grandma"")-COUNTIF(C$4:C13,""Sell_Grandma"")),1)+(COUNTIF(C$4:C13,""Mine"")-COUN"&amp;"TIF(C$4:C13,""Sell_Mine""))*((47*2^COUNTIF(C$4:C13,""Mine_up""))*IF(COUNTIF(C$4:C13,""Super_up"")&gt;1,1+0.005*(COUNTIF(C$4:C13,""Grandma"")-COUNTIF(C$4:C13,""Sell_Grandma"")),1))+(COUNTIF(C$4:C13,""Factory"")-COUNTIF(C$4:C13,""Sell_Factory""))*(260*2^COUNTI"&amp;"F(C$4:C13,""Factory_up""))))"),2.8000000000000003)</f>
        <v>2.8</v>
      </c>
      <c r="F13" s="73">
        <f>IFERROR(__xludf.DUMMYFUNCTION("IF(COUNTA(C13:C147)=0,"""",IF(REGEXMATCH(INDEX(FILTER(C$4:C13,C$4:C13&lt;&gt;""""),ROWS(FILTER(C$4:C13,C$4:C13&lt;&gt;""""))),""^Sell_""),INDEX(FILTER(F$4:F12,C$4:C12&lt;&gt;""""),ROWS(FILTER(C$4:C12,C$4:C12&lt;&gt;""""))),$AC$5*(2^SWITCH(COUNTIF(C$4:C13,""Cursor_up""),0,0,1,1,2"&amp;",2,3)+SWITCH(COUNTIF(C$4:C13,""Cursor_up""),4,0.1,0)*(ROW(C13)-4-COUNTIF(C$4:C13,""Cursor"")-COUNTIF(C$4:C13,""*""&amp;""_up"")-2*COUNTIF(C$4:C13,""Sell_""&amp;""*"")+COUNTIF(C$4:C13,""Sell_Cursor"")-COUNTIF(C$4:C13,""""))+0.01*E13*COUNTIF(C$4:C13,""Plastic_up"")"&amp;")+E13))"),62.8)</f>
        <v>62.8</v>
      </c>
      <c r="G13" s="14">
        <f>IFERROR(__xludf.DUMMYFUNCTION("IF(COUNTA(C13:C147)=0,"""",IF(REGEXMATCH(C13,""_up""),VLOOKUP(C13,Upgrades!$F$3:$J$8,1+COUNTIF(C$4:C13,C13),FALSE),IF(C13="""",0,IF(REGEXMATCH(C13,""^Sell_""),-ROUNDDOWN(ROUNDUP(INDEX(Upgrades!$C$3:$C$8,MATCH(SUBSTITUTE(C13,""Sell_"",""""),Upgrades!$B$3:$"&amp;"B$8,0))*1.15^(COUNTIF(C$4:C12,SUBSTITUTE(C13,""Sell_"",""""))-COUNTIF(C$4:C12,""Sell_""&amp;SUBSTITUTE(C13,""Sell_"",""""))))/4),ROUNDUP(INDEX(Upgrades!$C$3:$C$7,MATCH(C13,Upgrades!$B$3:$B$7,0))*1.15^(COUNTIF(C$4:C12,C13)-COUNTIF(C$4:C12,""Sell_""&amp;C13)))))))"),35.0)</f>
        <v>35</v>
      </c>
      <c r="H13" s="14">
        <f t="shared" si="3"/>
        <v>35</v>
      </c>
      <c r="I13" s="75">
        <f t="shared" si="4"/>
        <v>10027.78785</v>
      </c>
      <c r="J13" s="76">
        <f t="shared" si="5"/>
        <v>26.68079468</v>
      </c>
      <c r="K13" s="71" t="str">
        <f t="shared" si="6"/>
        <v>26s</v>
      </c>
      <c r="L13" s="77">
        <f t="shared" si="7"/>
        <v>769</v>
      </c>
      <c r="M13" s="51">
        <f t="shared" si="8"/>
        <v>0</v>
      </c>
      <c r="N13" s="52">
        <f>IFERROR(__xludf.DUMMYFUNCTION("IFS(AND(COUNTA(C13:C147)=0,COUNTA(P13:P147)=0),"""",OR(AND(L13&gt;=1000000,OR(Y13&gt;=1000000,COUNTA(P13:P147)=0)),AND(Y13&gt;=1000000,COUNTA(C13:C147)=0),AND(COUNTA(P13:P147)=0,O$3=TRUE)),
ROUNDDOWN((AB$1-AC$1)*MAX(INDEX(S$4:S147,MATCH(LARGE(FILTER(Y$4:Y147,Y$4:Y"&amp;"147&lt;1000000),1),Y$4:Y147)),INDEX(F$4:F147,MATCH(LARGE(FILTER(L$4:L147,L$4:L147&lt;1000000),1),L$4:L147)))),AND(L13&lt;1000000,COUNTA(C13:C147)&gt;0,O$3=FALSE),
ROUNDDOWN(INDEX(Y$4:Y147,MATCH(LARGE(FILTER(W$4:W147,W$4:W147&lt;=J13),1),W$4:W147))+(J13-LARGE(FILTER(W$4:"&amp;"W147,W$4:W147&lt;=J13),1))*INDEX(S$4:S147,MATCH(LARGE(FILTER(W$4:W147,W$4:W147&lt;=J13),1),W$4:W147))-L13),1,
ROUNDDOWN(Y13-INDEX(L$4:L147,MATCH(LARGE(FILTER(J$4:J147,J$4:J147&lt;=W13),1),J$4:J147))-(W13-LARGE(FILTER(J$4:J147,J$4:J147&lt;=W13),1))*INDEX(F$4:F147,MATC"&amp;"H(LARGE(FILTER(J$4:J147,J$4:J147&lt;=W13),1),J$4:J147))))"),0.0)</f>
        <v>0</v>
      </c>
      <c r="O13" s="65">
        <f t="shared" si="9"/>
        <v>7</v>
      </c>
      <c r="P13" s="66" t="s">
        <v>10</v>
      </c>
      <c r="Q13" s="14" t="b">
        <f>IFERROR(__xludf.DUMMYFUNCTION("IF(COUNTA(P13:P147)=0,"""",IFERROR(IF(ISBLANK(P13),FALSE,IF(ISBLANK(T13),1,IF(NOT(COUNTIF($AA$24:$AA$34,SUBSTITUTE(P13,""Sell_"",""""))),1,IF(P13=""Plastic_up"",IF(V13&lt;1000,1),IF(P13=""Super_Up"",IF(OR(COUNTIF(P$4:P13,""Grandma"")-COUNTIF(P$4:P13,""Sell_G"&amp;"randma"")&lt;1,COUNTIF(P$4:P13,VLOOKUP(P13,Upgrades!$F$8:$N$8,7+COUNTIF(P$4:P13,P13)))-COUNTIF(P$4:P13,""Sell_""&amp;VLOOKUP(P13,Upgrades!$F$8:$N$8,7+COUNTIF(P$4:P13,P13)))&lt;15),1),IF(REGEXMATCH(P13,""_up""),IF(COUNTIF(P$4:P13,SUBSTITUTE(P13,""_up"",""""))&lt;IFERRO"&amp;"R(VLOOKUP(P13,Upgrades!$L$3:$P$6,1+COUNTIF(P$4:P13,P13),0),999),1),IF(REGEXMATCH(P13,""Sell_""),IF(COUNTIF(P$4:P13,SUBSTITUTE(P13,""Sell_"",""""))-COUNTIF(P$4:P12,P13)&lt;1,1),FALSE)))))))))"),FALSE)</f>
        <v>0</v>
      </c>
      <c r="R13" s="71">
        <f>IFERROR(__xludf.DUMMYFUNCTION("IF(REGEXMATCH(P13,""^Sell_""),R12, IF(COUNTA(P13:P147)=0,"""",(COUNTIF(P$4:P13,""Cursor"")-COUNTIF(P$4:P13,""Sell_Cursor""))*(0.1*2^SWITCH(COUNTIF(P$4:P13,""Cursor_up""),0,0,1,1,2,2,3)+SWITCH(COUNTIF(P$4:P13,""Cursor_up""),4,0.1,0)*(ROW(P13)-4-COUNTIF(P$4"&amp;":P13,""Cursor"")-COUNTIF(P$4:P13,""*""&amp;""_up"")-2*COUNTIF(P$4:P13,""Sell_""&amp;""*"")+COUNTIF(P$4:P13,""Sell_Cursor"")-COUNTIF(P$4:P13,"""")))+(COUNTIF(P$4:P13,""Grandma"")-COUNTIF(P$4:P13,""Sell_Grandma""))*(1*2^(COUNTIF(P$4:P13,""Grandma_up"")+COUNTIF(P$4:"&amp;"P13,""Super_up"")))+(COUNTIF(P$4:P13,""Farm"")-COUNTIF(P$4:P13,""Sell_Farm""))*(8*2^COUNTIF(P$4:P13,""Farm_up""))*IF(COUNTIF(P$4:P13,""Super_up"")&gt;0,1+0.01*(COUNTIF(P$4:P13,""Grandma"")-COUNTIF(P$4:P13,""Sell_Grandma"")),1)+(COUNTIF(P$4:P13,""Mine"")-COUN"&amp;"TIF(P$4:P13,""Sell_Mine""))*((47*2^COUNTIF(P$4:P13,""Mine_up""))*IF(COUNTIF(P$4:P13,""Super_up"")&gt;1,1+0.005*(COUNTIF(P$4:P13,""Grandma"")-COUNTIF(P$4:P13,""Sell_Grandma"")),1))+(COUNTIF(P$4:P13,""Factory"")-COUNTIF(P$4:P13,""Sell_Factory""))*(260*2^COUNTI"&amp;"F(P$4:P13,""Factory_up""))))"),2.8000000000000003)</f>
        <v>2.8</v>
      </c>
      <c r="S13" s="73">
        <f>IFERROR(__xludf.DUMMYFUNCTION("IF(COUNTA(P13:P147)=0,"""",IF(REGEXMATCH(INDEX(FILTER(P$4:P13,P$4:P13&lt;&gt;""""),ROWS(FILTER(P$4:P13,P$4:P13&lt;&gt;""""))),""^Sell_""),INDEX(FILTER(S$4:S12,P$4:P12&lt;&gt;""""),ROWS(FILTER(P$4:P12,P$4:P12&lt;&gt;""""))),$AD$5*(2^SWITCH(COUNTIF(P$4:P13,""Cursor_up""),0,0,1,1,2"&amp;",2,3)+SWITCH(COUNTIF(P$4:P13,""Cursor_up""),4,0.1,0)*(ROW(P13)-4-COUNTIF(P$4:P13,""Cursor"")-COUNTIF(P$4:P13,""*""&amp;""_up"")-2*COUNTIF(P$4:P13,""Sell_""&amp;""*"")+COUNTIF(P$4:P13,""Sell_Cursor"")-COUNTIF(P$4:P13,""""))+0.01*R13*COUNTIF(P$4:P13,""Plastic_up"")"&amp;")+R13))"),62.8)</f>
        <v>62.8</v>
      </c>
      <c r="T13" s="14">
        <f>IFERROR(__xludf.DUMMYFUNCTION("IF(COUNTA(P13:P147)=0,"""",IF(REGEXMATCH(P13,""_up""),VLOOKUP(P13,Upgrades!$F$3:$J$8,1+COUNTIF(P$4:P13,P13),FALSE),IF(P13="""",0,IF(REGEXMATCH(P13,""^Sell_""),-ROUNDDOWN(ROUNDUP(INDEX(Upgrades!$C$3:$C$8,MATCH(SUBSTITUTE(P13,""Sell_"",""""),Upgrades!$B$3:$"&amp;"B$8,0))*1.15^(COUNTIF(P$4:P12,SUBSTITUTE(P13,""Sell_"",""""))-COUNTIF(P$4:P12,""Sell_""&amp;SUBSTITUTE(P13,""Sell_"",""""))))/4),ROUNDUP(INDEX(Upgrades!$C$3:$C$7,MATCH(P13,Upgrades!$B$3:$B$7,0))*1.15^(COUNTIF(P$4:P12,P13)-COUNTIF(P$4:P12,""Sell_""&amp;P13)))))))"),35.0)</f>
        <v>35</v>
      </c>
      <c r="U13" s="14">
        <f t="shared" si="10"/>
        <v>35</v>
      </c>
      <c r="V13" s="75">
        <f t="shared" si="11"/>
        <v>10027.78785</v>
      </c>
      <c r="W13" s="76">
        <f t="shared" si="12"/>
        <v>26.68079468</v>
      </c>
      <c r="X13" s="71" t="str">
        <f t="shared" si="13"/>
        <v>26s</v>
      </c>
      <c r="Y13" s="77">
        <f t="shared" si="14"/>
        <v>769</v>
      </c>
      <c r="Z13" s="17"/>
      <c r="AA13" s="13"/>
      <c r="AB13" s="13"/>
      <c r="AC13" s="13"/>
      <c r="AD13" s="13"/>
      <c r="AE13" s="13"/>
      <c r="AF13" s="13"/>
      <c r="AG13" s="13"/>
    </row>
    <row r="14">
      <c r="A14" s="12"/>
      <c r="B14" s="65">
        <f t="shared" si="2"/>
        <v>8</v>
      </c>
      <c r="C14" s="66" t="s">
        <v>10</v>
      </c>
      <c r="D14" s="14" t="b">
        <f>IFERROR(__xludf.DUMMYFUNCTION("IF(COUNTA(C14:C147)=0,"""",IFERROR(IF(ISBLANK(C14),FALSE,IF(ISBLANK(G14),1,IF(NOT(COUNTIF($AA$24:$AA$34,SUBSTITUTE(C14,""Sell_"",""""))),1,IF(C14=""Plastic_up"",IF(I14&lt;1000,1),IF(C14=""Super_Up"",IF(OR(COUNTIF(C$4:C14,""Grandma"")-COUNTIF(C$4:C14,""Sell_G"&amp;"randma"")&lt;1,COUNTIF(C$4:C14,VLOOKUP(C14,Upgrades!$F$8:$N$8,7+COUNTIF(C$4:C14,C14)))-COUNTIF(C$4:C14,""Sell_""&amp;VLOOKUP(C14,Upgrades!$F$8:$N$8,7+COUNTIF(C$4:C14,C14)))&lt;15),1),IF(REGEXMATCH(C14,""_up""),IF(COUNTIF(C$4:C14,SUBSTITUTE(C14,""_up"",""""))&lt;IFERRO"&amp;"R(VLOOKUP(C14,Upgrades!$L$3:$P$6,1+COUNTIF(C$4:C14,C14),0),999),1),IF(REGEXMATCH(C14,""Sell_""),IF(COUNTIF(C$4:C14,SUBSTITUTE(C14,""Sell_"",""""))-COUNTIF(C$4:C13,C14)&lt;1,1),FALSE)))))))))"),FALSE)</f>
        <v>0</v>
      </c>
      <c r="E14" s="71">
        <f>IFERROR(__xludf.DUMMYFUNCTION("IF(REGEXMATCH(C14,""^Sell_""),E13, IF(COUNTA(C14:C147)=0,"""",(COUNTIF(C$4:C14,""Cursor"")-COUNTIF(C$4:C14,""Sell_Cursor""))*(0.1*2^SWITCH(COUNTIF(C$4:C14,""Cursor_up""),0,0,1,1,2,2,3)+SWITCH(COUNTIF(C$4:C14,""Cursor_up""),4,0.1,0)*(ROW(C14)-4-COUNTIF(C$4"&amp;":C14,""Cursor"")-COUNTIF(C$4:C14,""*""&amp;""_up"")-2*COUNTIF(C$4:C14,""Sell_""&amp;""*"")+COUNTIF(C$4:C14,""Sell_Cursor"")-COUNTIF(C$4:C14,"""")))+(COUNTIF(C$4:C14,""Grandma"")-COUNTIF(C$4:C14,""Sell_Grandma""))*(1*2^(COUNTIF(C$4:C14,""Grandma_up"")+COUNTIF(C$4:"&amp;"C14,""Super_up"")))+(COUNTIF(C$4:C14,""Farm"")-COUNTIF(C$4:C14,""Sell_Farm""))*(8*2^COUNTIF(C$4:C14,""Farm_up""))*IF(COUNTIF(C$4:C14,""Super_up"")&gt;0,1+0.01*(COUNTIF(C$4:C14,""Grandma"")-COUNTIF(C$4:C14,""Sell_Grandma"")),1)+(COUNTIF(C$4:C14,""Mine"")-COUN"&amp;"TIF(C$4:C14,""Sell_Mine""))*((47*2^COUNTIF(C$4:C14,""Mine_up""))*IF(COUNTIF(C$4:C14,""Super_up"")&gt;1,1+0.005*(COUNTIF(C$4:C14,""Grandma"")-COUNTIF(C$4:C14,""Sell_Grandma"")),1))+(COUNTIF(C$4:C14,""Factory"")-COUNTIF(C$4:C14,""Sell_Factory""))*(260*2^COUNTI"&amp;"F(C$4:C14,""Factory_up""))))"),3.2)</f>
        <v>3.2</v>
      </c>
      <c r="F14" s="73">
        <f>IFERROR(__xludf.DUMMYFUNCTION("IF(COUNTA(C14:C147)=0,"""",IF(REGEXMATCH(INDEX(FILTER(C$4:C14,C$4:C14&lt;&gt;""""),ROWS(FILTER(C$4:C14,C$4:C14&lt;&gt;""""))),""^Sell_""),INDEX(FILTER(F$4:F13,C$4:C13&lt;&gt;""""),ROWS(FILTER(C$4:C13,C$4:C13&lt;&gt;""""))),$AC$5*(2^SWITCH(COUNTIF(C$4:C14,""Cursor_up""),0,0,1,1,2"&amp;",2,3)+SWITCH(COUNTIF(C$4:C14,""Cursor_up""),4,0.1,0)*(ROW(C14)-4-COUNTIF(C$4:C14,""Cursor"")-COUNTIF(C$4:C14,""*""&amp;""_up"")-2*COUNTIF(C$4:C14,""Sell_""&amp;""*"")+COUNTIF(C$4:C14,""Sell_Cursor"")-COUNTIF(C$4:C14,""""))+0.01*E14*COUNTIF(C$4:C14,""Plastic_up"")"&amp;")+E14))"),63.2)</f>
        <v>63.2</v>
      </c>
      <c r="G14" s="14">
        <f>IFERROR(__xludf.DUMMYFUNCTION("IF(COUNTA(C14:C147)=0,"""",IF(REGEXMATCH(C14,""_up""),VLOOKUP(C14,Upgrades!$F$3:$J$8,1+COUNTIF(C$4:C14,C14),FALSE),IF(C14="""",0,IF(REGEXMATCH(C14,""^Sell_""),-ROUNDDOWN(ROUNDUP(INDEX(Upgrades!$C$3:$C$8,MATCH(SUBSTITUTE(C14,""Sell_"",""""),Upgrades!$B$3:$"&amp;"B$8,0))*1.15^(COUNTIF(C$4:C13,SUBSTITUTE(C14,""Sell_"",""""))-COUNTIF(C$4:C13,""Sell_""&amp;SUBSTITUTE(C14,""Sell_"",""""))))/4),ROUNDUP(INDEX(Upgrades!$C$3:$C$7,MATCH(C14,Upgrades!$B$3:$B$7,0))*1.15^(COUNTIF(C$4:C13,C14)-COUNTIF(C$4:C13,""Sell_""&amp;C14)))))))"),40.0)</f>
        <v>40</v>
      </c>
      <c r="H14" s="14">
        <f t="shared" si="3"/>
        <v>40</v>
      </c>
      <c r="I14" s="75">
        <f t="shared" si="4"/>
        <v>11666.8521</v>
      </c>
      <c r="J14" s="76">
        <f t="shared" si="5"/>
        <v>27.31773735</v>
      </c>
      <c r="K14" s="71" t="str">
        <f t="shared" si="6"/>
        <v>27s</v>
      </c>
      <c r="L14" s="77">
        <f t="shared" si="7"/>
        <v>809</v>
      </c>
      <c r="M14" s="51">
        <f t="shared" si="8"/>
        <v>0</v>
      </c>
      <c r="N14" s="52">
        <f>IFERROR(__xludf.DUMMYFUNCTION("IFS(AND(COUNTA(C14:C147)=0,COUNTA(P14:P147)=0),"""",OR(AND(L14&gt;=1000000,OR(Y14&gt;=1000000,COUNTA(P14:P147)=0)),AND(Y14&gt;=1000000,COUNTA(C14:C147)=0),AND(COUNTA(P14:P147)=0,O$3=TRUE)),
ROUNDDOWN((AB$1-AC$1)*MAX(INDEX(S$4:S147,MATCH(LARGE(FILTER(Y$4:Y147,Y$4:Y"&amp;"147&lt;1000000),1),Y$4:Y147)),INDEX(F$4:F147,MATCH(LARGE(FILTER(L$4:L147,L$4:L147&lt;1000000),1),L$4:L147)))),AND(L14&lt;1000000,COUNTA(C14:C147)&gt;0,O$3=FALSE),
ROUNDDOWN(INDEX(Y$4:Y147,MATCH(LARGE(FILTER(W$4:W147,W$4:W147&lt;=J14),1),W$4:W147))+(J14-LARGE(FILTER(W$4:"&amp;"W147,W$4:W147&lt;=J14),1))*INDEX(S$4:S147,MATCH(LARGE(FILTER(W$4:W147,W$4:W147&lt;=J14),1),W$4:W147))-L14),1,
ROUNDDOWN(Y14-INDEX(L$4:L147,MATCH(LARGE(FILTER(J$4:J147,J$4:J147&lt;=W14),1),J$4:J147))-(W14-LARGE(FILTER(J$4:J147,J$4:J147&lt;=W14),1))*INDEX(F$4:F147,MATC"&amp;"H(LARGE(FILTER(J$4:J147,J$4:J147&lt;=W14),1),J$4:J147))))"),0.0)</f>
        <v>0</v>
      </c>
      <c r="O14" s="65">
        <f t="shared" si="9"/>
        <v>8</v>
      </c>
      <c r="P14" s="66" t="s">
        <v>10</v>
      </c>
      <c r="Q14" s="14" t="b">
        <f>IFERROR(__xludf.DUMMYFUNCTION("IF(COUNTA(P14:P147)=0,"""",IFERROR(IF(ISBLANK(P14),FALSE,IF(ISBLANK(T14),1,IF(NOT(COUNTIF($AA$24:$AA$34,SUBSTITUTE(P14,""Sell_"",""""))),1,IF(P14=""Plastic_up"",IF(V14&lt;1000,1),IF(P14=""Super_Up"",IF(OR(COUNTIF(P$4:P14,""Grandma"")-COUNTIF(P$4:P14,""Sell_G"&amp;"randma"")&lt;1,COUNTIF(P$4:P14,VLOOKUP(P14,Upgrades!$F$8:$N$8,7+COUNTIF(P$4:P14,P14)))-COUNTIF(P$4:P14,""Sell_""&amp;VLOOKUP(P14,Upgrades!$F$8:$N$8,7+COUNTIF(P$4:P14,P14)))&lt;15),1),IF(REGEXMATCH(P14,""_up""),IF(COUNTIF(P$4:P14,SUBSTITUTE(P14,""_up"",""""))&lt;IFERRO"&amp;"R(VLOOKUP(P14,Upgrades!$L$3:$P$6,1+COUNTIF(P$4:P14,P14),0),999),1),IF(REGEXMATCH(P14,""Sell_""),IF(COUNTIF(P$4:P14,SUBSTITUTE(P14,""Sell_"",""""))-COUNTIF(P$4:P13,P14)&lt;1,1),FALSE)))))))))"),FALSE)</f>
        <v>0</v>
      </c>
      <c r="R14" s="71">
        <f>IFERROR(__xludf.DUMMYFUNCTION("IF(REGEXMATCH(P14,""^Sell_""),R13, IF(COUNTA(P14:P147)=0,"""",(COUNTIF(P$4:P14,""Cursor"")-COUNTIF(P$4:P14,""Sell_Cursor""))*(0.1*2^SWITCH(COUNTIF(P$4:P14,""Cursor_up""),0,0,1,1,2,2,3)+SWITCH(COUNTIF(P$4:P14,""Cursor_up""),4,0.1,0)*(ROW(P14)-4-COUNTIF(P$4"&amp;":P14,""Cursor"")-COUNTIF(P$4:P14,""*""&amp;""_up"")-2*COUNTIF(P$4:P14,""Sell_""&amp;""*"")+COUNTIF(P$4:P14,""Sell_Cursor"")-COUNTIF(P$4:P14,"""")))+(COUNTIF(P$4:P14,""Grandma"")-COUNTIF(P$4:P14,""Sell_Grandma""))*(1*2^(COUNTIF(P$4:P14,""Grandma_up"")+COUNTIF(P$4:"&amp;"P14,""Super_up"")))+(COUNTIF(P$4:P14,""Farm"")-COUNTIF(P$4:P14,""Sell_Farm""))*(8*2^COUNTIF(P$4:P14,""Farm_up""))*IF(COUNTIF(P$4:P14,""Super_up"")&gt;0,1+0.01*(COUNTIF(P$4:P14,""Grandma"")-COUNTIF(P$4:P14,""Sell_Grandma"")),1)+(COUNTIF(P$4:P14,""Mine"")-COUN"&amp;"TIF(P$4:P14,""Sell_Mine""))*((47*2^COUNTIF(P$4:P14,""Mine_up""))*IF(COUNTIF(P$4:P14,""Super_up"")&gt;1,1+0.005*(COUNTIF(P$4:P14,""Grandma"")-COUNTIF(P$4:P14,""Sell_Grandma"")),1))+(COUNTIF(P$4:P14,""Factory"")-COUNTIF(P$4:P14,""Sell_Factory""))*(260*2^COUNTI"&amp;"F(P$4:P14,""Factory_up""))))"),3.2)</f>
        <v>3.2</v>
      </c>
      <c r="S14" s="73">
        <f>IFERROR(__xludf.DUMMYFUNCTION("IF(COUNTA(P14:P147)=0,"""",IF(REGEXMATCH(INDEX(FILTER(P$4:P14,P$4:P14&lt;&gt;""""),ROWS(FILTER(P$4:P14,P$4:P14&lt;&gt;""""))),""^Sell_""),INDEX(FILTER(S$4:S13,P$4:P13&lt;&gt;""""),ROWS(FILTER(P$4:P13,P$4:P13&lt;&gt;""""))),$AD$5*(2^SWITCH(COUNTIF(P$4:P14,""Cursor_up""),0,0,1,1,2"&amp;",2,3)+SWITCH(COUNTIF(P$4:P14,""Cursor_up""),4,0.1,0)*(ROW(P14)-4-COUNTIF(P$4:P14,""Cursor"")-COUNTIF(P$4:P14,""*""&amp;""_up"")-2*COUNTIF(P$4:P14,""Sell_""&amp;""*"")+COUNTIF(P$4:P14,""Sell_Cursor"")-COUNTIF(P$4:P14,""""))+0.01*R14*COUNTIF(P$4:P14,""Plastic_up"")"&amp;")+R14))"),63.2)</f>
        <v>63.2</v>
      </c>
      <c r="T14" s="14">
        <f>IFERROR(__xludf.DUMMYFUNCTION("IF(COUNTA(P14:P147)=0,"""",IF(REGEXMATCH(P14,""_up""),VLOOKUP(P14,Upgrades!$F$3:$J$8,1+COUNTIF(P$4:P14,P14),FALSE),IF(P14="""",0,IF(REGEXMATCH(P14,""^Sell_""),-ROUNDDOWN(ROUNDUP(INDEX(Upgrades!$C$3:$C$8,MATCH(SUBSTITUTE(P14,""Sell_"",""""),Upgrades!$B$3:$"&amp;"B$8,0))*1.15^(COUNTIF(P$4:P13,SUBSTITUTE(P14,""Sell_"",""""))-COUNTIF(P$4:P13,""Sell_""&amp;SUBSTITUTE(P14,""Sell_"",""""))))/4),ROUNDUP(INDEX(Upgrades!$C$3:$C$7,MATCH(P14,Upgrades!$B$3:$B$7,0))*1.15^(COUNTIF(P$4:P13,P14)-COUNTIF(P$4:P13,""Sell_""&amp;P14)))))))"),40.0)</f>
        <v>40</v>
      </c>
      <c r="U14" s="14">
        <f t="shared" si="10"/>
        <v>40</v>
      </c>
      <c r="V14" s="75">
        <f t="shared" si="11"/>
        <v>11666.8521</v>
      </c>
      <c r="W14" s="76">
        <f t="shared" si="12"/>
        <v>27.31773735</v>
      </c>
      <c r="X14" s="71" t="str">
        <f t="shared" si="13"/>
        <v>27s</v>
      </c>
      <c r="Y14" s="77">
        <f t="shared" si="14"/>
        <v>809</v>
      </c>
      <c r="Z14" s="17"/>
      <c r="AA14" s="98" t="s">
        <v>68</v>
      </c>
      <c r="AB14" s="99"/>
      <c r="AC14" s="99"/>
      <c r="AD14" s="99"/>
      <c r="AE14" s="99"/>
      <c r="AF14" s="100"/>
      <c r="AG14" s="13"/>
    </row>
    <row r="15">
      <c r="A15" s="12"/>
      <c r="B15" s="65">
        <f t="shared" si="2"/>
        <v>1</v>
      </c>
      <c r="C15" s="66" t="s">
        <v>13</v>
      </c>
      <c r="D15" s="14" t="b">
        <f>IFERROR(__xludf.DUMMYFUNCTION("IF(COUNTA(C15:C147)=0,"""",IFERROR(IF(ISBLANK(C15),FALSE,IF(ISBLANK(G15),1,IF(NOT(COUNTIF($AA$24:$AA$34,SUBSTITUTE(C15,""Sell_"",""""))),1,IF(C15=""Plastic_up"",IF(I15&lt;1000,1),IF(C15=""Super_Up"",IF(OR(COUNTIF(C$4:C15,""Grandma"")-COUNTIF(C$4:C15,""Sell_G"&amp;"randma"")&lt;1,COUNTIF(C$4:C15,VLOOKUP(C15,Upgrades!$F$8:$N$8,7+COUNTIF(C$4:C15,C15)))-COUNTIF(C$4:C15,""Sell_""&amp;VLOOKUP(C15,Upgrades!$F$8:$N$8,7+COUNTIF(C$4:C15,C15)))&lt;15),1),IF(REGEXMATCH(C15,""_up""),IF(COUNTIF(C$4:C15,SUBSTITUTE(C15,""_up"",""""))&lt;IFERRO"&amp;"R(VLOOKUP(C15,Upgrades!$L$3:$P$6,1+COUNTIF(C$4:C15,C15),0),999),1),IF(REGEXMATCH(C15,""Sell_""),IF(COUNTIF(C$4:C15,SUBSTITUTE(C15,""Sell_"",""""))-COUNTIF(C$4:C14,C15)&lt;1,1),FALSE)))))))))"),FALSE)</f>
        <v>0</v>
      </c>
      <c r="E15" s="71">
        <f>IFERROR(__xludf.DUMMYFUNCTION("IF(REGEXMATCH(C15,""^Sell_""),E14, IF(COUNTA(C15:C147)=0,"""",(COUNTIF(C$4:C15,""Cursor"")-COUNTIF(C$4:C15,""Sell_Cursor""))*(0.1*2^SWITCH(COUNTIF(C$4:C15,""Cursor_up""),0,0,1,1,2,2,3)+SWITCH(COUNTIF(C$4:C15,""Cursor_up""),4,0.1,0)*(ROW(C15)-4-COUNTIF(C$4"&amp;":C15,""Cursor"")-COUNTIF(C$4:C15,""*""&amp;""_up"")-2*COUNTIF(C$4:C15,""Sell_""&amp;""*"")+COUNTIF(C$4:C15,""Sell_Cursor"")-COUNTIF(C$4:C15,"""")))+(COUNTIF(C$4:C15,""Grandma"")-COUNTIF(C$4:C15,""Sell_Grandma""))*(1*2^(COUNTIF(C$4:C15,""Grandma_up"")+COUNTIF(C$4:"&amp;"C15,""Super_up"")))+(COUNTIF(C$4:C15,""Farm"")-COUNTIF(C$4:C15,""Sell_Farm""))*(8*2^COUNTIF(C$4:C15,""Farm_up""))*IF(COUNTIF(C$4:C15,""Super_up"")&gt;0,1+0.01*(COUNTIF(C$4:C15,""Grandma"")-COUNTIF(C$4:C15,""Sell_Grandma"")),1)+(COUNTIF(C$4:C15,""Mine"")-COUN"&amp;"TIF(C$4:C15,""Sell_Mine""))*((47*2^COUNTIF(C$4:C15,""Mine_up""))*IF(COUNTIF(C$4:C15,""Super_up"")&gt;1,1+0.005*(COUNTIF(C$4:C15,""Grandma"")-COUNTIF(C$4:C15,""Sell_Grandma"")),1))+(COUNTIF(C$4:C15,""Factory"")-COUNTIF(C$4:C15,""Sell_Factory""))*(260*2^COUNTI"&amp;"F(C$4:C15,""Factory_up""))))"),4.2)</f>
        <v>4.2</v>
      </c>
      <c r="F15" s="73">
        <f>IFERROR(__xludf.DUMMYFUNCTION("IF(COUNTA(C15:C147)=0,"""",IF(REGEXMATCH(INDEX(FILTER(C$4:C15,C$4:C15&lt;&gt;""""),ROWS(FILTER(C$4:C15,C$4:C15&lt;&gt;""""))),""^Sell_""),INDEX(FILTER(F$4:F14,C$4:C14&lt;&gt;""""),ROWS(FILTER(C$4:C14,C$4:C14&lt;&gt;""""))),$AC$5*(2^SWITCH(COUNTIF(C$4:C15,""Cursor_up""),0,0,1,1,2"&amp;",2,3)+SWITCH(COUNTIF(C$4:C15,""Cursor_up""),4,0.1,0)*(ROW(C15)-4-COUNTIF(C$4:C15,""Cursor"")-COUNTIF(C$4:C15,""*""&amp;""_up"")-2*COUNTIF(C$4:C15,""Sell_""&amp;""*"")+COUNTIF(C$4:C15,""Sell_Cursor"")-COUNTIF(C$4:C15,""""))+0.01*E15*COUNTIF(C$4:C15,""Plastic_up"")"&amp;")+E15))"),64.2)</f>
        <v>64.2</v>
      </c>
      <c r="G15" s="14">
        <f>IFERROR(__xludf.DUMMYFUNCTION("IF(COUNTA(C15:C147)=0,"""",IF(REGEXMATCH(C15,""_up""),VLOOKUP(C15,Upgrades!$F$3:$J$8,1+COUNTIF(C$4:C15,C15),FALSE),IF(C15="""",0,IF(REGEXMATCH(C15,""^Sell_""),-ROUNDDOWN(ROUNDUP(INDEX(Upgrades!$C$3:$C$8,MATCH(SUBSTITUTE(C15,""Sell_"",""""),Upgrades!$B$3:$"&amp;"B$8,0))*1.15^(COUNTIF(C$4:C14,SUBSTITUTE(C15,""Sell_"",""""))-COUNTIF(C$4:C14,""Sell_""&amp;SUBSTITUTE(C15,""Sell_"",""""))))/4),ROUNDUP(INDEX(Upgrades!$C$3:$C$7,MATCH(C15,Upgrades!$B$3:$B$7,0))*1.15^(COUNTIF(C$4:C14,C15)-COUNTIF(C$4:C14,""Sell_""&amp;C15)))))))"),100.0)</f>
        <v>100</v>
      </c>
      <c r="H15" s="14">
        <f t="shared" si="3"/>
        <v>100</v>
      </c>
      <c r="I15" s="75">
        <f t="shared" si="4"/>
        <v>13400.85305</v>
      </c>
      <c r="J15" s="76">
        <f t="shared" si="5"/>
        <v>28.90001583</v>
      </c>
      <c r="K15" s="71" t="str">
        <f t="shared" si="6"/>
        <v>28s</v>
      </c>
      <c r="L15" s="77">
        <f t="shared" si="7"/>
        <v>909</v>
      </c>
      <c r="M15" s="51">
        <f t="shared" si="8"/>
        <v>0</v>
      </c>
      <c r="N15" s="52">
        <f>IFERROR(__xludf.DUMMYFUNCTION("IFS(AND(COUNTA(C15:C147)=0,COUNTA(P15:P147)=0),"""",OR(AND(L15&gt;=1000000,OR(Y15&gt;=1000000,COUNTA(P15:P147)=0)),AND(Y15&gt;=1000000,COUNTA(C15:C147)=0),AND(COUNTA(P15:P147)=0,O$3=TRUE)),
ROUNDDOWN((AB$1-AC$1)*MAX(INDEX(S$4:S147,MATCH(LARGE(FILTER(Y$4:Y147,Y$4:Y"&amp;"147&lt;1000000),1),Y$4:Y147)),INDEX(F$4:F147,MATCH(LARGE(FILTER(L$4:L147,L$4:L147&lt;1000000),1),L$4:L147)))),AND(L15&lt;1000000,COUNTA(C15:C147)&gt;0,O$3=FALSE),
ROUNDDOWN(INDEX(Y$4:Y147,MATCH(LARGE(FILTER(W$4:W147,W$4:W147&lt;=J15),1),W$4:W147))+(J15-LARGE(FILTER(W$4:"&amp;"W147,W$4:W147&lt;=J15),1))*INDEX(S$4:S147,MATCH(LARGE(FILTER(W$4:W147,W$4:W147&lt;=J15),1),W$4:W147))-L15),1,
ROUNDDOWN(Y15-INDEX(L$4:L147,MATCH(LARGE(FILTER(J$4:J147,J$4:J147&lt;=W15),1),J$4:J147))-(W15-LARGE(FILTER(J$4:J147,J$4:J147&lt;=W15),1))*INDEX(F$4:F147,MATC"&amp;"H(LARGE(FILTER(J$4:J147,J$4:J147&lt;=W15),1),J$4:J147))))"),0.0)</f>
        <v>0</v>
      </c>
      <c r="O15" s="65">
        <f t="shared" si="9"/>
        <v>1</v>
      </c>
      <c r="P15" s="66" t="s">
        <v>13</v>
      </c>
      <c r="Q15" s="14" t="b">
        <f>IFERROR(__xludf.DUMMYFUNCTION("IF(COUNTA(P15:P147)=0,"""",IFERROR(IF(ISBLANK(P15),FALSE,IF(ISBLANK(T15),1,IF(NOT(COUNTIF($AA$24:$AA$34,SUBSTITUTE(P15,""Sell_"",""""))),1,IF(P15=""Plastic_up"",IF(V15&lt;1000,1),IF(P15=""Super_Up"",IF(OR(COUNTIF(P$4:P15,""Grandma"")-COUNTIF(P$4:P15,""Sell_G"&amp;"randma"")&lt;1,COUNTIF(P$4:P15,VLOOKUP(P15,Upgrades!$F$8:$N$8,7+COUNTIF(P$4:P15,P15)))-COUNTIF(P$4:P15,""Sell_""&amp;VLOOKUP(P15,Upgrades!$F$8:$N$8,7+COUNTIF(P$4:P15,P15)))&lt;15),1),IF(REGEXMATCH(P15,""_up""),IF(COUNTIF(P$4:P15,SUBSTITUTE(P15,""_up"",""""))&lt;IFERRO"&amp;"R(VLOOKUP(P15,Upgrades!$L$3:$P$6,1+COUNTIF(P$4:P15,P15),0),999),1),IF(REGEXMATCH(P15,""Sell_""),IF(COUNTIF(P$4:P15,SUBSTITUTE(P15,""Sell_"",""""))-COUNTIF(P$4:P14,P15)&lt;1,1),FALSE)))))))))"),FALSE)</f>
        <v>0</v>
      </c>
      <c r="R15" s="71">
        <f>IFERROR(__xludf.DUMMYFUNCTION("IF(REGEXMATCH(P15,""^Sell_""),R14, IF(COUNTA(P15:P147)=0,"""",(COUNTIF(P$4:P15,""Cursor"")-COUNTIF(P$4:P15,""Sell_Cursor""))*(0.1*2^SWITCH(COUNTIF(P$4:P15,""Cursor_up""),0,0,1,1,2,2,3)+SWITCH(COUNTIF(P$4:P15,""Cursor_up""),4,0.1,0)*(ROW(P15)-4-COUNTIF(P$4"&amp;":P15,""Cursor"")-COUNTIF(P$4:P15,""*""&amp;""_up"")-2*COUNTIF(P$4:P15,""Sell_""&amp;""*"")+COUNTIF(P$4:P15,""Sell_Cursor"")-COUNTIF(P$4:P15,"""")))+(COUNTIF(P$4:P15,""Grandma"")-COUNTIF(P$4:P15,""Sell_Grandma""))*(1*2^(COUNTIF(P$4:P15,""Grandma_up"")+COUNTIF(P$4:"&amp;"P15,""Super_up"")))+(COUNTIF(P$4:P15,""Farm"")-COUNTIF(P$4:P15,""Sell_Farm""))*(8*2^COUNTIF(P$4:P15,""Farm_up""))*IF(COUNTIF(P$4:P15,""Super_up"")&gt;0,1+0.01*(COUNTIF(P$4:P15,""Grandma"")-COUNTIF(P$4:P15,""Sell_Grandma"")),1)+(COUNTIF(P$4:P15,""Mine"")-COUN"&amp;"TIF(P$4:P15,""Sell_Mine""))*((47*2^COUNTIF(P$4:P15,""Mine_up""))*IF(COUNTIF(P$4:P15,""Super_up"")&gt;1,1+0.005*(COUNTIF(P$4:P15,""Grandma"")-COUNTIF(P$4:P15,""Sell_Grandma"")),1))+(COUNTIF(P$4:P15,""Factory"")-COUNTIF(P$4:P15,""Sell_Factory""))*(260*2^COUNTI"&amp;"F(P$4:P15,""Factory_up""))))"),4.2)</f>
        <v>4.2</v>
      </c>
      <c r="S15" s="73">
        <f>IFERROR(__xludf.DUMMYFUNCTION("IF(COUNTA(P15:P147)=0,"""",IF(REGEXMATCH(INDEX(FILTER(P$4:P15,P$4:P15&lt;&gt;""""),ROWS(FILTER(P$4:P15,P$4:P15&lt;&gt;""""))),""^Sell_""),INDEX(FILTER(S$4:S14,P$4:P14&lt;&gt;""""),ROWS(FILTER(P$4:P14,P$4:P14&lt;&gt;""""))),$AD$5*(2^SWITCH(COUNTIF(P$4:P15,""Cursor_up""),0,0,1,1,2"&amp;",2,3)+SWITCH(COUNTIF(P$4:P15,""Cursor_up""),4,0.1,0)*(ROW(P15)-4-COUNTIF(P$4:P15,""Cursor"")-COUNTIF(P$4:P15,""*""&amp;""_up"")-2*COUNTIF(P$4:P15,""Sell_""&amp;""*"")+COUNTIF(P$4:P15,""Sell_Cursor"")-COUNTIF(P$4:P15,""""))+0.01*R15*COUNTIF(P$4:P15,""Plastic_up"")"&amp;")+R15))"),64.2)</f>
        <v>64.2</v>
      </c>
      <c r="T15" s="14">
        <f>IFERROR(__xludf.DUMMYFUNCTION("IF(COUNTA(P15:P147)=0,"""",IF(REGEXMATCH(P15,""_up""),VLOOKUP(P15,Upgrades!$F$3:$J$8,1+COUNTIF(P$4:P15,P15),FALSE),IF(P15="""",0,IF(REGEXMATCH(P15,""^Sell_""),-ROUNDDOWN(ROUNDUP(INDEX(Upgrades!$C$3:$C$8,MATCH(SUBSTITUTE(P15,""Sell_"",""""),Upgrades!$B$3:$"&amp;"B$8,0))*1.15^(COUNTIF(P$4:P14,SUBSTITUTE(P15,""Sell_"",""""))-COUNTIF(P$4:P14,""Sell_""&amp;SUBSTITUTE(P15,""Sell_"",""""))))/4),ROUNDUP(INDEX(Upgrades!$C$3:$C$7,MATCH(P15,Upgrades!$B$3:$B$7,0))*1.15^(COUNTIF(P$4:P14,P15)-COUNTIF(P$4:P14,""Sell_""&amp;P15)))))))"),100.0)</f>
        <v>100</v>
      </c>
      <c r="U15" s="14">
        <f t="shared" si="10"/>
        <v>100</v>
      </c>
      <c r="V15" s="75">
        <f t="shared" si="11"/>
        <v>13400.85305</v>
      </c>
      <c r="W15" s="76">
        <f t="shared" si="12"/>
        <v>28.90001583</v>
      </c>
      <c r="X15" s="71" t="str">
        <f t="shared" si="13"/>
        <v>28s</v>
      </c>
      <c r="Y15" s="77">
        <f t="shared" si="14"/>
        <v>909</v>
      </c>
      <c r="Z15" s="17"/>
      <c r="AA15" s="92" t="s">
        <v>69</v>
      </c>
      <c r="AB15" s="93"/>
      <c r="AC15" s="93"/>
      <c r="AD15" s="93"/>
      <c r="AE15" s="93"/>
      <c r="AF15" s="94"/>
      <c r="AG15" s="13"/>
    </row>
    <row r="16">
      <c r="A16" s="12"/>
      <c r="B16" s="65">
        <f t="shared" si="2"/>
        <v>9</v>
      </c>
      <c r="C16" s="66" t="s">
        <v>10</v>
      </c>
      <c r="D16" s="14" t="b">
        <f>IFERROR(__xludf.DUMMYFUNCTION("IF(COUNTA(C16:C147)=0,"""",IFERROR(IF(ISBLANK(C16),FALSE,IF(ISBLANK(G16),1,IF(NOT(COUNTIF($AA$24:$AA$34,SUBSTITUTE(C16,""Sell_"",""""))),1,IF(C16=""Plastic_up"",IF(I16&lt;1000,1),IF(C16=""Super_Up"",IF(OR(COUNTIF(C$4:C16,""Grandma"")-COUNTIF(C$4:C16,""Sell_G"&amp;"randma"")&lt;1,COUNTIF(C$4:C16,VLOOKUP(C16,Upgrades!$F$8:$N$8,7+COUNTIF(C$4:C16,C16)))-COUNTIF(C$4:C16,""Sell_""&amp;VLOOKUP(C16,Upgrades!$F$8:$N$8,7+COUNTIF(C$4:C16,C16)))&lt;15),1),IF(REGEXMATCH(C16,""_up""),IF(COUNTIF(C$4:C16,SUBSTITUTE(C16,""_up"",""""))&lt;IFERRO"&amp;"R(VLOOKUP(C16,Upgrades!$L$3:$P$6,1+COUNTIF(C$4:C16,C16),0),999),1),IF(REGEXMATCH(C16,""Sell_""),IF(COUNTIF(C$4:C16,SUBSTITUTE(C16,""Sell_"",""""))-COUNTIF(C$4:C15,C16)&lt;1,1),FALSE)))))))))"),FALSE)</f>
        <v>0</v>
      </c>
      <c r="E16" s="71">
        <f>IFERROR(__xludf.DUMMYFUNCTION("IF(REGEXMATCH(C16,""^Sell_""),E15, IF(COUNTA(C16:C147)=0,"""",(COUNTIF(C$4:C16,""Cursor"")-COUNTIF(C$4:C16,""Sell_Cursor""))*(0.1*2^SWITCH(COUNTIF(C$4:C16,""Cursor_up""),0,0,1,1,2,2,3)+SWITCH(COUNTIF(C$4:C16,""Cursor_up""),4,0.1,0)*(ROW(C16)-4-COUNTIF(C$4"&amp;":C16,""Cursor"")-COUNTIF(C$4:C16,""*""&amp;""_up"")-2*COUNTIF(C$4:C16,""Sell_""&amp;""*"")+COUNTIF(C$4:C16,""Sell_Cursor"")-COUNTIF(C$4:C16,"""")))+(COUNTIF(C$4:C16,""Grandma"")-COUNTIF(C$4:C16,""Sell_Grandma""))*(1*2^(COUNTIF(C$4:C16,""Grandma_up"")+COUNTIF(C$4:"&amp;"C16,""Super_up"")))+(COUNTIF(C$4:C16,""Farm"")-COUNTIF(C$4:C16,""Sell_Farm""))*(8*2^COUNTIF(C$4:C16,""Farm_up""))*IF(COUNTIF(C$4:C16,""Super_up"")&gt;0,1+0.01*(COUNTIF(C$4:C16,""Grandma"")-COUNTIF(C$4:C16,""Sell_Grandma"")),1)+(COUNTIF(C$4:C16,""Mine"")-COUN"&amp;"TIF(C$4:C16,""Sell_Mine""))*((47*2^COUNTIF(C$4:C16,""Mine_up""))*IF(COUNTIF(C$4:C16,""Super_up"")&gt;1,1+0.005*(COUNTIF(C$4:C16,""Grandma"")-COUNTIF(C$4:C16,""Sell_Grandma"")),1))+(COUNTIF(C$4:C16,""Factory"")-COUNTIF(C$4:C16,""Sell_Factory""))*(260*2^COUNTI"&amp;"F(C$4:C16,""Factory_up""))))"),4.6)</f>
        <v>4.6</v>
      </c>
      <c r="F16" s="73">
        <f>IFERROR(__xludf.DUMMYFUNCTION("IF(COUNTA(C16:C147)=0,"""",IF(REGEXMATCH(INDEX(FILTER(C$4:C16,C$4:C16&lt;&gt;""""),ROWS(FILTER(C$4:C16,C$4:C16&lt;&gt;""""))),""^Sell_""),INDEX(FILTER(F$4:F15,C$4:C15&lt;&gt;""""),ROWS(FILTER(C$4:C15,C$4:C15&lt;&gt;""""))),$AC$5*(2^SWITCH(COUNTIF(C$4:C16,""Cursor_up""),0,0,1,1,2"&amp;",2,3)+SWITCH(COUNTIF(C$4:C16,""Cursor_up""),4,0.1,0)*(ROW(C16)-4-COUNTIF(C$4:C16,""Cursor"")-COUNTIF(C$4:C16,""*""&amp;""_up"")-2*COUNTIF(C$4:C16,""Sell_""&amp;""*"")+COUNTIF(C$4:C16,""Sell_Cursor"")-COUNTIF(C$4:C16,""""))+0.01*E16*COUNTIF(C$4:C16,""Plastic_up"")"&amp;")+E16))"),64.6)</f>
        <v>64.6</v>
      </c>
      <c r="G16" s="14">
        <f>IFERROR(__xludf.DUMMYFUNCTION("IF(COUNTA(C16:C147)=0,"""",IF(REGEXMATCH(C16,""_up""),VLOOKUP(C16,Upgrades!$F$3:$J$8,1+COUNTIF(C$4:C16,C16),FALSE),IF(C16="""",0,IF(REGEXMATCH(C16,""^Sell_""),-ROUNDDOWN(ROUNDUP(INDEX(Upgrades!$C$3:$C$8,MATCH(SUBSTITUTE(C16,""Sell_"",""""),Upgrades!$B$3:$"&amp;"B$8,0))*1.15^(COUNTIF(C$4:C15,SUBSTITUTE(C16,""Sell_"",""""))-COUNTIF(C$4:C15,""Sell_""&amp;SUBSTITUTE(C16,""Sell_"",""""))))/4),ROUNDUP(INDEX(Upgrades!$C$3:$C$7,MATCH(C16,Upgrades!$B$3:$B$7,0))*1.15^(COUNTIF(C$4:C15,C16)-COUNTIF(C$4:C15,""Sell_""&amp;C16)))))))"),46.0)</f>
        <v>46</v>
      </c>
      <c r="H16" s="14">
        <f t="shared" si="3"/>
        <v>46</v>
      </c>
      <c r="I16" s="75">
        <f t="shared" si="4"/>
        <v>15177.84465</v>
      </c>
      <c r="J16" s="76">
        <f t="shared" si="5"/>
        <v>29.61652674</v>
      </c>
      <c r="K16" s="71" t="str">
        <f t="shared" si="6"/>
        <v>29s</v>
      </c>
      <c r="L16" s="77">
        <f t="shared" si="7"/>
        <v>955</v>
      </c>
      <c r="M16" s="51">
        <f t="shared" si="8"/>
        <v>0</v>
      </c>
      <c r="N16" s="52">
        <f>IFERROR(__xludf.DUMMYFUNCTION("IFS(AND(COUNTA(C16:C147)=0,COUNTA(P16:P147)=0),"""",OR(AND(L16&gt;=1000000,OR(Y16&gt;=1000000,COUNTA(P16:P147)=0)),AND(Y16&gt;=1000000,COUNTA(C16:C147)=0),AND(COUNTA(P16:P147)=0,O$3=TRUE)),
ROUNDDOWN((AB$1-AC$1)*MAX(INDEX(S$4:S147,MATCH(LARGE(FILTER(Y$4:Y147,Y$4:Y"&amp;"147&lt;1000000),1),Y$4:Y147)),INDEX(F$4:F147,MATCH(LARGE(FILTER(L$4:L147,L$4:L147&lt;1000000),1),L$4:L147)))),AND(L16&lt;1000000,COUNTA(C16:C147)&gt;0,O$3=FALSE),
ROUNDDOWN(INDEX(Y$4:Y147,MATCH(LARGE(FILTER(W$4:W147,W$4:W147&lt;=J16),1),W$4:W147))+(J16-LARGE(FILTER(W$4:"&amp;"W147,W$4:W147&lt;=J16),1))*INDEX(S$4:S147,MATCH(LARGE(FILTER(W$4:W147,W$4:W147&lt;=J16),1),W$4:W147))-L16),1,
ROUNDDOWN(Y16-INDEX(L$4:L147,MATCH(LARGE(FILTER(J$4:J147,J$4:J147&lt;=W16),1),J$4:J147))-(W16-LARGE(FILTER(J$4:J147,J$4:J147&lt;=W16),1))*INDEX(F$4:F147,MATC"&amp;"H(LARGE(FILTER(J$4:J147,J$4:J147&lt;=W16),1),J$4:J147))))"),0.0)</f>
        <v>0</v>
      </c>
      <c r="O16" s="65">
        <f t="shared" si="9"/>
        <v>9</v>
      </c>
      <c r="P16" s="66" t="s">
        <v>10</v>
      </c>
      <c r="Q16" s="14" t="b">
        <f>IFERROR(__xludf.DUMMYFUNCTION("IF(COUNTA(P16:P147)=0,"""",IFERROR(IF(ISBLANK(P16),FALSE,IF(ISBLANK(T16),1,IF(NOT(COUNTIF($AA$24:$AA$34,SUBSTITUTE(P16,""Sell_"",""""))),1,IF(P16=""Plastic_up"",IF(V16&lt;1000,1),IF(P16=""Super_Up"",IF(OR(COUNTIF(P$4:P16,""Grandma"")-COUNTIF(P$4:P16,""Sell_G"&amp;"randma"")&lt;1,COUNTIF(P$4:P16,VLOOKUP(P16,Upgrades!$F$8:$N$8,7+COUNTIF(P$4:P16,P16)))-COUNTIF(P$4:P16,""Sell_""&amp;VLOOKUP(P16,Upgrades!$F$8:$N$8,7+COUNTIF(P$4:P16,P16)))&lt;15),1),IF(REGEXMATCH(P16,""_up""),IF(COUNTIF(P$4:P16,SUBSTITUTE(P16,""_up"",""""))&lt;IFERRO"&amp;"R(VLOOKUP(P16,Upgrades!$L$3:$P$6,1+COUNTIF(P$4:P16,P16),0),999),1),IF(REGEXMATCH(P16,""Sell_""),IF(COUNTIF(P$4:P16,SUBSTITUTE(P16,""Sell_"",""""))-COUNTIF(P$4:P15,P16)&lt;1,1),FALSE)))))))))"),FALSE)</f>
        <v>0</v>
      </c>
      <c r="R16" s="71">
        <f>IFERROR(__xludf.DUMMYFUNCTION("IF(REGEXMATCH(P16,""^Sell_""),R15, IF(COUNTA(P16:P147)=0,"""",(COUNTIF(P$4:P16,""Cursor"")-COUNTIF(P$4:P16,""Sell_Cursor""))*(0.1*2^SWITCH(COUNTIF(P$4:P16,""Cursor_up""),0,0,1,1,2,2,3)+SWITCH(COUNTIF(P$4:P16,""Cursor_up""),4,0.1,0)*(ROW(P16)-4-COUNTIF(P$4"&amp;":P16,""Cursor"")-COUNTIF(P$4:P16,""*""&amp;""_up"")-2*COUNTIF(P$4:P16,""Sell_""&amp;""*"")+COUNTIF(P$4:P16,""Sell_Cursor"")-COUNTIF(P$4:P16,"""")))+(COUNTIF(P$4:P16,""Grandma"")-COUNTIF(P$4:P16,""Sell_Grandma""))*(1*2^(COUNTIF(P$4:P16,""Grandma_up"")+COUNTIF(P$4:"&amp;"P16,""Super_up"")))+(COUNTIF(P$4:P16,""Farm"")-COUNTIF(P$4:P16,""Sell_Farm""))*(8*2^COUNTIF(P$4:P16,""Farm_up""))*IF(COUNTIF(P$4:P16,""Super_up"")&gt;0,1+0.01*(COUNTIF(P$4:P16,""Grandma"")-COUNTIF(P$4:P16,""Sell_Grandma"")),1)+(COUNTIF(P$4:P16,""Mine"")-COUN"&amp;"TIF(P$4:P16,""Sell_Mine""))*((47*2^COUNTIF(P$4:P16,""Mine_up""))*IF(COUNTIF(P$4:P16,""Super_up"")&gt;1,1+0.005*(COUNTIF(P$4:P16,""Grandma"")-COUNTIF(P$4:P16,""Sell_Grandma"")),1))+(COUNTIF(P$4:P16,""Factory"")-COUNTIF(P$4:P16,""Sell_Factory""))*(260*2^COUNTI"&amp;"F(P$4:P16,""Factory_up""))))"),4.6)</f>
        <v>4.6</v>
      </c>
      <c r="S16" s="73">
        <f>IFERROR(__xludf.DUMMYFUNCTION("IF(COUNTA(P16:P147)=0,"""",IF(REGEXMATCH(INDEX(FILTER(P$4:P16,P$4:P16&lt;&gt;""""),ROWS(FILTER(P$4:P16,P$4:P16&lt;&gt;""""))),""^Sell_""),INDEX(FILTER(S$4:S15,P$4:P15&lt;&gt;""""),ROWS(FILTER(P$4:P15,P$4:P15&lt;&gt;""""))),$AD$5*(2^SWITCH(COUNTIF(P$4:P16,""Cursor_up""),0,0,1,1,2"&amp;",2,3)+SWITCH(COUNTIF(P$4:P16,""Cursor_up""),4,0.1,0)*(ROW(P16)-4-COUNTIF(P$4:P16,""Cursor"")-COUNTIF(P$4:P16,""*""&amp;""_up"")-2*COUNTIF(P$4:P16,""Sell_""&amp;""*"")+COUNTIF(P$4:P16,""Sell_Cursor"")-COUNTIF(P$4:P16,""""))+0.01*R16*COUNTIF(P$4:P16,""Plastic_up"")"&amp;")+R16))"),64.6)</f>
        <v>64.6</v>
      </c>
      <c r="T16" s="14">
        <f>IFERROR(__xludf.DUMMYFUNCTION("IF(COUNTA(P16:P147)=0,"""",IF(REGEXMATCH(P16,""_up""),VLOOKUP(P16,Upgrades!$F$3:$J$8,1+COUNTIF(P$4:P16,P16),FALSE),IF(P16="""",0,IF(REGEXMATCH(P16,""^Sell_""),-ROUNDDOWN(ROUNDUP(INDEX(Upgrades!$C$3:$C$8,MATCH(SUBSTITUTE(P16,""Sell_"",""""),Upgrades!$B$3:$"&amp;"B$8,0))*1.15^(COUNTIF(P$4:P15,SUBSTITUTE(P16,""Sell_"",""""))-COUNTIF(P$4:P15,""Sell_""&amp;SUBSTITUTE(P16,""Sell_"",""""))))/4),ROUNDUP(INDEX(Upgrades!$C$3:$C$7,MATCH(P16,Upgrades!$B$3:$B$7,0))*1.15^(COUNTIF(P$4:P15,P16)-COUNTIF(P$4:P15,""Sell_""&amp;P16)))))))"),46.0)</f>
        <v>46</v>
      </c>
      <c r="U16" s="14">
        <f t="shared" si="10"/>
        <v>46</v>
      </c>
      <c r="V16" s="75">
        <f t="shared" si="11"/>
        <v>15177.84465</v>
      </c>
      <c r="W16" s="76">
        <f t="shared" si="12"/>
        <v>29.61652674</v>
      </c>
      <c r="X16" s="71" t="str">
        <f t="shared" si="13"/>
        <v>29s</v>
      </c>
      <c r="Y16" s="77">
        <f t="shared" si="14"/>
        <v>955</v>
      </c>
      <c r="Z16" s="17"/>
      <c r="AA16" s="95" t="s">
        <v>70</v>
      </c>
      <c r="AB16" s="96"/>
      <c r="AC16" s="96"/>
      <c r="AD16" s="96"/>
      <c r="AE16" s="96"/>
      <c r="AF16" s="97"/>
      <c r="AG16" s="13"/>
    </row>
    <row r="17">
      <c r="A17" s="12"/>
      <c r="B17" s="65">
        <f t="shared" si="2"/>
        <v>2</v>
      </c>
      <c r="C17" s="66" t="s">
        <v>13</v>
      </c>
      <c r="D17" s="14" t="b">
        <f>IFERROR(__xludf.DUMMYFUNCTION("IF(COUNTA(C17:C147)=0,"""",IFERROR(IF(ISBLANK(C17),FALSE,IF(ISBLANK(G17),1,IF(NOT(COUNTIF($AA$24:$AA$34,SUBSTITUTE(C17,""Sell_"",""""))),1,IF(C17=""Plastic_up"",IF(I17&lt;1000,1),IF(C17=""Super_Up"",IF(OR(COUNTIF(C$4:C17,""Grandma"")-COUNTIF(C$4:C17,""Sell_G"&amp;"randma"")&lt;1,COUNTIF(C$4:C17,VLOOKUP(C17,Upgrades!$F$8:$N$8,7+COUNTIF(C$4:C17,C17)))-COUNTIF(C$4:C17,""Sell_""&amp;VLOOKUP(C17,Upgrades!$F$8:$N$8,7+COUNTIF(C$4:C17,C17)))&lt;15),1),IF(REGEXMATCH(C17,""_up""),IF(COUNTIF(C$4:C17,SUBSTITUTE(C17,""_up"",""""))&lt;IFERRO"&amp;"R(VLOOKUP(C17,Upgrades!$L$3:$P$6,1+COUNTIF(C$4:C17,C17),0),999),1),IF(REGEXMATCH(C17,""Sell_""),IF(COUNTIF(C$4:C17,SUBSTITUTE(C17,""Sell_"",""""))-COUNTIF(C$4:C16,C17)&lt;1,1),FALSE)))))))))"),FALSE)</f>
        <v>0</v>
      </c>
      <c r="E17" s="71">
        <f>IFERROR(__xludf.DUMMYFUNCTION("IF(REGEXMATCH(C17,""^Sell_""),E16, IF(COUNTA(C17:C147)=0,"""",(COUNTIF(C$4:C17,""Cursor"")-COUNTIF(C$4:C17,""Sell_Cursor""))*(0.1*2^SWITCH(COUNTIF(C$4:C17,""Cursor_up""),0,0,1,1,2,2,3)+SWITCH(COUNTIF(C$4:C17,""Cursor_up""),4,0.1,0)*(ROW(C17)-4-COUNTIF(C$4"&amp;":C17,""Cursor"")-COUNTIF(C$4:C17,""*""&amp;""_up"")-2*COUNTIF(C$4:C17,""Sell_""&amp;""*"")+COUNTIF(C$4:C17,""Sell_Cursor"")-COUNTIF(C$4:C17,"""")))+(COUNTIF(C$4:C17,""Grandma"")-COUNTIF(C$4:C17,""Sell_Grandma""))*(1*2^(COUNTIF(C$4:C17,""Grandma_up"")+COUNTIF(C$4:"&amp;"C17,""Super_up"")))+(COUNTIF(C$4:C17,""Farm"")-COUNTIF(C$4:C17,""Sell_Farm""))*(8*2^COUNTIF(C$4:C17,""Farm_up""))*IF(COUNTIF(C$4:C17,""Super_up"")&gt;0,1+0.01*(COUNTIF(C$4:C17,""Grandma"")-COUNTIF(C$4:C17,""Sell_Grandma"")),1)+(COUNTIF(C$4:C17,""Mine"")-COUN"&amp;"TIF(C$4:C17,""Sell_Mine""))*((47*2^COUNTIF(C$4:C17,""Mine_up""))*IF(COUNTIF(C$4:C17,""Super_up"")&gt;1,1+0.005*(COUNTIF(C$4:C17,""Grandma"")-COUNTIF(C$4:C17,""Sell_Grandma"")),1))+(COUNTIF(C$4:C17,""Factory"")-COUNTIF(C$4:C17,""Sell_Factory""))*(260*2^COUNTI"&amp;"F(C$4:C17,""Factory_up""))))"),5.6)</f>
        <v>5.6</v>
      </c>
      <c r="F17" s="73">
        <f>IFERROR(__xludf.DUMMYFUNCTION("IF(COUNTA(C17:C147)=0,"""",IF(REGEXMATCH(INDEX(FILTER(C$4:C17,C$4:C17&lt;&gt;""""),ROWS(FILTER(C$4:C17,C$4:C17&lt;&gt;""""))),""^Sell_""),INDEX(FILTER(F$4:F16,C$4:C16&lt;&gt;""""),ROWS(FILTER(C$4:C16,C$4:C16&lt;&gt;""""))),$AC$5*(2^SWITCH(COUNTIF(C$4:C17,""Cursor_up""),0,0,1,1,2"&amp;",2,3)+SWITCH(COUNTIF(C$4:C17,""Cursor_up""),4,0.1,0)*(ROW(C17)-4-COUNTIF(C$4:C17,""Cursor"")-COUNTIF(C$4:C17,""*""&amp;""_up"")-2*COUNTIF(C$4:C17,""Sell_""&amp;""*"")+COUNTIF(C$4:C17,""Sell_Cursor"")-COUNTIF(C$4:C17,""""))+0.01*E17*COUNTIF(C$4:C17,""Plastic_up"")"&amp;")+E17))"),65.6)</f>
        <v>65.6</v>
      </c>
      <c r="G17" s="14">
        <f>IFERROR(__xludf.DUMMYFUNCTION("IF(COUNTA(C17:C147)=0,"""",IF(REGEXMATCH(C17,""_up""),VLOOKUP(C17,Upgrades!$F$3:$J$8,1+COUNTIF(C$4:C17,C17),FALSE),IF(C17="""",0,IF(REGEXMATCH(C17,""^Sell_""),-ROUNDDOWN(ROUNDUP(INDEX(Upgrades!$C$3:$C$8,MATCH(SUBSTITUTE(C17,""Sell_"",""""),Upgrades!$B$3:$"&amp;"B$8,0))*1.15^(COUNTIF(C$4:C16,SUBSTITUTE(C17,""Sell_"",""""))-COUNTIF(C$4:C16,""Sell_""&amp;SUBSTITUTE(C17,""Sell_"",""""))))/4),ROUNDUP(INDEX(Upgrades!$C$3:$C$7,MATCH(C17,Upgrades!$B$3:$B$7,0))*1.15^(COUNTIF(C$4:C16,C17)-COUNTIF(C$4:C16,""Sell_""&amp;C17)))))))"),115.0)</f>
        <v>115</v>
      </c>
      <c r="H17" s="14">
        <f t="shared" si="3"/>
        <v>115</v>
      </c>
      <c r="I17" s="75">
        <f t="shared" si="4"/>
        <v>17061.6474</v>
      </c>
      <c r="J17" s="76">
        <f t="shared" si="5"/>
        <v>31.3967125</v>
      </c>
      <c r="K17" s="71" t="str">
        <f t="shared" si="6"/>
        <v>31s</v>
      </c>
      <c r="L17" s="77">
        <f t="shared" si="7"/>
        <v>1070</v>
      </c>
      <c r="M17" s="51">
        <f t="shared" si="8"/>
        <v>0</v>
      </c>
      <c r="N17" s="52">
        <f>IFERROR(__xludf.DUMMYFUNCTION("IFS(AND(COUNTA(C17:C147)=0,COUNTA(P17:P147)=0),"""",OR(AND(L17&gt;=1000000,OR(Y17&gt;=1000000,COUNTA(P17:P147)=0)),AND(Y17&gt;=1000000,COUNTA(C17:C147)=0),AND(COUNTA(P17:P147)=0,O$3=TRUE)),
ROUNDDOWN((AB$1-AC$1)*MAX(INDEX(S$4:S147,MATCH(LARGE(FILTER(Y$4:Y147,Y$4:Y"&amp;"147&lt;1000000),1),Y$4:Y147)),INDEX(F$4:F147,MATCH(LARGE(FILTER(L$4:L147,L$4:L147&lt;1000000),1),L$4:L147)))),AND(L17&lt;1000000,COUNTA(C17:C147)&gt;0,O$3=FALSE),
ROUNDDOWN(INDEX(Y$4:Y147,MATCH(LARGE(FILTER(W$4:W147,W$4:W147&lt;=J17),1),W$4:W147))+(J17-LARGE(FILTER(W$4:"&amp;"W147,W$4:W147&lt;=J17),1))*INDEX(S$4:S147,MATCH(LARGE(FILTER(W$4:W147,W$4:W147&lt;=J17),1),W$4:W147))-L17),1,
ROUNDDOWN(Y17-INDEX(L$4:L147,MATCH(LARGE(FILTER(J$4:J147,J$4:J147&lt;=W17),1),J$4:J147))-(W17-LARGE(FILTER(J$4:J147,J$4:J147&lt;=W17),1))*INDEX(F$4:F147,MATC"&amp;"H(LARGE(FILTER(J$4:J147,J$4:J147&lt;=W17),1),J$4:J147))))"),0.0)</f>
        <v>0</v>
      </c>
      <c r="O17" s="65">
        <f t="shared" si="9"/>
        <v>2</v>
      </c>
      <c r="P17" s="66" t="s">
        <v>13</v>
      </c>
      <c r="Q17" s="14" t="b">
        <f>IFERROR(__xludf.DUMMYFUNCTION("IF(COUNTA(P17:P147)=0,"""",IFERROR(IF(ISBLANK(P17),FALSE,IF(ISBLANK(T17),1,IF(NOT(COUNTIF($AA$24:$AA$34,SUBSTITUTE(P17,""Sell_"",""""))),1,IF(P17=""Plastic_up"",IF(V17&lt;1000,1),IF(P17=""Super_Up"",IF(OR(COUNTIF(P$4:P17,""Grandma"")-COUNTIF(P$4:P17,""Sell_G"&amp;"randma"")&lt;1,COUNTIF(P$4:P17,VLOOKUP(P17,Upgrades!$F$8:$N$8,7+COUNTIF(P$4:P17,P17)))-COUNTIF(P$4:P17,""Sell_""&amp;VLOOKUP(P17,Upgrades!$F$8:$N$8,7+COUNTIF(P$4:P17,P17)))&lt;15),1),IF(REGEXMATCH(P17,""_up""),IF(COUNTIF(P$4:P17,SUBSTITUTE(P17,""_up"",""""))&lt;IFERRO"&amp;"R(VLOOKUP(P17,Upgrades!$L$3:$P$6,1+COUNTIF(P$4:P17,P17),0),999),1),IF(REGEXMATCH(P17,""Sell_""),IF(COUNTIF(P$4:P17,SUBSTITUTE(P17,""Sell_"",""""))-COUNTIF(P$4:P16,P17)&lt;1,1),FALSE)))))))))"),FALSE)</f>
        <v>0</v>
      </c>
      <c r="R17" s="71">
        <f>IFERROR(__xludf.DUMMYFUNCTION("IF(REGEXMATCH(P17,""^Sell_""),R16, IF(COUNTA(P17:P147)=0,"""",(COUNTIF(P$4:P17,""Cursor"")-COUNTIF(P$4:P17,""Sell_Cursor""))*(0.1*2^SWITCH(COUNTIF(P$4:P17,""Cursor_up""),0,0,1,1,2,2,3)+SWITCH(COUNTIF(P$4:P17,""Cursor_up""),4,0.1,0)*(ROW(P17)-4-COUNTIF(P$4"&amp;":P17,""Cursor"")-COUNTIF(P$4:P17,""*""&amp;""_up"")-2*COUNTIF(P$4:P17,""Sell_""&amp;""*"")+COUNTIF(P$4:P17,""Sell_Cursor"")-COUNTIF(P$4:P17,"""")))+(COUNTIF(P$4:P17,""Grandma"")-COUNTIF(P$4:P17,""Sell_Grandma""))*(1*2^(COUNTIF(P$4:P17,""Grandma_up"")+COUNTIF(P$4:"&amp;"P17,""Super_up"")))+(COUNTIF(P$4:P17,""Farm"")-COUNTIF(P$4:P17,""Sell_Farm""))*(8*2^COUNTIF(P$4:P17,""Farm_up""))*IF(COUNTIF(P$4:P17,""Super_up"")&gt;0,1+0.01*(COUNTIF(P$4:P17,""Grandma"")-COUNTIF(P$4:P17,""Sell_Grandma"")),1)+(COUNTIF(P$4:P17,""Mine"")-COUN"&amp;"TIF(P$4:P17,""Sell_Mine""))*((47*2^COUNTIF(P$4:P17,""Mine_up""))*IF(COUNTIF(P$4:P17,""Super_up"")&gt;1,1+0.005*(COUNTIF(P$4:P17,""Grandma"")-COUNTIF(P$4:P17,""Sell_Grandma"")),1))+(COUNTIF(P$4:P17,""Factory"")-COUNTIF(P$4:P17,""Sell_Factory""))*(260*2^COUNTI"&amp;"F(P$4:P17,""Factory_up""))))"),5.6)</f>
        <v>5.6</v>
      </c>
      <c r="S17" s="73">
        <f>IFERROR(__xludf.DUMMYFUNCTION("IF(COUNTA(P17:P147)=0,"""",IF(REGEXMATCH(INDEX(FILTER(P$4:P17,P$4:P17&lt;&gt;""""),ROWS(FILTER(P$4:P17,P$4:P17&lt;&gt;""""))),""^Sell_""),INDEX(FILTER(S$4:S16,P$4:P16&lt;&gt;""""),ROWS(FILTER(P$4:P16,P$4:P16&lt;&gt;""""))),$AD$5*(2^SWITCH(COUNTIF(P$4:P17,""Cursor_up""),0,0,1,1,2"&amp;",2,3)+SWITCH(COUNTIF(P$4:P17,""Cursor_up""),4,0.1,0)*(ROW(P17)-4-COUNTIF(P$4:P17,""Cursor"")-COUNTIF(P$4:P17,""*""&amp;""_up"")-2*COUNTIF(P$4:P17,""Sell_""&amp;""*"")+COUNTIF(P$4:P17,""Sell_Cursor"")-COUNTIF(P$4:P17,""""))+0.01*R17*COUNTIF(P$4:P17,""Plastic_up"")"&amp;")+R17))"),65.6)</f>
        <v>65.6</v>
      </c>
      <c r="T17" s="14">
        <f>IFERROR(__xludf.DUMMYFUNCTION("IF(COUNTA(P17:P147)=0,"""",IF(REGEXMATCH(P17,""_up""),VLOOKUP(P17,Upgrades!$F$3:$J$8,1+COUNTIF(P$4:P17,P17),FALSE),IF(P17="""",0,IF(REGEXMATCH(P17,""^Sell_""),-ROUNDDOWN(ROUNDUP(INDEX(Upgrades!$C$3:$C$8,MATCH(SUBSTITUTE(P17,""Sell_"",""""),Upgrades!$B$3:$"&amp;"B$8,0))*1.15^(COUNTIF(P$4:P16,SUBSTITUTE(P17,""Sell_"",""""))-COUNTIF(P$4:P16,""Sell_""&amp;SUBSTITUTE(P17,""Sell_"",""""))))/4),ROUNDUP(INDEX(Upgrades!$C$3:$C$7,MATCH(P17,Upgrades!$B$3:$B$7,0))*1.15^(COUNTIF(P$4:P16,P17)-COUNTIF(P$4:P16,""Sell_""&amp;P17)))))))"),115.0)</f>
        <v>115</v>
      </c>
      <c r="U17" s="14">
        <f t="shared" si="10"/>
        <v>115</v>
      </c>
      <c r="V17" s="75">
        <f t="shared" si="11"/>
        <v>17061.6474</v>
      </c>
      <c r="W17" s="76">
        <f t="shared" si="12"/>
        <v>31.3967125</v>
      </c>
      <c r="X17" s="71" t="str">
        <f t="shared" si="13"/>
        <v>31s</v>
      </c>
      <c r="Y17" s="77">
        <f t="shared" si="14"/>
        <v>1070</v>
      </c>
      <c r="Z17" s="17"/>
      <c r="AA17" s="13"/>
      <c r="AB17" s="13"/>
      <c r="AC17" s="13"/>
      <c r="AD17" s="13"/>
      <c r="AE17" s="13"/>
      <c r="AF17" s="13"/>
      <c r="AG17" s="13"/>
    </row>
    <row r="18">
      <c r="A18" s="12"/>
      <c r="B18" s="65">
        <f t="shared" si="2"/>
        <v>10</v>
      </c>
      <c r="C18" s="66" t="s">
        <v>10</v>
      </c>
      <c r="D18" s="14" t="b">
        <f>IFERROR(__xludf.DUMMYFUNCTION("IF(COUNTA(C18:C147)=0,"""",IFERROR(IF(ISBLANK(C18),FALSE,IF(ISBLANK(G18),1,IF(NOT(COUNTIF($AA$24:$AA$34,SUBSTITUTE(C18,""Sell_"",""""))),1,IF(C18=""Plastic_up"",IF(I18&lt;1000,1),IF(C18=""Super_Up"",IF(OR(COUNTIF(C$4:C18,""Grandma"")-COUNTIF(C$4:C18,""Sell_G"&amp;"randma"")&lt;1,COUNTIF(C$4:C18,VLOOKUP(C18,Upgrades!$F$8:$N$8,7+COUNTIF(C$4:C18,C18)))-COUNTIF(C$4:C18,""Sell_""&amp;VLOOKUP(C18,Upgrades!$F$8:$N$8,7+COUNTIF(C$4:C18,C18)))&lt;15),1),IF(REGEXMATCH(C18,""_up""),IF(COUNTIF(C$4:C18,SUBSTITUTE(C18,""_up"",""""))&lt;IFERRO"&amp;"R(VLOOKUP(C18,Upgrades!$L$3:$P$6,1+COUNTIF(C$4:C18,C18),0),999),1),IF(REGEXMATCH(C18,""Sell_""),IF(COUNTIF(C$4:C18,SUBSTITUTE(C18,""Sell_"",""""))-COUNTIF(C$4:C17,C18)&lt;1,1),FALSE)))))))))"),FALSE)</f>
        <v>0</v>
      </c>
      <c r="E18" s="71">
        <f>IFERROR(__xludf.DUMMYFUNCTION("IF(REGEXMATCH(C18,""^Sell_""),E17, IF(COUNTA(C18:C147)=0,"""",(COUNTIF(C$4:C18,""Cursor"")-COUNTIF(C$4:C18,""Sell_Cursor""))*(0.1*2^SWITCH(COUNTIF(C$4:C18,""Cursor_up""),0,0,1,1,2,2,3)+SWITCH(COUNTIF(C$4:C18,""Cursor_up""),4,0.1,0)*(ROW(C18)-4-COUNTIF(C$4"&amp;":C18,""Cursor"")-COUNTIF(C$4:C18,""*""&amp;""_up"")-2*COUNTIF(C$4:C18,""Sell_""&amp;""*"")+COUNTIF(C$4:C18,""Sell_Cursor"")-COUNTIF(C$4:C18,"""")))+(COUNTIF(C$4:C18,""Grandma"")-COUNTIF(C$4:C18,""Sell_Grandma""))*(1*2^(COUNTIF(C$4:C18,""Grandma_up"")+COUNTIF(C$4:"&amp;"C18,""Super_up"")))+(COUNTIF(C$4:C18,""Farm"")-COUNTIF(C$4:C18,""Sell_Farm""))*(8*2^COUNTIF(C$4:C18,""Farm_up""))*IF(COUNTIF(C$4:C18,""Super_up"")&gt;0,1+0.01*(COUNTIF(C$4:C18,""Grandma"")-COUNTIF(C$4:C18,""Sell_Grandma"")),1)+(COUNTIF(C$4:C18,""Mine"")-COUN"&amp;"TIF(C$4:C18,""Sell_Mine""))*((47*2^COUNTIF(C$4:C18,""Mine_up""))*IF(COUNTIF(C$4:C18,""Super_up"")&gt;1,1+0.005*(COUNTIF(C$4:C18,""Grandma"")-COUNTIF(C$4:C18,""Sell_Grandma"")),1))+(COUNTIF(C$4:C18,""Factory"")-COUNTIF(C$4:C18,""Sell_Factory""))*(260*2^COUNTI"&amp;"F(C$4:C18,""Factory_up""))))"),6.0)</f>
        <v>6</v>
      </c>
      <c r="F18" s="73">
        <f>IFERROR(__xludf.DUMMYFUNCTION("IF(COUNTA(C18:C147)=0,"""",IF(REGEXMATCH(INDEX(FILTER(C$4:C18,C$4:C18&lt;&gt;""""),ROWS(FILTER(C$4:C18,C$4:C18&lt;&gt;""""))),""^Sell_""),INDEX(FILTER(F$4:F17,C$4:C17&lt;&gt;""""),ROWS(FILTER(C$4:C17,C$4:C17&lt;&gt;""""))),$AC$5*(2^SWITCH(COUNTIF(C$4:C18,""Cursor_up""),0,0,1,1,2"&amp;",2,3)+SWITCH(COUNTIF(C$4:C18,""Cursor_up""),4,0.1,0)*(ROW(C18)-4-COUNTIF(C$4:C18,""Cursor"")-COUNTIF(C$4:C18,""*""&amp;""_up"")-2*COUNTIF(C$4:C18,""Sell_""&amp;""*"")+COUNTIF(C$4:C18,""Sell_Cursor"")-COUNTIF(C$4:C18,""""))+0.01*E18*COUNTIF(C$4:C18,""Plastic_up"")"&amp;")+E18))"),66.0)</f>
        <v>66</v>
      </c>
      <c r="G18" s="14">
        <f>IFERROR(__xludf.DUMMYFUNCTION("IF(COUNTA(C18:C147)=0,"""",IF(REGEXMATCH(C18,""_up""),VLOOKUP(C18,Upgrades!$F$3:$J$8,1+COUNTIF(C$4:C18,C18),FALSE),IF(C18="""",0,IF(REGEXMATCH(C18,""^Sell_""),-ROUNDDOWN(ROUNDUP(INDEX(Upgrades!$C$3:$C$8,MATCH(SUBSTITUTE(C18,""Sell_"",""""),Upgrades!$B$3:$"&amp;"B$8,0))*1.15^(COUNTIF(C$4:C17,SUBSTITUTE(C18,""Sell_"",""""))-COUNTIF(C$4:C17,""Sell_""&amp;SUBSTITUTE(C18,""Sell_"",""""))))/4),ROUNDUP(INDEX(Upgrades!$C$3:$C$7,MATCH(C18,Upgrades!$B$3:$B$7,0))*1.15^(COUNTIF(C$4:C17,C18)-COUNTIF(C$4:C17,""Sell_""&amp;C18)))))))"),53.0)</f>
        <v>53</v>
      </c>
      <c r="H18" s="14">
        <f t="shared" si="3"/>
        <v>53</v>
      </c>
      <c r="I18" s="75">
        <f t="shared" si="4"/>
        <v>18993.92576</v>
      </c>
      <c r="J18" s="76">
        <f t="shared" si="5"/>
        <v>32.20463933</v>
      </c>
      <c r="K18" s="71" t="str">
        <f t="shared" si="6"/>
        <v>32s</v>
      </c>
      <c r="L18" s="77">
        <f t="shared" si="7"/>
        <v>1123</v>
      </c>
      <c r="M18" s="51">
        <f t="shared" si="8"/>
        <v>0</v>
      </c>
      <c r="N18" s="52">
        <f>IFERROR(__xludf.DUMMYFUNCTION("IFS(AND(COUNTA(C18:C147)=0,COUNTA(P18:P147)=0),"""",OR(AND(L18&gt;=1000000,OR(Y18&gt;=1000000,COUNTA(P18:P147)=0)),AND(Y18&gt;=1000000,COUNTA(C18:C147)=0),AND(COUNTA(P18:P147)=0,O$3=TRUE)),
ROUNDDOWN((AB$1-AC$1)*MAX(INDEX(S$4:S147,MATCH(LARGE(FILTER(Y$4:Y147,Y$4:Y"&amp;"147&lt;1000000),1),Y$4:Y147)),INDEX(F$4:F147,MATCH(LARGE(FILTER(L$4:L147,L$4:L147&lt;1000000),1),L$4:L147)))),AND(L18&lt;1000000,COUNTA(C18:C147)&gt;0,O$3=FALSE),
ROUNDDOWN(INDEX(Y$4:Y147,MATCH(LARGE(FILTER(W$4:W147,W$4:W147&lt;=J18),1),W$4:W147))+(J18-LARGE(FILTER(W$4:"&amp;"W147,W$4:W147&lt;=J18),1))*INDEX(S$4:S147,MATCH(LARGE(FILTER(W$4:W147,W$4:W147&lt;=J18),1),W$4:W147))-L18),1,
ROUNDDOWN(Y18-INDEX(L$4:L147,MATCH(LARGE(FILTER(J$4:J147,J$4:J147&lt;=W18),1),J$4:J147))-(W18-LARGE(FILTER(J$4:J147,J$4:J147&lt;=W18),1))*INDEX(F$4:F147,MATC"&amp;"H(LARGE(FILTER(J$4:J147,J$4:J147&lt;=W18),1),J$4:J147))))"),0.0)</f>
        <v>0</v>
      </c>
      <c r="O18" s="65">
        <f t="shared" si="9"/>
        <v>10</v>
      </c>
      <c r="P18" s="66" t="s">
        <v>10</v>
      </c>
      <c r="Q18" s="14" t="b">
        <f>IFERROR(__xludf.DUMMYFUNCTION("IF(COUNTA(P18:P147)=0,"""",IFERROR(IF(ISBLANK(P18),FALSE,IF(ISBLANK(T18),1,IF(NOT(COUNTIF($AA$24:$AA$34,SUBSTITUTE(P18,""Sell_"",""""))),1,IF(P18=""Plastic_up"",IF(V18&lt;1000,1),IF(P18=""Super_Up"",IF(OR(COUNTIF(P$4:P18,""Grandma"")-COUNTIF(P$4:P18,""Sell_G"&amp;"randma"")&lt;1,COUNTIF(P$4:P18,VLOOKUP(P18,Upgrades!$F$8:$N$8,7+COUNTIF(P$4:P18,P18)))-COUNTIF(P$4:P18,""Sell_""&amp;VLOOKUP(P18,Upgrades!$F$8:$N$8,7+COUNTIF(P$4:P18,P18)))&lt;15),1),IF(REGEXMATCH(P18,""_up""),IF(COUNTIF(P$4:P18,SUBSTITUTE(P18,""_up"",""""))&lt;IFERRO"&amp;"R(VLOOKUP(P18,Upgrades!$L$3:$P$6,1+COUNTIF(P$4:P18,P18),0),999),1),IF(REGEXMATCH(P18,""Sell_""),IF(COUNTIF(P$4:P18,SUBSTITUTE(P18,""Sell_"",""""))-COUNTIF(P$4:P17,P18)&lt;1,1),FALSE)))))))))"),FALSE)</f>
        <v>0</v>
      </c>
      <c r="R18" s="71">
        <f>IFERROR(__xludf.DUMMYFUNCTION("IF(REGEXMATCH(P18,""^Sell_""),R17, IF(COUNTA(P18:P147)=0,"""",(COUNTIF(P$4:P18,""Cursor"")-COUNTIF(P$4:P18,""Sell_Cursor""))*(0.1*2^SWITCH(COUNTIF(P$4:P18,""Cursor_up""),0,0,1,1,2,2,3)+SWITCH(COUNTIF(P$4:P18,""Cursor_up""),4,0.1,0)*(ROW(P18)-4-COUNTIF(P$4"&amp;":P18,""Cursor"")-COUNTIF(P$4:P18,""*""&amp;""_up"")-2*COUNTIF(P$4:P18,""Sell_""&amp;""*"")+COUNTIF(P$4:P18,""Sell_Cursor"")-COUNTIF(P$4:P18,"""")))+(COUNTIF(P$4:P18,""Grandma"")-COUNTIF(P$4:P18,""Sell_Grandma""))*(1*2^(COUNTIF(P$4:P18,""Grandma_up"")+COUNTIF(P$4:"&amp;"P18,""Super_up"")))+(COUNTIF(P$4:P18,""Farm"")-COUNTIF(P$4:P18,""Sell_Farm""))*(8*2^COUNTIF(P$4:P18,""Farm_up""))*IF(COUNTIF(P$4:P18,""Super_up"")&gt;0,1+0.01*(COUNTIF(P$4:P18,""Grandma"")-COUNTIF(P$4:P18,""Sell_Grandma"")),1)+(COUNTIF(P$4:P18,""Mine"")-COUN"&amp;"TIF(P$4:P18,""Sell_Mine""))*((47*2^COUNTIF(P$4:P18,""Mine_up""))*IF(COUNTIF(P$4:P18,""Super_up"")&gt;1,1+0.005*(COUNTIF(P$4:P18,""Grandma"")-COUNTIF(P$4:P18,""Sell_Grandma"")),1))+(COUNTIF(P$4:P18,""Factory"")-COUNTIF(P$4:P18,""Sell_Factory""))*(260*2^COUNTI"&amp;"F(P$4:P18,""Factory_up""))))"),6.0)</f>
        <v>6</v>
      </c>
      <c r="S18" s="73">
        <f>IFERROR(__xludf.DUMMYFUNCTION("IF(COUNTA(P18:P147)=0,"""",IF(REGEXMATCH(INDEX(FILTER(P$4:P18,P$4:P18&lt;&gt;""""),ROWS(FILTER(P$4:P18,P$4:P18&lt;&gt;""""))),""^Sell_""),INDEX(FILTER(S$4:S17,P$4:P17&lt;&gt;""""),ROWS(FILTER(P$4:P17,P$4:P17&lt;&gt;""""))),$AD$5*(2^SWITCH(COUNTIF(P$4:P18,""Cursor_up""),0,0,1,1,2"&amp;",2,3)+SWITCH(COUNTIF(P$4:P18,""Cursor_up""),4,0.1,0)*(ROW(P18)-4-COUNTIF(P$4:P18,""Cursor"")-COUNTIF(P$4:P18,""*""&amp;""_up"")-2*COUNTIF(P$4:P18,""Sell_""&amp;""*"")+COUNTIF(P$4:P18,""Sell_Cursor"")-COUNTIF(P$4:P18,""""))+0.01*R18*COUNTIF(P$4:P18,""Plastic_up"")"&amp;")+R18))"),66.0)</f>
        <v>66</v>
      </c>
      <c r="T18" s="14">
        <f>IFERROR(__xludf.DUMMYFUNCTION("IF(COUNTA(P18:P147)=0,"""",IF(REGEXMATCH(P18,""_up""),VLOOKUP(P18,Upgrades!$F$3:$J$8,1+COUNTIF(P$4:P18,P18),FALSE),IF(P18="""",0,IF(REGEXMATCH(P18,""^Sell_""),-ROUNDDOWN(ROUNDUP(INDEX(Upgrades!$C$3:$C$8,MATCH(SUBSTITUTE(P18,""Sell_"",""""),Upgrades!$B$3:$"&amp;"B$8,0))*1.15^(COUNTIF(P$4:P17,SUBSTITUTE(P18,""Sell_"",""""))-COUNTIF(P$4:P17,""Sell_""&amp;SUBSTITUTE(P18,""Sell_"",""""))))/4),ROUNDUP(INDEX(Upgrades!$C$3:$C$7,MATCH(P18,Upgrades!$B$3:$B$7,0))*1.15^(COUNTIF(P$4:P17,P18)-COUNTIF(P$4:P17,""Sell_""&amp;P18)))))))"),53.0)</f>
        <v>53</v>
      </c>
      <c r="U18" s="14">
        <f t="shared" si="10"/>
        <v>53</v>
      </c>
      <c r="V18" s="75">
        <f t="shared" si="11"/>
        <v>18993.92576</v>
      </c>
      <c r="W18" s="76">
        <f t="shared" si="12"/>
        <v>32.20463933</v>
      </c>
      <c r="X18" s="71" t="str">
        <f t="shared" si="13"/>
        <v>32s</v>
      </c>
      <c r="Y18" s="77">
        <f t="shared" si="14"/>
        <v>1123</v>
      </c>
      <c r="Z18" s="17"/>
      <c r="AA18" s="89" t="s">
        <v>71</v>
      </c>
      <c r="AB18" s="90"/>
      <c r="AC18" s="90"/>
      <c r="AD18" s="90"/>
      <c r="AE18" s="90"/>
      <c r="AF18" s="91"/>
      <c r="AG18" s="13"/>
    </row>
    <row r="19">
      <c r="A19" s="12"/>
      <c r="B19" s="65">
        <f t="shared" si="2"/>
        <v>3</v>
      </c>
      <c r="C19" s="66" t="s">
        <v>13</v>
      </c>
      <c r="D19" s="14" t="b">
        <f>IFERROR(__xludf.DUMMYFUNCTION("IF(COUNTA(C19:C147)=0,"""",IFERROR(IF(ISBLANK(C19),FALSE,IF(ISBLANK(G19),1,IF(NOT(COUNTIF($AA$24:$AA$34,SUBSTITUTE(C19,""Sell_"",""""))),1,IF(C19=""Plastic_up"",IF(I19&lt;1000,1),IF(C19=""Super_Up"",IF(OR(COUNTIF(C$4:C19,""Grandma"")-COUNTIF(C$4:C19,""Sell_G"&amp;"randma"")&lt;1,COUNTIF(C$4:C19,VLOOKUP(C19,Upgrades!$F$8:$N$8,7+COUNTIF(C$4:C19,C19)))-COUNTIF(C$4:C19,""Sell_""&amp;VLOOKUP(C19,Upgrades!$F$8:$N$8,7+COUNTIF(C$4:C19,C19)))&lt;15),1),IF(REGEXMATCH(C19,""_up""),IF(COUNTIF(C$4:C19,SUBSTITUTE(C19,""_up"",""""))&lt;IFERRO"&amp;"R(VLOOKUP(C19,Upgrades!$L$3:$P$6,1+COUNTIF(C$4:C19,C19),0),999),1),IF(REGEXMATCH(C19,""Sell_""),IF(COUNTIF(C$4:C19,SUBSTITUTE(C19,""Sell_"",""""))-COUNTIF(C$4:C18,C19)&lt;1,1),FALSE)))))))))"),FALSE)</f>
        <v>0</v>
      </c>
      <c r="E19" s="71">
        <f>IFERROR(__xludf.DUMMYFUNCTION("IF(REGEXMATCH(C19,""^Sell_""),E18, IF(COUNTA(C19:C147)=0,"""",(COUNTIF(C$4:C19,""Cursor"")-COUNTIF(C$4:C19,""Sell_Cursor""))*(0.1*2^SWITCH(COUNTIF(C$4:C19,""Cursor_up""),0,0,1,1,2,2,3)+SWITCH(COUNTIF(C$4:C19,""Cursor_up""),4,0.1,0)*(ROW(C19)-4-COUNTIF(C$4"&amp;":C19,""Cursor"")-COUNTIF(C$4:C19,""*""&amp;""_up"")-2*COUNTIF(C$4:C19,""Sell_""&amp;""*"")+COUNTIF(C$4:C19,""Sell_Cursor"")-COUNTIF(C$4:C19,"""")))+(COUNTIF(C$4:C19,""Grandma"")-COUNTIF(C$4:C19,""Sell_Grandma""))*(1*2^(COUNTIF(C$4:C19,""Grandma_up"")+COUNTIF(C$4:"&amp;"C19,""Super_up"")))+(COUNTIF(C$4:C19,""Farm"")-COUNTIF(C$4:C19,""Sell_Farm""))*(8*2^COUNTIF(C$4:C19,""Farm_up""))*IF(COUNTIF(C$4:C19,""Super_up"")&gt;0,1+0.01*(COUNTIF(C$4:C19,""Grandma"")-COUNTIF(C$4:C19,""Sell_Grandma"")),1)+(COUNTIF(C$4:C19,""Mine"")-COUN"&amp;"TIF(C$4:C19,""Sell_Mine""))*((47*2^COUNTIF(C$4:C19,""Mine_up""))*IF(COUNTIF(C$4:C19,""Super_up"")&gt;1,1+0.005*(COUNTIF(C$4:C19,""Grandma"")-COUNTIF(C$4:C19,""Sell_Grandma"")),1))+(COUNTIF(C$4:C19,""Factory"")-COUNTIF(C$4:C19,""Sell_Factory""))*(260*2^COUNTI"&amp;"F(C$4:C19,""Factory_up""))))"),7.0)</f>
        <v>7</v>
      </c>
      <c r="F19" s="73">
        <f>IFERROR(__xludf.DUMMYFUNCTION("IF(COUNTA(C19:C147)=0,"""",IF(REGEXMATCH(INDEX(FILTER(C$4:C19,C$4:C19&lt;&gt;""""),ROWS(FILTER(C$4:C19,C$4:C19&lt;&gt;""""))),""^Sell_""),INDEX(FILTER(F$4:F18,C$4:C18&lt;&gt;""""),ROWS(FILTER(C$4:C18,C$4:C18&lt;&gt;""""))),$AC$5*(2^SWITCH(COUNTIF(C$4:C19,""Cursor_up""),0,0,1,1,2"&amp;",2,3)+SWITCH(COUNTIF(C$4:C19,""Cursor_up""),4,0.1,0)*(ROW(C19)-4-COUNTIF(C$4:C19,""Cursor"")-COUNTIF(C$4:C19,""*""&amp;""_up"")-2*COUNTIF(C$4:C19,""Sell_""&amp;""*"")+COUNTIF(C$4:C19,""Sell_Cursor"")-COUNTIF(C$4:C19,""""))+0.01*E19*COUNTIF(C$4:C19,""Plastic_up"")"&amp;")+E19))"),67.0)</f>
        <v>67</v>
      </c>
      <c r="G19" s="14">
        <f>IFERROR(__xludf.DUMMYFUNCTION("IF(COUNTA(C19:C147)=0,"""",IF(REGEXMATCH(C19,""_up""),VLOOKUP(C19,Upgrades!$F$3:$J$8,1+COUNTIF(C$4:C19,C19),FALSE),IF(C19="""",0,IF(REGEXMATCH(C19,""^Sell_""),-ROUNDDOWN(ROUNDUP(INDEX(Upgrades!$C$3:$C$8,MATCH(SUBSTITUTE(C19,""Sell_"",""""),Upgrades!$B$3:$"&amp;"B$8,0))*1.15^(COUNTIF(C$4:C18,SUBSTITUTE(C19,""Sell_"",""""))-COUNTIF(C$4:C18,""Sell_""&amp;SUBSTITUTE(C19,""Sell_"",""""))))/4),ROUNDUP(INDEX(Upgrades!$C$3:$C$7,MATCH(C19,Upgrades!$B$3:$B$7,0))*1.15^(COUNTIF(C$4:C18,C19)-COUNTIF(C$4:C18,""Sell_""&amp;C19)))))))"),133.0)</f>
        <v>133</v>
      </c>
      <c r="H19" s="14">
        <f t="shared" si="3"/>
        <v>133</v>
      </c>
      <c r="I19" s="75">
        <f t="shared" si="4"/>
        <v>21047.11321</v>
      </c>
      <c r="J19" s="76">
        <f t="shared" si="5"/>
        <v>34.21979084</v>
      </c>
      <c r="K19" s="71" t="str">
        <f t="shared" si="6"/>
        <v>34s</v>
      </c>
      <c r="L19" s="77">
        <f t="shared" si="7"/>
        <v>1256</v>
      </c>
      <c r="M19" s="51">
        <f t="shared" si="8"/>
        <v>0</v>
      </c>
      <c r="N19" s="52">
        <f>IFERROR(__xludf.DUMMYFUNCTION("IFS(AND(COUNTA(C19:C147)=0,COUNTA(P19:P147)=0),"""",OR(AND(L19&gt;=1000000,OR(Y19&gt;=1000000,COUNTA(P19:P147)=0)),AND(Y19&gt;=1000000,COUNTA(C19:C147)=0),AND(COUNTA(P19:P147)=0,O$3=TRUE)),
ROUNDDOWN((AB$1-AC$1)*MAX(INDEX(S$4:S147,MATCH(LARGE(FILTER(Y$4:Y147,Y$4:Y"&amp;"147&lt;1000000),1),Y$4:Y147)),INDEX(F$4:F147,MATCH(LARGE(FILTER(L$4:L147,L$4:L147&lt;1000000),1),L$4:L147)))),AND(L19&lt;1000000,COUNTA(C19:C147)&gt;0,O$3=FALSE),
ROUNDDOWN(INDEX(Y$4:Y147,MATCH(LARGE(FILTER(W$4:W147,W$4:W147&lt;=J19),1),W$4:W147))+(J19-LARGE(FILTER(W$4:"&amp;"W147,W$4:W147&lt;=J19),1))*INDEX(S$4:S147,MATCH(LARGE(FILTER(W$4:W147,W$4:W147&lt;=J19),1),W$4:W147))-L19),1,
ROUNDDOWN(Y19-INDEX(L$4:L147,MATCH(LARGE(FILTER(J$4:J147,J$4:J147&lt;=W19),1),J$4:J147))-(W19-LARGE(FILTER(J$4:J147,J$4:J147&lt;=W19),1))*INDEX(F$4:F147,MATC"&amp;"H(LARGE(FILTER(J$4:J147,J$4:J147&lt;=W19),1),J$4:J147))))"),0.0)</f>
        <v>0</v>
      </c>
      <c r="O19" s="65">
        <f t="shared" si="9"/>
        <v>3</v>
      </c>
      <c r="P19" s="66" t="s">
        <v>13</v>
      </c>
      <c r="Q19" s="14" t="b">
        <f>IFERROR(__xludf.DUMMYFUNCTION("IF(COUNTA(P19:P147)=0,"""",IFERROR(IF(ISBLANK(P19),FALSE,IF(ISBLANK(T19),1,IF(NOT(COUNTIF($AA$24:$AA$34,SUBSTITUTE(P19,""Sell_"",""""))),1,IF(P19=""Plastic_up"",IF(V19&lt;1000,1),IF(P19=""Super_Up"",IF(OR(COUNTIF(P$4:P19,""Grandma"")-COUNTIF(P$4:P19,""Sell_G"&amp;"randma"")&lt;1,COUNTIF(P$4:P19,VLOOKUP(P19,Upgrades!$F$8:$N$8,7+COUNTIF(P$4:P19,P19)))-COUNTIF(P$4:P19,""Sell_""&amp;VLOOKUP(P19,Upgrades!$F$8:$N$8,7+COUNTIF(P$4:P19,P19)))&lt;15),1),IF(REGEXMATCH(P19,""_up""),IF(COUNTIF(P$4:P19,SUBSTITUTE(P19,""_up"",""""))&lt;IFERRO"&amp;"R(VLOOKUP(P19,Upgrades!$L$3:$P$6,1+COUNTIF(P$4:P19,P19),0),999),1),IF(REGEXMATCH(P19,""Sell_""),IF(COUNTIF(P$4:P19,SUBSTITUTE(P19,""Sell_"",""""))-COUNTIF(P$4:P18,P19)&lt;1,1),FALSE)))))))))"),FALSE)</f>
        <v>0</v>
      </c>
      <c r="R19" s="71">
        <f>IFERROR(__xludf.DUMMYFUNCTION("IF(REGEXMATCH(P19,""^Sell_""),R18, IF(COUNTA(P19:P147)=0,"""",(COUNTIF(P$4:P19,""Cursor"")-COUNTIF(P$4:P19,""Sell_Cursor""))*(0.1*2^SWITCH(COUNTIF(P$4:P19,""Cursor_up""),0,0,1,1,2,2,3)+SWITCH(COUNTIF(P$4:P19,""Cursor_up""),4,0.1,0)*(ROW(P19)-4-COUNTIF(P$4"&amp;":P19,""Cursor"")-COUNTIF(P$4:P19,""*""&amp;""_up"")-2*COUNTIF(P$4:P19,""Sell_""&amp;""*"")+COUNTIF(P$4:P19,""Sell_Cursor"")-COUNTIF(P$4:P19,"""")))+(COUNTIF(P$4:P19,""Grandma"")-COUNTIF(P$4:P19,""Sell_Grandma""))*(1*2^(COUNTIF(P$4:P19,""Grandma_up"")+COUNTIF(P$4:"&amp;"P19,""Super_up"")))+(COUNTIF(P$4:P19,""Farm"")-COUNTIF(P$4:P19,""Sell_Farm""))*(8*2^COUNTIF(P$4:P19,""Farm_up""))*IF(COUNTIF(P$4:P19,""Super_up"")&gt;0,1+0.01*(COUNTIF(P$4:P19,""Grandma"")-COUNTIF(P$4:P19,""Sell_Grandma"")),1)+(COUNTIF(P$4:P19,""Mine"")-COUN"&amp;"TIF(P$4:P19,""Sell_Mine""))*((47*2^COUNTIF(P$4:P19,""Mine_up""))*IF(COUNTIF(P$4:P19,""Super_up"")&gt;1,1+0.005*(COUNTIF(P$4:P19,""Grandma"")-COUNTIF(P$4:P19,""Sell_Grandma"")),1))+(COUNTIF(P$4:P19,""Factory"")-COUNTIF(P$4:P19,""Sell_Factory""))*(260*2^COUNTI"&amp;"F(P$4:P19,""Factory_up""))))"),7.0)</f>
        <v>7</v>
      </c>
      <c r="S19" s="73">
        <f>IFERROR(__xludf.DUMMYFUNCTION("IF(COUNTA(P19:P147)=0,"""",IF(REGEXMATCH(INDEX(FILTER(P$4:P19,P$4:P19&lt;&gt;""""),ROWS(FILTER(P$4:P19,P$4:P19&lt;&gt;""""))),""^Sell_""),INDEX(FILTER(S$4:S18,P$4:P18&lt;&gt;""""),ROWS(FILTER(P$4:P18,P$4:P18&lt;&gt;""""))),$AD$5*(2^SWITCH(COUNTIF(P$4:P19,""Cursor_up""),0,0,1,1,2"&amp;",2,3)+SWITCH(COUNTIF(P$4:P19,""Cursor_up""),4,0.1,0)*(ROW(P19)-4-COUNTIF(P$4:P19,""Cursor"")-COUNTIF(P$4:P19,""*""&amp;""_up"")-2*COUNTIF(P$4:P19,""Sell_""&amp;""*"")+COUNTIF(P$4:P19,""Sell_Cursor"")-COUNTIF(P$4:P19,""""))+0.01*R19*COUNTIF(P$4:P19,""Plastic_up"")"&amp;")+R19))"),67.0)</f>
        <v>67</v>
      </c>
      <c r="T19" s="14">
        <f>IFERROR(__xludf.DUMMYFUNCTION("IF(COUNTA(P19:P147)=0,"""",IF(REGEXMATCH(P19,""_up""),VLOOKUP(P19,Upgrades!$F$3:$J$8,1+COUNTIF(P$4:P19,P19),FALSE),IF(P19="""",0,IF(REGEXMATCH(P19,""^Sell_""),-ROUNDDOWN(ROUNDUP(INDEX(Upgrades!$C$3:$C$8,MATCH(SUBSTITUTE(P19,""Sell_"",""""),Upgrades!$B$3:$"&amp;"B$8,0))*1.15^(COUNTIF(P$4:P18,SUBSTITUTE(P19,""Sell_"",""""))-COUNTIF(P$4:P18,""Sell_""&amp;SUBSTITUTE(P19,""Sell_"",""""))))/4),ROUNDUP(INDEX(Upgrades!$C$3:$C$7,MATCH(P19,Upgrades!$B$3:$B$7,0))*1.15^(COUNTIF(P$4:P18,P19)-COUNTIF(P$4:P18,""Sell_""&amp;P19)))))))"),133.0)</f>
        <v>133</v>
      </c>
      <c r="U19" s="14">
        <f t="shared" si="10"/>
        <v>133</v>
      </c>
      <c r="V19" s="75">
        <f t="shared" si="11"/>
        <v>21047.11321</v>
      </c>
      <c r="W19" s="76">
        <f t="shared" si="12"/>
        <v>34.21979084</v>
      </c>
      <c r="X19" s="71" t="str">
        <f t="shared" si="13"/>
        <v>34s</v>
      </c>
      <c r="Y19" s="77">
        <f t="shared" si="14"/>
        <v>1256</v>
      </c>
      <c r="Z19" s="17"/>
      <c r="AA19" s="101" t="s">
        <v>72</v>
      </c>
      <c r="AB19" s="102"/>
      <c r="AC19" s="102"/>
      <c r="AD19" s="102"/>
      <c r="AE19" s="102"/>
      <c r="AF19" s="103"/>
      <c r="AG19" s="13"/>
    </row>
    <row r="20">
      <c r="A20" s="12"/>
      <c r="B20" s="65">
        <f t="shared" si="2"/>
        <v>11</v>
      </c>
      <c r="C20" s="66" t="s">
        <v>10</v>
      </c>
      <c r="D20" s="14" t="b">
        <f>IFERROR(__xludf.DUMMYFUNCTION("IF(COUNTA(C20:C147)=0,"""",IFERROR(IF(ISBLANK(C20),FALSE,IF(ISBLANK(G20),1,IF(NOT(COUNTIF($AA$24:$AA$34,SUBSTITUTE(C20,""Sell_"",""""))),1,IF(C20=""Plastic_up"",IF(I20&lt;1000,1),IF(C20=""Super_Up"",IF(OR(COUNTIF(C$4:C20,""Grandma"")-COUNTIF(C$4:C20,""Sell_G"&amp;"randma"")&lt;1,COUNTIF(C$4:C20,VLOOKUP(C20,Upgrades!$F$8:$N$8,7+COUNTIF(C$4:C20,C20)))-COUNTIF(C$4:C20,""Sell_""&amp;VLOOKUP(C20,Upgrades!$F$8:$N$8,7+COUNTIF(C$4:C20,C20)))&lt;15),1),IF(REGEXMATCH(C20,""_up""),IF(COUNTIF(C$4:C20,SUBSTITUTE(C20,""_up"",""""))&lt;IFERRO"&amp;"R(VLOOKUP(C20,Upgrades!$L$3:$P$6,1+COUNTIF(C$4:C20,C20),0),999),1),IF(REGEXMATCH(C20,""Sell_""),IF(COUNTIF(C$4:C20,SUBSTITUTE(C20,""Sell_"",""""))-COUNTIF(C$4:C19,C20)&lt;1,1),FALSE)))))))))"),FALSE)</f>
        <v>0</v>
      </c>
      <c r="E20" s="71">
        <f>IFERROR(__xludf.DUMMYFUNCTION("IF(REGEXMATCH(C20,""^Sell_""),E19, IF(COUNTA(C20:C147)=0,"""",(COUNTIF(C$4:C20,""Cursor"")-COUNTIF(C$4:C20,""Sell_Cursor""))*(0.1*2^SWITCH(COUNTIF(C$4:C20,""Cursor_up""),0,0,1,1,2,2,3)+SWITCH(COUNTIF(C$4:C20,""Cursor_up""),4,0.1,0)*(ROW(C20)-4-COUNTIF(C$4"&amp;":C20,""Cursor"")-COUNTIF(C$4:C20,""*""&amp;""_up"")-2*COUNTIF(C$4:C20,""Sell_""&amp;""*"")+COUNTIF(C$4:C20,""Sell_Cursor"")-COUNTIF(C$4:C20,"""")))+(COUNTIF(C$4:C20,""Grandma"")-COUNTIF(C$4:C20,""Sell_Grandma""))*(1*2^(COUNTIF(C$4:C20,""Grandma_up"")+COUNTIF(C$4:"&amp;"C20,""Super_up"")))+(COUNTIF(C$4:C20,""Farm"")-COUNTIF(C$4:C20,""Sell_Farm""))*(8*2^COUNTIF(C$4:C20,""Farm_up""))*IF(COUNTIF(C$4:C20,""Super_up"")&gt;0,1+0.01*(COUNTIF(C$4:C20,""Grandma"")-COUNTIF(C$4:C20,""Sell_Grandma"")),1)+(COUNTIF(C$4:C20,""Mine"")-COUN"&amp;"TIF(C$4:C20,""Sell_Mine""))*((47*2^COUNTIF(C$4:C20,""Mine_up""))*IF(COUNTIF(C$4:C20,""Super_up"")&gt;1,1+0.005*(COUNTIF(C$4:C20,""Grandma"")-COUNTIF(C$4:C20,""Sell_Grandma"")),1))+(COUNTIF(C$4:C20,""Factory"")-COUNTIF(C$4:C20,""Sell_Factory""))*(260*2^COUNTI"&amp;"F(C$4:C20,""Factory_up""))))"),7.4)</f>
        <v>7.4</v>
      </c>
      <c r="F20" s="73">
        <f>IFERROR(__xludf.DUMMYFUNCTION("IF(COUNTA(C20:C147)=0,"""",IF(REGEXMATCH(INDEX(FILTER(C$4:C20,C$4:C20&lt;&gt;""""),ROWS(FILTER(C$4:C20,C$4:C20&lt;&gt;""""))),""^Sell_""),INDEX(FILTER(F$4:F19,C$4:C19&lt;&gt;""""),ROWS(FILTER(C$4:C19,C$4:C19&lt;&gt;""""))),$AC$5*(2^SWITCH(COUNTIF(C$4:C20,""Cursor_up""),0,0,1,1,2"&amp;",2,3)+SWITCH(COUNTIF(C$4:C20,""Cursor_up""),4,0.1,0)*(ROW(C20)-4-COUNTIF(C$4:C20,""Cursor"")-COUNTIF(C$4:C20,""*""&amp;""_up"")-2*COUNTIF(C$4:C20,""Sell_""&amp;""*"")+COUNTIF(C$4:C20,""Sell_Cursor"")-COUNTIF(C$4:C20,""""))+0.01*E20*COUNTIF(C$4:C20,""Plastic_up"")"&amp;")+E20))"),67.4)</f>
        <v>67.4</v>
      </c>
      <c r="G20" s="14">
        <f>IFERROR(__xludf.DUMMYFUNCTION("IF(COUNTA(C20:C147)=0,"""",IF(REGEXMATCH(C20,""_up""),VLOOKUP(C20,Upgrades!$F$3:$J$8,1+COUNTIF(C$4:C20,C20),FALSE),IF(C20="""",0,IF(REGEXMATCH(C20,""^Sell_""),-ROUNDDOWN(ROUNDUP(INDEX(Upgrades!$C$3:$C$8,MATCH(SUBSTITUTE(C20,""Sell_"",""""),Upgrades!$B$3:$"&amp;"B$8,0))*1.15^(COUNTIF(C$4:C19,SUBSTITUTE(C20,""Sell_"",""""))-COUNTIF(C$4:C19,""Sell_""&amp;SUBSTITUTE(C20,""Sell_"",""""))))/4),ROUNDUP(INDEX(Upgrades!$C$3:$C$7,MATCH(C20,Upgrades!$B$3:$B$7,0))*1.15^(COUNTIF(C$4:C19,C20)-COUNTIF(C$4:C19,""Sell_""&amp;C20)))))))"),61.0)</f>
        <v>61</v>
      </c>
      <c r="H20" s="14">
        <f t="shared" si="3"/>
        <v>61</v>
      </c>
      <c r="I20" s="75">
        <f t="shared" si="4"/>
        <v>23154.92753</v>
      </c>
      <c r="J20" s="76">
        <f t="shared" si="5"/>
        <v>35.1302386</v>
      </c>
      <c r="K20" s="71" t="str">
        <f t="shared" si="6"/>
        <v>35s</v>
      </c>
      <c r="L20" s="77">
        <f t="shared" si="7"/>
        <v>1317</v>
      </c>
      <c r="M20" s="51">
        <f t="shared" si="8"/>
        <v>0</v>
      </c>
      <c r="N20" s="52">
        <f>IFERROR(__xludf.DUMMYFUNCTION("IFS(AND(COUNTA(C20:C147)=0,COUNTA(P20:P147)=0),"""",OR(AND(L20&gt;=1000000,OR(Y20&gt;=1000000,COUNTA(P20:P147)=0)),AND(Y20&gt;=1000000,COUNTA(C20:C147)=0),AND(COUNTA(P20:P147)=0,O$3=TRUE)),
ROUNDDOWN((AB$1-AC$1)*MAX(INDEX(S$4:S147,MATCH(LARGE(FILTER(Y$4:Y147,Y$4:Y"&amp;"147&lt;1000000),1),Y$4:Y147)),INDEX(F$4:F147,MATCH(LARGE(FILTER(L$4:L147,L$4:L147&lt;1000000),1),L$4:L147)))),AND(L20&lt;1000000,COUNTA(C20:C147)&gt;0,O$3=FALSE),
ROUNDDOWN(INDEX(Y$4:Y147,MATCH(LARGE(FILTER(W$4:W147,W$4:W147&lt;=J20),1),W$4:W147))+(J20-LARGE(FILTER(W$4:"&amp;"W147,W$4:W147&lt;=J20),1))*INDEX(S$4:S147,MATCH(LARGE(FILTER(W$4:W147,W$4:W147&lt;=J20),1),W$4:W147))-L20),1,
ROUNDDOWN(Y20-INDEX(L$4:L147,MATCH(LARGE(FILTER(J$4:J147,J$4:J147&lt;=W20),1),J$4:J147))-(W20-LARGE(FILTER(J$4:J147,J$4:J147&lt;=W20),1))*INDEX(F$4:F147,MATC"&amp;"H(LARGE(FILTER(J$4:J147,J$4:J147&lt;=W20),1),J$4:J147))))"),0.0)</f>
        <v>0</v>
      </c>
      <c r="O20" s="65">
        <f t="shared" si="9"/>
        <v>11</v>
      </c>
      <c r="P20" s="66" t="s">
        <v>10</v>
      </c>
      <c r="Q20" s="14" t="b">
        <f>IFERROR(__xludf.DUMMYFUNCTION("IF(COUNTA(P20:P147)=0,"""",IFERROR(IF(ISBLANK(P20),FALSE,IF(ISBLANK(T20),1,IF(NOT(COUNTIF($AA$24:$AA$34,SUBSTITUTE(P20,""Sell_"",""""))),1,IF(P20=""Plastic_up"",IF(V20&lt;1000,1),IF(P20=""Super_Up"",IF(OR(COUNTIF(P$4:P20,""Grandma"")-COUNTIF(P$4:P20,""Sell_G"&amp;"randma"")&lt;1,COUNTIF(P$4:P20,VLOOKUP(P20,Upgrades!$F$8:$N$8,7+COUNTIF(P$4:P20,P20)))-COUNTIF(P$4:P20,""Sell_""&amp;VLOOKUP(P20,Upgrades!$F$8:$N$8,7+COUNTIF(P$4:P20,P20)))&lt;15),1),IF(REGEXMATCH(P20,""_up""),IF(COUNTIF(P$4:P20,SUBSTITUTE(P20,""_up"",""""))&lt;IFERRO"&amp;"R(VLOOKUP(P20,Upgrades!$L$3:$P$6,1+COUNTIF(P$4:P20,P20),0),999),1),IF(REGEXMATCH(P20,""Sell_""),IF(COUNTIF(P$4:P20,SUBSTITUTE(P20,""Sell_"",""""))-COUNTIF(P$4:P19,P20)&lt;1,1),FALSE)))))))))"),FALSE)</f>
        <v>0</v>
      </c>
      <c r="R20" s="71">
        <f>IFERROR(__xludf.DUMMYFUNCTION("IF(REGEXMATCH(P20,""^Sell_""),R19, IF(COUNTA(P20:P147)=0,"""",(COUNTIF(P$4:P20,""Cursor"")-COUNTIF(P$4:P20,""Sell_Cursor""))*(0.1*2^SWITCH(COUNTIF(P$4:P20,""Cursor_up""),0,0,1,1,2,2,3)+SWITCH(COUNTIF(P$4:P20,""Cursor_up""),4,0.1,0)*(ROW(P20)-4-COUNTIF(P$4"&amp;":P20,""Cursor"")-COUNTIF(P$4:P20,""*""&amp;""_up"")-2*COUNTIF(P$4:P20,""Sell_""&amp;""*"")+COUNTIF(P$4:P20,""Sell_Cursor"")-COUNTIF(P$4:P20,"""")))+(COUNTIF(P$4:P20,""Grandma"")-COUNTIF(P$4:P20,""Sell_Grandma""))*(1*2^(COUNTIF(P$4:P20,""Grandma_up"")+COUNTIF(P$4:"&amp;"P20,""Super_up"")))+(COUNTIF(P$4:P20,""Farm"")-COUNTIF(P$4:P20,""Sell_Farm""))*(8*2^COUNTIF(P$4:P20,""Farm_up""))*IF(COUNTIF(P$4:P20,""Super_up"")&gt;0,1+0.01*(COUNTIF(P$4:P20,""Grandma"")-COUNTIF(P$4:P20,""Sell_Grandma"")),1)+(COUNTIF(P$4:P20,""Mine"")-COUN"&amp;"TIF(P$4:P20,""Sell_Mine""))*((47*2^COUNTIF(P$4:P20,""Mine_up""))*IF(COUNTIF(P$4:P20,""Super_up"")&gt;1,1+0.005*(COUNTIF(P$4:P20,""Grandma"")-COUNTIF(P$4:P20,""Sell_Grandma"")),1))+(COUNTIF(P$4:P20,""Factory"")-COUNTIF(P$4:P20,""Sell_Factory""))*(260*2^COUNTI"&amp;"F(P$4:P20,""Factory_up""))))"),7.4)</f>
        <v>7.4</v>
      </c>
      <c r="S20" s="73">
        <f>IFERROR(__xludf.DUMMYFUNCTION("IF(COUNTA(P20:P147)=0,"""",IF(REGEXMATCH(INDEX(FILTER(P$4:P20,P$4:P20&lt;&gt;""""),ROWS(FILTER(P$4:P20,P$4:P20&lt;&gt;""""))),""^Sell_""),INDEX(FILTER(S$4:S19,P$4:P19&lt;&gt;""""),ROWS(FILTER(P$4:P19,P$4:P19&lt;&gt;""""))),$AD$5*(2^SWITCH(COUNTIF(P$4:P20,""Cursor_up""),0,0,1,1,2"&amp;",2,3)+SWITCH(COUNTIF(P$4:P20,""Cursor_up""),4,0.1,0)*(ROW(P20)-4-COUNTIF(P$4:P20,""Cursor"")-COUNTIF(P$4:P20,""*""&amp;""_up"")-2*COUNTIF(P$4:P20,""Sell_""&amp;""*"")+COUNTIF(P$4:P20,""Sell_Cursor"")-COUNTIF(P$4:P20,""""))+0.01*R20*COUNTIF(P$4:P20,""Plastic_up"")"&amp;")+R20))"),67.4)</f>
        <v>67.4</v>
      </c>
      <c r="T20" s="14">
        <f>IFERROR(__xludf.DUMMYFUNCTION("IF(COUNTA(P20:P147)=0,"""",IF(REGEXMATCH(P20,""_up""),VLOOKUP(P20,Upgrades!$F$3:$J$8,1+COUNTIF(P$4:P20,P20),FALSE),IF(P20="""",0,IF(REGEXMATCH(P20,""^Sell_""),-ROUNDDOWN(ROUNDUP(INDEX(Upgrades!$C$3:$C$8,MATCH(SUBSTITUTE(P20,""Sell_"",""""),Upgrades!$B$3:$"&amp;"B$8,0))*1.15^(COUNTIF(P$4:P19,SUBSTITUTE(P20,""Sell_"",""""))-COUNTIF(P$4:P19,""Sell_""&amp;SUBSTITUTE(P20,""Sell_"",""""))))/4),ROUNDUP(INDEX(Upgrades!$C$3:$C$7,MATCH(P20,Upgrades!$B$3:$B$7,0))*1.15^(COUNTIF(P$4:P19,P20)-COUNTIF(P$4:P19,""Sell_""&amp;P20)))))))"),61.0)</f>
        <v>61</v>
      </c>
      <c r="U20" s="14">
        <f t="shared" si="10"/>
        <v>61</v>
      </c>
      <c r="V20" s="75">
        <f t="shared" si="11"/>
        <v>23154.92753</v>
      </c>
      <c r="W20" s="76">
        <f t="shared" si="12"/>
        <v>35.1302386</v>
      </c>
      <c r="X20" s="71" t="str">
        <f t="shared" si="13"/>
        <v>35s</v>
      </c>
      <c r="Y20" s="77">
        <f t="shared" si="14"/>
        <v>1317</v>
      </c>
      <c r="Z20" s="17"/>
      <c r="AA20" s="13"/>
      <c r="AB20" s="13"/>
      <c r="AC20" s="13"/>
      <c r="AD20" s="13"/>
      <c r="AE20" s="13"/>
      <c r="AF20" s="13"/>
      <c r="AG20" s="13"/>
    </row>
    <row r="21">
      <c r="A21" s="12"/>
      <c r="B21" s="65">
        <f t="shared" si="2"/>
        <v>4</v>
      </c>
      <c r="C21" s="66" t="s">
        <v>13</v>
      </c>
      <c r="D21" s="14" t="b">
        <f>IFERROR(__xludf.DUMMYFUNCTION("IF(COUNTA(C21:C147)=0,"""",IFERROR(IF(ISBLANK(C21),FALSE,IF(ISBLANK(G21),1,IF(NOT(COUNTIF($AA$24:$AA$34,SUBSTITUTE(C21,""Sell_"",""""))),1,IF(C21=""Plastic_up"",IF(I21&lt;1000,1),IF(C21=""Super_Up"",IF(OR(COUNTIF(C$4:C21,""Grandma"")-COUNTIF(C$4:C21,""Sell_G"&amp;"randma"")&lt;1,COUNTIF(C$4:C21,VLOOKUP(C21,Upgrades!$F$8:$N$8,7+COUNTIF(C$4:C21,C21)))-COUNTIF(C$4:C21,""Sell_""&amp;VLOOKUP(C21,Upgrades!$F$8:$N$8,7+COUNTIF(C$4:C21,C21)))&lt;15),1),IF(REGEXMATCH(C21,""_up""),IF(COUNTIF(C$4:C21,SUBSTITUTE(C21,""_up"",""""))&lt;IFERRO"&amp;"R(VLOOKUP(C21,Upgrades!$L$3:$P$6,1+COUNTIF(C$4:C21,C21),0),999),1),IF(REGEXMATCH(C21,""Sell_""),IF(COUNTIF(C$4:C21,SUBSTITUTE(C21,""Sell_"",""""))-COUNTIF(C$4:C20,C21)&lt;1,1),FALSE)))))))))"),FALSE)</f>
        <v>0</v>
      </c>
      <c r="E21" s="71">
        <f>IFERROR(__xludf.DUMMYFUNCTION("IF(REGEXMATCH(C21,""^Sell_""),E20, IF(COUNTA(C21:C147)=0,"""",(COUNTIF(C$4:C21,""Cursor"")-COUNTIF(C$4:C21,""Sell_Cursor""))*(0.1*2^SWITCH(COUNTIF(C$4:C21,""Cursor_up""),0,0,1,1,2,2,3)+SWITCH(COUNTIF(C$4:C21,""Cursor_up""),4,0.1,0)*(ROW(C21)-4-COUNTIF(C$4"&amp;":C21,""Cursor"")-COUNTIF(C$4:C21,""*""&amp;""_up"")-2*COUNTIF(C$4:C21,""Sell_""&amp;""*"")+COUNTIF(C$4:C21,""Sell_Cursor"")-COUNTIF(C$4:C21,"""")))+(COUNTIF(C$4:C21,""Grandma"")-COUNTIF(C$4:C21,""Sell_Grandma""))*(1*2^(COUNTIF(C$4:C21,""Grandma_up"")+COUNTIF(C$4:"&amp;"C21,""Super_up"")))+(COUNTIF(C$4:C21,""Farm"")-COUNTIF(C$4:C21,""Sell_Farm""))*(8*2^COUNTIF(C$4:C21,""Farm_up""))*IF(COUNTIF(C$4:C21,""Super_up"")&gt;0,1+0.01*(COUNTIF(C$4:C21,""Grandma"")-COUNTIF(C$4:C21,""Sell_Grandma"")),1)+(COUNTIF(C$4:C21,""Mine"")-COUN"&amp;"TIF(C$4:C21,""Sell_Mine""))*((47*2^COUNTIF(C$4:C21,""Mine_up""))*IF(COUNTIF(C$4:C21,""Super_up"")&gt;1,1+0.005*(COUNTIF(C$4:C21,""Grandma"")-COUNTIF(C$4:C21,""Sell_Grandma"")),1))+(COUNTIF(C$4:C21,""Factory"")-COUNTIF(C$4:C21,""Sell_Factory""))*(260*2^COUNTI"&amp;"F(C$4:C21,""Factory_up""))))"),8.4)</f>
        <v>8.4</v>
      </c>
      <c r="F21" s="73">
        <f>IFERROR(__xludf.DUMMYFUNCTION("IF(COUNTA(C21:C147)=0,"""",IF(REGEXMATCH(INDEX(FILTER(C$4:C21,C$4:C21&lt;&gt;""""),ROWS(FILTER(C$4:C21,C$4:C21&lt;&gt;""""))),""^Sell_""),INDEX(FILTER(F$4:F20,C$4:C20&lt;&gt;""""),ROWS(FILTER(C$4:C20,C$4:C20&lt;&gt;""""))),$AC$5*(2^SWITCH(COUNTIF(C$4:C21,""Cursor_up""),0,0,1,1,2"&amp;",2,3)+SWITCH(COUNTIF(C$4:C21,""Cursor_up""),4,0.1,0)*(ROW(C21)-4-COUNTIF(C$4:C21,""Cursor"")-COUNTIF(C$4:C21,""*""&amp;""_up"")-2*COUNTIF(C$4:C21,""Sell_""&amp;""*"")+COUNTIF(C$4:C21,""Sell_Cursor"")-COUNTIF(C$4:C21,""""))+0.01*E21*COUNTIF(C$4:C21,""Plastic_up"")"&amp;")+E21))"),68.4)</f>
        <v>68.4</v>
      </c>
      <c r="G21" s="14">
        <f>IFERROR(__xludf.DUMMYFUNCTION("IF(COUNTA(C21:C147)=0,"""",IF(REGEXMATCH(C21,""_up""),VLOOKUP(C21,Upgrades!$F$3:$J$8,1+COUNTIF(C$4:C21,C21),FALSE),IF(C21="""",0,IF(REGEXMATCH(C21,""^Sell_""),-ROUNDDOWN(ROUNDUP(INDEX(Upgrades!$C$3:$C$8,MATCH(SUBSTITUTE(C21,""Sell_"",""""),Upgrades!$B$3:$"&amp;"B$8,0))*1.15^(COUNTIF(C$4:C20,SUBSTITUTE(C21,""Sell_"",""""))-COUNTIF(C$4:C20,""Sell_""&amp;SUBSTITUTE(C21,""Sell_"",""""))))/4),ROUNDUP(INDEX(Upgrades!$C$3:$C$7,MATCH(C21,Upgrades!$B$3:$B$7,0))*1.15^(COUNTIF(C$4:C20,C21)-COUNTIF(C$4:C20,""Sell_""&amp;C21)))))))"),153.0)</f>
        <v>153</v>
      </c>
      <c r="H21" s="14">
        <f t="shared" si="3"/>
        <v>153</v>
      </c>
      <c r="I21" s="75">
        <f t="shared" si="4"/>
        <v>25398.94362</v>
      </c>
      <c r="J21" s="76">
        <f t="shared" si="5"/>
        <v>37.40026828</v>
      </c>
      <c r="K21" s="71" t="str">
        <f t="shared" si="6"/>
        <v>37s</v>
      </c>
      <c r="L21" s="77">
        <f t="shared" si="7"/>
        <v>1470</v>
      </c>
      <c r="M21" s="51">
        <f t="shared" si="8"/>
        <v>0</v>
      </c>
      <c r="N21" s="52">
        <f>IFERROR(__xludf.DUMMYFUNCTION("IFS(AND(COUNTA(C21:C147)=0,COUNTA(P21:P147)=0),"""",OR(AND(L21&gt;=1000000,OR(Y21&gt;=1000000,COUNTA(P21:P147)=0)),AND(Y21&gt;=1000000,COUNTA(C21:C147)=0),AND(COUNTA(P21:P147)=0,O$3=TRUE)),
ROUNDDOWN((AB$1-AC$1)*MAX(INDEX(S$4:S147,MATCH(LARGE(FILTER(Y$4:Y147,Y$4:Y"&amp;"147&lt;1000000),1),Y$4:Y147)),INDEX(F$4:F147,MATCH(LARGE(FILTER(L$4:L147,L$4:L147&lt;1000000),1),L$4:L147)))),AND(L21&lt;1000000,COUNTA(C21:C147)&gt;0,O$3=FALSE),
ROUNDDOWN(INDEX(Y$4:Y147,MATCH(LARGE(FILTER(W$4:W147,W$4:W147&lt;=J21),1),W$4:W147))+(J21-LARGE(FILTER(W$4:"&amp;"W147,W$4:W147&lt;=J21),1))*INDEX(S$4:S147,MATCH(LARGE(FILTER(W$4:W147,W$4:W147&lt;=J21),1),W$4:W147))-L21),1,
ROUNDDOWN(Y21-INDEX(L$4:L147,MATCH(LARGE(FILTER(J$4:J147,J$4:J147&lt;=W21),1),J$4:J147))-(W21-LARGE(FILTER(J$4:J147,J$4:J147&lt;=W21),1))*INDEX(F$4:F147,MATC"&amp;"H(LARGE(FILTER(J$4:J147,J$4:J147&lt;=W21),1),J$4:J147))))"),0.0)</f>
        <v>0</v>
      </c>
      <c r="O21" s="65">
        <f t="shared" si="9"/>
        <v>4</v>
      </c>
      <c r="P21" s="66" t="s">
        <v>13</v>
      </c>
      <c r="Q21" s="14" t="b">
        <f>IFERROR(__xludf.DUMMYFUNCTION("IF(COUNTA(P21:P147)=0,"""",IFERROR(IF(ISBLANK(P21),FALSE,IF(ISBLANK(T21),1,IF(NOT(COUNTIF($AA$24:$AA$34,SUBSTITUTE(P21,""Sell_"",""""))),1,IF(P21=""Plastic_up"",IF(V21&lt;1000,1),IF(P21=""Super_Up"",IF(OR(COUNTIF(P$4:P21,""Grandma"")-COUNTIF(P$4:P21,""Sell_G"&amp;"randma"")&lt;1,COUNTIF(P$4:P21,VLOOKUP(P21,Upgrades!$F$8:$N$8,7+COUNTIF(P$4:P21,P21)))-COUNTIF(P$4:P21,""Sell_""&amp;VLOOKUP(P21,Upgrades!$F$8:$N$8,7+COUNTIF(P$4:P21,P21)))&lt;15),1),IF(REGEXMATCH(P21,""_up""),IF(COUNTIF(P$4:P21,SUBSTITUTE(P21,""_up"",""""))&lt;IFERRO"&amp;"R(VLOOKUP(P21,Upgrades!$L$3:$P$6,1+COUNTIF(P$4:P21,P21),0),999),1),IF(REGEXMATCH(P21,""Sell_""),IF(COUNTIF(P$4:P21,SUBSTITUTE(P21,""Sell_"",""""))-COUNTIF(P$4:P20,P21)&lt;1,1),FALSE)))))))))"),FALSE)</f>
        <v>0</v>
      </c>
      <c r="R21" s="71">
        <f>IFERROR(__xludf.DUMMYFUNCTION("IF(REGEXMATCH(P21,""^Sell_""),R20, IF(COUNTA(P21:P147)=0,"""",(COUNTIF(P$4:P21,""Cursor"")-COUNTIF(P$4:P21,""Sell_Cursor""))*(0.1*2^SWITCH(COUNTIF(P$4:P21,""Cursor_up""),0,0,1,1,2,2,3)+SWITCH(COUNTIF(P$4:P21,""Cursor_up""),4,0.1,0)*(ROW(P21)-4-COUNTIF(P$4"&amp;":P21,""Cursor"")-COUNTIF(P$4:P21,""*""&amp;""_up"")-2*COUNTIF(P$4:P21,""Sell_""&amp;""*"")+COUNTIF(P$4:P21,""Sell_Cursor"")-COUNTIF(P$4:P21,"""")))+(COUNTIF(P$4:P21,""Grandma"")-COUNTIF(P$4:P21,""Sell_Grandma""))*(1*2^(COUNTIF(P$4:P21,""Grandma_up"")+COUNTIF(P$4:"&amp;"P21,""Super_up"")))+(COUNTIF(P$4:P21,""Farm"")-COUNTIF(P$4:P21,""Sell_Farm""))*(8*2^COUNTIF(P$4:P21,""Farm_up""))*IF(COUNTIF(P$4:P21,""Super_up"")&gt;0,1+0.01*(COUNTIF(P$4:P21,""Grandma"")-COUNTIF(P$4:P21,""Sell_Grandma"")),1)+(COUNTIF(P$4:P21,""Mine"")-COUN"&amp;"TIF(P$4:P21,""Sell_Mine""))*((47*2^COUNTIF(P$4:P21,""Mine_up""))*IF(COUNTIF(P$4:P21,""Super_up"")&gt;1,1+0.005*(COUNTIF(P$4:P21,""Grandma"")-COUNTIF(P$4:P21,""Sell_Grandma"")),1))+(COUNTIF(P$4:P21,""Factory"")-COUNTIF(P$4:P21,""Sell_Factory""))*(260*2^COUNTI"&amp;"F(P$4:P21,""Factory_up""))))"),8.4)</f>
        <v>8.4</v>
      </c>
      <c r="S21" s="73">
        <f>IFERROR(__xludf.DUMMYFUNCTION("IF(COUNTA(P21:P147)=0,"""",IF(REGEXMATCH(INDEX(FILTER(P$4:P21,P$4:P21&lt;&gt;""""),ROWS(FILTER(P$4:P21,P$4:P21&lt;&gt;""""))),""^Sell_""),INDEX(FILTER(S$4:S20,P$4:P20&lt;&gt;""""),ROWS(FILTER(P$4:P20,P$4:P20&lt;&gt;""""))),$AD$5*(2^SWITCH(COUNTIF(P$4:P21,""Cursor_up""),0,0,1,1,2"&amp;",2,3)+SWITCH(COUNTIF(P$4:P21,""Cursor_up""),4,0.1,0)*(ROW(P21)-4-COUNTIF(P$4:P21,""Cursor"")-COUNTIF(P$4:P21,""*""&amp;""_up"")-2*COUNTIF(P$4:P21,""Sell_""&amp;""*"")+COUNTIF(P$4:P21,""Sell_Cursor"")-COUNTIF(P$4:P21,""""))+0.01*R21*COUNTIF(P$4:P21,""Plastic_up"")"&amp;")+R21))"),68.4)</f>
        <v>68.4</v>
      </c>
      <c r="T21" s="14">
        <f>IFERROR(__xludf.DUMMYFUNCTION("IF(COUNTA(P21:P147)=0,"""",IF(REGEXMATCH(P21,""_up""),VLOOKUP(P21,Upgrades!$F$3:$J$8,1+COUNTIF(P$4:P21,P21),FALSE),IF(P21="""",0,IF(REGEXMATCH(P21,""^Sell_""),-ROUNDDOWN(ROUNDUP(INDEX(Upgrades!$C$3:$C$8,MATCH(SUBSTITUTE(P21,""Sell_"",""""),Upgrades!$B$3:$"&amp;"B$8,0))*1.15^(COUNTIF(P$4:P20,SUBSTITUTE(P21,""Sell_"",""""))-COUNTIF(P$4:P20,""Sell_""&amp;SUBSTITUTE(P21,""Sell_"",""""))))/4),ROUNDUP(INDEX(Upgrades!$C$3:$C$7,MATCH(P21,Upgrades!$B$3:$B$7,0))*1.15^(COUNTIF(P$4:P20,P21)-COUNTIF(P$4:P20,""Sell_""&amp;P21)))))))"),153.0)</f>
        <v>153</v>
      </c>
      <c r="U21" s="14">
        <f t="shared" si="10"/>
        <v>153</v>
      </c>
      <c r="V21" s="75">
        <f t="shared" si="11"/>
        <v>25398.94362</v>
      </c>
      <c r="W21" s="76">
        <f t="shared" si="12"/>
        <v>37.40026828</v>
      </c>
      <c r="X21" s="71" t="str">
        <f t="shared" si="13"/>
        <v>37s</v>
      </c>
      <c r="Y21" s="77">
        <f t="shared" si="14"/>
        <v>1470</v>
      </c>
      <c r="Z21" s="17"/>
      <c r="AA21" s="104" t="s">
        <v>73</v>
      </c>
      <c r="AB21" s="105"/>
      <c r="AC21" s="105"/>
      <c r="AD21" s="105"/>
      <c r="AE21" s="105"/>
      <c r="AF21" s="106"/>
      <c r="AG21" s="13"/>
    </row>
    <row r="22">
      <c r="A22" s="12"/>
      <c r="B22" s="65">
        <f t="shared" si="2"/>
        <v>1</v>
      </c>
      <c r="C22" s="66" t="s">
        <v>16</v>
      </c>
      <c r="D22" s="14" t="b">
        <f>IFERROR(__xludf.DUMMYFUNCTION("IF(COUNTA(C22:C147)=0,"""",IFERROR(IF(ISBLANK(C22),FALSE,IF(ISBLANK(G22),1,IF(NOT(COUNTIF($AA$24:$AA$34,SUBSTITUTE(C22,""Sell_"",""""))),1,IF(C22=""Plastic_up"",IF(I22&lt;1000,1),IF(C22=""Super_Up"",IF(OR(COUNTIF(C$4:C22,""Grandma"")-COUNTIF(C$4:C22,""Sell_G"&amp;"randma"")&lt;1,COUNTIF(C$4:C22,VLOOKUP(C22,Upgrades!$F$8:$N$8,7+COUNTIF(C$4:C22,C22)))-COUNTIF(C$4:C22,""Sell_""&amp;VLOOKUP(C22,Upgrades!$F$8:$N$8,7+COUNTIF(C$4:C22,C22)))&lt;15),1),IF(REGEXMATCH(C22,""_up""),IF(COUNTIF(C$4:C22,SUBSTITUTE(C22,""_up"",""""))&lt;IFERRO"&amp;"R(VLOOKUP(C22,Upgrades!$L$3:$P$6,1+COUNTIF(C$4:C22,C22),0),999),1),IF(REGEXMATCH(C22,""Sell_""),IF(COUNTIF(C$4:C22,SUBSTITUTE(C22,""Sell_"",""""))-COUNTIF(C$4:C21,C22)&lt;1,1),FALSE)))))))))"),FALSE)</f>
        <v>0</v>
      </c>
      <c r="E22" s="71">
        <f>IFERROR(__xludf.DUMMYFUNCTION("IF(REGEXMATCH(C22,""^Sell_""),E21, IF(COUNTA(C22:C147)=0,"""",(COUNTIF(C$4:C22,""Cursor"")-COUNTIF(C$4:C22,""Sell_Cursor""))*(0.1*2^SWITCH(COUNTIF(C$4:C22,""Cursor_up""),0,0,1,1,2,2,3)+SWITCH(COUNTIF(C$4:C22,""Cursor_up""),4,0.1,0)*(ROW(C22)-4-COUNTIF(C$4"&amp;":C22,""Cursor"")-COUNTIF(C$4:C22,""*""&amp;""_up"")-2*COUNTIF(C$4:C22,""Sell_""&amp;""*"")+COUNTIF(C$4:C22,""Sell_Cursor"")-COUNTIF(C$4:C22,"""")))+(COUNTIF(C$4:C22,""Grandma"")-COUNTIF(C$4:C22,""Sell_Grandma""))*(1*2^(COUNTIF(C$4:C22,""Grandma_up"")+COUNTIF(C$4:"&amp;"C22,""Super_up"")))+(COUNTIF(C$4:C22,""Farm"")-COUNTIF(C$4:C22,""Sell_Farm""))*(8*2^COUNTIF(C$4:C22,""Farm_up""))*IF(COUNTIF(C$4:C22,""Super_up"")&gt;0,1+0.01*(COUNTIF(C$4:C22,""Grandma"")-COUNTIF(C$4:C22,""Sell_Grandma"")),1)+(COUNTIF(C$4:C22,""Mine"")-COUN"&amp;"TIF(C$4:C22,""Sell_Mine""))*((47*2^COUNTIF(C$4:C22,""Mine_up""))*IF(COUNTIF(C$4:C22,""Super_up"")&gt;1,1+0.005*(COUNTIF(C$4:C22,""Grandma"")-COUNTIF(C$4:C22,""Sell_Grandma"")),1))+(COUNTIF(C$4:C22,""Factory"")-COUNTIF(C$4:C22,""Sell_Factory""))*(260*2^COUNTI"&amp;"F(C$4:C22,""Factory_up""))))"),16.4)</f>
        <v>16.4</v>
      </c>
      <c r="F22" s="73">
        <f>IFERROR(__xludf.DUMMYFUNCTION("IF(COUNTA(C22:C147)=0,"""",IF(REGEXMATCH(INDEX(FILTER(C$4:C22,C$4:C22&lt;&gt;""""),ROWS(FILTER(C$4:C22,C$4:C22&lt;&gt;""""))),""^Sell_""),INDEX(FILTER(F$4:F21,C$4:C21&lt;&gt;""""),ROWS(FILTER(C$4:C21,C$4:C21&lt;&gt;""""))),$AC$5*(2^SWITCH(COUNTIF(C$4:C22,""Cursor_up""),0,0,1,1,2"&amp;",2,3)+SWITCH(COUNTIF(C$4:C22,""Cursor_up""),4,0.1,0)*(ROW(C22)-4-COUNTIF(C$4:C22,""Cursor"")-COUNTIF(C$4:C22,""*""&amp;""_up"")-2*COUNTIF(C$4:C22,""Sell_""&amp;""*"")+COUNTIF(C$4:C22,""Sell_Cursor"")-COUNTIF(C$4:C22,""""))+0.01*E22*COUNTIF(C$4:C22,""Plastic_up"")"&amp;")+E22))"),76.4)</f>
        <v>76.4</v>
      </c>
      <c r="G22" s="14">
        <f>IFERROR(__xludf.DUMMYFUNCTION("IF(COUNTA(C22:C147)=0,"""",IF(REGEXMATCH(C22,""_up""),VLOOKUP(C22,Upgrades!$F$3:$J$8,1+COUNTIF(C$4:C22,C22),FALSE),IF(C22="""",0,IF(REGEXMATCH(C22,""^Sell_""),-ROUNDDOWN(ROUNDUP(INDEX(Upgrades!$C$3:$C$8,MATCH(SUBSTITUTE(C22,""Sell_"",""""),Upgrades!$B$3:$"&amp;"B$8,0))*1.15^(COUNTIF(C$4:C21,SUBSTITUTE(C22,""Sell_"",""""))-COUNTIF(C$4:C21,""Sell_""&amp;SUBSTITUTE(C22,""Sell_"",""""))))/4),ROUNDUP(INDEX(Upgrades!$C$3:$C$7,MATCH(C22,Upgrades!$B$3:$B$7,0))*1.15^(COUNTIF(C$4:C21,C22)-COUNTIF(C$4:C21,""Sell_""&amp;C22)))))))"),1100.0)</f>
        <v>1100</v>
      </c>
      <c r="H22" s="14">
        <f t="shared" si="3"/>
        <v>1100</v>
      </c>
      <c r="I22" s="75">
        <f t="shared" si="4"/>
        <v>28607.872</v>
      </c>
      <c r="J22" s="76">
        <f t="shared" si="5"/>
        <v>53.48213962</v>
      </c>
      <c r="K22" s="71" t="str">
        <f t="shared" si="6"/>
        <v>53s</v>
      </c>
      <c r="L22" s="77">
        <f t="shared" si="7"/>
        <v>2570</v>
      </c>
      <c r="M22" s="51">
        <f t="shared" si="8"/>
        <v>0</v>
      </c>
      <c r="N22" s="52">
        <f>IFERROR(__xludf.DUMMYFUNCTION("IFS(AND(COUNTA(C22:C147)=0,COUNTA(P22:P147)=0),"""",OR(AND(L22&gt;=1000000,OR(Y22&gt;=1000000,COUNTA(P22:P147)=0)),AND(Y22&gt;=1000000,COUNTA(C22:C147)=0),AND(COUNTA(P22:P147)=0,O$3=TRUE)),
ROUNDDOWN((AB$1-AC$1)*MAX(INDEX(S$4:S147,MATCH(LARGE(FILTER(Y$4:Y147,Y$4:Y"&amp;"147&lt;1000000),1),Y$4:Y147)),INDEX(F$4:F147,MATCH(LARGE(FILTER(L$4:L147,L$4:L147&lt;1000000),1),L$4:L147)))),AND(L22&lt;1000000,COUNTA(C22:C147)&gt;0,O$3=FALSE),
ROUNDDOWN(INDEX(Y$4:Y147,MATCH(LARGE(FILTER(W$4:W147,W$4:W147&lt;=J22),1),W$4:W147))+(J22-LARGE(FILTER(W$4:"&amp;"W147,W$4:W147&lt;=J22),1))*INDEX(S$4:S147,MATCH(LARGE(FILTER(W$4:W147,W$4:W147&lt;=J22),1),W$4:W147))-L22),1,
ROUNDDOWN(Y22-INDEX(L$4:L147,MATCH(LARGE(FILTER(J$4:J147,J$4:J147&lt;=W22),1),J$4:J147))-(W22-LARGE(FILTER(J$4:J147,J$4:J147&lt;=W22),1))*INDEX(F$4:F147,MATC"&amp;"H(LARGE(FILTER(J$4:J147,J$4:J147&lt;=W22),1),J$4:J147))))"),0.0)</f>
        <v>0</v>
      </c>
      <c r="O22" s="65">
        <f t="shared" si="9"/>
        <v>1</v>
      </c>
      <c r="P22" s="66" t="s">
        <v>16</v>
      </c>
      <c r="Q22" s="14" t="b">
        <f>IFERROR(__xludf.DUMMYFUNCTION("IF(COUNTA(P22:P147)=0,"""",IFERROR(IF(ISBLANK(P22),FALSE,IF(ISBLANK(T22),1,IF(NOT(COUNTIF($AA$24:$AA$34,SUBSTITUTE(P22,""Sell_"",""""))),1,IF(P22=""Plastic_up"",IF(V22&lt;1000,1),IF(P22=""Super_Up"",IF(OR(COUNTIF(P$4:P22,""Grandma"")-COUNTIF(P$4:P22,""Sell_G"&amp;"randma"")&lt;1,COUNTIF(P$4:P22,VLOOKUP(P22,Upgrades!$F$8:$N$8,7+COUNTIF(P$4:P22,P22)))-COUNTIF(P$4:P22,""Sell_""&amp;VLOOKUP(P22,Upgrades!$F$8:$N$8,7+COUNTIF(P$4:P22,P22)))&lt;15),1),IF(REGEXMATCH(P22,""_up""),IF(COUNTIF(P$4:P22,SUBSTITUTE(P22,""_up"",""""))&lt;IFERRO"&amp;"R(VLOOKUP(P22,Upgrades!$L$3:$P$6,1+COUNTIF(P$4:P22,P22),0),999),1),IF(REGEXMATCH(P22,""Sell_""),IF(COUNTIF(P$4:P22,SUBSTITUTE(P22,""Sell_"",""""))-COUNTIF(P$4:P21,P22)&lt;1,1),FALSE)))))))))"),FALSE)</f>
        <v>0</v>
      </c>
      <c r="R22" s="71">
        <f>IFERROR(__xludf.DUMMYFUNCTION("IF(REGEXMATCH(P22,""^Sell_""),R21, IF(COUNTA(P22:P147)=0,"""",(COUNTIF(P$4:P22,""Cursor"")-COUNTIF(P$4:P22,""Sell_Cursor""))*(0.1*2^SWITCH(COUNTIF(P$4:P22,""Cursor_up""),0,0,1,1,2,2,3)+SWITCH(COUNTIF(P$4:P22,""Cursor_up""),4,0.1,0)*(ROW(P22)-4-COUNTIF(P$4"&amp;":P22,""Cursor"")-COUNTIF(P$4:P22,""*""&amp;""_up"")-2*COUNTIF(P$4:P22,""Sell_""&amp;""*"")+COUNTIF(P$4:P22,""Sell_Cursor"")-COUNTIF(P$4:P22,"""")))+(COUNTIF(P$4:P22,""Grandma"")-COUNTIF(P$4:P22,""Sell_Grandma""))*(1*2^(COUNTIF(P$4:P22,""Grandma_up"")+COUNTIF(P$4:"&amp;"P22,""Super_up"")))+(COUNTIF(P$4:P22,""Farm"")-COUNTIF(P$4:P22,""Sell_Farm""))*(8*2^COUNTIF(P$4:P22,""Farm_up""))*IF(COUNTIF(P$4:P22,""Super_up"")&gt;0,1+0.01*(COUNTIF(P$4:P22,""Grandma"")-COUNTIF(P$4:P22,""Sell_Grandma"")),1)+(COUNTIF(P$4:P22,""Mine"")-COUN"&amp;"TIF(P$4:P22,""Sell_Mine""))*((47*2^COUNTIF(P$4:P22,""Mine_up""))*IF(COUNTIF(P$4:P22,""Super_up"")&gt;1,1+0.005*(COUNTIF(P$4:P22,""Grandma"")-COUNTIF(P$4:P22,""Sell_Grandma"")),1))+(COUNTIF(P$4:P22,""Factory"")-COUNTIF(P$4:P22,""Sell_Factory""))*(260*2^COUNTI"&amp;"F(P$4:P22,""Factory_up""))))"),16.4)</f>
        <v>16.4</v>
      </c>
      <c r="S22" s="73">
        <f>IFERROR(__xludf.DUMMYFUNCTION("IF(COUNTA(P22:P147)=0,"""",IF(REGEXMATCH(INDEX(FILTER(P$4:P22,P$4:P22&lt;&gt;""""),ROWS(FILTER(P$4:P22,P$4:P22&lt;&gt;""""))),""^Sell_""),INDEX(FILTER(S$4:S21,P$4:P21&lt;&gt;""""),ROWS(FILTER(P$4:P21,P$4:P21&lt;&gt;""""))),$AD$5*(2^SWITCH(COUNTIF(P$4:P22,""Cursor_up""),0,0,1,1,2"&amp;",2,3)+SWITCH(COUNTIF(P$4:P22,""Cursor_up""),4,0.1,0)*(ROW(P22)-4-COUNTIF(P$4:P22,""Cursor"")-COUNTIF(P$4:P22,""*""&amp;""_up"")-2*COUNTIF(P$4:P22,""Sell_""&amp;""*"")+COUNTIF(P$4:P22,""Sell_Cursor"")-COUNTIF(P$4:P22,""""))+0.01*R22*COUNTIF(P$4:P22,""Plastic_up"")"&amp;")+R22))"),76.4)</f>
        <v>76.4</v>
      </c>
      <c r="T22" s="14">
        <f>IFERROR(__xludf.DUMMYFUNCTION("IF(COUNTA(P22:P147)=0,"""",IF(REGEXMATCH(P22,""_up""),VLOOKUP(P22,Upgrades!$F$3:$J$8,1+COUNTIF(P$4:P22,P22),FALSE),IF(P22="""",0,IF(REGEXMATCH(P22,""^Sell_""),-ROUNDDOWN(ROUNDUP(INDEX(Upgrades!$C$3:$C$8,MATCH(SUBSTITUTE(P22,""Sell_"",""""),Upgrades!$B$3:$"&amp;"B$8,0))*1.15^(COUNTIF(P$4:P21,SUBSTITUTE(P22,""Sell_"",""""))-COUNTIF(P$4:P21,""Sell_""&amp;SUBSTITUTE(P22,""Sell_"",""""))))/4),ROUNDUP(INDEX(Upgrades!$C$3:$C$7,MATCH(P22,Upgrades!$B$3:$B$7,0))*1.15^(COUNTIF(P$4:P21,P22)-COUNTIF(P$4:P21,""Sell_""&amp;P22)))))))"),1100.0)</f>
        <v>1100</v>
      </c>
      <c r="U22" s="14">
        <f t="shared" si="10"/>
        <v>1100</v>
      </c>
      <c r="V22" s="75">
        <f t="shared" si="11"/>
        <v>28607.872</v>
      </c>
      <c r="W22" s="76">
        <f t="shared" si="12"/>
        <v>53.48213962</v>
      </c>
      <c r="X22" s="71" t="str">
        <f t="shared" si="13"/>
        <v>53s</v>
      </c>
      <c r="Y22" s="77">
        <f t="shared" si="14"/>
        <v>2570</v>
      </c>
      <c r="Z22" s="17"/>
      <c r="AA22" s="13"/>
      <c r="AB22" s="13"/>
      <c r="AC22" s="13"/>
      <c r="AD22" s="13"/>
      <c r="AE22" s="13"/>
      <c r="AF22" s="13"/>
      <c r="AG22" s="13"/>
    </row>
    <row r="23">
      <c r="A23" s="12"/>
      <c r="B23" s="65">
        <f t="shared" si="2"/>
        <v>12</v>
      </c>
      <c r="C23" s="66" t="s">
        <v>10</v>
      </c>
      <c r="D23" s="14" t="b">
        <f>IFERROR(__xludf.DUMMYFUNCTION("IF(COUNTA(C23:C147)=0,"""",IFERROR(IF(ISBLANK(C23),FALSE,IF(ISBLANK(G23),1,IF(NOT(COUNTIF($AA$24:$AA$34,SUBSTITUTE(C23,""Sell_"",""""))),1,IF(C23=""Plastic_up"",IF(I23&lt;1000,1),IF(C23=""Super_Up"",IF(OR(COUNTIF(C$4:C23,""Grandma"")-COUNTIF(C$4:C23,""Sell_G"&amp;"randma"")&lt;1,COUNTIF(C$4:C23,VLOOKUP(C23,Upgrades!$F$8:$N$8,7+COUNTIF(C$4:C23,C23)))-COUNTIF(C$4:C23,""Sell_""&amp;VLOOKUP(C23,Upgrades!$F$8:$N$8,7+COUNTIF(C$4:C23,C23)))&lt;15),1),IF(REGEXMATCH(C23,""_up""),IF(COUNTIF(C$4:C23,SUBSTITUTE(C23,""_up"",""""))&lt;IFERRO"&amp;"R(VLOOKUP(C23,Upgrades!$L$3:$P$6,1+COUNTIF(C$4:C23,C23),0),999),1),IF(REGEXMATCH(C23,""Sell_""),IF(COUNTIF(C$4:C23,SUBSTITUTE(C23,""Sell_"",""""))-COUNTIF(C$4:C22,C23)&lt;1,1),FALSE)))))))))"),FALSE)</f>
        <v>0</v>
      </c>
      <c r="E23" s="71">
        <f>IFERROR(__xludf.DUMMYFUNCTION("IF(REGEXMATCH(C23,""^Sell_""),E22, IF(COUNTA(C23:C147)=0,"""",(COUNTIF(C$4:C23,""Cursor"")-COUNTIF(C$4:C23,""Sell_Cursor""))*(0.1*2^SWITCH(COUNTIF(C$4:C23,""Cursor_up""),0,0,1,1,2,2,3)+SWITCH(COUNTIF(C$4:C23,""Cursor_up""),4,0.1,0)*(ROW(C23)-4-COUNTIF(C$4"&amp;":C23,""Cursor"")-COUNTIF(C$4:C23,""*""&amp;""_up"")-2*COUNTIF(C$4:C23,""Sell_""&amp;""*"")+COUNTIF(C$4:C23,""Sell_Cursor"")-COUNTIF(C$4:C23,"""")))+(COUNTIF(C$4:C23,""Grandma"")-COUNTIF(C$4:C23,""Sell_Grandma""))*(1*2^(COUNTIF(C$4:C23,""Grandma_up"")+COUNTIF(C$4:"&amp;"C23,""Super_up"")))+(COUNTIF(C$4:C23,""Farm"")-COUNTIF(C$4:C23,""Sell_Farm""))*(8*2^COUNTIF(C$4:C23,""Farm_up""))*IF(COUNTIF(C$4:C23,""Super_up"")&gt;0,1+0.01*(COUNTIF(C$4:C23,""Grandma"")-COUNTIF(C$4:C23,""Sell_Grandma"")),1)+(COUNTIF(C$4:C23,""Mine"")-COUN"&amp;"TIF(C$4:C23,""Sell_Mine""))*((47*2^COUNTIF(C$4:C23,""Mine_up""))*IF(COUNTIF(C$4:C23,""Super_up"")&gt;1,1+0.005*(COUNTIF(C$4:C23,""Grandma"")-COUNTIF(C$4:C23,""Sell_Grandma"")),1))+(COUNTIF(C$4:C23,""Factory"")-COUNTIF(C$4:C23,""Sell_Factory""))*(260*2^COUNTI"&amp;"F(C$4:C23,""Factory_up""))))"),16.8)</f>
        <v>16.8</v>
      </c>
      <c r="F23" s="73">
        <f>IFERROR(__xludf.DUMMYFUNCTION("IF(COUNTA(C23:C147)=0,"""",IF(REGEXMATCH(INDEX(FILTER(C$4:C23,C$4:C23&lt;&gt;""""),ROWS(FILTER(C$4:C23,C$4:C23&lt;&gt;""""))),""^Sell_""),INDEX(FILTER(F$4:F22,C$4:C22&lt;&gt;""""),ROWS(FILTER(C$4:C22,C$4:C22&lt;&gt;""""))),$AC$5*(2^SWITCH(COUNTIF(C$4:C23,""Cursor_up""),0,0,1,1,2"&amp;",2,3)+SWITCH(COUNTIF(C$4:C23,""Cursor_up""),4,0.1,0)*(ROW(C23)-4-COUNTIF(C$4:C23,""Cursor"")-COUNTIF(C$4:C23,""*""&amp;""_up"")-2*COUNTIF(C$4:C23,""Sell_""&amp;""*"")+COUNTIF(C$4:C23,""Sell_Cursor"")-COUNTIF(C$4:C23,""""))+0.01*E23*COUNTIF(C$4:C23,""Plastic_up"")"&amp;")+E23))"),76.8)</f>
        <v>76.8</v>
      </c>
      <c r="G23" s="14">
        <f>IFERROR(__xludf.DUMMYFUNCTION("IF(COUNTA(C23:C147)=0,"""",IF(REGEXMATCH(C23,""_up""),VLOOKUP(C23,Upgrades!$F$3:$J$8,1+COUNTIF(C$4:C23,C23),FALSE),IF(C23="""",0,IF(REGEXMATCH(C23,""^Sell_""),-ROUNDDOWN(ROUNDUP(INDEX(Upgrades!$C$3:$C$8,MATCH(SUBSTITUTE(C23,""Sell_"",""""),Upgrades!$B$3:$"&amp;"B$8,0))*1.15^(COUNTIF(C$4:C22,SUBSTITUTE(C23,""Sell_"",""""))-COUNTIF(C$4:C22,""Sell_""&amp;SUBSTITUTE(C23,""Sell_"",""""))))/4),ROUNDUP(INDEX(Upgrades!$C$3:$C$7,MATCH(C23,Upgrades!$B$3:$B$7,0))*1.15^(COUNTIF(C$4:C22,C23)-COUNTIF(C$4:C22,""Sell_""&amp;C23)))))))"),70.0)</f>
        <v>70</v>
      </c>
      <c r="H23" s="14">
        <f t="shared" si="3"/>
        <v>70</v>
      </c>
      <c r="I23" s="75">
        <f t="shared" si="4"/>
        <v>31871.7742</v>
      </c>
      <c r="J23" s="76">
        <f t="shared" si="5"/>
        <v>54.39836999</v>
      </c>
      <c r="K23" s="71" t="str">
        <f t="shared" si="6"/>
        <v>54s</v>
      </c>
      <c r="L23" s="77">
        <f t="shared" si="7"/>
        <v>2640</v>
      </c>
      <c r="M23" s="51">
        <f t="shared" si="8"/>
        <v>0</v>
      </c>
      <c r="N23" s="52">
        <f>IFERROR(__xludf.DUMMYFUNCTION("IFS(AND(COUNTA(C23:C147)=0,COUNTA(P23:P147)=0),"""",OR(AND(L23&gt;=1000000,OR(Y23&gt;=1000000,COUNTA(P23:P147)=0)),AND(Y23&gt;=1000000,COUNTA(C23:C147)=0),AND(COUNTA(P23:P147)=0,O$3=TRUE)),
ROUNDDOWN((AB$1-AC$1)*MAX(INDEX(S$4:S147,MATCH(LARGE(FILTER(Y$4:Y147,Y$4:Y"&amp;"147&lt;1000000),1),Y$4:Y147)),INDEX(F$4:F147,MATCH(LARGE(FILTER(L$4:L147,L$4:L147&lt;1000000),1),L$4:L147)))),AND(L23&lt;1000000,COUNTA(C23:C147)&gt;0,O$3=FALSE),
ROUNDDOWN(INDEX(Y$4:Y147,MATCH(LARGE(FILTER(W$4:W147,W$4:W147&lt;=J23),1),W$4:W147))+(J23-LARGE(FILTER(W$4:"&amp;"W147,W$4:W147&lt;=J23),1))*INDEX(S$4:S147,MATCH(LARGE(FILTER(W$4:W147,W$4:W147&lt;=J23),1),W$4:W147))-L23),1,
ROUNDDOWN(Y23-INDEX(L$4:L147,MATCH(LARGE(FILTER(J$4:J147,J$4:J147&lt;=W23),1),J$4:J147))-(W23-LARGE(FILTER(J$4:J147,J$4:J147&lt;=W23),1))*INDEX(F$4:F147,MATC"&amp;"H(LARGE(FILTER(J$4:J147,J$4:J147&lt;=W23),1),J$4:J147))))"),0.0)</f>
        <v>0</v>
      </c>
      <c r="O23" s="65">
        <f t="shared" si="9"/>
        <v>12</v>
      </c>
      <c r="P23" s="66" t="s">
        <v>10</v>
      </c>
      <c r="Q23" s="14" t="b">
        <f>IFERROR(__xludf.DUMMYFUNCTION("IF(COUNTA(P23:P147)=0,"""",IFERROR(IF(ISBLANK(P23),FALSE,IF(ISBLANK(T23),1,IF(NOT(COUNTIF($AA$24:$AA$34,SUBSTITUTE(P23,""Sell_"",""""))),1,IF(P23=""Plastic_up"",IF(V23&lt;1000,1),IF(P23=""Super_Up"",IF(OR(COUNTIF(P$4:P23,""Grandma"")-COUNTIF(P$4:P23,""Sell_G"&amp;"randma"")&lt;1,COUNTIF(P$4:P23,VLOOKUP(P23,Upgrades!$F$8:$N$8,7+COUNTIF(P$4:P23,P23)))-COUNTIF(P$4:P23,""Sell_""&amp;VLOOKUP(P23,Upgrades!$F$8:$N$8,7+COUNTIF(P$4:P23,P23)))&lt;15),1),IF(REGEXMATCH(P23,""_up""),IF(COUNTIF(P$4:P23,SUBSTITUTE(P23,""_up"",""""))&lt;IFERRO"&amp;"R(VLOOKUP(P23,Upgrades!$L$3:$P$6,1+COUNTIF(P$4:P23,P23),0),999),1),IF(REGEXMATCH(P23,""Sell_""),IF(COUNTIF(P$4:P23,SUBSTITUTE(P23,""Sell_"",""""))-COUNTIF(P$4:P22,P23)&lt;1,1),FALSE)))))))))"),FALSE)</f>
        <v>0</v>
      </c>
      <c r="R23" s="71">
        <f>IFERROR(__xludf.DUMMYFUNCTION("IF(REGEXMATCH(P23,""^Sell_""),R22, IF(COUNTA(P23:P147)=0,"""",(COUNTIF(P$4:P23,""Cursor"")-COUNTIF(P$4:P23,""Sell_Cursor""))*(0.1*2^SWITCH(COUNTIF(P$4:P23,""Cursor_up""),0,0,1,1,2,2,3)+SWITCH(COUNTIF(P$4:P23,""Cursor_up""),4,0.1,0)*(ROW(P23)-4-COUNTIF(P$4"&amp;":P23,""Cursor"")-COUNTIF(P$4:P23,""*""&amp;""_up"")-2*COUNTIF(P$4:P23,""Sell_""&amp;""*"")+COUNTIF(P$4:P23,""Sell_Cursor"")-COUNTIF(P$4:P23,"""")))+(COUNTIF(P$4:P23,""Grandma"")-COUNTIF(P$4:P23,""Sell_Grandma""))*(1*2^(COUNTIF(P$4:P23,""Grandma_up"")+COUNTIF(P$4:"&amp;"P23,""Super_up"")))+(COUNTIF(P$4:P23,""Farm"")-COUNTIF(P$4:P23,""Sell_Farm""))*(8*2^COUNTIF(P$4:P23,""Farm_up""))*IF(COUNTIF(P$4:P23,""Super_up"")&gt;0,1+0.01*(COUNTIF(P$4:P23,""Grandma"")-COUNTIF(P$4:P23,""Sell_Grandma"")),1)+(COUNTIF(P$4:P23,""Mine"")-COUN"&amp;"TIF(P$4:P23,""Sell_Mine""))*((47*2^COUNTIF(P$4:P23,""Mine_up""))*IF(COUNTIF(P$4:P23,""Super_up"")&gt;1,1+0.005*(COUNTIF(P$4:P23,""Grandma"")-COUNTIF(P$4:P23,""Sell_Grandma"")),1))+(COUNTIF(P$4:P23,""Factory"")-COUNTIF(P$4:P23,""Sell_Factory""))*(260*2^COUNTI"&amp;"F(P$4:P23,""Factory_up""))))"),16.8)</f>
        <v>16.8</v>
      </c>
      <c r="S23" s="73">
        <f>IFERROR(__xludf.DUMMYFUNCTION("IF(COUNTA(P23:P147)=0,"""",IF(REGEXMATCH(INDEX(FILTER(P$4:P23,P$4:P23&lt;&gt;""""),ROWS(FILTER(P$4:P23,P$4:P23&lt;&gt;""""))),""^Sell_""),INDEX(FILTER(S$4:S22,P$4:P22&lt;&gt;""""),ROWS(FILTER(P$4:P22,P$4:P22&lt;&gt;""""))),$AD$5*(2^SWITCH(COUNTIF(P$4:P23,""Cursor_up""),0,0,1,1,2"&amp;",2,3)+SWITCH(COUNTIF(P$4:P23,""Cursor_up""),4,0.1,0)*(ROW(P23)-4-COUNTIF(P$4:P23,""Cursor"")-COUNTIF(P$4:P23,""*""&amp;""_up"")-2*COUNTIF(P$4:P23,""Sell_""&amp;""*"")+COUNTIF(P$4:P23,""Sell_Cursor"")-COUNTIF(P$4:P23,""""))+0.01*R23*COUNTIF(P$4:P23,""Plastic_up"")"&amp;")+R23))"),76.8)</f>
        <v>76.8</v>
      </c>
      <c r="T23" s="14">
        <f>IFERROR(__xludf.DUMMYFUNCTION("IF(COUNTA(P23:P147)=0,"""",IF(REGEXMATCH(P23,""_up""),VLOOKUP(P23,Upgrades!$F$3:$J$8,1+COUNTIF(P$4:P23,P23),FALSE),IF(P23="""",0,IF(REGEXMATCH(P23,""^Sell_""),-ROUNDDOWN(ROUNDUP(INDEX(Upgrades!$C$3:$C$8,MATCH(SUBSTITUTE(P23,""Sell_"",""""),Upgrades!$B$3:$"&amp;"B$8,0))*1.15^(COUNTIF(P$4:P22,SUBSTITUTE(P23,""Sell_"",""""))-COUNTIF(P$4:P22,""Sell_""&amp;SUBSTITUTE(P23,""Sell_"",""""))))/4),ROUNDUP(INDEX(Upgrades!$C$3:$C$7,MATCH(P23,Upgrades!$B$3:$B$7,0))*1.15^(COUNTIF(P$4:P22,P23)-COUNTIF(P$4:P22,""Sell_""&amp;P23)))))))"),70.0)</f>
        <v>70</v>
      </c>
      <c r="U23" s="14">
        <f t="shared" si="10"/>
        <v>70</v>
      </c>
      <c r="V23" s="75">
        <f t="shared" si="11"/>
        <v>31871.7742</v>
      </c>
      <c r="W23" s="76">
        <f t="shared" si="12"/>
        <v>54.39836999</v>
      </c>
      <c r="X23" s="71" t="str">
        <f t="shared" si="13"/>
        <v>54s</v>
      </c>
      <c r="Y23" s="77">
        <f t="shared" si="14"/>
        <v>2640</v>
      </c>
      <c r="Z23" s="17"/>
      <c r="AA23" s="98" t="s">
        <v>74</v>
      </c>
      <c r="AB23" s="107"/>
      <c r="AC23" s="13"/>
      <c r="AD23" s="13"/>
      <c r="AE23" s="13"/>
      <c r="AF23" s="13"/>
      <c r="AG23" s="13"/>
    </row>
    <row r="24">
      <c r="A24" s="12"/>
      <c r="B24" s="65">
        <f t="shared" si="2"/>
        <v>5</v>
      </c>
      <c r="C24" s="66" t="s">
        <v>13</v>
      </c>
      <c r="D24" s="14" t="b">
        <f>IFERROR(__xludf.DUMMYFUNCTION("IF(COUNTA(C24:C147)=0,"""",IFERROR(IF(ISBLANK(C24),FALSE,IF(ISBLANK(G24),1,IF(NOT(COUNTIF($AA$24:$AA$34,SUBSTITUTE(C24,""Sell_"",""""))),1,IF(C24=""Plastic_up"",IF(I24&lt;1000,1),IF(C24=""Super_Up"",IF(OR(COUNTIF(C$4:C24,""Grandma"")-COUNTIF(C$4:C24,""Sell_G"&amp;"randma"")&lt;1,COUNTIF(C$4:C24,VLOOKUP(C24,Upgrades!$F$8:$N$8,7+COUNTIF(C$4:C24,C24)))-COUNTIF(C$4:C24,""Sell_""&amp;VLOOKUP(C24,Upgrades!$F$8:$N$8,7+COUNTIF(C$4:C24,C24)))&lt;15),1),IF(REGEXMATCH(C24,""_up""),IF(COUNTIF(C$4:C24,SUBSTITUTE(C24,""_up"",""""))&lt;IFERRO"&amp;"R(VLOOKUP(C24,Upgrades!$L$3:$P$6,1+COUNTIF(C$4:C24,C24),0),999),1),IF(REGEXMATCH(C24,""Sell_""),IF(COUNTIF(C$4:C24,SUBSTITUTE(C24,""Sell_"",""""))-COUNTIF(C$4:C23,C24)&lt;1,1),FALSE)))))))))"),FALSE)</f>
        <v>0</v>
      </c>
      <c r="E24" s="71">
        <f>IFERROR(__xludf.DUMMYFUNCTION("IF(REGEXMATCH(C24,""^Sell_""),E23, IF(COUNTA(C24:C147)=0,"""",(COUNTIF(C$4:C24,""Cursor"")-COUNTIF(C$4:C24,""Sell_Cursor""))*(0.1*2^SWITCH(COUNTIF(C$4:C24,""Cursor_up""),0,0,1,1,2,2,3)+SWITCH(COUNTIF(C$4:C24,""Cursor_up""),4,0.1,0)*(ROW(C24)-4-COUNTIF(C$4"&amp;":C24,""Cursor"")-COUNTIF(C$4:C24,""*""&amp;""_up"")-2*COUNTIF(C$4:C24,""Sell_""&amp;""*"")+COUNTIF(C$4:C24,""Sell_Cursor"")-COUNTIF(C$4:C24,"""")))+(COUNTIF(C$4:C24,""Grandma"")-COUNTIF(C$4:C24,""Sell_Grandma""))*(1*2^(COUNTIF(C$4:C24,""Grandma_up"")+COUNTIF(C$4:"&amp;"C24,""Super_up"")))+(COUNTIF(C$4:C24,""Farm"")-COUNTIF(C$4:C24,""Sell_Farm""))*(8*2^COUNTIF(C$4:C24,""Farm_up""))*IF(COUNTIF(C$4:C24,""Super_up"")&gt;0,1+0.01*(COUNTIF(C$4:C24,""Grandma"")-COUNTIF(C$4:C24,""Sell_Grandma"")),1)+(COUNTIF(C$4:C24,""Mine"")-COUN"&amp;"TIF(C$4:C24,""Sell_Mine""))*((47*2^COUNTIF(C$4:C24,""Mine_up""))*IF(COUNTIF(C$4:C24,""Super_up"")&gt;1,1+0.005*(COUNTIF(C$4:C24,""Grandma"")-COUNTIF(C$4:C24,""Sell_Grandma"")),1))+(COUNTIF(C$4:C24,""Factory"")-COUNTIF(C$4:C24,""Sell_Factory""))*(260*2^COUNTI"&amp;"F(C$4:C24,""Factory_up""))))"),17.8)</f>
        <v>17.8</v>
      </c>
      <c r="F24" s="73">
        <f>IFERROR(__xludf.DUMMYFUNCTION("IF(COUNTA(C24:C147)=0,"""",IF(REGEXMATCH(INDEX(FILTER(C$4:C24,C$4:C24&lt;&gt;""""),ROWS(FILTER(C$4:C24,C$4:C24&lt;&gt;""""))),""^Sell_""),INDEX(FILTER(F$4:F23,C$4:C23&lt;&gt;""""),ROWS(FILTER(C$4:C23,C$4:C23&lt;&gt;""""))),$AC$5*(2^SWITCH(COUNTIF(C$4:C24,""Cursor_up""),0,0,1,1,2"&amp;",2,3)+SWITCH(COUNTIF(C$4:C24,""Cursor_up""),4,0.1,0)*(ROW(C24)-4-COUNTIF(C$4:C24,""Cursor"")-COUNTIF(C$4:C24,""*""&amp;""_up"")-2*COUNTIF(C$4:C24,""Sell_""&amp;""*"")+COUNTIF(C$4:C24,""Sell_Cursor"")-COUNTIF(C$4:C24,""""))+0.01*E24*COUNTIF(C$4:C24,""Plastic_up"")"&amp;")+E24))"),77.8)</f>
        <v>77.8</v>
      </c>
      <c r="G24" s="14">
        <f>IFERROR(__xludf.DUMMYFUNCTION("IF(COUNTA(C24:C147)=0,"""",IF(REGEXMATCH(C24,""_up""),VLOOKUP(C24,Upgrades!$F$3:$J$8,1+COUNTIF(C$4:C24,C24),FALSE),IF(C24="""",0,IF(REGEXMATCH(C24,""^Sell_""),-ROUNDDOWN(ROUNDUP(INDEX(Upgrades!$C$3:$C$8,MATCH(SUBSTITUTE(C24,""Sell_"",""""),Upgrades!$B$3:$"&amp;"B$8,0))*1.15^(COUNTIF(C$4:C23,SUBSTITUTE(C24,""Sell_"",""""))-COUNTIF(C$4:C23,""Sell_""&amp;SUBSTITUTE(C24,""Sell_"",""""))))/4),ROUNDUP(INDEX(Upgrades!$C$3:$C$7,MATCH(C24,Upgrades!$B$3:$B$7,0))*1.15^(COUNTIF(C$4:C23,C24)-COUNTIF(C$4:C23,""Sell_""&amp;C24)))))))"),175.0)</f>
        <v>175</v>
      </c>
      <c r="H24" s="14">
        <f t="shared" si="3"/>
        <v>175</v>
      </c>
      <c r="I24" s="75">
        <f t="shared" si="4"/>
        <v>35272.39515</v>
      </c>
      <c r="J24" s="76">
        <f t="shared" si="5"/>
        <v>56.67701582</v>
      </c>
      <c r="K24" s="71" t="str">
        <f t="shared" si="6"/>
        <v>56s</v>
      </c>
      <c r="L24" s="77">
        <f t="shared" si="7"/>
        <v>2815</v>
      </c>
      <c r="M24" s="51">
        <f t="shared" si="8"/>
        <v>0</v>
      </c>
      <c r="N24" s="52">
        <f>IFERROR(__xludf.DUMMYFUNCTION("IFS(AND(COUNTA(C24:C147)=0,COUNTA(P24:P147)=0),"""",OR(AND(L24&gt;=1000000,OR(Y24&gt;=1000000,COUNTA(P24:P147)=0)),AND(Y24&gt;=1000000,COUNTA(C24:C147)=0),AND(COUNTA(P24:P147)=0,O$3=TRUE)),
ROUNDDOWN((AB$1-AC$1)*MAX(INDEX(S$4:S147,MATCH(LARGE(FILTER(Y$4:Y147,Y$4:Y"&amp;"147&lt;1000000),1),Y$4:Y147)),INDEX(F$4:F147,MATCH(LARGE(FILTER(L$4:L147,L$4:L147&lt;1000000),1),L$4:L147)))),AND(L24&lt;1000000,COUNTA(C24:C147)&gt;0,O$3=FALSE),
ROUNDDOWN(INDEX(Y$4:Y147,MATCH(LARGE(FILTER(W$4:W147,W$4:W147&lt;=J24),1),W$4:W147))+(J24-LARGE(FILTER(W$4:"&amp;"W147,W$4:W147&lt;=J24),1))*INDEX(S$4:S147,MATCH(LARGE(FILTER(W$4:W147,W$4:W147&lt;=J24),1),W$4:W147))-L24),1,
ROUNDDOWN(Y24-INDEX(L$4:L147,MATCH(LARGE(FILTER(J$4:J147,J$4:J147&lt;=W24),1),J$4:J147))-(W24-LARGE(FILTER(J$4:J147,J$4:J147&lt;=W24),1))*INDEX(F$4:F147,MATC"&amp;"H(LARGE(FILTER(J$4:J147,J$4:J147&lt;=W24),1),J$4:J147))))"),0.0)</f>
        <v>0</v>
      </c>
      <c r="O24" s="65">
        <f t="shared" si="9"/>
        <v>5</v>
      </c>
      <c r="P24" s="66" t="s">
        <v>13</v>
      </c>
      <c r="Q24" s="14" t="b">
        <f>IFERROR(__xludf.DUMMYFUNCTION("IF(COUNTA(P24:P147)=0,"""",IFERROR(IF(ISBLANK(P24),FALSE,IF(ISBLANK(T24),1,IF(NOT(COUNTIF($AA$24:$AA$34,SUBSTITUTE(P24,""Sell_"",""""))),1,IF(P24=""Plastic_up"",IF(V24&lt;1000,1),IF(P24=""Super_Up"",IF(OR(COUNTIF(P$4:P24,""Grandma"")-COUNTIF(P$4:P24,""Sell_G"&amp;"randma"")&lt;1,COUNTIF(P$4:P24,VLOOKUP(P24,Upgrades!$F$8:$N$8,7+COUNTIF(P$4:P24,P24)))-COUNTIF(P$4:P24,""Sell_""&amp;VLOOKUP(P24,Upgrades!$F$8:$N$8,7+COUNTIF(P$4:P24,P24)))&lt;15),1),IF(REGEXMATCH(P24,""_up""),IF(COUNTIF(P$4:P24,SUBSTITUTE(P24,""_up"",""""))&lt;IFERRO"&amp;"R(VLOOKUP(P24,Upgrades!$L$3:$P$6,1+COUNTIF(P$4:P24,P24),0),999),1),IF(REGEXMATCH(P24,""Sell_""),IF(COUNTIF(P$4:P24,SUBSTITUTE(P24,""Sell_"",""""))-COUNTIF(P$4:P23,P24)&lt;1,1),FALSE)))))))))"),FALSE)</f>
        <v>0</v>
      </c>
      <c r="R24" s="71">
        <f>IFERROR(__xludf.DUMMYFUNCTION("IF(REGEXMATCH(P24,""^Sell_""),R23, IF(COUNTA(P24:P147)=0,"""",(COUNTIF(P$4:P24,""Cursor"")-COUNTIF(P$4:P24,""Sell_Cursor""))*(0.1*2^SWITCH(COUNTIF(P$4:P24,""Cursor_up""),0,0,1,1,2,2,3)+SWITCH(COUNTIF(P$4:P24,""Cursor_up""),4,0.1,0)*(ROW(P24)-4-COUNTIF(P$4"&amp;":P24,""Cursor"")-COUNTIF(P$4:P24,""*""&amp;""_up"")-2*COUNTIF(P$4:P24,""Sell_""&amp;""*"")+COUNTIF(P$4:P24,""Sell_Cursor"")-COUNTIF(P$4:P24,"""")))+(COUNTIF(P$4:P24,""Grandma"")-COUNTIF(P$4:P24,""Sell_Grandma""))*(1*2^(COUNTIF(P$4:P24,""Grandma_up"")+COUNTIF(P$4:"&amp;"P24,""Super_up"")))+(COUNTIF(P$4:P24,""Farm"")-COUNTIF(P$4:P24,""Sell_Farm""))*(8*2^COUNTIF(P$4:P24,""Farm_up""))*IF(COUNTIF(P$4:P24,""Super_up"")&gt;0,1+0.01*(COUNTIF(P$4:P24,""Grandma"")-COUNTIF(P$4:P24,""Sell_Grandma"")),1)+(COUNTIF(P$4:P24,""Mine"")-COUN"&amp;"TIF(P$4:P24,""Sell_Mine""))*((47*2^COUNTIF(P$4:P24,""Mine_up""))*IF(COUNTIF(P$4:P24,""Super_up"")&gt;1,1+0.005*(COUNTIF(P$4:P24,""Grandma"")-COUNTIF(P$4:P24,""Sell_Grandma"")),1))+(COUNTIF(P$4:P24,""Factory"")-COUNTIF(P$4:P24,""Sell_Factory""))*(260*2^COUNTI"&amp;"F(P$4:P24,""Factory_up""))))"),17.8)</f>
        <v>17.8</v>
      </c>
      <c r="S24" s="73">
        <f>IFERROR(__xludf.DUMMYFUNCTION("IF(COUNTA(P24:P147)=0,"""",IF(REGEXMATCH(INDEX(FILTER(P$4:P24,P$4:P24&lt;&gt;""""),ROWS(FILTER(P$4:P24,P$4:P24&lt;&gt;""""))),""^Sell_""),INDEX(FILTER(S$4:S23,P$4:P23&lt;&gt;""""),ROWS(FILTER(P$4:P23,P$4:P23&lt;&gt;""""))),$AD$5*(2^SWITCH(COUNTIF(P$4:P24,""Cursor_up""),0,0,1,1,2"&amp;",2,3)+SWITCH(COUNTIF(P$4:P24,""Cursor_up""),4,0.1,0)*(ROW(P24)-4-COUNTIF(P$4:P24,""Cursor"")-COUNTIF(P$4:P24,""*""&amp;""_up"")-2*COUNTIF(P$4:P24,""Sell_""&amp;""*"")+COUNTIF(P$4:P24,""Sell_Cursor"")-COUNTIF(P$4:P24,""""))+0.01*R24*COUNTIF(P$4:P24,""Plastic_up"")"&amp;")+R24))"),77.8)</f>
        <v>77.8</v>
      </c>
      <c r="T24" s="14">
        <f>IFERROR(__xludf.DUMMYFUNCTION("IF(COUNTA(P24:P147)=0,"""",IF(REGEXMATCH(P24,""_up""),VLOOKUP(P24,Upgrades!$F$3:$J$8,1+COUNTIF(P$4:P24,P24),FALSE),IF(P24="""",0,IF(REGEXMATCH(P24,""^Sell_""),-ROUNDDOWN(ROUNDUP(INDEX(Upgrades!$C$3:$C$8,MATCH(SUBSTITUTE(P24,""Sell_"",""""),Upgrades!$B$3:$"&amp;"B$8,0))*1.15^(COUNTIF(P$4:P23,SUBSTITUTE(P24,""Sell_"",""""))-COUNTIF(P$4:P23,""Sell_""&amp;SUBSTITUTE(P24,""Sell_"",""""))))/4),ROUNDUP(INDEX(Upgrades!$C$3:$C$7,MATCH(P24,Upgrades!$B$3:$B$7,0))*1.15^(COUNTIF(P$4:P23,P24)-COUNTIF(P$4:P23,""Sell_""&amp;P24)))))))"),175.0)</f>
        <v>175</v>
      </c>
      <c r="U24" s="14">
        <f t="shared" si="10"/>
        <v>175</v>
      </c>
      <c r="V24" s="75">
        <f t="shared" si="11"/>
        <v>35272.39515</v>
      </c>
      <c r="W24" s="76">
        <f t="shared" si="12"/>
        <v>56.67701582</v>
      </c>
      <c r="X24" s="71" t="str">
        <f t="shared" si="13"/>
        <v>56s</v>
      </c>
      <c r="Y24" s="77">
        <f t="shared" si="14"/>
        <v>2815</v>
      </c>
      <c r="Z24" s="17"/>
      <c r="AA24" s="32" t="s">
        <v>10</v>
      </c>
      <c r="AB24" s="108" t="s">
        <v>75</v>
      </c>
      <c r="AC24" s="13"/>
      <c r="AD24" s="13"/>
      <c r="AE24" s="13"/>
      <c r="AF24" s="13"/>
      <c r="AG24" s="13"/>
    </row>
    <row r="25">
      <c r="A25" s="12"/>
      <c r="B25" s="65">
        <f t="shared" si="2"/>
        <v>6</v>
      </c>
      <c r="C25" s="66" t="s">
        <v>13</v>
      </c>
      <c r="D25" s="14" t="b">
        <f>IFERROR(__xludf.DUMMYFUNCTION("IF(COUNTA(C25:C147)=0,"""",IFERROR(IF(ISBLANK(C25),FALSE,IF(ISBLANK(G25),1,IF(NOT(COUNTIF($AA$24:$AA$34,SUBSTITUTE(C25,""Sell_"",""""))),1,IF(C25=""Plastic_up"",IF(I25&lt;1000,1),IF(C25=""Super_Up"",IF(OR(COUNTIF(C$4:C25,""Grandma"")-COUNTIF(C$4:C25,""Sell_G"&amp;"randma"")&lt;1,COUNTIF(C$4:C25,VLOOKUP(C25,Upgrades!$F$8:$N$8,7+COUNTIF(C$4:C25,C25)))-COUNTIF(C$4:C25,""Sell_""&amp;VLOOKUP(C25,Upgrades!$F$8:$N$8,7+COUNTIF(C$4:C25,C25)))&lt;15),1),IF(REGEXMATCH(C25,""_up""),IF(COUNTIF(C$4:C25,SUBSTITUTE(C25,""_up"",""""))&lt;IFERRO"&amp;"R(VLOOKUP(C25,Upgrades!$L$3:$P$6,1+COUNTIF(C$4:C25,C25),0),999),1),IF(REGEXMATCH(C25,""Sell_""),IF(COUNTIF(C$4:C25,SUBSTITUTE(C25,""Sell_"",""""))-COUNTIF(C$4:C24,C25)&lt;1,1),FALSE)))))))))"),FALSE)</f>
        <v>0</v>
      </c>
      <c r="E25" s="71">
        <f>IFERROR(__xludf.DUMMYFUNCTION("IF(REGEXMATCH(C25,""^Sell_""),E24, IF(COUNTA(C25:C147)=0,"""",(COUNTIF(C$4:C25,""Cursor"")-COUNTIF(C$4:C25,""Sell_Cursor""))*(0.1*2^SWITCH(COUNTIF(C$4:C25,""Cursor_up""),0,0,1,1,2,2,3)+SWITCH(COUNTIF(C$4:C25,""Cursor_up""),4,0.1,0)*(ROW(C25)-4-COUNTIF(C$4"&amp;":C25,""Cursor"")-COUNTIF(C$4:C25,""*""&amp;""_up"")-2*COUNTIF(C$4:C25,""Sell_""&amp;""*"")+COUNTIF(C$4:C25,""Sell_Cursor"")-COUNTIF(C$4:C25,"""")))+(COUNTIF(C$4:C25,""Grandma"")-COUNTIF(C$4:C25,""Sell_Grandma""))*(1*2^(COUNTIF(C$4:C25,""Grandma_up"")+COUNTIF(C$4:"&amp;"C25,""Super_up"")))+(COUNTIF(C$4:C25,""Farm"")-COUNTIF(C$4:C25,""Sell_Farm""))*(8*2^COUNTIF(C$4:C25,""Farm_up""))*IF(COUNTIF(C$4:C25,""Super_up"")&gt;0,1+0.01*(COUNTIF(C$4:C25,""Grandma"")-COUNTIF(C$4:C25,""Sell_Grandma"")),1)+(COUNTIF(C$4:C25,""Mine"")-COUN"&amp;"TIF(C$4:C25,""Sell_Mine""))*((47*2^COUNTIF(C$4:C25,""Mine_up""))*IF(COUNTIF(C$4:C25,""Super_up"")&gt;1,1+0.005*(COUNTIF(C$4:C25,""Grandma"")-COUNTIF(C$4:C25,""Sell_Grandma"")),1))+(COUNTIF(C$4:C25,""Factory"")-COUNTIF(C$4:C25,""Sell_Factory""))*(260*2^COUNTI"&amp;"F(C$4:C25,""Factory_up""))))"),18.8)</f>
        <v>18.8</v>
      </c>
      <c r="F25" s="73">
        <f>IFERROR(__xludf.DUMMYFUNCTION("IF(COUNTA(C25:C147)=0,"""",IF(REGEXMATCH(INDEX(FILTER(C$4:C25,C$4:C25&lt;&gt;""""),ROWS(FILTER(C$4:C25,C$4:C25&lt;&gt;""""))),""^Sell_""),INDEX(FILTER(F$4:F24,C$4:C24&lt;&gt;""""),ROWS(FILTER(C$4:C24,C$4:C24&lt;&gt;""""))),$AC$5*(2^SWITCH(COUNTIF(C$4:C25,""Cursor_up""),0,0,1,1,2"&amp;",2,3)+SWITCH(COUNTIF(C$4:C25,""Cursor_up""),4,0.1,0)*(ROW(C25)-4-COUNTIF(C$4:C25,""Cursor"")-COUNTIF(C$4:C25,""*""&amp;""_up"")-2*COUNTIF(C$4:C25,""Sell_""&amp;""*"")+COUNTIF(C$4:C25,""Sell_Cursor"")-COUNTIF(C$4:C25,""""))+0.01*E25*COUNTIF(C$4:C25,""Plastic_up"")"&amp;")+E25))"),78.8)</f>
        <v>78.8</v>
      </c>
      <c r="G25" s="14">
        <f>IFERROR(__xludf.DUMMYFUNCTION("IF(COUNTA(C25:C147)=0,"""",IF(REGEXMATCH(C25,""_up""),VLOOKUP(C25,Upgrades!$F$3:$J$8,1+COUNTIF(C$4:C25,C25),FALSE),IF(C25="""",0,IF(REGEXMATCH(C25,""^Sell_""),-ROUNDDOWN(ROUNDUP(INDEX(Upgrades!$C$3:$C$8,MATCH(SUBSTITUTE(C25,""Sell_"",""""),Upgrades!$B$3:$"&amp;"B$8,0))*1.15^(COUNTIF(C$4:C24,SUBSTITUTE(C25,""Sell_"",""""))-COUNTIF(C$4:C24,""Sell_""&amp;SUBSTITUTE(C25,""Sell_"",""""))))/4),ROUNDUP(INDEX(Upgrades!$C$3:$C$7,MATCH(C25,Upgrades!$B$3:$B$7,0))*1.15^(COUNTIF(C$4:C24,C25)-COUNTIF(C$4:C24,""Sell_""&amp;C25)))))))"),202.0)</f>
        <v>202</v>
      </c>
      <c r="H25" s="14">
        <f t="shared" si="3"/>
        <v>202</v>
      </c>
      <c r="I25" s="75">
        <f t="shared" si="4"/>
        <v>38828.80016</v>
      </c>
      <c r="J25" s="76">
        <f t="shared" si="5"/>
        <v>59.27341685</v>
      </c>
      <c r="K25" s="71" t="str">
        <f t="shared" si="6"/>
        <v>0m 59s</v>
      </c>
      <c r="L25" s="77">
        <f t="shared" si="7"/>
        <v>3017</v>
      </c>
      <c r="M25" s="51">
        <f t="shared" si="8"/>
        <v>0</v>
      </c>
      <c r="N25" s="52">
        <f>IFERROR(__xludf.DUMMYFUNCTION("IFS(AND(COUNTA(C25:C147)=0,COUNTA(P25:P147)=0),"""",OR(AND(L25&gt;=1000000,OR(Y25&gt;=1000000,COUNTA(P25:P147)=0)),AND(Y25&gt;=1000000,COUNTA(C25:C147)=0),AND(COUNTA(P25:P147)=0,O$3=TRUE)),
ROUNDDOWN((AB$1-AC$1)*MAX(INDEX(S$4:S147,MATCH(LARGE(FILTER(Y$4:Y147,Y$4:Y"&amp;"147&lt;1000000),1),Y$4:Y147)),INDEX(F$4:F147,MATCH(LARGE(FILTER(L$4:L147,L$4:L147&lt;1000000),1),L$4:L147)))),AND(L25&lt;1000000,COUNTA(C25:C147)&gt;0,O$3=FALSE),
ROUNDDOWN(INDEX(Y$4:Y147,MATCH(LARGE(FILTER(W$4:W147,W$4:W147&lt;=J25),1),W$4:W147))+(J25-LARGE(FILTER(W$4:"&amp;"W147,W$4:W147&lt;=J25),1))*INDEX(S$4:S147,MATCH(LARGE(FILTER(W$4:W147,W$4:W147&lt;=J25),1),W$4:W147))-L25),1,
ROUNDDOWN(Y25-INDEX(L$4:L147,MATCH(LARGE(FILTER(J$4:J147,J$4:J147&lt;=W25),1),J$4:J147))-(W25-LARGE(FILTER(J$4:J147,J$4:J147&lt;=W25),1))*INDEX(F$4:F147,MATC"&amp;"H(LARGE(FILTER(J$4:J147,J$4:J147&lt;=W25),1),J$4:J147))))"),0.0)</f>
        <v>0</v>
      </c>
      <c r="O25" s="65">
        <f t="shared" si="9"/>
        <v>6</v>
      </c>
      <c r="P25" s="66" t="s">
        <v>13</v>
      </c>
      <c r="Q25" s="14" t="b">
        <f>IFERROR(__xludf.DUMMYFUNCTION("IF(COUNTA(P25:P147)=0,"""",IFERROR(IF(ISBLANK(P25),FALSE,IF(ISBLANK(T25),1,IF(NOT(COUNTIF($AA$24:$AA$34,SUBSTITUTE(P25,""Sell_"",""""))),1,IF(P25=""Plastic_up"",IF(V25&lt;1000,1),IF(P25=""Super_Up"",IF(OR(COUNTIF(P$4:P25,""Grandma"")-COUNTIF(P$4:P25,""Sell_G"&amp;"randma"")&lt;1,COUNTIF(P$4:P25,VLOOKUP(P25,Upgrades!$F$8:$N$8,7+COUNTIF(P$4:P25,P25)))-COUNTIF(P$4:P25,""Sell_""&amp;VLOOKUP(P25,Upgrades!$F$8:$N$8,7+COUNTIF(P$4:P25,P25)))&lt;15),1),IF(REGEXMATCH(P25,""_up""),IF(COUNTIF(P$4:P25,SUBSTITUTE(P25,""_up"",""""))&lt;IFERRO"&amp;"R(VLOOKUP(P25,Upgrades!$L$3:$P$6,1+COUNTIF(P$4:P25,P25),0),999),1),IF(REGEXMATCH(P25,""Sell_""),IF(COUNTIF(P$4:P25,SUBSTITUTE(P25,""Sell_"",""""))-COUNTIF(P$4:P24,P25)&lt;1,1),FALSE)))))))))"),FALSE)</f>
        <v>0</v>
      </c>
      <c r="R25" s="71">
        <f>IFERROR(__xludf.DUMMYFUNCTION("IF(REGEXMATCH(P25,""^Sell_""),R24, IF(COUNTA(P25:P147)=0,"""",(COUNTIF(P$4:P25,""Cursor"")-COUNTIF(P$4:P25,""Sell_Cursor""))*(0.1*2^SWITCH(COUNTIF(P$4:P25,""Cursor_up""),0,0,1,1,2,2,3)+SWITCH(COUNTIF(P$4:P25,""Cursor_up""),4,0.1,0)*(ROW(P25)-4-COUNTIF(P$4"&amp;":P25,""Cursor"")-COUNTIF(P$4:P25,""*""&amp;""_up"")-2*COUNTIF(P$4:P25,""Sell_""&amp;""*"")+COUNTIF(P$4:P25,""Sell_Cursor"")-COUNTIF(P$4:P25,"""")))+(COUNTIF(P$4:P25,""Grandma"")-COUNTIF(P$4:P25,""Sell_Grandma""))*(1*2^(COUNTIF(P$4:P25,""Grandma_up"")+COUNTIF(P$4:"&amp;"P25,""Super_up"")))+(COUNTIF(P$4:P25,""Farm"")-COUNTIF(P$4:P25,""Sell_Farm""))*(8*2^COUNTIF(P$4:P25,""Farm_up""))*IF(COUNTIF(P$4:P25,""Super_up"")&gt;0,1+0.01*(COUNTIF(P$4:P25,""Grandma"")-COUNTIF(P$4:P25,""Sell_Grandma"")),1)+(COUNTIF(P$4:P25,""Mine"")-COUN"&amp;"TIF(P$4:P25,""Sell_Mine""))*((47*2^COUNTIF(P$4:P25,""Mine_up""))*IF(COUNTIF(P$4:P25,""Super_up"")&gt;1,1+0.005*(COUNTIF(P$4:P25,""Grandma"")-COUNTIF(P$4:P25,""Sell_Grandma"")),1))+(COUNTIF(P$4:P25,""Factory"")-COUNTIF(P$4:P25,""Sell_Factory""))*(260*2^COUNTI"&amp;"F(P$4:P25,""Factory_up""))))"),18.8)</f>
        <v>18.8</v>
      </c>
      <c r="S25" s="73">
        <f>IFERROR(__xludf.DUMMYFUNCTION("IF(COUNTA(P25:P147)=0,"""",IF(REGEXMATCH(INDEX(FILTER(P$4:P25,P$4:P25&lt;&gt;""""),ROWS(FILTER(P$4:P25,P$4:P25&lt;&gt;""""))),""^Sell_""),INDEX(FILTER(S$4:S24,P$4:P24&lt;&gt;""""),ROWS(FILTER(P$4:P24,P$4:P24&lt;&gt;""""))),$AD$5*(2^SWITCH(COUNTIF(P$4:P25,""Cursor_up""),0,0,1,1,2"&amp;",2,3)+SWITCH(COUNTIF(P$4:P25,""Cursor_up""),4,0.1,0)*(ROW(P25)-4-COUNTIF(P$4:P25,""Cursor"")-COUNTIF(P$4:P25,""*""&amp;""_up"")-2*COUNTIF(P$4:P25,""Sell_""&amp;""*"")+COUNTIF(P$4:P25,""Sell_Cursor"")-COUNTIF(P$4:P25,""""))+0.01*R25*COUNTIF(P$4:P25,""Plastic_up"")"&amp;")+R25))"),78.8)</f>
        <v>78.8</v>
      </c>
      <c r="T25" s="14">
        <f>IFERROR(__xludf.DUMMYFUNCTION("IF(COUNTA(P25:P147)=0,"""",IF(REGEXMATCH(P25,""_up""),VLOOKUP(P25,Upgrades!$F$3:$J$8,1+COUNTIF(P$4:P25,P25),FALSE),IF(P25="""",0,IF(REGEXMATCH(P25,""^Sell_""),-ROUNDDOWN(ROUNDUP(INDEX(Upgrades!$C$3:$C$8,MATCH(SUBSTITUTE(P25,""Sell_"",""""),Upgrades!$B$3:$"&amp;"B$8,0))*1.15^(COUNTIF(P$4:P24,SUBSTITUTE(P25,""Sell_"",""""))-COUNTIF(P$4:P24,""Sell_""&amp;SUBSTITUTE(P25,""Sell_"",""""))))/4),ROUNDUP(INDEX(Upgrades!$C$3:$C$7,MATCH(P25,Upgrades!$B$3:$B$7,0))*1.15^(COUNTIF(P$4:P24,P25)-COUNTIF(P$4:P24,""Sell_""&amp;P25)))))))"),202.0)</f>
        <v>202</v>
      </c>
      <c r="U25" s="14">
        <f t="shared" si="10"/>
        <v>202</v>
      </c>
      <c r="V25" s="75">
        <f t="shared" si="11"/>
        <v>38828.80016</v>
      </c>
      <c r="W25" s="76">
        <f t="shared" si="12"/>
        <v>59.27341685</v>
      </c>
      <c r="X25" s="71" t="str">
        <f t="shared" si="13"/>
        <v>0m 59s</v>
      </c>
      <c r="Y25" s="77">
        <f t="shared" si="14"/>
        <v>3017</v>
      </c>
      <c r="Z25" s="17"/>
      <c r="AA25" s="32" t="s">
        <v>13</v>
      </c>
      <c r="AB25" s="108" t="s">
        <v>75</v>
      </c>
      <c r="AC25" s="13"/>
      <c r="AD25" s="13"/>
      <c r="AE25" s="13"/>
      <c r="AF25" s="13"/>
      <c r="AG25" s="13"/>
    </row>
    <row r="26">
      <c r="A26" s="12"/>
      <c r="B26" s="65">
        <f t="shared" si="2"/>
        <v>1</v>
      </c>
      <c r="C26" s="66" t="s">
        <v>14</v>
      </c>
      <c r="D26" s="14" t="b">
        <f>IFERROR(__xludf.DUMMYFUNCTION("IF(COUNTA(C26:C147)=0,"""",IFERROR(IF(ISBLANK(C26),FALSE,IF(ISBLANK(G26),1,IF(NOT(COUNTIF($AA$24:$AA$34,SUBSTITUTE(C26,""Sell_"",""""))),1,IF(C26=""Plastic_up"",IF(I26&lt;1000,1),IF(C26=""Super_Up"",IF(OR(COUNTIF(C$4:C26,""Grandma"")-COUNTIF(C$4:C26,""Sell_G"&amp;"randma"")&lt;1,COUNTIF(C$4:C26,VLOOKUP(C26,Upgrades!$F$8:$N$8,7+COUNTIF(C$4:C26,C26)))-COUNTIF(C$4:C26,""Sell_""&amp;VLOOKUP(C26,Upgrades!$F$8:$N$8,7+COUNTIF(C$4:C26,C26)))&lt;15),1),IF(REGEXMATCH(C26,""_up""),IF(COUNTIF(C$4:C26,SUBSTITUTE(C26,""_up"",""""))&lt;IFERRO"&amp;"R(VLOOKUP(C26,Upgrades!$L$3:$P$6,1+COUNTIF(C$4:C26,C26),0),999),1),IF(REGEXMATCH(C26,""Sell_""),IF(COUNTIF(C$4:C26,SUBSTITUTE(C26,""Sell_"",""""))-COUNTIF(C$4:C25,C26)&lt;1,1),FALSE)))))))))"),FALSE)</f>
        <v>0</v>
      </c>
      <c r="E26" s="71">
        <f>IFERROR(__xludf.DUMMYFUNCTION("IF(REGEXMATCH(C26,""^Sell_""),E25, IF(COUNTA(C26:C147)=0,"""",(COUNTIF(C$4:C26,""Cursor"")-COUNTIF(C$4:C26,""Sell_Cursor""))*(0.1*2^SWITCH(COUNTIF(C$4:C26,""Cursor_up""),0,0,1,1,2,2,3)+SWITCH(COUNTIF(C$4:C26,""Cursor_up""),4,0.1,0)*(ROW(C26)-4-COUNTIF(C$4"&amp;":C26,""Cursor"")-COUNTIF(C$4:C26,""*""&amp;""_up"")-2*COUNTIF(C$4:C26,""Sell_""&amp;""*"")+COUNTIF(C$4:C26,""Sell_Cursor"")-COUNTIF(C$4:C26,"""")))+(COUNTIF(C$4:C26,""Grandma"")-COUNTIF(C$4:C26,""Sell_Grandma""))*(1*2^(COUNTIF(C$4:C26,""Grandma_up"")+COUNTIF(C$4:"&amp;"C26,""Super_up"")))+(COUNTIF(C$4:C26,""Farm"")-COUNTIF(C$4:C26,""Sell_Farm""))*(8*2^COUNTIF(C$4:C26,""Farm_up""))*IF(COUNTIF(C$4:C26,""Super_up"")&gt;0,1+0.01*(COUNTIF(C$4:C26,""Grandma"")-COUNTIF(C$4:C26,""Sell_Grandma"")),1)+(COUNTIF(C$4:C26,""Mine"")-COUN"&amp;"TIF(C$4:C26,""Sell_Mine""))*((47*2^COUNTIF(C$4:C26,""Mine_up""))*IF(COUNTIF(C$4:C26,""Super_up"")&gt;1,1+0.005*(COUNTIF(C$4:C26,""Grandma"")-COUNTIF(C$4:C26,""Sell_Grandma"")),1))+(COUNTIF(C$4:C26,""Factory"")-COUNTIF(C$4:C26,""Sell_Factory""))*(260*2^COUNTI"&amp;"F(C$4:C26,""Factory_up""))))"),24.8)</f>
        <v>24.8</v>
      </c>
      <c r="F26" s="73">
        <f>IFERROR(__xludf.DUMMYFUNCTION("IF(COUNTA(C26:C147)=0,"""",IF(REGEXMATCH(INDEX(FILTER(C$4:C26,C$4:C26&lt;&gt;""""),ROWS(FILTER(C$4:C26,C$4:C26&lt;&gt;""""))),""^Sell_""),INDEX(FILTER(F$4:F25,C$4:C25&lt;&gt;""""),ROWS(FILTER(C$4:C25,C$4:C25&lt;&gt;""""))),$AC$5*(2^SWITCH(COUNTIF(C$4:C26,""Cursor_up""),0,0,1,1,2"&amp;",2,3)+SWITCH(COUNTIF(C$4:C26,""Cursor_up""),4,0.1,0)*(ROW(C26)-4-COUNTIF(C$4:C26,""Cursor"")-COUNTIF(C$4:C26,""*""&amp;""_up"")-2*COUNTIF(C$4:C26,""Sell_""&amp;""*"")+COUNTIF(C$4:C26,""Sell_Cursor"")-COUNTIF(C$4:C26,""""))+0.01*E26*COUNTIF(C$4:C26,""Plastic_up"")"&amp;")+E26))"),84.8)</f>
        <v>84.8</v>
      </c>
      <c r="G26" s="14">
        <f>IFERROR(__xludf.DUMMYFUNCTION("IF(COUNTA(C26:C147)=0,"""",IF(REGEXMATCH(C26,""_up""),VLOOKUP(C26,Upgrades!$F$3:$J$8,1+COUNTIF(C$4:C26,C26),FALSE),IF(C26="""",0,IF(REGEXMATCH(C26,""^Sell_""),-ROUNDDOWN(ROUNDUP(INDEX(Upgrades!$C$3:$C$8,MATCH(SUBSTITUTE(C26,""Sell_"",""""),Upgrades!$B$3:$"&amp;"B$8,0))*1.15^(COUNTIF(C$4:C25,SUBSTITUTE(C26,""Sell_"",""""))-COUNTIF(C$4:C25,""Sell_""&amp;SUBSTITUTE(C26,""Sell_"",""""))))/4),ROUNDUP(INDEX(Upgrades!$C$3:$C$7,MATCH(C26,Upgrades!$B$3:$B$7,0))*1.15^(COUNTIF(C$4:C25,C26)-COUNTIF(C$4:C25,""Sell_""&amp;C26)))))))"),1000.0)</f>
        <v>1000</v>
      </c>
      <c r="H26" s="14">
        <f t="shared" si="3"/>
        <v>1000</v>
      </c>
      <c r="I26" s="75">
        <f t="shared" si="4"/>
        <v>43146.62649</v>
      </c>
      <c r="J26" s="76">
        <f t="shared" si="5"/>
        <v>71.96377218</v>
      </c>
      <c r="K26" s="71" t="str">
        <f t="shared" si="6"/>
        <v>1m 11s</v>
      </c>
      <c r="L26" s="77">
        <f t="shared" si="7"/>
        <v>4017</v>
      </c>
      <c r="M26" s="51">
        <f t="shared" si="8"/>
        <v>0</v>
      </c>
      <c r="N26" s="52">
        <f>IFERROR(__xludf.DUMMYFUNCTION("IFS(AND(COUNTA(C26:C147)=0,COUNTA(P26:P147)=0),"""",OR(AND(L26&gt;=1000000,OR(Y26&gt;=1000000,COUNTA(P26:P147)=0)),AND(Y26&gt;=1000000,COUNTA(C26:C147)=0),AND(COUNTA(P26:P147)=0,O$3=TRUE)),
ROUNDDOWN((AB$1-AC$1)*MAX(INDEX(S$4:S147,MATCH(LARGE(FILTER(Y$4:Y147,Y$4:Y"&amp;"147&lt;1000000),1),Y$4:Y147)),INDEX(F$4:F147,MATCH(LARGE(FILTER(L$4:L147,L$4:L147&lt;1000000),1),L$4:L147)))),AND(L26&lt;1000000,COUNTA(C26:C147)&gt;0,O$3=FALSE),
ROUNDDOWN(INDEX(Y$4:Y147,MATCH(LARGE(FILTER(W$4:W147,W$4:W147&lt;=J26),1),W$4:W147))+(J26-LARGE(FILTER(W$4:"&amp;"W147,W$4:W147&lt;=J26),1))*INDEX(S$4:S147,MATCH(LARGE(FILTER(W$4:W147,W$4:W147&lt;=J26),1),W$4:W147))-L26),1,
ROUNDDOWN(Y26-INDEX(L$4:L147,MATCH(LARGE(FILTER(J$4:J147,J$4:J147&lt;=W26),1),J$4:J147))-(W26-LARGE(FILTER(J$4:J147,J$4:J147&lt;=W26),1))*INDEX(F$4:F147,MATC"&amp;"H(LARGE(FILTER(J$4:J147,J$4:J147&lt;=W26),1),J$4:J147))))"),0.0)</f>
        <v>0</v>
      </c>
      <c r="O26" s="65">
        <f t="shared" si="9"/>
        <v>1</v>
      </c>
      <c r="P26" s="66" t="s">
        <v>14</v>
      </c>
      <c r="Q26" s="14" t="b">
        <f>IFERROR(__xludf.DUMMYFUNCTION("IF(COUNTA(P26:P147)=0,"""",IFERROR(IF(ISBLANK(P26),FALSE,IF(ISBLANK(T26),1,IF(NOT(COUNTIF($AA$24:$AA$34,SUBSTITUTE(P26,""Sell_"",""""))),1,IF(P26=""Plastic_up"",IF(V26&lt;1000,1),IF(P26=""Super_Up"",IF(OR(COUNTIF(P$4:P26,""Grandma"")-COUNTIF(P$4:P26,""Sell_G"&amp;"randma"")&lt;1,COUNTIF(P$4:P26,VLOOKUP(P26,Upgrades!$F$8:$N$8,7+COUNTIF(P$4:P26,P26)))-COUNTIF(P$4:P26,""Sell_""&amp;VLOOKUP(P26,Upgrades!$F$8:$N$8,7+COUNTIF(P$4:P26,P26)))&lt;15),1),IF(REGEXMATCH(P26,""_up""),IF(COUNTIF(P$4:P26,SUBSTITUTE(P26,""_up"",""""))&lt;IFERRO"&amp;"R(VLOOKUP(P26,Upgrades!$L$3:$P$6,1+COUNTIF(P$4:P26,P26),0),999),1),IF(REGEXMATCH(P26,""Sell_""),IF(COUNTIF(P$4:P26,SUBSTITUTE(P26,""Sell_"",""""))-COUNTIF(P$4:P25,P26)&lt;1,1),FALSE)))))))))"),FALSE)</f>
        <v>0</v>
      </c>
      <c r="R26" s="71">
        <f>IFERROR(__xludf.DUMMYFUNCTION("IF(REGEXMATCH(P26,""^Sell_""),R25, IF(COUNTA(P26:P147)=0,"""",(COUNTIF(P$4:P26,""Cursor"")-COUNTIF(P$4:P26,""Sell_Cursor""))*(0.1*2^SWITCH(COUNTIF(P$4:P26,""Cursor_up""),0,0,1,1,2,2,3)+SWITCH(COUNTIF(P$4:P26,""Cursor_up""),4,0.1,0)*(ROW(P26)-4-COUNTIF(P$4"&amp;":P26,""Cursor"")-COUNTIF(P$4:P26,""*""&amp;""_up"")-2*COUNTIF(P$4:P26,""Sell_""&amp;""*"")+COUNTIF(P$4:P26,""Sell_Cursor"")-COUNTIF(P$4:P26,"""")))+(COUNTIF(P$4:P26,""Grandma"")-COUNTIF(P$4:P26,""Sell_Grandma""))*(1*2^(COUNTIF(P$4:P26,""Grandma_up"")+COUNTIF(P$4:"&amp;"P26,""Super_up"")))+(COUNTIF(P$4:P26,""Farm"")-COUNTIF(P$4:P26,""Sell_Farm""))*(8*2^COUNTIF(P$4:P26,""Farm_up""))*IF(COUNTIF(P$4:P26,""Super_up"")&gt;0,1+0.01*(COUNTIF(P$4:P26,""Grandma"")-COUNTIF(P$4:P26,""Sell_Grandma"")),1)+(COUNTIF(P$4:P26,""Mine"")-COUN"&amp;"TIF(P$4:P26,""Sell_Mine""))*((47*2^COUNTIF(P$4:P26,""Mine_up""))*IF(COUNTIF(P$4:P26,""Super_up"")&gt;1,1+0.005*(COUNTIF(P$4:P26,""Grandma"")-COUNTIF(P$4:P26,""Sell_Grandma"")),1))+(COUNTIF(P$4:P26,""Factory"")-COUNTIF(P$4:P26,""Sell_Factory""))*(260*2^COUNTI"&amp;"F(P$4:P26,""Factory_up""))))"),24.8)</f>
        <v>24.8</v>
      </c>
      <c r="S26" s="73">
        <f>IFERROR(__xludf.DUMMYFUNCTION("IF(COUNTA(P26:P147)=0,"""",IF(REGEXMATCH(INDEX(FILTER(P$4:P26,P$4:P26&lt;&gt;""""),ROWS(FILTER(P$4:P26,P$4:P26&lt;&gt;""""))),""^Sell_""),INDEX(FILTER(S$4:S25,P$4:P25&lt;&gt;""""),ROWS(FILTER(P$4:P25,P$4:P25&lt;&gt;""""))),$AD$5*(2^SWITCH(COUNTIF(P$4:P26,""Cursor_up""),0,0,1,1,2"&amp;",2,3)+SWITCH(COUNTIF(P$4:P26,""Cursor_up""),4,0.1,0)*(ROW(P26)-4-COUNTIF(P$4:P26,""Cursor"")-COUNTIF(P$4:P26,""*""&amp;""_up"")-2*COUNTIF(P$4:P26,""Sell_""&amp;""*"")+COUNTIF(P$4:P26,""Sell_Cursor"")-COUNTIF(P$4:P26,""""))+0.01*R26*COUNTIF(P$4:P26,""Plastic_up"")"&amp;")+R26))"),84.8)</f>
        <v>84.8</v>
      </c>
      <c r="T26" s="14">
        <f>IFERROR(__xludf.DUMMYFUNCTION("IF(COUNTA(P26:P147)=0,"""",IF(REGEXMATCH(P26,""_up""),VLOOKUP(P26,Upgrades!$F$3:$J$8,1+COUNTIF(P$4:P26,P26),FALSE),IF(P26="""",0,IF(REGEXMATCH(P26,""^Sell_""),-ROUNDDOWN(ROUNDUP(INDEX(Upgrades!$C$3:$C$8,MATCH(SUBSTITUTE(P26,""Sell_"",""""),Upgrades!$B$3:$"&amp;"B$8,0))*1.15^(COUNTIF(P$4:P25,SUBSTITUTE(P26,""Sell_"",""""))-COUNTIF(P$4:P25,""Sell_""&amp;SUBSTITUTE(P26,""Sell_"",""""))))/4),ROUNDUP(INDEX(Upgrades!$C$3:$C$7,MATCH(P26,Upgrades!$B$3:$B$7,0))*1.15^(COUNTIF(P$4:P25,P26)-COUNTIF(P$4:P25,""Sell_""&amp;P26)))))))"),1000.0)</f>
        <v>1000</v>
      </c>
      <c r="U26" s="14">
        <f t="shared" si="10"/>
        <v>1000</v>
      </c>
      <c r="V26" s="75">
        <f t="shared" si="11"/>
        <v>43146.62649</v>
      </c>
      <c r="W26" s="76">
        <f t="shared" si="12"/>
        <v>71.96377218</v>
      </c>
      <c r="X26" s="71" t="str">
        <f t="shared" si="13"/>
        <v>1m 11s</v>
      </c>
      <c r="Y26" s="77">
        <f t="shared" si="14"/>
        <v>4017</v>
      </c>
      <c r="Z26" s="17"/>
      <c r="AA26" s="32" t="s">
        <v>16</v>
      </c>
      <c r="AB26" s="108" t="s">
        <v>75</v>
      </c>
      <c r="AC26" s="13"/>
      <c r="AD26" s="13"/>
      <c r="AE26" s="13"/>
      <c r="AF26" s="13"/>
      <c r="AG26" s="13"/>
    </row>
    <row r="27">
      <c r="A27" s="12"/>
      <c r="B27" s="65">
        <f t="shared" si="2"/>
        <v>7</v>
      </c>
      <c r="C27" s="66" t="s">
        <v>13</v>
      </c>
      <c r="D27" s="14" t="b">
        <f>IFERROR(__xludf.DUMMYFUNCTION("IF(COUNTA(C27:C147)=0,"""",IFERROR(IF(ISBLANK(C27),FALSE,IF(ISBLANK(G27),1,IF(NOT(COUNTIF($AA$24:$AA$34,SUBSTITUTE(C27,""Sell_"",""""))),1,IF(C27=""Plastic_up"",IF(I27&lt;1000,1),IF(C27=""Super_Up"",IF(OR(COUNTIF(C$4:C27,""Grandma"")-COUNTIF(C$4:C27,""Sell_G"&amp;"randma"")&lt;1,COUNTIF(C$4:C27,VLOOKUP(C27,Upgrades!$F$8:$N$8,7+COUNTIF(C$4:C27,C27)))-COUNTIF(C$4:C27,""Sell_""&amp;VLOOKUP(C27,Upgrades!$F$8:$N$8,7+COUNTIF(C$4:C27,C27)))&lt;15),1),IF(REGEXMATCH(C27,""_up""),IF(COUNTIF(C$4:C27,SUBSTITUTE(C27,""_up"",""""))&lt;IFERRO"&amp;"R(VLOOKUP(C27,Upgrades!$L$3:$P$6,1+COUNTIF(C$4:C27,C27),0),999),1),IF(REGEXMATCH(C27,""Sell_""),IF(COUNTIF(C$4:C27,SUBSTITUTE(C27,""Sell_"",""""))-COUNTIF(C$4:C26,C27)&lt;1,1),FALSE)))))))))"),FALSE)</f>
        <v>0</v>
      </c>
      <c r="E27" s="71">
        <f>IFERROR(__xludf.DUMMYFUNCTION("IF(REGEXMATCH(C27,""^Sell_""),E26, IF(COUNTA(C27:C147)=0,"""",(COUNTIF(C$4:C27,""Cursor"")-COUNTIF(C$4:C27,""Sell_Cursor""))*(0.1*2^SWITCH(COUNTIF(C$4:C27,""Cursor_up""),0,0,1,1,2,2,3)+SWITCH(COUNTIF(C$4:C27,""Cursor_up""),4,0.1,0)*(ROW(C27)-4-COUNTIF(C$4"&amp;":C27,""Cursor"")-COUNTIF(C$4:C27,""*""&amp;""_up"")-2*COUNTIF(C$4:C27,""Sell_""&amp;""*"")+COUNTIF(C$4:C27,""Sell_Cursor"")-COUNTIF(C$4:C27,"""")))+(COUNTIF(C$4:C27,""Grandma"")-COUNTIF(C$4:C27,""Sell_Grandma""))*(1*2^(COUNTIF(C$4:C27,""Grandma_up"")+COUNTIF(C$4:"&amp;"C27,""Super_up"")))+(COUNTIF(C$4:C27,""Farm"")-COUNTIF(C$4:C27,""Sell_Farm""))*(8*2^COUNTIF(C$4:C27,""Farm_up""))*IF(COUNTIF(C$4:C27,""Super_up"")&gt;0,1+0.01*(COUNTIF(C$4:C27,""Grandma"")-COUNTIF(C$4:C27,""Sell_Grandma"")),1)+(COUNTIF(C$4:C27,""Mine"")-COUN"&amp;"TIF(C$4:C27,""Sell_Mine""))*((47*2^COUNTIF(C$4:C27,""Mine_up""))*IF(COUNTIF(C$4:C27,""Super_up"")&gt;1,1+0.005*(COUNTIF(C$4:C27,""Grandma"")-COUNTIF(C$4:C27,""Sell_Grandma"")),1))+(COUNTIF(C$4:C27,""Factory"")-COUNTIF(C$4:C27,""Sell_Factory""))*(260*2^COUNTI"&amp;"F(C$4:C27,""Factory_up""))))"),26.8)</f>
        <v>26.8</v>
      </c>
      <c r="F27" s="73">
        <f>IFERROR(__xludf.DUMMYFUNCTION("IF(COUNTA(C27:C147)=0,"""",IF(REGEXMATCH(INDEX(FILTER(C$4:C27,C$4:C27&lt;&gt;""""),ROWS(FILTER(C$4:C27,C$4:C27&lt;&gt;""""))),""^Sell_""),INDEX(FILTER(F$4:F26,C$4:C26&lt;&gt;""""),ROWS(FILTER(C$4:C26,C$4:C26&lt;&gt;""""))),$AC$5*(2^SWITCH(COUNTIF(C$4:C27,""Cursor_up""),0,0,1,1,2"&amp;",2,3)+SWITCH(COUNTIF(C$4:C27,""Cursor_up""),4,0.1,0)*(ROW(C27)-4-COUNTIF(C$4:C27,""Cursor"")-COUNTIF(C$4:C27,""*""&amp;""_up"")-2*COUNTIF(C$4:C27,""Sell_""&amp;""*"")+COUNTIF(C$4:C27,""Sell_Cursor"")-COUNTIF(C$4:C27,""""))+0.01*E27*COUNTIF(C$4:C27,""Plastic_up"")"&amp;")+E27))"),86.8)</f>
        <v>86.8</v>
      </c>
      <c r="G27" s="14">
        <f>IFERROR(__xludf.DUMMYFUNCTION("IF(COUNTA(C27:C147)=0,"""",IF(REGEXMATCH(C27,""_up""),VLOOKUP(C27,Upgrades!$F$3:$J$8,1+COUNTIF(C$4:C27,C27),FALSE),IF(C27="""",0,IF(REGEXMATCH(C27,""^Sell_""),-ROUNDDOWN(ROUNDUP(INDEX(Upgrades!$C$3:$C$8,MATCH(SUBSTITUTE(C27,""Sell_"",""""),Upgrades!$B$3:$"&amp;"B$8,0))*1.15^(COUNTIF(C$4:C26,SUBSTITUTE(C27,""Sell_"",""""))-COUNTIF(C$4:C26,""Sell_""&amp;SUBSTITUTE(C27,""Sell_"",""""))))/4),ROUNDUP(INDEX(Upgrades!$C$3:$C$7,MATCH(C27,Upgrades!$B$3:$B$7,0))*1.15^(COUNTIF(C$4:C26,C27)-COUNTIF(C$4:C26,""Sell_""&amp;C27)))))))"),232.0)</f>
        <v>232</v>
      </c>
      <c r="H27" s="14">
        <f t="shared" si="3"/>
        <v>232</v>
      </c>
      <c r="I27" s="75">
        <f t="shared" si="4"/>
        <v>47628.60376</v>
      </c>
      <c r="J27" s="76">
        <f t="shared" si="5"/>
        <v>74.69962124</v>
      </c>
      <c r="K27" s="71" t="str">
        <f t="shared" si="6"/>
        <v>1m 14s</v>
      </c>
      <c r="L27" s="77">
        <f t="shared" si="7"/>
        <v>4249</v>
      </c>
      <c r="M27" s="51">
        <f t="shared" si="8"/>
        <v>0</v>
      </c>
      <c r="N27" s="52">
        <f>IFERROR(__xludf.DUMMYFUNCTION("IFS(AND(COUNTA(C27:C147)=0,COUNTA(P27:P147)=0),"""",OR(AND(L27&gt;=1000000,OR(Y27&gt;=1000000,COUNTA(P27:P147)=0)),AND(Y27&gt;=1000000,COUNTA(C27:C147)=0),AND(COUNTA(P27:P147)=0,O$3=TRUE)),
ROUNDDOWN((AB$1-AC$1)*MAX(INDEX(S$4:S147,MATCH(LARGE(FILTER(Y$4:Y147,Y$4:Y"&amp;"147&lt;1000000),1),Y$4:Y147)),INDEX(F$4:F147,MATCH(LARGE(FILTER(L$4:L147,L$4:L147&lt;1000000),1),L$4:L147)))),AND(L27&lt;1000000,COUNTA(C27:C147)&gt;0,O$3=FALSE),
ROUNDDOWN(INDEX(Y$4:Y147,MATCH(LARGE(FILTER(W$4:W147,W$4:W147&lt;=J27),1),W$4:W147))+(J27-LARGE(FILTER(W$4:"&amp;"W147,W$4:W147&lt;=J27),1))*INDEX(S$4:S147,MATCH(LARGE(FILTER(W$4:W147,W$4:W147&lt;=J27),1),W$4:W147))-L27),1,
ROUNDDOWN(Y27-INDEX(L$4:L147,MATCH(LARGE(FILTER(J$4:J147,J$4:J147&lt;=W27),1),J$4:J147))-(W27-LARGE(FILTER(J$4:J147,J$4:J147&lt;=W27),1))*INDEX(F$4:F147,MATC"&amp;"H(LARGE(FILTER(J$4:J147,J$4:J147&lt;=W27),1),J$4:J147))))"),0.0)</f>
        <v>0</v>
      </c>
      <c r="O27" s="65">
        <f t="shared" si="9"/>
        <v>7</v>
      </c>
      <c r="P27" s="66" t="s">
        <v>13</v>
      </c>
      <c r="Q27" s="14" t="b">
        <f>IFERROR(__xludf.DUMMYFUNCTION("IF(COUNTA(P27:P147)=0,"""",IFERROR(IF(ISBLANK(P27),FALSE,IF(ISBLANK(T27),1,IF(NOT(COUNTIF($AA$24:$AA$34,SUBSTITUTE(P27,""Sell_"",""""))),1,IF(P27=""Plastic_up"",IF(V27&lt;1000,1),IF(P27=""Super_Up"",IF(OR(COUNTIF(P$4:P27,""Grandma"")-COUNTIF(P$4:P27,""Sell_G"&amp;"randma"")&lt;1,COUNTIF(P$4:P27,VLOOKUP(P27,Upgrades!$F$8:$N$8,7+COUNTIF(P$4:P27,P27)))-COUNTIF(P$4:P27,""Sell_""&amp;VLOOKUP(P27,Upgrades!$F$8:$N$8,7+COUNTIF(P$4:P27,P27)))&lt;15),1),IF(REGEXMATCH(P27,""_up""),IF(COUNTIF(P$4:P27,SUBSTITUTE(P27,""_up"",""""))&lt;IFERRO"&amp;"R(VLOOKUP(P27,Upgrades!$L$3:$P$6,1+COUNTIF(P$4:P27,P27),0),999),1),IF(REGEXMATCH(P27,""Sell_""),IF(COUNTIF(P$4:P27,SUBSTITUTE(P27,""Sell_"",""""))-COUNTIF(P$4:P26,P27)&lt;1,1),FALSE)))))))))"),FALSE)</f>
        <v>0</v>
      </c>
      <c r="R27" s="71">
        <f>IFERROR(__xludf.DUMMYFUNCTION("IF(REGEXMATCH(P27,""^Sell_""),R26, IF(COUNTA(P27:P147)=0,"""",(COUNTIF(P$4:P27,""Cursor"")-COUNTIF(P$4:P27,""Sell_Cursor""))*(0.1*2^SWITCH(COUNTIF(P$4:P27,""Cursor_up""),0,0,1,1,2,2,3)+SWITCH(COUNTIF(P$4:P27,""Cursor_up""),4,0.1,0)*(ROW(P27)-4-COUNTIF(P$4"&amp;":P27,""Cursor"")-COUNTIF(P$4:P27,""*""&amp;""_up"")-2*COUNTIF(P$4:P27,""Sell_""&amp;""*"")+COUNTIF(P$4:P27,""Sell_Cursor"")-COUNTIF(P$4:P27,"""")))+(COUNTIF(P$4:P27,""Grandma"")-COUNTIF(P$4:P27,""Sell_Grandma""))*(1*2^(COUNTIF(P$4:P27,""Grandma_up"")+COUNTIF(P$4:"&amp;"P27,""Super_up"")))+(COUNTIF(P$4:P27,""Farm"")-COUNTIF(P$4:P27,""Sell_Farm""))*(8*2^COUNTIF(P$4:P27,""Farm_up""))*IF(COUNTIF(P$4:P27,""Super_up"")&gt;0,1+0.01*(COUNTIF(P$4:P27,""Grandma"")-COUNTIF(P$4:P27,""Sell_Grandma"")),1)+(COUNTIF(P$4:P27,""Mine"")-COUN"&amp;"TIF(P$4:P27,""Sell_Mine""))*((47*2^COUNTIF(P$4:P27,""Mine_up""))*IF(COUNTIF(P$4:P27,""Super_up"")&gt;1,1+0.005*(COUNTIF(P$4:P27,""Grandma"")-COUNTIF(P$4:P27,""Sell_Grandma"")),1))+(COUNTIF(P$4:P27,""Factory"")-COUNTIF(P$4:P27,""Sell_Factory""))*(260*2^COUNTI"&amp;"F(P$4:P27,""Factory_up""))))"),26.8)</f>
        <v>26.8</v>
      </c>
      <c r="S27" s="73">
        <f>IFERROR(__xludf.DUMMYFUNCTION("IF(COUNTA(P27:P147)=0,"""",IF(REGEXMATCH(INDEX(FILTER(P$4:P27,P$4:P27&lt;&gt;""""),ROWS(FILTER(P$4:P27,P$4:P27&lt;&gt;""""))),""^Sell_""),INDEX(FILTER(S$4:S26,P$4:P26&lt;&gt;""""),ROWS(FILTER(P$4:P26,P$4:P26&lt;&gt;""""))),$AD$5*(2^SWITCH(COUNTIF(P$4:P27,""Cursor_up""),0,0,1,1,2"&amp;",2,3)+SWITCH(COUNTIF(P$4:P27,""Cursor_up""),4,0.1,0)*(ROW(P27)-4-COUNTIF(P$4:P27,""Cursor"")-COUNTIF(P$4:P27,""*""&amp;""_up"")-2*COUNTIF(P$4:P27,""Sell_""&amp;""*"")+COUNTIF(P$4:P27,""Sell_Cursor"")-COUNTIF(P$4:P27,""""))+0.01*R27*COUNTIF(P$4:P27,""Plastic_up"")"&amp;")+R27))"),86.8)</f>
        <v>86.8</v>
      </c>
      <c r="T27" s="14">
        <f>IFERROR(__xludf.DUMMYFUNCTION("IF(COUNTA(P27:P147)=0,"""",IF(REGEXMATCH(P27,""_up""),VLOOKUP(P27,Upgrades!$F$3:$J$8,1+COUNTIF(P$4:P27,P27),FALSE),IF(P27="""",0,IF(REGEXMATCH(P27,""^Sell_""),-ROUNDDOWN(ROUNDUP(INDEX(Upgrades!$C$3:$C$8,MATCH(SUBSTITUTE(P27,""Sell_"",""""),Upgrades!$B$3:$"&amp;"B$8,0))*1.15^(COUNTIF(P$4:P26,SUBSTITUTE(P27,""Sell_"",""""))-COUNTIF(P$4:P26,""Sell_""&amp;SUBSTITUTE(P27,""Sell_"",""""))))/4),ROUNDUP(INDEX(Upgrades!$C$3:$C$7,MATCH(P27,Upgrades!$B$3:$B$7,0))*1.15^(COUNTIF(P$4:P26,P27)-COUNTIF(P$4:P26,""Sell_""&amp;P27)))))))"),232.0)</f>
        <v>232</v>
      </c>
      <c r="U27" s="14">
        <f t="shared" si="10"/>
        <v>232</v>
      </c>
      <c r="V27" s="75">
        <f t="shared" si="11"/>
        <v>47628.60376</v>
      </c>
      <c r="W27" s="76">
        <f t="shared" si="12"/>
        <v>74.69962124</v>
      </c>
      <c r="X27" s="71" t="str">
        <f t="shared" si="13"/>
        <v>1m 14s</v>
      </c>
      <c r="Y27" s="77">
        <f t="shared" si="14"/>
        <v>4249</v>
      </c>
      <c r="Z27" s="17"/>
      <c r="AA27" s="32" t="s">
        <v>18</v>
      </c>
      <c r="AB27" s="108" t="s">
        <v>75</v>
      </c>
      <c r="AC27" s="13"/>
      <c r="AD27" s="13"/>
      <c r="AE27" s="13"/>
      <c r="AF27" s="13"/>
      <c r="AG27" s="13"/>
    </row>
    <row r="28">
      <c r="A28" s="12"/>
      <c r="B28" s="65">
        <f t="shared" si="2"/>
        <v>8</v>
      </c>
      <c r="C28" s="66" t="s">
        <v>13</v>
      </c>
      <c r="D28" s="14" t="b">
        <f>IFERROR(__xludf.DUMMYFUNCTION("IF(COUNTA(C28:C147)=0,"""",IFERROR(IF(ISBLANK(C28),FALSE,IF(ISBLANK(G28),1,IF(NOT(COUNTIF($AA$24:$AA$34,SUBSTITUTE(C28,""Sell_"",""""))),1,IF(C28=""Plastic_up"",IF(I28&lt;1000,1),IF(C28=""Super_Up"",IF(OR(COUNTIF(C$4:C28,""Grandma"")-COUNTIF(C$4:C28,""Sell_G"&amp;"randma"")&lt;1,COUNTIF(C$4:C28,VLOOKUP(C28,Upgrades!$F$8:$N$8,7+COUNTIF(C$4:C28,C28)))-COUNTIF(C$4:C28,""Sell_""&amp;VLOOKUP(C28,Upgrades!$F$8:$N$8,7+COUNTIF(C$4:C28,C28)))&lt;15),1),IF(REGEXMATCH(C28,""_up""),IF(COUNTIF(C$4:C28,SUBSTITUTE(C28,""_up"",""""))&lt;IFERRO"&amp;"R(VLOOKUP(C28,Upgrades!$L$3:$P$6,1+COUNTIF(C$4:C28,C28),0),999),1),IF(REGEXMATCH(C28,""Sell_""),IF(COUNTIF(C$4:C28,SUBSTITUTE(C28,""Sell_"",""""))-COUNTIF(C$4:C27,C28)&lt;1,1),FALSE)))))))))"),FALSE)</f>
        <v>0</v>
      </c>
      <c r="E28" s="71">
        <f>IFERROR(__xludf.DUMMYFUNCTION("IF(REGEXMATCH(C28,""^Sell_""),E27, IF(COUNTA(C28:C147)=0,"""",(COUNTIF(C$4:C28,""Cursor"")-COUNTIF(C$4:C28,""Sell_Cursor""))*(0.1*2^SWITCH(COUNTIF(C$4:C28,""Cursor_up""),0,0,1,1,2,2,3)+SWITCH(COUNTIF(C$4:C28,""Cursor_up""),4,0.1,0)*(ROW(C28)-4-COUNTIF(C$4"&amp;":C28,""Cursor"")-COUNTIF(C$4:C28,""*""&amp;""_up"")-2*COUNTIF(C$4:C28,""Sell_""&amp;""*"")+COUNTIF(C$4:C28,""Sell_Cursor"")-COUNTIF(C$4:C28,"""")))+(COUNTIF(C$4:C28,""Grandma"")-COUNTIF(C$4:C28,""Sell_Grandma""))*(1*2^(COUNTIF(C$4:C28,""Grandma_up"")+COUNTIF(C$4:"&amp;"C28,""Super_up"")))+(COUNTIF(C$4:C28,""Farm"")-COUNTIF(C$4:C28,""Sell_Farm""))*(8*2^COUNTIF(C$4:C28,""Farm_up""))*IF(COUNTIF(C$4:C28,""Super_up"")&gt;0,1+0.01*(COUNTIF(C$4:C28,""Grandma"")-COUNTIF(C$4:C28,""Sell_Grandma"")),1)+(COUNTIF(C$4:C28,""Mine"")-COUN"&amp;"TIF(C$4:C28,""Sell_Mine""))*((47*2^COUNTIF(C$4:C28,""Mine_up""))*IF(COUNTIF(C$4:C28,""Super_up"")&gt;1,1+0.005*(COUNTIF(C$4:C28,""Grandma"")-COUNTIF(C$4:C28,""Sell_Grandma"")),1))+(COUNTIF(C$4:C28,""Factory"")-COUNTIF(C$4:C28,""Sell_Factory""))*(260*2^COUNTI"&amp;"F(C$4:C28,""Factory_up""))))"),28.8)</f>
        <v>28.8</v>
      </c>
      <c r="F28" s="73">
        <f>IFERROR(__xludf.DUMMYFUNCTION("IF(COUNTA(C28:C147)=0,"""",IF(REGEXMATCH(INDEX(FILTER(C$4:C28,C$4:C28&lt;&gt;""""),ROWS(FILTER(C$4:C28,C$4:C28&lt;&gt;""""))),""^Sell_""),INDEX(FILTER(F$4:F27,C$4:C27&lt;&gt;""""),ROWS(FILTER(C$4:C27,C$4:C27&lt;&gt;""""))),$AC$5*(2^SWITCH(COUNTIF(C$4:C28,""Cursor_up""),0,0,1,1,2"&amp;",2,3)+SWITCH(COUNTIF(C$4:C28,""Cursor_up""),4,0.1,0)*(ROW(C28)-4-COUNTIF(C$4:C28,""Cursor"")-COUNTIF(C$4:C28,""*""&amp;""_up"")-2*COUNTIF(C$4:C28,""Sell_""&amp;""*"")+COUNTIF(C$4:C28,""Sell_Cursor"")-COUNTIF(C$4:C28,""""))+0.01*E28*COUNTIF(C$4:C28,""Plastic_up"")"&amp;")+E28))"),88.8)</f>
        <v>88.8</v>
      </c>
      <c r="G28" s="14">
        <f>IFERROR(__xludf.DUMMYFUNCTION("IF(COUNTA(C28:C147)=0,"""",IF(REGEXMATCH(C28,""_up""),VLOOKUP(C28,Upgrades!$F$3:$J$8,1+COUNTIF(C$4:C28,C28),FALSE),IF(C28="""",0,IF(REGEXMATCH(C28,""^Sell_""),-ROUNDDOWN(ROUNDUP(INDEX(Upgrades!$C$3:$C$8,MATCH(SUBSTITUTE(C28,""Sell_"",""""),Upgrades!$B$3:$"&amp;"B$8,0))*1.15^(COUNTIF(C$4:C27,SUBSTITUTE(C28,""Sell_"",""""))-COUNTIF(C$4:C27,""Sell_""&amp;SUBSTITUTE(C28,""Sell_"",""""))))/4),ROUNDUP(INDEX(Upgrades!$C$3:$C$7,MATCH(C28,Upgrades!$B$3:$B$7,0))*1.15^(COUNTIF(C$4:C27,C28)-COUNTIF(C$4:C27,""Sell_""&amp;C28)))))))"),267.0)</f>
        <v>267</v>
      </c>
      <c r="H28" s="14">
        <f t="shared" si="3"/>
        <v>267</v>
      </c>
      <c r="I28" s="75">
        <f t="shared" si="4"/>
        <v>52295.14325</v>
      </c>
      <c r="J28" s="76">
        <f t="shared" si="5"/>
        <v>77.7756581</v>
      </c>
      <c r="K28" s="71" t="str">
        <f t="shared" si="6"/>
        <v>1m 17s</v>
      </c>
      <c r="L28" s="77">
        <f t="shared" si="7"/>
        <v>4516</v>
      </c>
      <c r="M28" s="51">
        <f t="shared" si="8"/>
        <v>0</v>
      </c>
      <c r="N28" s="52">
        <f>IFERROR(__xludf.DUMMYFUNCTION("IFS(AND(COUNTA(C28:C147)=0,COUNTA(P28:P147)=0),"""",OR(AND(L28&gt;=1000000,OR(Y28&gt;=1000000,COUNTA(P28:P147)=0)),AND(Y28&gt;=1000000,COUNTA(C28:C147)=0),AND(COUNTA(P28:P147)=0,O$3=TRUE)),
ROUNDDOWN((AB$1-AC$1)*MAX(INDEX(S$4:S147,MATCH(LARGE(FILTER(Y$4:Y147,Y$4:Y"&amp;"147&lt;1000000),1),Y$4:Y147)),INDEX(F$4:F147,MATCH(LARGE(FILTER(L$4:L147,L$4:L147&lt;1000000),1),L$4:L147)))),AND(L28&lt;1000000,COUNTA(C28:C147)&gt;0,O$3=FALSE),
ROUNDDOWN(INDEX(Y$4:Y147,MATCH(LARGE(FILTER(W$4:W147,W$4:W147&lt;=J28),1),W$4:W147))+(J28-LARGE(FILTER(W$4:"&amp;"W147,W$4:W147&lt;=J28),1))*INDEX(S$4:S147,MATCH(LARGE(FILTER(W$4:W147,W$4:W147&lt;=J28),1),W$4:W147))-L28),1,
ROUNDDOWN(Y28-INDEX(L$4:L147,MATCH(LARGE(FILTER(J$4:J147,J$4:J147&lt;=W28),1),J$4:J147))-(W28-LARGE(FILTER(J$4:J147,J$4:J147&lt;=W28),1))*INDEX(F$4:F147,MATC"&amp;"H(LARGE(FILTER(J$4:J147,J$4:J147&lt;=W28),1),J$4:J147))))"),0.0)</f>
        <v>0</v>
      </c>
      <c r="O28" s="65">
        <f t="shared" si="9"/>
        <v>8</v>
      </c>
      <c r="P28" s="66" t="s">
        <v>13</v>
      </c>
      <c r="Q28" s="14" t="b">
        <f>IFERROR(__xludf.DUMMYFUNCTION("IF(COUNTA(P28:P147)=0,"""",IFERROR(IF(ISBLANK(P28),FALSE,IF(ISBLANK(T28),1,IF(NOT(COUNTIF($AA$24:$AA$34,SUBSTITUTE(P28,""Sell_"",""""))),1,IF(P28=""Plastic_up"",IF(V28&lt;1000,1),IF(P28=""Super_Up"",IF(OR(COUNTIF(P$4:P28,""Grandma"")-COUNTIF(P$4:P28,""Sell_G"&amp;"randma"")&lt;1,COUNTIF(P$4:P28,VLOOKUP(P28,Upgrades!$F$8:$N$8,7+COUNTIF(P$4:P28,P28)))-COUNTIF(P$4:P28,""Sell_""&amp;VLOOKUP(P28,Upgrades!$F$8:$N$8,7+COUNTIF(P$4:P28,P28)))&lt;15),1),IF(REGEXMATCH(P28,""_up""),IF(COUNTIF(P$4:P28,SUBSTITUTE(P28,""_up"",""""))&lt;IFERRO"&amp;"R(VLOOKUP(P28,Upgrades!$L$3:$P$6,1+COUNTIF(P$4:P28,P28),0),999),1),IF(REGEXMATCH(P28,""Sell_""),IF(COUNTIF(P$4:P28,SUBSTITUTE(P28,""Sell_"",""""))-COUNTIF(P$4:P27,P28)&lt;1,1),FALSE)))))))))"),FALSE)</f>
        <v>0</v>
      </c>
      <c r="R28" s="71">
        <f>IFERROR(__xludf.DUMMYFUNCTION("IF(REGEXMATCH(P28,""^Sell_""),R27, IF(COUNTA(P28:P147)=0,"""",(COUNTIF(P$4:P28,""Cursor"")-COUNTIF(P$4:P28,""Sell_Cursor""))*(0.1*2^SWITCH(COUNTIF(P$4:P28,""Cursor_up""),0,0,1,1,2,2,3)+SWITCH(COUNTIF(P$4:P28,""Cursor_up""),4,0.1,0)*(ROW(P28)-4-COUNTIF(P$4"&amp;":P28,""Cursor"")-COUNTIF(P$4:P28,""*""&amp;""_up"")-2*COUNTIF(P$4:P28,""Sell_""&amp;""*"")+COUNTIF(P$4:P28,""Sell_Cursor"")-COUNTIF(P$4:P28,"""")))+(COUNTIF(P$4:P28,""Grandma"")-COUNTIF(P$4:P28,""Sell_Grandma""))*(1*2^(COUNTIF(P$4:P28,""Grandma_up"")+COUNTIF(P$4:"&amp;"P28,""Super_up"")))+(COUNTIF(P$4:P28,""Farm"")-COUNTIF(P$4:P28,""Sell_Farm""))*(8*2^COUNTIF(P$4:P28,""Farm_up""))*IF(COUNTIF(P$4:P28,""Super_up"")&gt;0,1+0.01*(COUNTIF(P$4:P28,""Grandma"")-COUNTIF(P$4:P28,""Sell_Grandma"")),1)+(COUNTIF(P$4:P28,""Mine"")-COUN"&amp;"TIF(P$4:P28,""Sell_Mine""))*((47*2^COUNTIF(P$4:P28,""Mine_up""))*IF(COUNTIF(P$4:P28,""Super_up"")&gt;1,1+0.005*(COUNTIF(P$4:P28,""Grandma"")-COUNTIF(P$4:P28,""Sell_Grandma"")),1))+(COUNTIF(P$4:P28,""Factory"")-COUNTIF(P$4:P28,""Sell_Factory""))*(260*2^COUNTI"&amp;"F(P$4:P28,""Factory_up""))))"),28.8)</f>
        <v>28.8</v>
      </c>
      <c r="S28" s="73">
        <f>IFERROR(__xludf.DUMMYFUNCTION("IF(COUNTA(P28:P147)=0,"""",IF(REGEXMATCH(INDEX(FILTER(P$4:P28,P$4:P28&lt;&gt;""""),ROWS(FILTER(P$4:P28,P$4:P28&lt;&gt;""""))),""^Sell_""),INDEX(FILTER(S$4:S27,P$4:P27&lt;&gt;""""),ROWS(FILTER(P$4:P27,P$4:P27&lt;&gt;""""))),$AD$5*(2^SWITCH(COUNTIF(P$4:P28,""Cursor_up""),0,0,1,1,2"&amp;",2,3)+SWITCH(COUNTIF(P$4:P28,""Cursor_up""),4,0.1,0)*(ROW(P28)-4-COUNTIF(P$4:P28,""Cursor"")-COUNTIF(P$4:P28,""*""&amp;""_up"")-2*COUNTIF(P$4:P28,""Sell_""&amp;""*"")+COUNTIF(P$4:P28,""Sell_Cursor"")-COUNTIF(P$4:P28,""""))+0.01*R28*COUNTIF(P$4:P28,""Plastic_up"")"&amp;")+R28))"),88.8)</f>
        <v>88.8</v>
      </c>
      <c r="T28" s="14">
        <f>IFERROR(__xludf.DUMMYFUNCTION("IF(COUNTA(P28:P147)=0,"""",IF(REGEXMATCH(P28,""_up""),VLOOKUP(P28,Upgrades!$F$3:$J$8,1+COUNTIF(P$4:P28,P28),FALSE),IF(P28="""",0,IF(REGEXMATCH(P28,""^Sell_""),-ROUNDDOWN(ROUNDUP(INDEX(Upgrades!$C$3:$C$8,MATCH(SUBSTITUTE(P28,""Sell_"",""""),Upgrades!$B$3:$"&amp;"B$8,0))*1.15^(COUNTIF(P$4:P27,SUBSTITUTE(P28,""Sell_"",""""))-COUNTIF(P$4:P27,""Sell_""&amp;SUBSTITUTE(P28,""Sell_"",""""))))/4),ROUNDUP(INDEX(Upgrades!$C$3:$C$7,MATCH(P28,Upgrades!$B$3:$B$7,0))*1.15^(COUNTIF(P$4:P27,P28)-COUNTIF(P$4:P27,""Sell_""&amp;P28)))))))"),267.0)</f>
        <v>267</v>
      </c>
      <c r="U28" s="14">
        <f t="shared" si="10"/>
        <v>267</v>
      </c>
      <c r="V28" s="75">
        <f t="shared" si="11"/>
        <v>52295.14325</v>
      </c>
      <c r="W28" s="76">
        <f t="shared" si="12"/>
        <v>77.7756581</v>
      </c>
      <c r="X28" s="71" t="str">
        <f t="shared" si="13"/>
        <v>1m 17s</v>
      </c>
      <c r="Y28" s="77">
        <f t="shared" si="14"/>
        <v>4516</v>
      </c>
      <c r="Z28" s="17"/>
      <c r="AA28" s="32" t="s">
        <v>20</v>
      </c>
      <c r="AB28" s="108" t="s">
        <v>75</v>
      </c>
      <c r="AC28" s="13"/>
      <c r="AD28" s="13"/>
      <c r="AE28" s="13"/>
      <c r="AF28" s="13"/>
      <c r="AG28" s="13"/>
    </row>
    <row r="29">
      <c r="A29" s="12"/>
      <c r="B29" s="65">
        <f t="shared" si="2"/>
        <v>9</v>
      </c>
      <c r="C29" s="66" t="s">
        <v>13</v>
      </c>
      <c r="D29" s="14" t="b">
        <f>IFERROR(__xludf.DUMMYFUNCTION("IF(COUNTA(C29:C147)=0,"""",IFERROR(IF(ISBLANK(C29),FALSE,IF(ISBLANK(G29),1,IF(NOT(COUNTIF($AA$24:$AA$34,SUBSTITUTE(C29,""Sell_"",""""))),1,IF(C29=""Plastic_up"",IF(I29&lt;1000,1),IF(C29=""Super_Up"",IF(OR(COUNTIF(C$4:C29,""Grandma"")-COUNTIF(C$4:C29,""Sell_G"&amp;"randma"")&lt;1,COUNTIF(C$4:C29,VLOOKUP(C29,Upgrades!$F$8:$N$8,7+COUNTIF(C$4:C29,C29)))-COUNTIF(C$4:C29,""Sell_""&amp;VLOOKUP(C29,Upgrades!$F$8:$N$8,7+COUNTIF(C$4:C29,C29)))&lt;15),1),IF(REGEXMATCH(C29,""_up""),IF(COUNTIF(C$4:C29,SUBSTITUTE(C29,""_up"",""""))&lt;IFERRO"&amp;"R(VLOOKUP(C29,Upgrades!$L$3:$P$6,1+COUNTIF(C$4:C29,C29),0),999),1),IF(REGEXMATCH(C29,""Sell_""),IF(COUNTIF(C$4:C29,SUBSTITUTE(C29,""Sell_"",""""))-COUNTIF(C$4:C28,C29)&lt;1,1),FALSE)))))))))"),FALSE)</f>
        <v>0</v>
      </c>
      <c r="E29" s="71">
        <f>IFERROR(__xludf.DUMMYFUNCTION("IF(REGEXMATCH(C29,""^Sell_""),E28, IF(COUNTA(C29:C147)=0,"""",(COUNTIF(C$4:C29,""Cursor"")-COUNTIF(C$4:C29,""Sell_Cursor""))*(0.1*2^SWITCH(COUNTIF(C$4:C29,""Cursor_up""),0,0,1,1,2,2,3)+SWITCH(COUNTIF(C$4:C29,""Cursor_up""),4,0.1,0)*(ROW(C29)-4-COUNTIF(C$4"&amp;":C29,""Cursor"")-COUNTIF(C$4:C29,""*""&amp;""_up"")-2*COUNTIF(C$4:C29,""Sell_""&amp;""*"")+COUNTIF(C$4:C29,""Sell_Cursor"")-COUNTIF(C$4:C29,"""")))+(COUNTIF(C$4:C29,""Grandma"")-COUNTIF(C$4:C29,""Sell_Grandma""))*(1*2^(COUNTIF(C$4:C29,""Grandma_up"")+COUNTIF(C$4:"&amp;"C29,""Super_up"")))+(COUNTIF(C$4:C29,""Farm"")-COUNTIF(C$4:C29,""Sell_Farm""))*(8*2^COUNTIF(C$4:C29,""Farm_up""))*IF(COUNTIF(C$4:C29,""Super_up"")&gt;0,1+0.01*(COUNTIF(C$4:C29,""Grandma"")-COUNTIF(C$4:C29,""Sell_Grandma"")),1)+(COUNTIF(C$4:C29,""Mine"")-COUN"&amp;"TIF(C$4:C29,""Sell_Mine""))*((47*2^COUNTIF(C$4:C29,""Mine_up""))*IF(COUNTIF(C$4:C29,""Super_up"")&gt;1,1+0.005*(COUNTIF(C$4:C29,""Grandma"")-COUNTIF(C$4:C29,""Sell_Grandma"")),1))+(COUNTIF(C$4:C29,""Factory"")-COUNTIF(C$4:C29,""Sell_Factory""))*(260*2^COUNTI"&amp;"F(C$4:C29,""Factory_up""))))"),30.8)</f>
        <v>30.8</v>
      </c>
      <c r="F29" s="73">
        <f>IFERROR(__xludf.DUMMYFUNCTION("IF(COUNTA(C29:C147)=0,"""",IF(REGEXMATCH(INDEX(FILTER(C$4:C29,C$4:C29&lt;&gt;""""),ROWS(FILTER(C$4:C29,C$4:C29&lt;&gt;""""))),""^Sell_""),INDEX(FILTER(F$4:F28,C$4:C28&lt;&gt;""""),ROWS(FILTER(C$4:C28,C$4:C28&lt;&gt;""""))),$AC$5*(2^SWITCH(COUNTIF(C$4:C29,""Cursor_up""),0,0,1,1,2"&amp;",2,3)+SWITCH(COUNTIF(C$4:C29,""Cursor_up""),4,0.1,0)*(ROW(C29)-4-COUNTIF(C$4:C29,""Cursor"")-COUNTIF(C$4:C29,""*""&amp;""_up"")-2*COUNTIF(C$4:C29,""Sell_""&amp;""*"")+COUNTIF(C$4:C29,""Sell_Cursor"")-COUNTIF(C$4:C29,""""))+0.01*E29*COUNTIF(C$4:C29,""Plastic_up"")"&amp;")+E29))"),90.8)</f>
        <v>90.8</v>
      </c>
      <c r="G29" s="14">
        <f>IFERROR(__xludf.DUMMYFUNCTION("IF(COUNTA(C29:C147)=0,"""",IF(REGEXMATCH(C29,""_up""),VLOOKUP(C29,Upgrades!$F$3:$J$8,1+COUNTIF(C$4:C29,C29),FALSE),IF(C29="""",0,IF(REGEXMATCH(C29,""^Sell_""),-ROUNDDOWN(ROUNDUP(INDEX(Upgrades!$C$3:$C$8,MATCH(SUBSTITUTE(C29,""Sell_"",""""),Upgrades!$B$3:$"&amp;"B$8,0))*1.15^(COUNTIF(C$4:C28,SUBSTITUTE(C29,""Sell_"",""""))-COUNTIF(C$4:C28,""Sell_""&amp;SUBSTITUTE(C29,""Sell_"",""""))))/4),ROUNDUP(INDEX(Upgrades!$C$3:$C$7,MATCH(C29,Upgrades!$B$3:$B$7,0))*1.15^(COUNTIF(C$4:C28,C29)-COUNTIF(C$4:C28,""Sell_""&amp;C29)))))))"),306.0)</f>
        <v>306</v>
      </c>
      <c r="H29" s="14">
        <f t="shared" si="3"/>
        <v>306</v>
      </c>
      <c r="I29" s="75">
        <f t="shared" si="4"/>
        <v>57168.43949</v>
      </c>
      <c r="J29" s="76">
        <f t="shared" si="5"/>
        <v>81.22160405</v>
      </c>
      <c r="K29" s="71" t="str">
        <f t="shared" si="6"/>
        <v>1m 21s</v>
      </c>
      <c r="L29" s="77">
        <f t="shared" si="7"/>
        <v>4822</v>
      </c>
      <c r="M29" s="51">
        <f t="shared" si="8"/>
        <v>0</v>
      </c>
      <c r="N29" s="52">
        <f>IFERROR(__xludf.DUMMYFUNCTION("IFS(AND(COUNTA(C29:C147)=0,COUNTA(P29:P147)=0),"""",OR(AND(L29&gt;=1000000,OR(Y29&gt;=1000000,COUNTA(P29:P147)=0)),AND(Y29&gt;=1000000,COUNTA(C29:C147)=0),AND(COUNTA(P29:P147)=0,O$3=TRUE)),
ROUNDDOWN((AB$1-AC$1)*MAX(INDEX(S$4:S147,MATCH(LARGE(FILTER(Y$4:Y147,Y$4:Y"&amp;"147&lt;1000000),1),Y$4:Y147)),INDEX(F$4:F147,MATCH(LARGE(FILTER(L$4:L147,L$4:L147&lt;1000000),1),L$4:L147)))),AND(L29&lt;1000000,COUNTA(C29:C147)&gt;0,O$3=FALSE),
ROUNDDOWN(INDEX(Y$4:Y147,MATCH(LARGE(FILTER(W$4:W147,W$4:W147&lt;=J29),1),W$4:W147))+(J29-LARGE(FILTER(W$4:"&amp;"W147,W$4:W147&lt;=J29),1))*INDEX(S$4:S147,MATCH(LARGE(FILTER(W$4:W147,W$4:W147&lt;=J29),1),W$4:W147))-L29),1,
ROUNDDOWN(Y29-INDEX(L$4:L147,MATCH(LARGE(FILTER(J$4:J147,J$4:J147&lt;=W29),1),J$4:J147))-(W29-LARGE(FILTER(J$4:J147,J$4:J147&lt;=W29),1))*INDEX(F$4:F147,MATC"&amp;"H(LARGE(FILTER(J$4:J147,J$4:J147&lt;=W29),1),J$4:J147))))"),0.0)</f>
        <v>0</v>
      </c>
      <c r="O29" s="65">
        <f t="shared" si="9"/>
        <v>9</v>
      </c>
      <c r="P29" s="66" t="s">
        <v>13</v>
      </c>
      <c r="Q29" s="14" t="b">
        <f>IFERROR(__xludf.DUMMYFUNCTION("IF(COUNTA(P29:P147)=0,"""",IFERROR(IF(ISBLANK(P29),FALSE,IF(ISBLANK(T29),1,IF(NOT(COUNTIF($AA$24:$AA$34,SUBSTITUTE(P29,""Sell_"",""""))),1,IF(P29=""Plastic_up"",IF(V29&lt;1000,1),IF(P29=""Super_Up"",IF(OR(COUNTIF(P$4:P29,""Grandma"")-COUNTIF(P$4:P29,""Sell_G"&amp;"randma"")&lt;1,COUNTIF(P$4:P29,VLOOKUP(P29,Upgrades!$F$8:$N$8,7+COUNTIF(P$4:P29,P29)))-COUNTIF(P$4:P29,""Sell_""&amp;VLOOKUP(P29,Upgrades!$F$8:$N$8,7+COUNTIF(P$4:P29,P29)))&lt;15),1),IF(REGEXMATCH(P29,""_up""),IF(COUNTIF(P$4:P29,SUBSTITUTE(P29,""_up"",""""))&lt;IFERRO"&amp;"R(VLOOKUP(P29,Upgrades!$L$3:$P$6,1+COUNTIF(P$4:P29,P29),0),999),1),IF(REGEXMATCH(P29,""Sell_""),IF(COUNTIF(P$4:P29,SUBSTITUTE(P29,""Sell_"",""""))-COUNTIF(P$4:P28,P29)&lt;1,1),FALSE)))))))))"),FALSE)</f>
        <v>0</v>
      </c>
      <c r="R29" s="71">
        <f>IFERROR(__xludf.DUMMYFUNCTION("IF(REGEXMATCH(P29,""^Sell_""),R28, IF(COUNTA(P29:P147)=0,"""",(COUNTIF(P$4:P29,""Cursor"")-COUNTIF(P$4:P29,""Sell_Cursor""))*(0.1*2^SWITCH(COUNTIF(P$4:P29,""Cursor_up""),0,0,1,1,2,2,3)+SWITCH(COUNTIF(P$4:P29,""Cursor_up""),4,0.1,0)*(ROW(P29)-4-COUNTIF(P$4"&amp;":P29,""Cursor"")-COUNTIF(P$4:P29,""*""&amp;""_up"")-2*COUNTIF(P$4:P29,""Sell_""&amp;""*"")+COUNTIF(P$4:P29,""Sell_Cursor"")-COUNTIF(P$4:P29,"""")))+(COUNTIF(P$4:P29,""Grandma"")-COUNTIF(P$4:P29,""Sell_Grandma""))*(1*2^(COUNTIF(P$4:P29,""Grandma_up"")+COUNTIF(P$4:"&amp;"P29,""Super_up"")))+(COUNTIF(P$4:P29,""Farm"")-COUNTIF(P$4:P29,""Sell_Farm""))*(8*2^COUNTIF(P$4:P29,""Farm_up""))*IF(COUNTIF(P$4:P29,""Super_up"")&gt;0,1+0.01*(COUNTIF(P$4:P29,""Grandma"")-COUNTIF(P$4:P29,""Sell_Grandma"")),1)+(COUNTIF(P$4:P29,""Mine"")-COUN"&amp;"TIF(P$4:P29,""Sell_Mine""))*((47*2^COUNTIF(P$4:P29,""Mine_up""))*IF(COUNTIF(P$4:P29,""Super_up"")&gt;1,1+0.005*(COUNTIF(P$4:P29,""Grandma"")-COUNTIF(P$4:P29,""Sell_Grandma"")),1))+(COUNTIF(P$4:P29,""Factory"")-COUNTIF(P$4:P29,""Sell_Factory""))*(260*2^COUNTI"&amp;"F(P$4:P29,""Factory_up""))))"),30.8)</f>
        <v>30.8</v>
      </c>
      <c r="S29" s="73">
        <f>IFERROR(__xludf.DUMMYFUNCTION("IF(COUNTA(P29:P147)=0,"""",IF(REGEXMATCH(INDEX(FILTER(P$4:P29,P$4:P29&lt;&gt;""""),ROWS(FILTER(P$4:P29,P$4:P29&lt;&gt;""""))),""^Sell_""),INDEX(FILTER(S$4:S28,P$4:P28&lt;&gt;""""),ROWS(FILTER(P$4:P28,P$4:P28&lt;&gt;""""))),$AD$5*(2^SWITCH(COUNTIF(P$4:P29,""Cursor_up""),0,0,1,1,2"&amp;",2,3)+SWITCH(COUNTIF(P$4:P29,""Cursor_up""),4,0.1,0)*(ROW(P29)-4-COUNTIF(P$4:P29,""Cursor"")-COUNTIF(P$4:P29,""*""&amp;""_up"")-2*COUNTIF(P$4:P29,""Sell_""&amp;""*"")+COUNTIF(P$4:P29,""Sell_Cursor"")-COUNTIF(P$4:P29,""""))+0.01*R29*COUNTIF(P$4:P29,""Plastic_up"")"&amp;")+R29))"),90.8)</f>
        <v>90.8</v>
      </c>
      <c r="T29" s="14">
        <f>IFERROR(__xludf.DUMMYFUNCTION("IF(COUNTA(P29:P147)=0,"""",IF(REGEXMATCH(P29,""_up""),VLOOKUP(P29,Upgrades!$F$3:$J$8,1+COUNTIF(P$4:P29,P29),FALSE),IF(P29="""",0,IF(REGEXMATCH(P29,""^Sell_""),-ROUNDDOWN(ROUNDUP(INDEX(Upgrades!$C$3:$C$8,MATCH(SUBSTITUTE(P29,""Sell_"",""""),Upgrades!$B$3:$"&amp;"B$8,0))*1.15^(COUNTIF(P$4:P28,SUBSTITUTE(P29,""Sell_"",""""))-COUNTIF(P$4:P28,""Sell_""&amp;SUBSTITUTE(P29,""Sell_"",""""))))/4),ROUNDUP(INDEX(Upgrades!$C$3:$C$7,MATCH(P29,Upgrades!$B$3:$B$7,0))*1.15^(COUNTIF(P$4:P28,P29)-COUNTIF(P$4:P28,""Sell_""&amp;P29)))))))"),306.0)</f>
        <v>306</v>
      </c>
      <c r="U29" s="14">
        <f t="shared" si="10"/>
        <v>306</v>
      </c>
      <c r="V29" s="75">
        <f t="shared" si="11"/>
        <v>57168.43949</v>
      </c>
      <c r="W29" s="76">
        <f t="shared" si="12"/>
        <v>81.22160405</v>
      </c>
      <c r="X29" s="71" t="str">
        <f t="shared" si="13"/>
        <v>1m 21s</v>
      </c>
      <c r="Y29" s="77">
        <f t="shared" si="14"/>
        <v>4822</v>
      </c>
      <c r="Z29" s="17"/>
      <c r="AA29" s="32" t="s">
        <v>11</v>
      </c>
      <c r="AB29" s="108" t="s">
        <v>76</v>
      </c>
      <c r="AC29" s="13"/>
      <c r="AD29" s="13"/>
      <c r="AE29" s="13"/>
      <c r="AF29" s="13"/>
      <c r="AG29" s="13"/>
    </row>
    <row r="30">
      <c r="A30" s="12"/>
      <c r="B30" s="65">
        <f t="shared" si="2"/>
        <v>2</v>
      </c>
      <c r="C30" s="66" t="s">
        <v>16</v>
      </c>
      <c r="D30" s="14" t="b">
        <f>IFERROR(__xludf.DUMMYFUNCTION("IF(COUNTA(C30:C147)=0,"""",IFERROR(IF(ISBLANK(C30),FALSE,IF(ISBLANK(G30),1,IF(NOT(COUNTIF($AA$24:$AA$34,SUBSTITUTE(C30,""Sell_"",""""))),1,IF(C30=""Plastic_up"",IF(I30&lt;1000,1),IF(C30=""Super_Up"",IF(OR(COUNTIF(C$4:C30,""Grandma"")-COUNTIF(C$4:C30,""Sell_G"&amp;"randma"")&lt;1,COUNTIF(C$4:C30,VLOOKUP(C30,Upgrades!$F$8:$N$8,7+COUNTIF(C$4:C30,C30)))-COUNTIF(C$4:C30,""Sell_""&amp;VLOOKUP(C30,Upgrades!$F$8:$N$8,7+COUNTIF(C$4:C30,C30)))&lt;15),1),IF(REGEXMATCH(C30,""_up""),IF(COUNTIF(C$4:C30,SUBSTITUTE(C30,""_up"",""""))&lt;IFERRO"&amp;"R(VLOOKUP(C30,Upgrades!$L$3:$P$6,1+COUNTIF(C$4:C30,C30),0),999),1),IF(REGEXMATCH(C30,""Sell_""),IF(COUNTIF(C$4:C30,SUBSTITUTE(C30,""Sell_"",""""))-COUNTIF(C$4:C29,C30)&lt;1,1),FALSE)))))))))"),FALSE)</f>
        <v>0</v>
      </c>
      <c r="E30" s="71">
        <f>IFERROR(__xludf.DUMMYFUNCTION("IF(REGEXMATCH(C30,""^Sell_""),E29, IF(COUNTA(C30:C147)=0,"""",(COUNTIF(C$4:C30,""Cursor"")-COUNTIF(C$4:C30,""Sell_Cursor""))*(0.1*2^SWITCH(COUNTIF(C$4:C30,""Cursor_up""),0,0,1,1,2,2,3)+SWITCH(COUNTIF(C$4:C30,""Cursor_up""),4,0.1,0)*(ROW(C30)-4-COUNTIF(C$4"&amp;":C30,""Cursor"")-COUNTIF(C$4:C30,""*""&amp;""_up"")-2*COUNTIF(C$4:C30,""Sell_""&amp;""*"")+COUNTIF(C$4:C30,""Sell_Cursor"")-COUNTIF(C$4:C30,"""")))+(COUNTIF(C$4:C30,""Grandma"")-COUNTIF(C$4:C30,""Sell_Grandma""))*(1*2^(COUNTIF(C$4:C30,""Grandma_up"")+COUNTIF(C$4:"&amp;"C30,""Super_up"")))+(COUNTIF(C$4:C30,""Farm"")-COUNTIF(C$4:C30,""Sell_Farm""))*(8*2^COUNTIF(C$4:C30,""Farm_up""))*IF(COUNTIF(C$4:C30,""Super_up"")&gt;0,1+0.01*(COUNTIF(C$4:C30,""Grandma"")-COUNTIF(C$4:C30,""Sell_Grandma"")),1)+(COUNTIF(C$4:C30,""Mine"")-COUN"&amp;"TIF(C$4:C30,""Sell_Mine""))*((47*2^COUNTIF(C$4:C30,""Mine_up""))*IF(COUNTIF(C$4:C30,""Super_up"")&gt;1,1+0.005*(COUNTIF(C$4:C30,""Grandma"")-COUNTIF(C$4:C30,""Sell_Grandma"")),1))+(COUNTIF(C$4:C30,""Factory"")-COUNTIF(C$4:C30,""Sell_Factory""))*(260*2^COUNTI"&amp;"F(C$4:C30,""Factory_up""))))"),38.8)</f>
        <v>38.8</v>
      </c>
      <c r="F30" s="73">
        <f>IFERROR(__xludf.DUMMYFUNCTION("IF(COUNTA(C30:C147)=0,"""",IF(REGEXMATCH(INDEX(FILTER(C$4:C30,C$4:C30&lt;&gt;""""),ROWS(FILTER(C$4:C30,C$4:C30&lt;&gt;""""))),""^Sell_""),INDEX(FILTER(F$4:F29,C$4:C29&lt;&gt;""""),ROWS(FILTER(C$4:C29,C$4:C29&lt;&gt;""""))),$AC$5*(2^SWITCH(COUNTIF(C$4:C30,""Cursor_up""),0,0,1,1,2"&amp;",2,3)+SWITCH(COUNTIF(C$4:C30,""Cursor_up""),4,0.1,0)*(ROW(C30)-4-COUNTIF(C$4:C30,""Cursor"")-COUNTIF(C$4:C30,""*""&amp;""_up"")-2*COUNTIF(C$4:C30,""Sell_""&amp;""*"")+COUNTIF(C$4:C30,""Sell_Cursor"")-COUNTIF(C$4:C30,""""))+0.01*E30*COUNTIF(C$4:C30,""Plastic_up"")"&amp;")+E30))"),98.8)</f>
        <v>98.8</v>
      </c>
      <c r="G30" s="14">
        <f>IFERROR(__xludf.DUMMYFUNCTION("IF(COUNTA(C30:C147)=0,"""",IF(REGEXMATCH(C30,""_up""),VLOOKUP(C30,Upgrades!$F$3:$J$8,1+COUNTIF(C$4:C30,C30),FALSE),IF(C30="""",0,IF(REGEXMATCH(C30,""^Sell_""),-ROUNDDOWN(ROUNDUP(INDEX(Upgrades!$C$3:$C$8,MATCH(SUBSTITUTE(C30,""Sell_"",""""),Upgrades!$B$3:$"&amp;"B$8,0))*1.15^(COUNTIF(C$4:C29,SUBSTITUTE(C30,""Sell_"",""""))-COUNTIF(C$4:C29,""Sell_""&amp;SUBSTITUTE(C30,""Sell_"",""""))))/4),ROUNDUP(INDEX(Upgrades!$C$3:$C$7,MATCH(C30,Upgrades!$B$3:$B$7,0))*1.15^(COUNTIF(C$4:C29,C30)-COUNTIF(C$4:C29,""Sell_""&amp;C30)))))))"),1265.0)</f>
        <v>1265</v>
      </c>
      <c r="H30" s="14">
        <f t="shared" si="3"/>
        <v>1265</v>
      </c>
      <c r="I30" s="75">
        <f t="shared" si="4"/>
        <v>62877.63882</v>
      </c>
      <c r="J30" s="76">
        <f t="shared" si="5"/>
        <v>95.15332211</v>
      </c>
      <c r="K30" s="71" t="str">
        <f t="shared" si="6"/>
        <v>1m 35s</v>
      </c>
      <c r="L30" s="77">
        <f t="shared" si="7"/>
        <v>6087</v>
      </c>
      <c r="M30" s="51">
        <f t="shared" si="8"/>
        <v>0</v>
      </c>
      <c r="N30" s="52">
        <f>IFERROR(__xludf.DUMMYFUNCTION("IFS(AND(COUNTA(C30:C147)=0,COUNTA(P30:P147)=0),"""",OR(AND(L30&gt;=1000000,OR(Y30&gt;=1000000,COUNTA(P30:P147)=0)),AND(Y30&gt;=1000000,COUNTA(C30:C147)=0),AND(COUNTA(P30:P147)=0,O$3=TRUE)),
ROUNDDOWN((AB$1-AC$1)*MAX(INDEX(S$4:S147,MATCH(LARGE(FILTER(Y$4:Y147,Y$4:Y"&amp;"147&lt;1000000),1),Y$4:Y147)),INDEX(F$4:F147,MATCH(LARGE(FILTER(L$4:L147,L$4:L147&lt;1000000),1),L$4:L147)))),AND(L30&lt;1000000,COUNTA(C30:C147)&gt;0,O$3=FALSE),
ROUNDDOWN(INDEX(Y$4:Y147,MATCH(LARGE(FILTER(W$4:W147,W$4:W147&lt;=J30),1),W$4:W147))+(J30-LARGE(FILTER(W$4:"&amp;"W147,W$4:W147&lt;=J30),1))*INDEX(S$4:S147,MATCH(LARGE(FILTER(W$4:W147,W$4:W147&lt;=J30),1),W$4:W147))-L30),1,
ROUNDDOWN(Y30-INDEX(L$4:L147,MATCH(LARGE(FILTER(J$4:J147,J$4:J147&lt;=W30),1),J$4:J147))-(W30-LARGE(FILTER(J$4:J147,J$4:J147&lt;=W30),1))*INDEX(F$4:F147,MATC"&amp;"H(LARGE(FILTER(J$4:J147,J$4:J147&lt;=W30),1),J$4:J147))))"),0.0)</f>
        <v>0</v>
      </c>
      <c r="O30" s="65">
        <f t="shared" si="9"/>
        <v>2</v>
      </c>
      <c r="P30" s="66" t="s">
        <v>16</v>
      </c>
      <c r="Q30" s="14" t="b">
        <f>IFERROR(__xludf.DUMMYFUNCTION("IF(COUNTA(P30:P147)=0,"""",IFERROR(IF(ISBLANK(P30),FALSE,IF(ISBLANK(T30),1,IF(NOT(COUNTIF($AA$24:$AA$34,SUBSTITUTE(P30,""Sell_"",""""))),1,IF(P30=""Plastic_up"",IF(V30&lt;1000,1),IF(P30=""Super_Up"",IF(OR(COUNTIF(P$4:P30,""Grandma"")-COUNTIF(P$4:P30,""Sell_G"&amp;"randma"")&lt;1,COUNTIF(P$4:P30,VLOOKUP(P30,Upgrades!$F$8:$N$8,7+COUNTIF(P$4:P30,P30)))-COUNTIF(P$4:P30,""Sell_""&amp;VLOOKUP(P30,Upgrades!$F$8:$N$8,7+COUNTIF(P$4:P30,P30)))&lt;15),1),IF(REGEXMATCH(P30,""_up""),IF(COUNTIF(P$4:P30,SUBSTITUTE(P30,""_up"",""""))&lt;IFERRO"&amp;"R(VLOOKUP(P30,Upgrades!$L$3:$P$6,1+COUNTIF(P$4:P30,P30),0),999),1),IF(REGEXMATCH(P30,""Sell_""),IF(COUNTIF(P$4:P30,SUBSTITUTE(P30,""Sell_"",""""))-COUNTIF(P$4:P29,P30)&lt;1,1),FALSE)))))))))"),FALSE)</f>
        <v>0</v>
      </c>
      <c r="R30" s="71">
        <f>IFERROR(__xludf.DUMMYFUNCTION("IF(REGEXMATCH(P30,""^Sell_""),R29, IF(COUNTA(P30:P147)=0,"""",(COUNTIF(P$4:P30,""Cursor"")-COUNTIF(P$4:P30,""Sell_Cursor""))*(0.1*2^SWITCH(COUNTIF(P$4:P30,""Cursor_up""),0,0,1,1,2,2,3)+SWITCH(COUNTIF(P$4:P30,""Cursor_up""),4,0.1,0)*(ROW(P30)-4-COUNTIF(P$4"&amp;":P30,""Cursor"")-COUNTIF(P$4:P30,""*""&amp;""_up"")-2*COUNTIF(P$4:P30,""Sell_""&amp;""*"")+COUNTIF(P$4:P30,""Sell_Cursor"")-COUNTIF(P$4:P30,"""")))+(COUNTIF(P$4:P30,""Grandma"")-COUNTIF(P$4:P30,""Sell_Grandma""))*(1*2^(COUNTIF(P$4:P30,""Grandma_up"")+COUNTIF(P$4:"&amp;"P30,""Super_up"")))+(COUNTIF(P$4:P30,""Farm"")-COUNTIF(P$4:P30,""Sell_Farm""))*(8*2^COUNTIF(P$4:P30,""Farm_up""))*IF(COUNTIF(P$4:P30,""Super_up"")&gt;0,1+0.01*(COUNTIF(P$4:P30,""Grandma"")-COUNTIF(P$4:P30,""Sell_Grandma"")),1)+(COUNTIF(P$4:P30,""Mine"")-COUN"&amp;"TIF(P$4:P30,""Sell_Mine""))*((47*2^COUNTIF(P$4:P30,""Mine_up""))*IF(COUNTIF(P$4:P30,""Super_up"")&gt;1,1+0.005*(COUNTIF(P$4:P30,""Grandma"")-COUNTIF(P$4:P30,""Sell_Grandma"")),1))+(COUNTIF(P$4:P30,""Factory"")-COUNTIF(P$4:P30,""Sell_Factory""))*(260*2^COUNTI"&amp;"F(P$4:P30,""Factory_up""))))"),38.8)</f>
        <v>38.8</v>
      </c>
      <c r="S30" s="73">
        <f>IFERROR(__xludf.DUMMYFUNCTION("IF(COUNTA(P30:P147)=0,"""",IF(REGEXMATCH(INDEX(FILTER(P$4:P30,P$4:P30&lt;&gt;""""),ROWS(FILTER(P$4:P30,P$4:P30&lt;&gt;""""))),""^Sell_""),INDEX(FILTER(S$4:S29,P$4:P29&lt;&gt;""""),ROWS(FILTER(P$4:P29,P$4:P29&lt;&gt;""""))),$AD$5*(2^SWITCH(COUNTIF(P$4:P30,""Cursor_up""),0,0,1,1,2"&amp;",2,3)+SWITCH(COUNTIF(P$4:P30,""Cursor_up""),4,0.1,0)*(ROW(P30)-4-COUNTIF(P$4:P30,""Cursor"")-COUNTIF(P$4:P30,""*""&amp;""_up"")-2*COUNTIF(P$4:P30,""Sell_""&amp;""*"")+COUNTIF(P$4:P30,""Sell_Cursor"")-COUNTIF(P$4:P30,""""))+0.01*R30*COUNTIF(P$4:P30,""Plastic_up"")"&amp;")+R30))"),98.8)</f>
        <v>98.8</v>
      </c>
      <c r="T30" s="14">
        <f>IFERROR(__xludf.DUMMYFUNCTION("IF(COUNTA(P30:P147)=0,"""",IF(REGEXMATCH(P30,""_up""),VLOOKUP(P30,Upgrades!$F$3:$J$8,1+COUNTIF(P$4:P30,P30),FALSE),IF(P30="""",0,IF(REGEXMATCH(P30,""^Sell_""),-ROUNDDOWN(ROUNDUP(INDEX(Upgrades!$C$3:$C$8,MATCH(SUBSTITUTE(P30,""Sell_"",""""),Upgrades!$B$3:$"&amp;"B$8,0))*1.15^(COUNTIF(P$4:P29,SUBSTITUTE(P30,""Sell_"",""""))-COUNTIF(P$4:P29,""Sell_""&amp;SUBSTITUTE(P30,""Sell_"",""""))))/4),ROUNDUP(INDEX(Upgrades!$C$3:$C$7,MATCH(P30,Upgrades!$B$3:$B$7,0))*1.15^(COUNTIF(P$4:P29,P30)-COUNTIF(P$4:P29,""Sell_""&amp;P30)))))))"),1265.0)</f>
        <v>1265</v>
      </c>
      <c r="U30" s="14">
        <f t="shared" si="10"/>
        <v>1265</v>
      </c>
      <c r="V30" s="75">
        <f t="shared" si="11"/>
        <v>62877.63882</v>
      </c>
      <c r="W30" s="76">
        <f t="shared" si="12"/>
        <v>95.15332211</v>
      </c>
      <c r="X30" s="71" t="str">
        <f t="shared" si="13"/>
        <v>1m 35s</v>
      </c>
      <c r="Y30" s="77">
        <f t="shared" si="14"/>
        <v>6087</v>
      </c>
      <c r="Z30" s="17"/>
      <c r="AA30" s="32" t="s">
        <v>14</v>
      </c>
      <c r="AB30" s="108" t="s">
        <v>77</v>
      </c>
      <c r="AC30" s="13"/>
      <c r="AD30" s="13"/>
      <c r="AE30" s="13"/>
    </row>
    <row r="31">
      <c r="A31" s="12"/>
      <c r="B31" s="65">
        <f t="shared" si="2"/>
        <v>10</v>
      </c>
      <c r="C31" s="66" t="s">
        <v>13</v>
      </c>
      <c r="D31" s="14" t="b">
        <f>IFERROR(__xludf.DUMMYFUNCTION("IF(COUNTA(C31:C147)=0,"""",IFERROR(IF(ISBLANK(C31),FALSE,IF(ISBLANK(G31),1,IF(NOT(COUNTIF($AA$24:$AA$34,SUBSTITUTE(C31,""Sell_"",""""))),1,IF(C31=""Plastic_up"",IF(I31&lt;1000,1),IF(C31=""Super_Up"",IF(OR(COUNTIF(C$4:C31,""Grandma"")-COUNTIF(C$4:C31,""Sell_G"&amp;"randma"")&lt;1,COUNTIF(C$4:C31,VLOOKUP(C31,Upgrades!$F$8:$N$8,7+COUNTIF(C$4:C31,C31)))-COUNTIF(C$4:C31,""Sell_""&amp;VLOOKUP(C31,Upgrades!$F$8:$N$8,7+COUNTIF(C$4:C31,C31)))&lt;15),1),IF(REGEXMATCH(C31,""_up""),IF(COUNTIF(C$4:C31,SUBSTITUTE(C31,""_up"",""""))&lt;IFERRO"&amp;"R(VLOOKUP(C31,Upgrades!$L$3:$P$6,1+COUNTIF(C$4:C31,C31),0),999),1),IF(REGEXMATCH(C31,""Sell_""),IF(COUNTIF(C$4:C31,SUBSTITUTE(C31,""Sell_"",""""))-COUNTIF(C$4:C30,C31)&lt;1,1),FALSE)))))))))"),FALSE)</f>
        <v>0</v>
      </c>
      <c r="E31" s="71">
        <f>IFERROR(__xludf.DUMMYFUNCTION("IF(REGEXMATCH(C31,""^Sell_""),E30, IF(COUNTA(C31:C147)=0,"""",(COUNTIF(C$4:C31,""Cursor"")-COUNTIF(C$4:C31,""Sell_Cursor""))*(0.1*2^SWITCH(COUNTIF(C$4:C31,""Cursor_up""),0,0,1,1,2,2,3)+SWITCH(COUNTIF(C$4:C31,""Cursor_up""),4,0.1,0)*(ROW(C31)-4-COUNTIF(C$4"&amp;":C31,""Cursor"")-COUNTIF(C$4:C31,""*""&amp;""_up"")-2*COUNTIF(C$4:C31,""Sell_""&amp;""*"")+COUNTIF(C$4:C31,""Sell_Cursor"")-COUNTIF(C$4:C31,"""")))+(COUNTIF(C$4:C31,""Grandma"")-COUNTIF(C$4:C31,""Sell_Grandma""))*(1*2^(COUNTIF(C$4:C31,""Grandma_up"")+COUNTIF(C$4:"&amp;"C31,""Super_up"")))+(COUNTIF(C$4:C31,""Farm"")-COUNTIF(C$4:C31,""Sell_Farm""))*(8*2^COUNTIF(C$4:C31,""Farm_up""))*IF(COUNTIF(C$4:C31,""Super_up"")&gt;0,1+0.01*(COUNTIF(C$4:C31,""Grandma"")-COUNTIF(C$4:C31,""Sell_Grandma"")),1)+(COUNTIF(C$4:C31,""Mine"")-COUN"&amp;"TIF(C$4:C31,""Sell_Mine""))*((47*2^COUNTIF(C$4:C31,""Mine_up""))*IF(COUNTIF(C$4:C31,""Super_up"")&gt;1,1+0.005*(COUNTIF(C$4:C31,""Grandma"")-COUNTIF(C$4:C31,""Sell_Grandma"")),1))+(COUNTIF(C$4:C31,""Factory"")-COUNTIF(C$4:C31,""Sell_Factory""))*(260*2^COUNTI"&amp;"F(C$4:C31,""Factory_up""))))"),40.8)</f>
        <v>40.8</v>
      </c>
      <c r="F31" s="73">
        <f>IFERROR(__xludf.DUMMYFUNCTION("IF(COUNTA(C31:C147)=0,"""",IF(REGEXMATCH(INDEX(FILTER(C$4:C31,C$4:C31&lt;&gt;""""),ROWS(FILTER(C$4:C31,C$4:C31&lt;&gt;""""))),""^Sell_""),INDEX(FILTER(F$4:F30,C$4:C30&lt;&gt;""""),ROWS(FILTER(C$4:C30,C$4:C30&lt;&gt;""""))),$AC$5*(2^SWITCH(COUNTIF(C$4:C31,""Cursor_up""),0,0,1,1,2"&amp;",2,3)+SWITCH(COUNTIF(C$4:C31,""Cursor_up""),4,0.1,0)*(ROW(C31)-4-COUNTIF(C$4:C31,""Cursor"")-COUNTIF(C$4:C31,""*""&amp;""_up"")-2*COUNTIF(C$4:C31,""Sell_""&amp;""*"")+COUNTIF(C$4:C31,""Sell_Cursor"")-COUNTIF(C$4:C31,""""))+0.01*E31*COUNTIF(C$4:C31,""Plastic_up"")"&amp;")+E31))"),100.8)</f>
        <v>100.8</v>
      </c>
      <c r="G31" s="14">
        <f>IFERROR(__xludf.DUMMYFUNCTION("IF(COUNTA(C31:C147)=0,"""",IF(REGEXMATCH(C31,""_up""),VLOOKUP(C31,Upgrades!$F$3:$J$8,1+COUNTIF(C$4:C31,C31),FALSE),IF(C31="""",0,IF(REGEXMATCH(C31,""^Sell_""),-ROUNDDOWN(ROUNDUP(INDEX(Upgrades!$C$3:$C$8,MATCH(SUBSTITUTE(C31,""Sell_"",""""),Upgrades!$B$3:$"&amp;"B$8,0))*1.15^(COUNTIF(C$4:C30,SUBSTITUTE(C31,""Sell_"",""""))-COUNTIF(C$4:C30,""Sell_""&amp;SUBSTITUTE(C31,""Sell_"",""""))))/4),ROUNDUP(INDEX(Upgrades!$C$3:$C$7,MATCH(C31,Upgrades!$B$3:$B$7,0))*1.15^(COUNTIF(C$4:C30,C31)-COUNTIF(C$4:C30,""Sell_""&amp;C31)))))))"),352.0)</f>
        <v>352</v>
      </c>
      <c r="H31" s="14">
        <f t="shared" si="3"/>
        <v>352</v>
      </c>
      <c r="I31" s="75">
        <f t="shared" si="4"/>
        <v>68800.60333</v>
      </c>
      <c r="J31" s="76">
        <f t="shared" si="5"/>
        <v>98.71607515</v>
      </c>
      <c r="K31" s="71" t="str">
        <f t="shared" si="6"/>
        <v>1m 38s</v>
      </c>
      <c r="L31" s="77">
        <f t="shared" si="7"/>
        <v>6439</v>
      </c>
      <c r="M31" s="51">
        <f t="shared" si="8"/>
        <v>0</v>
      </c>
      <c r="N31" s="52">
        <f>IFERROR(__xludf.DUMMYFUNCTION("IFS(AND(COUNTA(C31:C147)=0,COUNTA(P31:P147)=0),"""",OR(AND(L31&gt;=1000000,OR(Y31&gt;=1000000,COUNTA(P31:P147)=0)),AND(Y31&gt;=1000000,COUNTA(C31:C147)=0),AND(COUNTA(P31:P147)=0,O$3=TRUE)),
ROUNDDOWN((AB$1-AC$1)*MAX(INDEX(S$4:S147,MATCH(LARGE(FILTER(Y$4:Y147,Y$4:Y"&amp;"147&lt;1000000),1),Y$4:Y147)),INDEX(F$4:F147,MATCH(LARGE(FILTER(L$4:L147,L$4:L147&lt;1000000),1),L$4:L147)))),AND(L31&lt;1000000,COUNTA(C31:C147)&gt;0,O$3=FALSE),
ROUNDDOWN(INDEX(Y$4:Y147,MATCH(LARGE(FILTER(W$4:W147,W$4:W147&lt;=J31),1),W$4:W147))+(J31-LARGE(FILTER(W$4:"&amp;"W147,W$4:W147&lt;=J31),1))*INDEX(S$4:S147,MATCH(LARGE(FILTER(W$4:W147,W$4:W147&lt;=J31),1),W$4:W147))-L31),1,
ROUNDDOWN(Y31-INDEX(L$4:L147,MATCH(LARGE(FILTER(J$4:J147,J$4:J147&lt;=W31),1),J$4:J147))-(W31-LARGE(FILTER(J$4:J147,J$4:J147&lt;=W31),1))*INDEX(F$4:F147,MATC"&amp;"H(LARGE(FILTER(J$4:J147,J$4:J147&lt;=W31),1),J$4:J147))))"),0.0)</f>
        <v>0</v>
      </c>
      <c r="O31" s="65">
        <f t="shared" si="9"/>
        <v>10</v>
      </c>
      <c r="P31" s="66" t="s">
        <v>13</v>
      </c>
      <c r="Q31" s="14" t="b">
        <f>IFERROR(__xludf.DUMMYFUNCTION("IF(COUNTA(P31:P147)=0,"""",IFERROR(IF(ISBLANK(P31),FALSE,IF(ISBLANK(T31),1,IF(NOT(COUNTIF($AA$24:$AA$34,SUBSTITUTE(P31,""Sell_"",""""))),1,IF(P31=""Plastic_up"",IF(V31&lt;1000,1),IF(P31=""Super_Up"",IF(OR(COUNTIF(P$4:P31,""Grandma"")-COUNTIF(P$4:P31,""Sell_G"&amp;"randma"")&lt;1,COUNTIF(P$4:P31,VLOOKUP(P31,Upgrades!$F$8:$N$8,7+COUNTIF(P$4:P31,P31)))-COUNTIF(P$4:P31,""Sell_""&amp;VLOOKUP(P31,Upgrades!$F$8:$N$8,7+COUNTIF(P$4:P31,P31)))&lt;15),1),IF(REGEXMATCH(P31,""_up""),IF(COUNTIF(P$4:P31,SUBSTITUTE(P31,""_up"",""""))&lt;IFERRO"&amp;"R(VLOOKUP(P31,Upgrades!$L$3:$P$6,1+COUNTIF(P$4:P31,P31),0),999),1),IF(REGEXMATCH(P31,""Sell_""),IF(COUNTIF(P$4:P31,SUBSTITUTE(P31,""Sell_"",""""))-COUNTIF(P$4:P30,P31)&lt;1,1),FALSE)))))))))"),FALSE)</f>
        <v>0</v>
      </c>
      <c r="R31" s="71">
        <f>IFERROR(__xludf.DUMMYFUNCTION("IF(REGEXMATCH(P31,""^Sell_""),R30, IF(COUNTA(P31:P147)=0,"""",(COUNTIF(P$4:P31,""Cursor"")-COUNTIF(P$4:P31,""Sell_Cursor""))*(0.1*2^SWITCH(COUNTIF(P$4:P31,""Cursor_up""),0,0,1,1,2,2,3)+SWITCH(COUNTIF(P$4:P31,""Cursor_up""),4,0.1,0)*(ROW(P31)-4-COUNTIF(P$4"&amp;":P31,""Cursor"")-COUNTIF(P$4:P31,""*""&amp;""_up"")-2*COUNTIF(P$4:P31,""Sell_""&amp;""*"")+COUNTIF(P$4:P31,""Sell_Cursor"")-COUNTIF(P$4:P31,"""")))+(COUNTIF(P$4:P31,""Grandma"")-COUNTIF(P$4:P31,""Sell_Grandma""))*(1*2^(COUNTIF(P$4:P31,""Grandma_up"")+COUNTIF(P$4:"&amp;"P31,""Super_up"")))+(COUNTIF(P$4:P31,""Farm"")-COUNTIF(P$4:P31,""Sell_Farm""))*(8*2^COUNTIF(P$4:P31,""Farm_up""))*IF(COUNTIF(P$4:P31,""Super_up"")&gt;0,1+0.01*(COUNTIF(P$4:P31,""Grandma"")-COUNTIF(P$4:P31,""Sell_Grandma"")),1)+(COUNTIF(P$4:P31,""Mine"")-COUN"&amp;"TIF(P$4:P31,""Sell_Mine""))*((47*2^COUNTIF(P$4:P31,""Mine_up""))*IF(COUNTIF(P$4:P31,""Super_up"")&gt;1,1+0.005*(COUNTIF(P$4:P31,""Grandma"")-COUNTIF(P$4:P31,""Sell_Grandma"")),1))+(COUNTIF(P$4:P31,""Factory"")-COUNTIF(P$4:P31,""Sell_Factory""))*(260*2^COUNTI"&amp;"F(P$4:P31,""Factory_up""))))"),40.8)</f>
        <v>40.8</v>
      </c>
      <c r="S31" s="73">
        <f>IFERROR(__xludf.DUMMYFUNCTION("IF(COUNTA(P31:P147)=0,"""",IF(REGEXMATCH(INDEX(FILTER(P$4:P31,P$4:P31&lt;&gt;""""),ROWS(FILTER(P$4:P31,P$4:P31&lt;&gt;""""))),""^Sell_""),INDEX(FILTER(S$4:S30,P$4:P30&lt;&gt;""""),ROWS(FILTER(P$4:P30,P$4:P30&lt;&gt;""""))),$AD$5*(2^SWITCH(COUNTIF(P$4:P31,""Cursor_up""),0,0,1,1,2"&amp;",2,3)+SWITCH(COUNTIF(P$4:P31,""Cursor_up""),4,0.1,0)*(ROW(P31)-4-COUNTIF(P$4:P31,""Cursor"")-COUNTIF(P$4:P31,""*""&amp;""_up"")-2*COUNTIF(P$4:P31,""Sell_""&amp;""*"")+COUNTIF(P$4:P31,""Sell_Cursor"")-COUNTIF(P$4:P31,""""))+0.01*R31*COUNTIF(P$4:P31,""Plastic_up"")"&amp;")+R31))"),100.8)</f>
        <v>100.8</v>
      </c>
      <c r="T31" s="14">
        <f>IFERROR(__xludf.DUMMYFUNCTION("IF(COUNTA(P31:P147)=0,"""",IF(REGEXMATCH(P31,""_up""),VLOOKUP(P31,Upgrades!$F$3:$J$8,1+COUNTIF(P$4:P31,P31),FALSE),IF(P31="""",0,IF(REGEXMATCH(P31,""^Sell_""),-ROUNDDOWN(ROUNDUP(INDEX(Upgrades!$C$3:$C$8,MATCH(SUBSTITUTE(P31,""Sell_"",""""),Upgrades!$B$3:$"&amp;"B$8,0))*1.15^(COUNTIF(P$4:P30,SUBSTITUTE(P31,""Sell_"",""""))-COUNTIF(P$4:P30,""Sell_""&amp;SUBSTITUTE(P31,""Sell_"",""""))))/4),ROUNDUP(INDEX(Upgrades!$C$3:$C$7,MATCH(P31,Upgrades!$B$3:$B$7,0))*1.15^(COUNTIF(P$4:P30,P31)-COUNTIF(P$4:P30,""Sell_""&amp;P31)))))))"),352.0)</f>
        <v>352</v>
      </c>
      <c r="U31" s="14">
        <f t="shared" si="10"/>
        <v>352</v>
      </c>
      <c r="V31" s="75">
        <f t="shared" si="11"/>
        <v>68800.60333</v>
      </c>
      <c r="W31" s="76">
        <f t="shared" si="12"/>
        <v>98.71607515</v>
      </c>
      <c r="X31" s="71" t="str">
        <f t="shared" si="13"/>
        <v>1m 38s</v>
      </c>
      <c r="Y31" s="77">
        <f t="shared" si="14"/>
        <v>6439</v>
      </c>
      <c r="Z31" s="17"/>
      <c r="AA31" s="32" t="s">
        <v>17</v>
      </c>
      <c r="AB31" s="108" t="s">
        <v>77</v>
      </c>
      <c r="AC31" s="13"/>
      <c r="AD31" s="13"/>
      <c r="AE31" s="13"/>
      <c r="AF31" s="13"/>
      <c r="AG31" s="13"/>
    </row>
    <row r="32">
      <c r="A32" s="12"/>
      <c r="B32" s="65">
        <f t="shared" si="2"/>
        <v>3</v>
      </c>
      <c r="C32" s="66" t="s">
        <v>16</v>
      </c>
      <c r="D32" s="14" t="b">
        <f>IFERROR(__xludf.DUMMYFUNCTION("IF(COUNTA(C32:C147)=0,"""",IFERROR(IF(ISBLANK(C32),FALSE,IF(ISBLANK(G32),1,IF(NOT(COUNTIF($AA$24:$AA$34,SUBSTITUTE(C32,""Sell_"",""""))),1,IF(C32=""Plastic_up"",IF(I32&lt;1000,1),IF(C32=""Super_Up"",IF(OR(COUNTIF(C$4:C32,""Grandma"")-COUNTIF(C$4:C32,""Sell_G"&amp;"randma"")&lt;1,COUNTIF(C$4:C32,VLOOKUP(C32,Upgrades!$F$8:$N$8,7+COUNTIF(C$4:C32,C32)))-COUNTIF(C$4:C32,""Sell_""&amp;VLOOKUP(C32,Upgrades!$F$8:$N$8,7+COUNTIF(C$4:C32,C32)))&lt;15),1),IF(REGEXMATCH(C32,""_up""),IF(COUNTIF(C$4:C32,SUBSTITUTE(C32,""_up"",""""))&lt;IFERRO"&amp;"R(VLOOKUP(C32,Upgrades!$L$3:$P$6,1+COUNTIF(C$4:C32,C32),0),999),1),IF(REGEXMATCH(C32,""Sell_""),IF(COUNTIF(C$4:C32,SUBSTITUTE(C32,""Sell_"",""""))-COUNTIF(C$4:C31,C32)&lt;1,1),FALSE)))))))))"),FALSE)</f>
        <v>0</v>
      </c>
      <c r="E32" s="71">
        <f>IFERROR(__xludf.DUMMYFUNCTION("IF(REGEXMATCH(C32,""^Sell_""),E31, IF(COUNTA(C32:C147)=0,"""",(COUNTIF(C$4:C32,""Cursor"")-COUNTIF(C$4:C32,""Sell_Cursor""))*(0.1*2^SWITCH(COUNTIF(C$4:C32,""Cursor_up""),0,0,1,1,2,2,3)+SWITCH(COUNTIF(C$4:C32,""Cursor_up""),4,0.1,0)*(ROW(C32)-4-COUNTIF(C$4"&amp;":C32,""Cursor"")-COUNTIF(C$4:C32,""*""&amp;""_up"")-2*COUNTIF(C$4:C32,""Sell_""&amp;""*"")+COUNTIF(C$4:C32,""Sell_Cursor"")-COUNTIF(C$4:C32,"""")))+(COUNTIF(C$4:C32,""Grandma"")-COUNTIF(C$4:C32,""Sell_Grandma""))*(1*2^(COUNTIF(C$4:C32,""Grandma_up"")+COUNTIF(C$4:"&amp;"C32,""Super_up"")))+(COUNTIF(C$4:C32,""Farm"")-COUNTIF(C$4:C32,""Sell_Farm""))*(8*2^COUNTIF(C$4:C32,""Farm_up""))*IF(COUNTIF(C$4:C32,""Super_up"")&gt;0,1+0.01*(COUNTIF(C$4:C32,""Grandma"")-COUNTIF(C$4:C32,""Sell_Grandma"")),1)+(COUNTIF(C$4:C32,""Mine"")-COUN"&amp;"TIF(C$4:C32,""Sell_Mine""))*((47*2^COUNTIF(C$4:C32,""Mine_up""))*IF(COUNTIF(C$4:C32,""Super_up"")&gt;1,1+0.005*(COUNTIF(C$4:C32,""Grandma"")-COUNTIF(C$4:C32,""Sell_Grandma"")),1))+(COUNTIF(C$4:C32,""Factory"")-COUNTIF(C$4:C32,""Sell_Factory""))*(260*2^COUNTI"&amp;"F(C$4:C32,""Factory_up""))))"),48.8)</f>
        <v>48.8</v>
      </c>
      <c r="F32" s="73">
        <f>IFERROR(__xludf.DUMMYFUNCTION("IF(COUNTA(C32:C147)=0,"""",IF(REGEXMATCH(INDEX(FILTER(C$4:C32,C$4:C32&lt;&gt;""""),ROWS(FILTER(C$4:C32,C$4:C32&lt;&gt;""""))),""^Sell_""),INDEX(FILTER(F$4:F31,C$4:C31&lt;&gt;""""),ROWS(FILTER(C$4:C31,C$4:C31&lt;&gt;""""))),$AC$5*(2^SWITCH(COUNTIF(C$4:C32,""Cursor_up""),0,0,1,1,2"&amp;",2,3)+SWITCH(COUNTIF(C$4:C32,""Cursor_up""),4,0.1,0)*(ROW(C32)-4-COUNTIF(C$4:C32,""Cursor"")-COUNTIF(C$4:C32,""*""&amp;""_up"")-2*COUNTIF(C$4:C32,""Sell_""&amp;""*"")+COUNTIF(C$4:C32,""Sell_Cursor"")-COUNTIF(C$4:C32,""""))+0.01*E32*COUNTIF(C$4:C32,""Plastic_up"")"&amp;")+E32))"),108.8)</f>
        <v>108.8</v>
      </c>
      <c r="G32" s="14">
        <f>IFERROR(__xludf.DUMMYFUNCTION("IF(COUNTA(C32:C147)=0,"""",IF(REGEXMATCH(C32,""_up""),VLOOKUP(C32,Upgrades!$F$3:$J$8,1+COUNTIF(C$4:C32,C32),FALSE),IF(C32="""",0,IF(REGEXMATCH(C32,""^Sell_""),-ROUNDDOWN(ROUNDUP(INDEX(Upgrades!$C$3:$C$8,MATCH(SUBSTITUTE(C32,""Sell_"",""""),Upgrades!$B$3:$"&amp;"B$8,0))*1.15^(COUNTIF(C$4:C31,SUBSTITUTE(C32,""Sell_"",""""))-COUNTIF(C$4:C31,""Sell_""&amp;SUBSTITUTE(C32,""Sell_"",""""))))/4),ROUNDUP(INDEX(Upgrades!$C$3:$C$7,MATCH(C32,Upgrades!$B$3:$B$7,0))*1.15^(COUNTIF(C$4:C31,C32)-COUNTIF(C$4:C31,""Sell_""&amp;C32)))))))"),1455.0)</f>
        <v>1455</v>
      </c>
      <c r="H32" s="14">
        <f t="shared" si="3"/>
        <v>1455</v>
      </c>
      <c r="I32" s="75">
        <f t="shared" si="4"/>
        <v>75589.63927</v>
      </c>
      <c r="J32" s="76">
        <f t="shared" si="5"/>
        <v>113.150599</v>
      </c>
      <c r="K32" s="71" t="str">
        <f t="shared" si="6"/>
        <v>1m 53s</v>
      </c>
      <c r="L32" s="77">
        <f t="shared" si="7"/>
        <v>7894</v>
      </c>
      <c r="M32" s="51">
        <f t="shared" si="8"/>
        <v>0</v>
      </c>
      <c r="N32" s="52">
        <f>IFERROR(__xludf.DUMMYFUNCTION("IFS(AND(COUNTA(C32:C147)=0,COUNTA(P32:P147)=0),"""",OR(AND(L32&gt;=1000000,OR(Y32&gt;=1000000,COUNTA(P32:P147)=0)),AND(Y32&gt;=1000000,COUNTA(C32:C147)=0),AND(COUNTA(P32:P147)=0,O$3=TRUE)),
ROUNDDOWN((AB$1-AC$1)*MAX(INDEX(S$4:S147,MATCH(LARGE(FILTER(Y$4:Y147,Y$4:Y"&amp;"147&lt;1000000),1),Y$4:Y147)),INDEX(F$4:F147,MATCH(LARGE(FILTER(L$4:L147,L$4:L147&lt;1000000),1),L$4:L147)))),AND(L32&lt;1000000,COUNTA(C32:C147)&gt;0,O$3=FALSE),
ROUNDDOWN(INDEX(Y$4:Y147,MATCH(LARGE(FILTER(W$4:W147,W$4:W147&lt;=J32),1),W$4:W147))+(J32-LARGE(FILTER(W$4:"&amp;"W147,W$4:W147&lt;=J32),1))*INDEX(S$4:S147,MATCH(LARGE(FILTER(W$4:W147,W$4:W147&lt;=J32),1),W$4:W147))-L32),1,
ROUNDDOWN(Y32-INDEX(L$4:L147,MATCH(LARGE(FILTER(J$4:J147,J$4:J147&lt;=W32),1),J$4:J147))-(W32-LARGE(FILTER(J$4:J147,J$4:J147&lt;=W32),1))*INDEX(F$4:F147,MATC"&amp;"H(LARGE(FILTER(J$4:J147,J$4:J147&lt;=W32),1),J$4:J147))))"),0.0)</f>
        <v>0</v>
      </c>
      <c r="O32" s="65">
        <f t="shared" si="9"/>
        <v>3</v>
      </c>
      <c r="P32" s="66" t="s">
        <v>16</v>
      </c>
      <c r="Q32" s="14" t="b">
        <f>IFERROR(__xludf.DUMMYFUNCTION("IF(COUNTA(P32:P147)=0,"""",IFERROR(IF(ISBLANK(P32),FALSE,IF(ISBLANK(T32),1,IF(NOT(COUNTIF($AA$24:$AA$34,SUBSTITUTE(P32,""Sell_"",""""))),1,IF(P32=""Plastic_up"",IF(V32&lt;1000,1),IF(P32=""Super_Up"",IF(OR(COUNTIF(P$4:P32,""Grandma"")-COUNTIF(P$4:P32,""Sell_G"&amp;"randma"")&lt;1,COUNTIF(P$4:P32,VLOOKUP(P32,Upgrades!$F$8:$N$8,7+COUNTIF(P$4:P32,P32)))-COUNTIF(P$4:P32,""Sell_""&amp;VLOOKUP(P32,Upgrades!$F$8:$N$8,7+COUNTIF(P$4:P32,P32)))&lt;15),1),IF(REGEXMATCH(P32,""_up""),IF(COUNTIF(P$4:P32,SUBSTITUTE(P32,""_up"",""""))&lt;IFERRO"&amp;"R(VLOOKUP(P32,Upgrades!$L$3:$P$6,1+COUNTIF(P$4:P32,P32),0),999),1),IF(REGEXMATCH(P32,""Sell_""),IF(COUNTIF(P$4:P32,SUBSTITUTE(P32,""Sell_"",""""))-COUNTIF(P$4:P31,P32)&lt;1,1),FALSE)))))))))"),FALSE)</f>
        <v>0</v>
      </c>
      <c r="R32" s="71">
        <f>IFERROR(__xludf.DUMMYFUNCTION("IF(REGEXMATCH(P32,""^Sell_""),R31, IF(COUNTA(P32:P147)=0,"""",(COUNTIF(P$4:P32,""Cursor"")-COUNTIF(P$4:P32,""Sell_Cursor""))*(0.1*2^SWITCH(COUNTIF(P$4:P32,""Cursor_up""),0,0,1,1,2,2,3)+SWITCH(COUNTIF(P$4:P32,""Cursor_up""),4,0.1,0)*(ROW(P32)-4-COUNTIF(P$4"&amp;":P32,""Cursor"")-COUNTIF(P$4:P32,""*""&amp;""_up"")-2*COUNTIF(P$4:P32,""Sell_""&amp;""*"")+COUNTIF(P$4:P32,""Sell_Cursor"")-COUNTIF(P$4:P32,"""")))+(COUNTIF(P$4:P32,""Grandma"")-COUNTIF(P$4:P32,""Sell_Grandma""))*(1*2^(COUNTIF(P$4:P32,""Grandma_up"")+COUNTIF(P$4:"&amp;"P32,""Super_up"")))+(COUNTIF(P$4:P32,""Farm"")-COUNTIF(P$4:P32,""Sell_Farm""))*(8*2^COUNTIF(P$4:P32,""Farm_up""))*IF(COUNTIF(P$4:P32,""Super_up"")&gt;0,1+0.01*(COUNTIF(P$4:P32,""Grandma"")-COUNTIF(P$4:P32,""Sell_Grandma"")),1)+(COUNTIF(P$4:P32,""Mine"")-COUN"&amp;"TIF(P$4:P32,""Sell_Mine""))*((47*2^COUNTIF(P$4:P32,""Mine_up""))*IF(COUNTIF(P$4:P32,""Super_up"")&gt;1,1+0.005*(COUNTIF(P$4:P32,""Grandma"")-COUNTIF(P$4:P32,""Sell_Grandma"")),1))+(COUNTIF(P$4:P32,""Factory"")-COUNTIF(P$4:P32,""Sell_Factory""))*(260*2^COUNTI"&amp;"F(P$4:P32,""Factory_up""))))"),48.8)</f>
        <v>48.8</v>
      </c>
      <c r="S32" s="73">
        <f>IFERROR(__xludf.DUMMYFUNCTION("IF(COUNTA(P32:P147)=0,"""",IF(REGEXMATCH(INDEX(FILTER(P$4:P32,P$4:P32&lt;&gt;""""),ROWS(FILTER(P$4:P32,P$4:P32&lt;&gt;""""))),""^Sell_""),INDEX(FILTER(S$4:S31,P$4:P31&lt;&gt;""""),ROWS(FILTER(P$4:P31,P$4:P31&lt;&gt;""""))),$AD$5*(2^SWITCH(COUNTIF(P$4:P32,""Cursor_up""),0,0,1,1,2"&amp;",2,3)+SWITCH(COUNTIF(P$4:P32,""Cursor_up""),4,0.1,0)*(ROW(P32)-4-COUNTIF(P$4:P32,""Cursor"")-COUNTIF(P$4:P32,""*""&amp;""_up"")-2*COUNTIF(P$4:P32,""Sell_""&amp;""*"")+COUNTIF(P$4:P32,""Sell_Cursor"")-COUNTIF(P$4:P32,""""))+0.01*R32*COUNTIF(P$4:P32,""Plastic_up"")"&amp;")+R32))"),108.8)</f>
        <v>108.8</v>
      </c>
      <c r="T32" s="14">
        <f>IFERROR(__xludf.DUMMYFUNCTION("IF(COUNTA(P32:P147)=0,"""",IF(REGEXMATCH(P32,""_up""),VLOOKUP(P32,Upgrades!$F$3:$J$8,1+COUNTIF(P$4:P32,P32),FALSE),IF(P32="""",0,IF(REGEXMATCH(P32,""^Sell_""),-ROUNDDOWN(ROUNDUP(INDEX(Upgrades!$C$3:$C$8,MATCH(SUBSTITUTE(P32,""Sell_"",""""),Upgrades!$B$3:$"&amp;"B$8,0))*1.15^(COUNTIF(P$4:P31,SUBSTITUTE(P32,""Sell_"",""""))-COUNTIF(P$4:P31,""Sell_""&amp;SUBSTITUTE(P32,""Sell_"",""""))))/4),ROUNDUP(INDEX(Upgrades!$C$3:$C$7,MATCH(P32,Upgrades!$B$3:$B$7,0))*1.15^(COUNTIF(P$4:P31,P32)-COUNTIF(P$4:P31,""Sell_""&amp;P32)))))))"),1455.0)</f>
        <v>1455</v>
      </c>
      <c r="U32" s="14">
        <f t="shared" si="10"/>
        <v>1455</v>
      </c>
      <c r="V32" s="75">
        <f t="shared" si="11"/>
        <v>75589.63927</v>
      </c>
      <c r="W32" s="76">
        <f t="shared" si="12"/>
        <v>113.150599</v>
      </c>
      <c r="X32" s="71" t="str">
        <f t="shared" si="13"/>
        <v>1m 53s</v>
      </c>
      <c r="Y32" s="77">
        <f t="shared" si="14"/>
        <v>7894</v>
      </c>
      <c r="Z32" s="17"/>
      <c r="AA32" s="32" t="s">
        <v>19</v>
      </c>
      <c r="AB32" s="108" t="s">
        <v>78</v>
      </c>
      <c r="AC32" s="13"/>
      <c r="AD32" s="13"/>
      <c r="AE32" s="13"/>
      <c r="AF32" s="13"/>
      <c r="AG32" s="13"/>
    </row>
    <row r="33">
      <c r="A33" s="12"/>
      <c r="B33" s="65">
        <f t="shared" si="2"/>
        <v>13</v>
      </c>
      <c r="C33" s="66" t="s">
        <v>10</v>
      </c>
      <c r="D33" s="14" t="b">
        <f>IFERROR(__xludf.DUMMYFUNCTION("IF(COUNTA(C33:C147)=0,"""",IFERROR(IF(ISBLANK(C33),FALSE,IF(ISBLANK(G33),1,IF(NOT(COUNTIF($AA$24:$AA$34,SUBSTITUTE(C33,""Sell_"",""""))),1,IF(C33=""Plastic_up"",IF(I33&lt;1000,1),IF(C33=""Super_Up"",IF(OR(COUNTIF(C$4:C33,""Grandma"")-COUNTIF(C$4:C33,""Sell_G"&amp;"randma"")&lt;1,COUNTIF(C$4:C33,VLOOKUP(C33,Upgrades!$F$8:$N$8,7+COUNTIF(C$4:C33,C33)))-COUNTIF(C$4:C33,""Sell_""&amp;VLOOKUP(C33,Upgrades!$F$8:$N$8,7+COUNTIF(C$4:C33,C33)))&lt;15),1),IF(REGEXMATCH(C33,""_up""),IF(COUNTIF(C$4:C33,SUBSTITUTE(C33,""_up"",""""))&lt;IFERRO"&amp;"R(VLOOKUP(C33,Upgrades!$L$3:$P$6,1+COUNTIF(C$4:C33,C33),0),999),1),IF(REGEXMATCH(C33,""Sell_""),IF(COUNTIF(C$4:C33,SUBSTITUTE(C33,""Sell_"",""""))-COUNTIF(C$4:C32,C33)&lt;1,1),FALSE)))))))))"),FALSE)</f>
        <v>0</v>
      </c>
      <c r="E33" s="71">
        <f>IFERROR(__xludf.DUMMYFUNCTION("IF(REGEXMATCH(C33,""^Sell_""),E32, IF(COUNTA(C33:C147)=0,"""",(COUNTIF(C$4:C33,""Cursor"")-COUNTIF(C$4:C33,""Sell_Cursor""))*(0.1*2^SWITCH(COUNTIF(C$4:C33,""Cursor_up""),0,0,1,1,2,2,3)+SWITCH(COUNTIF(C$4:C33,""Cursor_up""),4,0.1,0)*(ROW(C33)-4-COUNTIF(C$4"&amp;":C33,""Cursor"")-COUNTIF(C$4:C33,""*""&amp;""_up"")-2*COUNTIF(C$4:C33,""Sell_""&amp;""*"")+COUNTIF(C$4:C33,""Sell_Cursor"")-COUNTIF(C$4:C33,"""")))+(COUNTIF(C$4:C33,""Grandma"")-COUNTIF(C$4:C33,""Sell_Grandma""))*(1*2^(COUNTIF(C$4:C33,""Grandma_up"")+COUNTIF(C$4:"&amp;"C33,""Super_up"")))+(COUNTIF(C$4:C33,""Farm"")-COUNTIF(C$4:C33,""Sell_Farm""))*(8*2^COUNTIF(C$4:C33,""Farm_up""))*IF(COUNTIF(C$4:C33,""Super_up"")&gt;0,1+0.01*(COUNTIF(C$4:C33,""Grandma"")-COUNTIF(C$4:C33,""Sell_Grandma"")),1)+(COUNTIF(C$4:C33,""Mine"")-COUN"&amp;"TIF(C$4:C33,""Sell_Mine""))*((47*2^COUNTIF(C$4:C33,""Mine_up""))*IF(COUNTIF(C$4:C33,""Super_up"")&gt;1,1+0.005*(COUNTIF(C$4:C33,""Grandma"")-COUNTIF(C$4:C33,""Sell_Grandma"")),1))+(COUNTIF(C$4:C33,""Factory"")-COUNTIF(C$4:C33,""Sell_Factory""))*(260*2^COUNTI"&amp;"F(C$4:C33,""Factory_up""))))"),49.2)</f>
        <v>49.2</v>
      </c>
      <c r="F33" s="73">
        <f>IFERROR(__xludf.DUMMYFUNCTION("IF(COUNTA(C33:C147)=0,"""",IF(REGEXMATCH(INDEX(FILTER(C$4:C33,C$4:C33&lt;&gt;""""),ROWS(FILTER(C$4:C33,C$4:C33&lt;&gt;""""))),""^Sell_""),INDEX(FILTER(F$4:F32,C$4:C32&lt;&gt;""""),ROWS(FILTER(C$4:C32,C$4:C32&lt;&gt;""""))),$AC$5*(2^SWITCH(COUNTIF(C$4:C33,""Cursor_up""),0,0,1,1,2"&amp;",2,3)+SWITCH(COUNTIF(C$4:C33,""Cursor_up""),4,0.1,0)*(ROW(C33)-4-COUNTIF(C$4:C33,""Cursor"")-COUNTIF(C$4:C33,""*""&amp;""_up"")-2*COUNTIF(C$4:C33,""Sell_""&amp;""*"")+COUNTIF(C$4:C33,""Sell_Cursor"")-COUNTIF(C$4:C33,""""))+0.01*E33*COUNTIF(C$4:C33,""Plastic_up"")"&amp;")+E33))"),109.2)</f>
        <v>109.2</v>
      </c>
      <c r="G33" s="14">
        <f>IFERROR(__xludf.DUMMYFUNCTION("IF(COUNTA(C33:C147)=0,"""",IF(REGEXMATCH(C33,""_up""),VLOOKUP(C33,Upgrades!$F$3:$J$8,1+COUNTIF(C$4:C33,C33),FALSE),IF(C33="""",0,IF(REGEXMATCH(C33,""^Sell_""),-ROUNDDOWN(ROUNDUP(INDEX(Upgrades!$C$3:$C$8,MATCH(SUBSTITUTE(C33,""Sell_"",""""),Upgrades!$B$3:$"&amp;"B$8,0))*1.15^(COUNTIF(C$4:C32,SUBSTITUTE(C33,""Sell_"",""""))-COUNTIF(C$4:C32,""Sell_""&amp;SUBSTITUTE(C33,""Sell_"",""""))))/4),ROUNDUP(INDEX(Upgrades!$C$3:$C$7,MATCH(C33,Upgrades!$B$3:$B$7,0))*1.15^(COUNTIF(C$4:C32,C33)-COUNTIF(C$4:C32,""Sell_""&amp;C33)))))))"),81.0)</f>
        <v>81</v>
      </c>
      <c r="H33" s="14">
        <f t="shared" si="3"/>
        <v>81</v>
      </c>
      <c r="I33" s="75">
        <f t="shared" si="4"/>
        <v>82423.34432</v>
      </c>
      <c r="J33" s="76">
        <f t="shared" si="5"/>
        <v>113.8950842</v>
      </c>
      <c r="K33" s="71" t="str">
        <f t="shared" si="6"/>
        <v>1m 53s</v>
      </c>
      <c r="L33" s="77">
        <f t="shared" si="7"/>
        <v>7975</v>
      </c>
      <c r="M33" s="51">
        <f t="shared" si="8"/>
        <v>0</v>
      </c>
      <c r="N33" s="52">
        <f>IFERROR(__xludf.DUMMYFUNCTION("IFS(AND(COUNTA(C33:C147)=0,COUNTA(P33:P147)=0),"""",OR(AND(L33&gt;=1000000,OR(Y33&gt;=1000000,COUNTA(P33:P147)=0)),AND(Y33&gt;=1000000,COUNTA(C33:C147)=0),AND(COUNTA(P33:P147)=0,O$3=TRUE)),
ROUNDDOWN((AB$1-AC$1)*MAX(INDEX(S$4:S147,MATCH(LARGE(FILTER(Y$4:Y147,Y$4:Y"&amp;"147&lt;1000000),1),Y$4:Y147)),INDEX(F$4:F147,MATCH(LARGE(FILTER(L$4:L147,L$4:L147&lt;1000000),1),L$4:L147)))),AND(L33&lt;1000000,COUNTA(C33:C147)&gt;0,O$3=FALSE),
ROUNDDOWN(INDEX(Y$4:Y147,MATCH(LARGE(FILTER(W$4:W147,W$4:W147&lt;=J33),1),W$4:W147))+(J33-LARGE(FILTER(W$4:"&amp;"W147,W$4:W147&lt;=J33),1))*INDEX(S$4:S147,MATCH(LARGE(FILTER(W$4:W147,W$4:W147&lt;=J33),1),W$4:W147))-L33),1,
ROUNDDOWN(Y33-INDEX(L$4:L147,MATCH(LARGE(FILTER(J$4:J147,J$4:J147&lt;=W33),1),J$4:J147))-(W33-LARGE(FILTER(J$4:J147,J$4:J147&lt;=W33),1))*INDEX(F$4:F147,MATC"&amp;"H(LARGE(FILTER(J$4:J147,J$4:J147&lt;=W33),1),J$4:J147))))"),0.0)</f>
        <v>0</v>
      </c>
      <c r="O33" s="65">
        <f t="shared" si="9"/>
        <v>13</v>
      </c>
      <c r="P33" s="66" t="s">
        <v>10</v>
      </c>
      <c r="Q33" s="14" t="b">
        <f>IFERROR(__xludf.DUMMYFUNCTION("IF(COUNTA(P33:P147)=0,"""",IFERROR(IF(ISBLANK(P33),FALSE,IF(ISBLANK(T33),1,IF(NOT(COUNTIF($AA$24:$AA$34,SUBSTITUTE(P33,""Sell_"",""""))),1,IF(P33=""Plastic_up"",IF(V33&lt;1000,1),IF(P33=""Super_Up"",IF(OR(COUNTIF(P$4:P33,""Grandma"")-COUNTIF(P$4:P33,""Sell_G"&amp;"randma"")&lt;1,COUNTIF(P$4:P33,VLOOKUP(P33,Upgrades!$F$8:$N$8,7+COUNTIF(P$4:P33,P33)))-COUNTIF(P$4:P33,""Sell_""&amp;VLOOKUP(P33,Upgrades!$F$8:$N$8,7+COUNTIF(P$4:P33,P33)))&lt;15),1),IF(REGEXMATCH(P33,""_up""),IF(COUNTIF(P$4:P33,SUBSTITUTE(P33,""_up"",""""))&lt;IFERRO"&amp;"R(VLOOKUP(P33,Upgrades!$L$3:$P$6,1+COUNTIF(P$4:P33,P33),0),999),1),IF(REGEXMATCH(P33,""Sell_""),IF(COUNTIF(P$4:P33,SUBSTITUTE(P33,""Sell_"",""""))-COUNTIF(P$4:P32,P33)&lt;1,1),FALSE)))))))))"),FALSE)</f>
        <v>0</v>
      </c>
      <c r="R33" s="71">
        <f>IFERROR(__xludf.DUMMYFUNCTION("IF(REGEXMATCH(P33,""^Sell_""),R32, IF(COUNTA(P33:P147)=0,"""",(COUNTIF(P$4:P33,""Cursor"")-COUNTIF(P$4:P33,""Sell_Cursor""))*(0.1*2^SWITCH(COUNTIF(P$4:P33,""Cursor_up""),0,0,1,1,2,2,3)+SWITCH(COUNTIF(P$4:P33,""Cursor_up""),4,0.1,0)*(ROW(P33)-4-COUNTIF(P$4"&amp;":P33,""Cursor"")-COUNTIF(P$4:P33,""*""&amp;""_up"")-2*COUNTIF(P$4:P33,""Sell_""&amp;""*"")+COUNTIF(P$4:P33,""Sell_Cursor"")-COUNTIF(P$4:P33,"""")))+(COUNTIF(P$4:P33,""Grandma"")-COUNTIF(P$4:P33,""Sell_Grandma""))*(1*2^(COUNTIF(P$4:P33,""Grandma_up"")+COUNTIF(P$4:"&amp;"P33,""Super_up"")))+(COUNTIF(P$4:P33,""Farm"")-COUNTIF(P$4:P33,""Sell_Farm""))*(8*2^COUNTIF(P$4:P33,""Farm_up""))*IF(COUNTIF(P$4:P33,""Super_up"")&gt;0,1+0.01*(COUNTIF(P$4:P33,""Grandma"")-COUNTIF(P$4:P33,""Sell_Grandma"")),1)+(COUNTIF(P$4:P33,""Mine"")-COUN"&amp;"TIF(P$4:P33,""Sell_Mine""))*((47*2^COUNTIF(P$4:P33,""Mine_up""))*IF(COUNTIF(P$4:P33,""Super_up"")&gt;1,1+0.005*(COUNTIF(P$4:P33,""Grandma"")-COUNTIF(P$4:P33,""Sell_Grandma"")),1))+(COUNTIF(P$4:P33,""Factory"")-COUNTIF(P$4:P33,""Sell_Factory""))*(260*2^COUNTI"&amp;"F(P$4:P33,""Factory_up""))))"),49.2)</f>
        <v>49.2</v>
      </c>
      <c r="S33" s="73">
        <f>IFERROR(__xludf.DUMMYFUNCTION("IF(COUNTA(P33:P147)=0,"""",IF(REGEXMATCH(INDEX(FILTER(P$4:P33,P$4:P33&lt;&gt;""""),ROWS(FILTER(P$4:P33,P$4:P33&lt;&gt;""""))),""^Sell_""),INDEX(FILTER(S$4:S32,P$4:P32&lt;&gt;""""),ROWS(FILTER(P$4:P32,P$4:P32&lt;&gt;""""))),$AD$5*(2^SWITCH(COUNTIF(P$4:P33,""Cursor_up""),0,0,1,1,2"&amp;",2,3)+SWITCH(COUNTIF(P$4:P33,""Cursor_up""),4,0.1,0)*(ROW(P33)-4-COUNTIF(P$4:P33,""Cursor"")-COUNTIF(P$4:P33,""*""&amp;""_up"")-2*COUNTIF(P$4:P33,""Sell_""&amp;""*"")+COUNTIF(P$4:P33,""Sell_Cursor"")-COUNTIF(P$4:P33,""""))+0.01*R33*COUNTIF(P$4:P33,""Plastic_up"")"&amp;")+R33))"),109.2)</f>
        <v>109.2</v>
      </c>
      <c r="T33" s="14">
        <f>IFERROR(__xludf.DUMMYFUNCTION("IF(COUNTA(P33:P147)=0,"""",IF(REGEXMATCH(P33,""_up""),VLOOKUP(P33,Upgrades!$F$3:$J$8,1+COUNTIF(P$4:P33,P33),FALSE),IF(P33="""",0,IF(REGEXMATCH(P33,""^Sell_""),-ROUNDDOWN(ROUNDUP(INDEX(Upgrades!$C$3:$C$8,MATCH(SUBSTITUTE(P33,""Sell_"",""""),Upgrades!$B$3:$"&amp;"B$8,0))*1.15^(COUNTIF(P$4:P32,SUBSTITUTE(P33,""Sell_"",""""))-COUNTIF(P$4:P32,""Sell_""&amp;SUBSTITUTE(P33,""Sell_"",""""))))/4),ROUNDUP(INDEX(Upgrades!$C$3:$C$7,MATCH(P33,Upgrades!$B$3:$B$7,0))*1.15^(COUNTIF(P$4:P32,P33)-COUNTIF(P$4:P32,""Sell_""&amp;P33)))))))"),81.0)</f>
        <v>81</v>
      </c>
      <c r="U33" s="14">
        <f t="shared" si="10"/>
        <v>81</v>
      </c>
      <c r="V33" s="75">
        <f t="shared" si="11"/>
        <v>82423.34432</v>
      </c>
      <c r="W33" s="76">
        <f t="shared" si="12"/>
        <v>113.8950842</v>
      </c>
      <c r="X33" s="71" t="str">
        <f t="shared" si="13"/>
        <v>1m 53s</v>
      </c>
      <c r="Y33" s="77">
        <f t="shared" si="14"/>
        <v>7975</v>
      </c>
      <c r="Z33" s="17"/>
      <c r="AA33" s="32" t="s">
        <v>24</v>
      </c>
      <c r="AB33" s="32" t="s">
        <v>78</v>
      </c>
      <c r="AC33" s="109" t="s">
        <v>79</v>
      </c>
      <c r="AD33" s="109"/>
      <c r="AE33" s="110"/>
      <c r="AF33" s="13"/>
      <c r="AG33" s="13"/>
    </row>
    <row r="34">
      <c r="A34" s="12"/>
      <c r="B34" s="65">
        <f t="shared" si="2"/>
        <v>11</v>
      </c>
      <c r="C34" s="66" t="s">
        <v>13</v>
      </c>
      <c r="D34" s="14" t="b">
        <f>IFERROR(__xludf.DUMMYFUNCTION("IF(COUNTA(C34:C147)=0,"""",IFERROR(IF(ISBLANK(C34),FALSE,IF(ISBLANK(G34),1,IF(NOT(COUNTIF($AA$24:$AA$34,SUBSTITUTE(C34,""Sell_"",""""))),1,IF(C34=""Plastic_up"",IF(I34&lt;1000,1),IF(C34=""Super_Up"",IF(OR(COUNTIF(C$4:C34,""Grandma"")-COUNTIF(C$4:C34,""Sell_G"&amp;"randma"")&lt;1,COUNTIF(C$4:C34,VLOOKUP(C34,Upgrades!$F$8:$N$8,7+COUNTIF(C$4:C34,C34)))-COUNTIF(C$4:C34,""Sell_""&amp;VLOOKUP(C34,Upgrades!$F$8:$N$8,7+COUNTIF(C$4:C34,C34)))&lt;15),1),IF(REGEXMATCH(C34,""_up""),IF(COUNTIF(C$4:C34,SUBSTITUTE(C34,""_up"",""""))&lt;IFERRO"&amp;"R(VLOOKUP(C34,Upgrades!$L$3:$P$6,1+COUNTIF(C$4:C34,C34),0),999),1),IF(REGEXMATCH(C34,""Sell_""),IF(COUNTIF(C$4:C34,SUBSTITUTE(C34,""Sell_"",""""))-COUNTIF(C$4:C33,C34)&lt;1,1),FALSE)))))))))"),FALSE)</f>
        <v>0</v>
      </c>
      <c r="E34" s="71">
        <f>IFERROR(__xludf.DUMMYFUNCTION("IF(REGEXMATCH(C34,""^Sell_""),E33, IF(COUNTA(C34:C147)=0,"""",(COUNTIF(C$4:C34,""Cursor"")-COUNTIF(C$4:C34,""Sell_Cursor""))*(0.1*2^SWITCH(COUNTIF(C$4:C34,""Cursor_up""),0,0,1,1,2,2,3)+SWITCH(COUNTIF(C$4:C34,""Cursor_up""),4,0.1,0)*(ROW(C34)-4-COUNTIF(C$4"&amp;":C34,""Cursor"")-COUNTIF(C$4:C34,""*""&amp;""_up"")-2*COUNTIF(C$4:C34,""Sell_""&amp;""*"")+COUNTIF(C$4:C34,""Sell_Cursor"")-COUNTIF(C$4:C34,"""")))+(COUNTIF(C$4:C34,""Grandma"")-COUNTIF(C$4:C34,""Sell_Grandma""))*(1*2^(COUNTIF(C$4:C34,""Grandma_up"")+COUNTIF(C$4:"&amp;"C34,""Super_up"")))+(COUNTIF(C$4:C34,""Farm"")-COUNTIF(C$4:C34,""Sell_Farm""))*(8*2^COUNTIF(C$4:C34,""Farm_up""))*IF(COUNTIF(C$4:C34,""Super_up"")&gt;0,1+0.01*(COUNTIF(C$4:C34,""Grandma"")-COUNTIF(C$4:C34,""Sell_Grandma"")),1)+(COUNTIF(C$4:C34,""Mine"")-COUN"&amp;"TIF(C$4:C34,""Sell_Mine""))*((47*2^COUNTIF(C$4:C34,""Mine_up""))*IF(COUNTIF(C$4:C34,""Super_up"")&gt;1,1+0.005*(COUNTIF(C$4:C34,""Grandma"")-COUNTIF(C$4:C34,""Sell_Grandma"")),1))+(COUNTIF(C$4:C34,""Factory"")-COUNTIF(C$4:C34,""Sell_Factory""))*(260*2^COUNTI"&amp;"F(C$4:C34,""Factory_up""))))"),51.2)</f>
        <v>51.2</v>
      </c>
      <c r="F34" s="73">
        <f>IFERROR(__xludf.DUMMYFUNCTION("IF(COUNTA(C34:C147)=0,"""",IF(REGEXMATCH(INDEX(FILTER(C$4:C34,C$4:C34&lt;&gt;""""),ROWS(FILTER(C$4:C34,C$4:C34&lt;&gt;""""))),""^Sell_""),INDEX(FILTER(F$4:F33,C$4:C33&lt;&gt;""""),ROWS(FILTER(C$4:C33,C$4:C33&lt;&gt;""""))),$AC$5*(2^SWITCH(COUNTIF(C$4:C34,""Cursor_up""),0,0,1,1,2"&amp;",2,3)+SWITCH(COUNTIF(C$4:C34,""Cursor_up""),4,0.1,0)*(ROW(C34)-4-COUNTIF(C$4:C34,""Cursor"")-COUNTIF(C$4:C34,""*""&amp;""_up"")-2*COUNTIF(C$4:C34,""Sell_""&amp;""*"")+COUNTIF(C$4:C34,""Sell_Cursor"")-COUNTIF(C$4:C34,""""))+0.01*E34*COUNTIF(C$4:C34,""Plastic_up"")"&amp;")+E34))"),111.2)</f>
        <v>111.2</v>
      </c>
      <c r="G34" s="14">
        <f>IFERROR(__xludf.DUMMYFUNCTION("IF(COUNTA(C34:C147)=0,"""",IF(REGEXMATCH(C34,""_up""),VLOOKUP(C34,Upgrades!$F$3:$J$8,1+COUNTIF(C$4:C34,C34),FALSE),IF(C34="""",0,IF(REGEXMATCH(C34,""^Sell_""),-ROUNDDOWN(ROUNDUP(INDEX(Upgrades!$C$3:$C$8,MATCH(SUBSTITUTE(C34,""Sell_"",""""),Upgrades!$B$3:$"&amp;"B$8,0))*1.15^(COUNTIF(C$4:C33,SUBSTITUTE(C34,""Sell_"",""""))-COUNTIF(C$4:C33,""Sell_""&amp;SUBSTITUTE(C34,""Sell_"",""""))))/4),ROUNDUP(INDEX(Upgrades!$C$3:$C$7,MATCH(C34,Upgrades!$B$3:$B$7,0))*1.15^(COUNTIF(C$4:C33,C34)-COUNTIF(C$4:C33,""Sell_""&amp;C34)))))))"),405.0)</f>
        <v>405</v>
      </c>
      <c r="H34" s="14">
        <f t="shared" si="3"/>
        <v>405</v>
      </c>
      <c r="I34" s="75">
        <f t="shared" si="4"/>
        <v>89479.57685</v>
      </c>
      <c r="J34" s="76">
        <f t="shared" si="5"/>
        <v>117.6038755</v>
      </c>
      <c r="K34" s="71" t="str">
        <f t="shared" si="6"/>
        <v>1m 57s</v>
      </c>
      <c r="L34" s="77">
        <f t="shared" si="7"/>
        <v>8380</v>
      </c>
      <c r="M34" s="51">
        <f t="shared" si="8"/>
        <v>0</v>
      </c>
      <c r="N34" s="52">
        <f>IFERROR(__xludf.DUMMYFUNCTION("IFS(AND(COUNTA(C34:C147)=0,COUNTA(P34:P147)=0),"""",OR(AND(L34&gt;=1000000,OR(Y34&gt;=1000000,COUNTA(P34:P147)=0)),AND(Y34&gt;=1000000,COUNTA(C34:C147)=0),AND(COUNTA(P34:P147)=0,O$3=TRUE)),
ROUNDDOWN((AB$1-AC$1)*MAX(INDEX(S$4:S147,MATCH(LARGE(FILTER(Y$4:Y147,Y$4:Y"&amp;"147&lt;1000000),1),Y$4:Y147)),INDEX(F$4:F147,MATCH(LARGE(FILTER(L$4:L147,L$4:L147&lt;1000000),1),L$4:L147)))),AND(L34&lt;1000000,COUNTA(C34:C147)&gt;0,O$3=FALSE),
ROUNDDOWN(INDEX(Y$4:Y147,MATCH(LARGE(FILTER(W$4:W147,W$4:W147&lt;=J34),1),W$4:W147))+(J34-LARGE(FILTER(W$4:"&amp;"W147,W$4:W147&lt;=J34),1))*INDEX(S$4:S147,MATCH(LARGE(FILTER(W$4:W147,W$4:W147&lt;=J34),1),W$4:W147))-L34),1,
ROUNDDOWN(Y34-INDEX(L$4:L147,MATCH(LARGE(FILTER(J$4:J147,J$4:J147&lt;=W34),1),J$4:J147))-(W34-LARGE(FILTER(J$4:J147,J$4:J147&lt;=W34),1))*INDEX(F$4:F147,MATC"&amp;"H(LARGE(FILTER(J$4:J147,J$4:J147&lt;=W34),1),J$4:J147))))"),0.0)</f>
        <v>0</v>
      </c>
      <c r="O34" s="65">
        <f t="shared" si="9"/>
        <v>11</v>
      </c>
      <c r="P34" s="66" t="s">
        <v>13</v>
      </c>
      <c r="Q34" s="14" t="b">
        <f>IFERROR(__xludf.DUMMYFUNCTION("IF(COUNTA(P34:P147)=0,"""",IFERROR(IF(ISBLANK(P34),FALSE,IF(ISBLANK(T34),1,IF(NOT(COUNTIF($AA$24:$AA$34,SUBSTITUTE(P34,""Sell_"",""""))),1,IF(P34=""Plastic_up"",IF(V34&lt;1000,1),IF(P34=""Super_Up"",IF(OR(COUNTIF(P$4:P34,""Grandma"")-COUNTIF(P$4:P34,""Sell_G"&amp;"randma"")&lt;1,COUNTIF(P$4:P34,VLOOKUP(P34,Upgrades!$F$8:$N$8,7+COUNTIF(P$4:P34,P34)))-COUNTIF(P$4:P34,""Sell_""&amp;VLOOKUP(P34,Upgrades!$F$8:$N$8,7+COUNTIF(P$4:P34,P34)))&lt;15),1),IF(REGEXMATCH(P34,""_up""),IF(COUNTIF(P$4:P34,SUBSTITUTE(P34,""_up"",""""))&lt;IFERRO"&amp;"R(VLOOKUP(P34,Upgrades!$L$3:$P$6,1+COUNTIF(P$4:P34,P34),0),999),1),IF(REGEXMATCH(P34,""Sell_""),IF(COUNTIF(P$4:P34,SUBSTITUTE(P34,""Sell_"",""""))-COUNTIF(P$4:P33,P34)&lt;1,1),FALSE)))))))))"),FALSE)</f>
        <v>0</v>
      </c>
      <c r="R34" s="71">
        <f>IFERROR(__xludf.DUMMYFUNCTION("IF(REGEXMATCH(P34,""^Sell_""),R33, IF(COUNTA(P34:P147)=0,"""",(COUNTIF(P$4:P34,""Cursor"")-COUNTIF(P$4:P34,""Sell_Cursor""))*(0.1*2^SWITCH(COUNTIF(P$4:P34,""Cursor_up""),0,0,1,1,2,2,3)+SWITCH(COUNTIF(P$4:P34,""Cursor_up""),4,0.1,0)*(ROW(P34)-4-COUNTIF(P$4"&amp;":P34,""Cursor"")-COUNTIF(P$4:P34,""*""&amp;""_up"")-2*COUNTIF(P$4:P34,""Sell_""&amp;""*"")+COUNTIF(P$4:P34,""Sell_Cursor"")-COUNTIF(P$4:P34,"""")))+(COUNTIF(P$4:P34,""Grandma"")-COUNTIF(P$4:P34,""Sell_Grandma""))*(1*2^(COUNTIF(P$4:P34,""Grandma_up"")+COUNTIF(P$4:"&amp;"P34,""Super_up"")))+(COUNTIF(P$4:P34,""Farm"")-COUNTIF(P$4:P34,""Sell_Farm""))*(8*2^COUNTIF(P$4:P34,""Farm_up""))*IF(COUNTIF(P$4:P34,""Super_up"")&gt;0,1+0.01*(COUNTIF(P$4:P34,""Grandma"")-COUNTIF(P$4:P34,""Sell_Grandma"")),1)+(COUNTIF(P$4:P34,""Mine"")-COUN"&amp;"TIF(P$4:P34,""Sell_Mine""))*((47*2^COUNTIF(P$4:P34,""Mine_up""))*IF(COUNTIF(P$4:P34,""Super_up"")&gt;1,1+0.005*(COUNTIF(P$4:P34,""Grandma"")-COUNTIF(P$4:P34,""Sell_Grandma"")),1))+(COUNTIF(P$4:P34,""Factory"")-COUNTIF(P$4:P34,""Sell_Factory""))*(260*2^COUNTI"&amp;"F(P$4:P34,""Factory_up""))))"),51.2)</f>
        <v>51.2</v>
      </c>
      <c r="S34" s="73">
        <f>IFERROR(__xludf.DUMMYFUNCTION("IF(COUNTA(P34:P147)=0,"""",IF(REGEXMATCH(INDEX(FILTER(P$4:P34,P$4:P34&lt;&gt;""""),ROWS(FILTER(P$4:P34,P$4:P34&lt;&gt;""""))),""^Sell_""),INDEX(FILTER(S$4:S33,P$4:P33&lt;&gt;""""),ROWS(FILTER(P$4:P33,P$4:P33&lt;&gt;""""))),$AD$5*(2^SWITCH(COUNTIF(P$4:P34,""Cursor_up""),0,0,1,1,2"&amp;",2,3)+SWITCH(COUNTIF(P$4:P34,""Cursor_up""),4,0.1,0)*(ROW(P34)-4-COUNTIF(P$4:P34,""Cursor"")-COUNTIF(P$4:P34,""*""&amp;""_up"")-2*COUNTIF(P$4:P34,""Sell_""&amp;""*"")+COUNTIF(P$4:P34,""Sell_Cursor"")-COUNTIF(P$4:P34,""""))+0.01*R34*COUNTIF(P$4:P34,""Plastic_up"")"&amp;")+R34))"),111.2)</f>
        <v>111.2</v>
      </c>
      <c r="T34" s="14">
        <f>IFERROR(__xludf.DUMMYFUNCTION("IF(COUNTA(P34:P147)=0,"""",IF(REGEXMATCH(P34,""_up""),VLOOKUP(P34,Upgrades!$F$3:$J$8,1+COUNTIF(P$4:P34,P34),FALSE),IF(P34="""",0,IF(REGEXMATCH(P34,""^Sell_""),-ROUNDDOWN(ROUNDUP(INDEX(Upgrades!$C$3:$C$8,MATCH(SUBSTITUTE(P34,""Sell_"",""""),Upgrades!$B$3:$"&amp;"B$8,0))*1.15^(COUNTIF(P$4:P33,SUBSTITUTE(P34,""Sell_"",""""))-COUNTIF(P$4:P33,""Sell_""&amp;SUBSTITUTE(P34,""Sell_"",""""))))/4),ROUNDUP(INDEX(Upgrades!$C$3:$C$7,MATCH(P34,Upgrades!$B$3:$B$7,0))*1.15^(COUNTIF(P$4:P33,P34)-COUNTIF(P$4:P33,""Sell_""&amp;P34)))))))"),405.0)</f>
        <v>405</v>
      </c>
      <c r="U34" s="14">
        <f t="shared" si="10"/>
        <v>405</v>
      </c>
      <c r="V34" s="75">
        <f t="shared" si="11"/>
        <v>89479.57685</v>
      </c>
      <c r="W34" s="76">
        <f t="shared" si="12"/>
        <v>117.6038755</v>
      </c>
      <c r="X34" s="71" t="str">
        <f t="shared" si="13"/>
        <v>1m 57s</v>
      </c>
      <c r="Y34" s="77">
        <f t="shared" si="14"/>
        <v>8380</v>
      </c>
      <c r="Z34" s="17"/>
      <c r="AA34" s="111" t="s">
        <v>21</v>
      </c>
      <c r="AB34" s="111" t="s">
        <v>80</v>
      </c>
      <c r="AC34" s="111" t="s">
        <v>81</v>
      </c>
      <c r="AD34" s="111"/>
      <c r="AE34" s="112"/>
      <c r="AF34" s="13"/>
      <c r="AG34" s="13"/>
    </row>
    <row r="35">
      <c r="A35" s="12"/>
      <c r="B35" s="65">
        <f t="shared" si="2"/>
        <v>4</v>
      </c>
      <c r="C35" s="66" t="s">
        <v>16</v>
      </c>
      <c r="D35" s="14" t="b">
        <f>IFERROR(__xludf.DUMMYFUNCTION("IF(COUNTA(C35:C147)=0,"""",IFERROR(IF(ISBLANK(C35),FALSE,IF(ISBLANK(G35),1,IF(NOT(COUNTIF($AA$24:$AA$34,SUBSTITUTE(C35,""Sell_"",""""))),1,IF(C35=""Plastic_up"",IF(I35&lt;1000,1),IF(C35=""Super_Up"",IF(OR(COUNTIF(C$4:C35,""Grandma"")-COUNTIF(C$4:C35,""Sell_G"&amp;"randma"")&lt;1,COUNTIF(C$4:C35,VLOOKUP(C35,Upgrades!$F$8:$N$8,7+COUNTIF(C$4:C35,C35)))-COUNTIF(C$4:C35,""Sell_""&amp;VLOOKUP(C35,Upgrades!$F$8:$N$8,7+COUNTIF(C$4:C35,C35)))&lt;15),1),IF(REGEXMATCH(C35,""_up""),IF(COUNTIF(C$4:C35,SUBSTITUTE(C35,""_up"",""""))&lt;IFERRO"&amp;"R(VLOOKUP(C35,Upgrades!$L$3:$P$6,1+COUNTIF(C$4:C35,C35),0),999),1),IF(REGEXMATCH(C35,""Sell_""),IF(COUNTIF(C$4:C35,SUBSTITUTE(C35,""Sell_"",""""))-COUNTIF(C$4:C34,C35)&lt;1,1),FALSE)))))))))"),FALSE)</f>
        <v>0</v>
      </c>
      <c r="E35" s="71">
        <f>IFERROR(__xludf.DUMMYFUNCTION("IF(REGEXMATCH(C35,""^Sell_""),E34, IF(COUNTA(C35:C147)=0,"""",(COUNTIF(C$4:C35,""Cursor"")-COUNTIF(C$4:C35,""Sell_Cursor""))*(0.1*2^SWITCH(COUNTIF(C$4:C35,""Cursor_up""),0,0,1,1,2,2,3)+SWITCH(COUNTIF(C$4:C35,""Cursor_up""),4,0.1,0)*(ROW(C35)-4-COUNTIF(C$4"&amp;":C35,""Cursor"")-COUNTIF(C$4:C35,""*""&amp;""_up"")-2*COUNTIF(C$4:C35,""Sell_""&amp;""*"")+COUNTIF(C$4:C35,""Sell_Cursor"")-COUNTIF(C$4:C35,"""")))+(COUNTIF(C$4:C35,""Grandma"")-COUNTIF(C$4:C35,""Sell_Grandma""))*(1*2^(COUNTIF(C$4:C35,""Grandma_up"")+COUNTIF(C$4:"&amp;"C35,""Super_up"")))+(COUNTIF(C$4:C35,""Farm"")-COUNTIF(C$4:C35,""Sell_Farm""))*(8*2^COUNTIF(C$4:C35,""Farm_up""))*IF(COUNTIF(C$4:C35,""Super_up"")&gt;0,1+0.01*(COUNTIF(C$4:C35,""Grandma"")-COUNTIF(C$4:C35,""Sell_Grandma"")),1)+(COUNTIF(C$4:C35,""Mine"")-COUN"&amp;"TIF(C$4:C35,""Sell_Mine""))*((47*2^COUNTIF(C$4:C35,""Mine_up""))*IF(COUNTIF(C$4:C35,""Super_up"")&gt;1,1+0.005*(COUNTIF(C$4:C35,""Grandma"")-COUNTIF(C$4:C35,""Sell_Grandma"")),1))+(COUNTIF(C$4:C35,""Factory"")-COUNTIF(C$4:C35,""Sell_Factory""))*(260*2^COUNTI"&amp;"F(C$4:C35,""Factory_up""))))"),59.2)</f>
        <v>59.2</v>
      </c>
      <c r="F35" s="73">
        <f>IFERROR(__xludf.DUMMYFUNCTION("IF(COUNTA(C35:C147)=0,"""",IF(REGEXMATCH(INDEX(FILTER(C$4:C35,C$4:C35&lt;&gt;""""),ROWS(FILTER(C$4:C35,C$4:C35&lt;&gt;""""))),""^Sell_""),INDEX(FILTER(F$4:F34,C$4:C34&lt;&gt;""""),ROWS(FILTER(C$4:C34,C$4:C34&lt;&gt;""""))),$AC$5*(2^SWITCH(COUNTIF(C$4:C35,""Cursor_up""),0,0,1,1,2"&amp;",2,3)+SWITCH(COUNTIF(C$4:C35,""Cursor_up""),4,0.1,0)*(ROW(C35)-4-COUNTIF(C$4:C35,""Cursor"")-COUNTIF(C$4:C35,""*""&amp;""_up"")-2*COUNTIF(C$4:C35,""Sell_""&amp;""*"")+COUNTIF(C$4:C35,""Sell_Cursor"")-COUNTIF(C$4:C35,""""))+0.01*E35*COUNTIF(C$4:C35,""Plastic_up"")"&amp;")+E35))"),119.2)</f>
        <v>119.2</v>
      </c>
      <c r="G35" s="14">
        <f>IFERROR(__xludf.DUMMYFUNCTION("IF(COUNTA(C35:C147)=0,"""",IF(REGEXMATCH(C35,""_up""),VLOOKUP(C35,Upgrades!$F$3:$J$8,1+COUNTIF(C$4:C35,C35),FALSE),IF(C35="""",0,IF(REGEXMATCH(C35,""^Sell_""),-ROUNDDOWN(ROUNDUP(INDEX(Upgrades!$C$3:$C$8,MATCH(SUBSTITUTE(C35,""Sell_"",""""),Upgrades!$B$3:$"&amp;"B$8,0))*1.15^(COUNTIF(C$4:C34,SUBSTITUTE(C35,""Sell_"",""""))-COUNTIF(C$4:C34,""Sell_""&amp;SUBSTITUTE(C35,""Sell_"",""""))))/4),ROUNDUP(INDEX(Upgrades!$C$3:$C$7,MATCH(C35,Upgrades!$B$3:$B$7,0))*1.15^(COUNTIF(C$4:C34,C35)-COUNTIF(C$4:C34,""Sell_""&amp;C35)))))))"),1673.0)</f>
        <v>1673</v>
      </c>
      <c r="H35" s="14">
        <f t="shared" si="3"/>
        <v>1673</v>
      </c>
      <c r="I35" s="75">
        <f t="shared" si="4"/>
        <v>97438.50722</v>
      </c>
      <c r="J35" s="76">
        <f t="shared" si="5"/>
        <v>132.6488395</v>
      </c>
      <c r="K35" s="71" t="str">
        <f t="shared" si="6"/>
        <v>2m 12s</v>
      </c>
      <c r="L35" s="77">
        <f t="shared" si="7"/>
        <v>10053</v>
      </c>
      <c r="M35" s="51">
        <f t="shared" si="8"/>
        <v>0</v>
      </c>
      <c r="N35" s="52">
        <f>IFERROR(__xludf.DUMMYFUNCTION("IFS(AND(COUNTA(C35:C147)=0,COUNTA(P35:P147)=0),"""",OR(AND(L35&gt;=1000000,OR(Y35&gt;=1000000,COUNTA(P35:P147)=0)),AND(Y35&gt;=1000000,COUNTA(C35:C147)=0),AND(COUNTA(P35:P147)=0,O$3=TRUE)),
ROUNDDOWN((AB$1-AC$1)*MAX(INDEX(S$4:S147,MATCH(LARGE(FILTER(Y$4:Y147,Y$4:Y"&amp;"147&lt;1000000),1),Y$4:Y147)),INDEX(F$4:F147,MATCH(LARGE(FILTER(L$4:L147,L$4:L147&lt;1000000),1),L$4:L147)))),AND(L35&lt;1000000,COUNTA(C35:C147)&gt;0,O$3=FALSE),
ROUNDDOWN(INDEX(Y$4:Y147,MATCH(LARGE(FILTER(W$4:W147,W$4:W147&lt;=J35),1),W$4:W147))+(J35-LARGE(FILTER(W$4:"&amp;"W147,W$4:W147&lt;=J35),1))*INDEX(S$4:S147,MATCH(LARGE(FILTER(W$4:W147,W$4:W147&lt;=J35),1),W$4:W147))-L35),1,
ROUNDDOWN(Y35-INDEX(L$4:L147,MATCH(LARGE(FILTER(J$4:J147,J$4:J147&lt;=W35),1),J$4:J147))-(W35-LARGE(FILTER(J$4:J147,J$4:J147&lt;=W35),1))*INDEX(F$4:F147,MATC"&amp;"H(LARGE(FILTER(J$4:J147,J$4:J147&lt;=W35),1),J$4:J147))))"),0.0)</f>
        <v>0</v>
      </c>
      <c r="O35" s="65">
        <f t="shared" si="9"/>
        <v>4</v>
      </c>
      <c r="P35" s="66" t="s">
        <v>16</v>
      </c>
      <c r="Q35" s="14" t="b">
        <f>IFERROR(__xludf.DUMMYFUNCTION("IF(COUNTA(P35:P147)=0,"""",IFERROR(IF(ISBLANK(P35),FALSE,IF(ISBLANK(T35),1,IF(NOT(COUNTIF($AA$24:$AA$34,SUBSTITUTE(P35,""Sell_"",""""))),1,IF(P35=""Plastic_up"",IF(V35&lt;1000,1),IF(P35=""Super_Up"",IF(OR(COUNTIF(P$4:P35,""Grandma"")-COUNTIF(P$4:P35,""Sell_G"&amp;"randma"")&lt;1,COUNTIF(P$4:P35,VLOOKUP(P35,Upgrades!$F$8:$N$8,7+COUNTIF(P$4:P35,P35)))-COUNTIF(P$4:P35,""Sell_""&amp;VLOOKUP(P35,Upgrades!$F$8:$N$8,7+COUNTIF(P$4:P35,P35)))&lt;15),1),IF(REGEXMATCH(P35,""_up""),IF(COUNTIF(P$4:P35,SUBSTITUTE(P35,""_up"",""""))&lt;IFERRO"&amp;"R(VLOOKUP(P35,Upgrades!$L$3:$P$6,1+COUNTIF(P$4:P35,P35),0),999),1),IF(REGEXMATCH(P35,""Sell_""),IF(COUNTIF(P$4:P35,SUBSTITUTE(P35,""Sell_"",""""))-COUNTIF(P$4:P34,P35)&lt;1,1),FALSE)))))))))"),FALSE)</f>
        <v>0</v>
      </c>
      <c r="R35" s="71">
        <f>IFERROR(__xludf.DUMMYFUNCTION("IF(REGEXMATCH(P35,""^Sell_""),R34, IF(COUNTA(P35:P147)=0,"""",(COUNTIF(P$4:P35,""Cursor"")-COUNTIF(P$4:P35,""Sell_Cursor""))*(0.1*2^SWITCH(COUNTIF(P$4:P35,""Cursor_up""),0,0,1,1,2,2,3)+SWITCH(COUNTIF(P$4:P35,""Cursor_up""),4,0.1,0)*(ROW(P35)-4-COUNTIF(P$4"&amp;":P35,""Cursor"")-COUNTIF(P$4:P35,""*""&amp;""_up"")-2*COUNTIF(P$4:P35,""Sell_""&amp;""*"")+COUNTIF(P$4:P35,""Sell_Cursor"")-COUNTIF(P$4:P35,"""")))+(COUNTIF(P$4:P35,""Grandma"")-COUNTIF(P$4:P35,""Sell_Grandma""))*(1*2^(COUNTIF(P$4:P35,""Grandma_up"")+COUNTIF(P$4:"&amp;"P35,""Super_up"")))+(COUNTIF(P$4:P35,""Farm"")-COUNTIF(P$4:P35,""Sell_Farm""))*(8*2^COUNTIF(P$4:P35,""Farm_up""))*IF(COUNTIF(P$4:P35,""Super_up"")&gt;0,1+0.01*(COUNTIF(P$4:P35,""Grandma"")-COUNTIF(P$4:P35,""Sell_Grandma"")),1)+(COUNTIF(P$4:P35,""Mine"")-COUN"&amp;"TIF(P$4:P35,""Sell_Mine""))*((47*2^COUNTIF(P$4:P35,""Mine_up""))*IF(COUNTIF(P$4:P35,""Super_up"")&gt;1,1+0.005*(COUNTIF(P$4:P35,""Grandma"")-COUNTIF(P$4:P35,""Sell_Grandma"")),1))+(COUNTIF(P$4:P35,""Factory"")-COUNTIF(P$4:P35,""Sell_Factory""))*(260*2^COUNTI"&amp;"F(P$4:P35,""Factory_up""))))"),59.2)</f>
        <v>59.2</v>
      </c>
      <c r="S35" s="73">
        <f>IFERROR(__xludf.DUMMYFUNCTION("IF(COUNTA(P35:P147)=0,"""",IF(REGEXMATCH(INDEX(FILTER(P$4:P35,P$4:P35&lt;&gt;""""),ROWS(FILTER(P$4:P35,P$4:P35&lt;&gt;""""))),""^Sell_""),INDEX(FILTER(S$4:S34,P$4:P34&lt;&gt;""""),ROWS(FILTER(P$4:P34,P$4:P34&lt;&gt;""""))),$AD$5*(2^SWITCH(COUNTIF(P$4:P35,""Cursor_up""),0,0,1,1,2"&amp;",2,3)+SWITCH(COUNTIF(P$4:P35,""Cursor_up""),4,0.1,0)*(ROW(P35)-4-COUNTIF(P$4:P35,""Cursor"")-COUNTIF(P$4:P35,""*""&amp;""_up"")-2*COUNTIF(P$4:P35,""Sell_""&amp;""*"")+COUNTIF(P$4:P35,""Sell_Cursor"")-COUNTIF(P$4:P35,""""))+0.01*R35*COUNTIF(P$4:P35,""Plastic_up"")"&amp;")+R35))"),119.2)</f>
        <v>119.2</v>
      </c>
      <c r="T35" s="14">
        <f>IFERROR(__xludf.DUMMYFUNCTION("IF(COUNTA(P35:P147)=0,"""",IF(REGEXMATCH(P35,""_up""),VLOOKUP(P35,Upgrades!$F$3:$J$8,1+COUNTIF(P$4:P35,P35),FALSE),IF(P35="""",0,IF(REGEXMATCH(P35,""^Sell_""),-ROUNDDOWN(ROUNDUP(INDEX(Upgrades!$C$3:$C$8,MATCH(SUBSTITUTE(P35,""Sell_"",""""),Upgrades!$B$3:$"&amp;"B$8,0))*1.15^(COUNTIF(P$4:P34,SUBSTITUTE(P35,""Sell_"",""""))-COUNTIF(P$4:P34,""Sell_""&amp;SUBSTITUTE(P35,""Sell_"",""""))))/4),ROUNDUP(INDEX(Upgrades!$C$3:$C$7,MATCH(P35,Upgrades!$B$3:$B$7,0))*1.15^(COUNTIF(P$4:P34,P35)-COUNTIF(P$4:P34,""Sell_""&amp;P35)))))))"),1673.0)</f>
        <v>1673</v>
      </c>
      <c r="U35" s="14">
        <f t="shared" si="10"/>
        <v>1673</v>
      </c>
      <c r="V35" s="75">
        <f t="shared" si="11"/>
        <v>97438.50722</v>
      </c>
      <c r="W35" s="76">
        <f t="shared" si="12"/>
        <v>132.6488395</v>
      </c>
      <c r="X35" s="71" t="str">
        <f t="shared" si="13"/>
        <v>2m 12s</v>
      </c>
      <c r="Y35" s="77">
        <f t="shared" si="14"/>
        <v>10053</v>
      </c>
      <c r="Z35" s="17"/>
      <c r="AF35" s="13"/>
      <c r="AG35" s="13"/>
    </row>
    <row r="36">
      <c r="A36" s="12"/>
      <c r="B36" s="65">
        <f t="shared" si="2"/>
        <v>14</v>
      </c>
      <c r="C36" s="66" t="s">
        <v>10</v>
      </c>
      <c r="D36" s="14" t="b">
        <f>IFERROR(__xludf.DUMMYFUNCTION("IF(COUNTA(C36:C147)=0,"""",IFERROR(IF(ISBLANK(C36),FALSE,IF(ISBLANK(G36),1,IF(NOT(COUNTIF($AA$24:$AA$34,SUBSTITUTE(C36,""Sell_"",""""))),1,IF(C36=""Plastic_up"",IF(I36&lt;1000,1),IF(C36=""Super_Up"",IF(OR(COUNTIF(C$4:C36,""Grandma"")-COUNTIF(C$4:C36,""Sell_G"&amp;"randma"")&lt;1,COUNTIF(C$4:C36,VLOOKUP(C36,Upgrades!$F$8:$N$8,7+COUNTIF(C$4:C36,C36)))-COUNTIF(C$4:C36,""Sell_""&amp;VLOOKUP(C36,Upgrades!$F$8:$N$8,7+COUNTIF(C$4:C36,C36)))&lt;15),1),IF(REGEXMATCH(C36,""_up""),IF(COUNTIF(C$4:C36,SUBSTITUTE(C36,""_up"",""""))&lt;IFERRO"&amp;"R(VLOOKUP(C36,Upgrades!$L$3:$P$6,1+COUNTIF(C$4:C36,C36),0),999),1),IF(REGEXMATCH(C36,""Sell_""),IF(COUNTIF(C$4:C36,SUBSTITUTE(C36,""Sell_"",""""))-COUNTIF(C$4:C35,C36)&lt;1,1),FALSE)))))))))"),FALSE)</f>
        <v>0</v>
      </c>
      <c r="E36" s="71">
        <f>IFERROR(__xludf.DUMMYFUNCTION("IF(REGEXMATCH(C36,""^Sell_""),E35, IF(COUNTA(C36:C147)=0,"""",(COUNTIF(C$4:C36,""Cursor"")-COUNTIF(C$4:C36,""Sell_Cursor""))*(0.1*2^SWITCH(COUNTIF(C$4:C36,""Cursor_up""),0,0,1,1,2,2,3)+SWITCH(COUNTIF(C$4:C36,""Cursor_up""),4,0.1,0)*(ROW(C36)-4-COUNTIF(C$4"&amp;":C36,""Cursor"")-COUNTIF(C$4:C36,""*""&amp;""_up"")-2*COUNTIF(C$4:C36,""Sell_""&amp;""*"")+COUNTIF(C$4:C36,""Sell_Cursor"")-COUNTIF(C$4:C36,"""")))+(COUNTIF(C$4:C36,""Grandma"")-COUNTIF(C$4:C36,""Sell_Grandma""))*(1*2^(COUNTIF(C$4:C36,""Grandma_up"")+COUNTIF(C$4:"&amp;"C36,""Super_up"")))+(COUNTIF(C$4:C36,""Farm"")-COUNTIF(C$4:C36,""Sell_Farm""))*(8*2^COUNTIF(C$4:C36,""Farm_up""))*IF(COUNTIF(C$4:C36,""Super_up"")&gt;0,1+0.01*(COUNTIF(C$4:C36,""Grandma"")-COUNTIF(C$4:C36,""Sell_Grandma"")),1)+(COUNTIF(C$4:C36,""Mine"")-COUN"&amp;"TIF(C$4:C36,""Sell_Mine""))*((47*2^COUNTIF(C$4:C36,""Mine_up""))*IF(COUNTIF(C$4:C36,""Super_up"")&gt;1,1+0.005*(COUNTIF(C$4:C36,""Grandma"")-COUNTIF(C$4:C36,""Sell_Grandma"")),1))+(COUNTIF(C$4:C36,""Factory"")-COUNTIF(C$4:C36,""Sell_Factory""))*(260*2^COUNTI"&amp;"F(C$4:C36,""Factory_up""))))"),59.6)</f>
        <v>59.6</v>
      </c>
      <c r="F36" s="73">
        <f>IFERROR(__xludf.DUMMYFUNCTION("IF(COUNTA(C36:C147)=0,"""",IF(REGEXMATCH(INDEX(FILTER(C$4:C36,C$4:C36&lt;&gt;""""),ROWS(FILTER(C$4:C36,C$4:C36&lt;&gt;""""))),""^Sell_""),INDEX(FILTER(F$4:F35,C$4:C35&lt;&gt;""""),ROWS(FILTER(C$4:C35,C$4:C35&lt;&gt;""""))),$AC$5*(2^SWITCH(COUNTIF(C$4:C36,""Cursor_up""),0,0,1,1,2"&amp;",2,3)+SWITCH(COUNTIF(C$4:C36,""Cursor_up""),4,0.1,0)*(ROW(C36)-4-COUNTIF(C$4:C36,""Cursor"")-COUNTIF(C$4:C36,""*""&amp;""_up"")-2*COUNTIF(C$4:C36,""Sell_""&amp;""*"")+COUNTIF(C$4:C36,""Sell_Cursor"")-COUNTIF(C$4:C36,""""))+0.01*E36*COUNTIF(C$4:C36,""Plastic_up"")"&amp;")+E36))"),119.6)</f>
        <v>119.6</v>
      </c>
      <c r="G36" s="14">
        <f>IFERROR(__xludf.DUMMYFUNCTION("IF(COUNTA(C36:C147)=0,"""",IF(REGEXMATCH(C36,""_up""),VLOOKUP(C36,Upgrades!$F$3:$J$8,1+COUNTIF(C$4:C36,C36),FALSE),IF(C36="""",0,IF(REGEXMATCH(C36,""^Sell_""),-ROUNDDOWN(ROUNDUP(INDEX(Upgrades!$C$3:$C$8,MATCH(SUBSTITUTE(C36,""Sell_"",""""),Upgrades!$B$3:$"&amp;"B$8,0))*1.15^(COUNTIF(C$4:C35,SUBSTITUTE(C36,""Sell_"",""""))-COUNTIF(C$4:C35,""Sell_""&amp;SUBSTITUTE(C36,""Sell_"",""""))))/4),ROUNDUP(INDEX(Upgrades!$C$3:$C$7,MATCH(C36,Upgrades!$B$3:$B$7,0))*1.15^(COUNTIF(C$4:C35,C36)-COUNTIF(C$4:C35,""Sell_""&amp;C36)))))))"),93.0)</f>
        <v>93</v>
      </c>
      <c r="H36" s="14">
        <f t="shared" si="3"/>
        <v>93</v>
      </c>
      <c r="I36" s="75">
        <f t="shared" si="4"/>
        <v>105444.2497</v>
      </c>
      <c r="J36" s="76">
        <f t="shared" si="5"/>
        <v>133.4290408</v>
      </c>
      <c r="K36" s="71" t="str">
        <f t="shared" si="6"/>
        <v>2m 13s</v>
      </c>
      <c r="L36" s="77">
        <f t="shared" si="7"/>
        <v>10146</v>
      </c>
      <c r="M36" s="51">
        <f t="shared" si="8"/>
        <v>0</v>
      </c>
      <c r="N36" s="52">
        <f>IFERROR(__xludf.DUMMYFUNCTION("IFS(AND(COUNTA(C36:C147)=0,COUNTA(P36:P147)=0),"""",OR(AND(L36&gt;=1000000,OR(Y36&gt;=1000000,COUNTA(P36:P147)=0)),AND(Y36&gt;=1000000,COUNTA(C36:C147)=0),AND(COUNTA(P36:P147)=0,O$3=TRUE)),
ROUNDDOWN((AB$1-AC$1)*MAX(INDEX(S$4:S147,MATCH(LARGE(FILTER(Y$4:Y147,Y$4:Y"&amp;"147&lt;1000000),1),Y$4:Y147)),INDEX(F$4:F147,MATCH(LARGE(FILTER(L$4:L147,L$4:L147&lt;1000000),1),L$4:L147)))),AND(L36&lt;1000000,COUNTA(C36:C147)&gt;0,O$3=FALSE),
ROUNDDOWN(INDEX(Y$4:Y147,MATCH(LARGE(FILTER(W$4:W147,W$4:W147&lt;=J36),1),W$4:W147))+(J36-LARGE(FILTER(W$4:"&amp;"W147,W$4:W147&lt;=J36),1))*INDEX(S$4:S147,MATCH(LARGE(FILTER(W$4:W147,W$4:W147&lt;=J36),1),W$4:W147))-L36),1,
ROUNDDOWN(Y36-INDEX(L$4:L147,MATCH(LARGE(FILTER(J$4:J147,J$4:J147&lt;=W36),1),J$4:J147))-(W36-LARGE(FILTER(J$4:J147,J$4:J147&lt;=W36),1))*INDEX(F$4:F147,MATC"&amp;"H(LARGE(FILTER(J$4:J147,J$4:J147&lt;=W36),1),J$4:J147))))"),0.0)</f>
        <v>0</v>
      </c>
      <c r="O36" s="65">
        <f t="shared" si="9"/>
        <v>14</v>
      </c>
      <c r="P36" s="66" t="s">
        <v>10</v>
      </c>
      <c r="Q36" s="14" t="b">
        <f>IFERROR(__xludf.DUMMYFUNCTION("IF(COUNTA(P36:P147)=0,"""",IFERROR(IF(ISBLANK(P36),FALSE,IF(ISBLANK(T36),1,IF(NOT(COUNTIF($AA$24:$AA$34,SUBSTITUTE(P36,""Sell_"",""""))),1,IF(P36=""Plastic_up"",IF(V36&lt;1000,1),IF(P36=""Super_Up"",IF(OR(COUNTIF(P$4:P36,""Grandma"")-COUNTIF(P$4:P36,""Sell_G"&amp;"randma"")&lt;1,COUNTIF(P$4:P36,VLOOKUP(P36,Upgrades!$F$8:$N$8,7+COUNTIF(P$4:P36,P36)))-COUNTIF(P$4:P36,""Sell_""&amp;VLOOKUP(P36,Upgrades!$F$8:$N$8,7+COUNTIF(P$4:P36,P36)))&lt;15),1),IF(REGEXMATCH(P36,""_up""),IF(COUNTIF(P$4:P36,SUBSTITUTE(P36,""_up"",""""))&lt;IFERRO"&amp;"R(VLOOKUP(P36,Upgrades!$L$3:$P$6,1+COUNTIF(P$4:P36,P36),0),999),1),IF(REGEXMATCH(P36,""Sell_""),IF(COUNTIF(P$4:P36,SUBSTITUTE(P36,""Sell_"",""""))-COUNTIF(P$4:P35,P36)&lt;1,1),FALSE)))))))))"),FALSE)</f>
        <v>0</v>
      </c>
      <c r="R36" s="71">
        <f>IFERROR(__xludf.DUMMYFUNCTION("IF(REGEXMATCH(P36,""^Sell_""),R35, IF(COUNTA(P36:P147)=0,"""",(COUNTIF(P$4:P36,""Cursor"")-COUNTIF(P$4:P36,""Sell_Cursor""))*(0.1*2^SWITCH(COUNTIF(P$4:P36,""Cursor_up""),0,0,1,1,2,2,3)+SWITCH(COUNTIF(P$4:P36,""Cursor_up""),4,0.1,0)*(ROW(P36)-4-COUNTIF(P$4"&amp;":P36,""Cursor"")-COUNTIF(P$4:P36,""*""&amp;""_up"")-2*COUNTIF(P$4:P36,""Sell_""&amp;""*"")+COUNTIF(P$4:P36,""Sell_Cursor"")-COUNTIF(P$4:P36,"""")))+(COUNTIF(P$4:P36,""Grandma"")-COUNTIF(P$4:P36,""Sell_Grandma""))*(1*2^(COUNTIF(P$4:P36,""Grandma_up"")+COUNTIF(P$4:"&amp;"P36,""Super_up"")))+(COUNTIF(P$4:P36,""Farm"")-COUNTIF(P$4:P36,""Sell_Farm""))*(8*2^COUNTIF(P$4:P36,""Farm_up""))*IF(COUNTIF(P$4:P36,""Super_up"")&gt;0,1+0.01*(COUNTIF(P$4:P36,""Grandma"")-COUNTIF(P$4:P36,""Sell_Grandma"")),1)+(COUNTIF(P$4:P36,""Mine"")-COUN"&amp;"TIF(P$4:P36,""Sell_Mine""))*((47*2^COUNTIF(P$4:P36,""Mine_up""))*IF(COUNTIF(P$4:P36,""Super_up"")&gt;1,1+0.005*(COUNTIF(P$4:P36,""Grandma"")-COUNTIF(P$4:P36,""Sell_Grandma"")),1))+(COUNTIF(P$4:P36,""Factory"")-COUNTIF(P$4:P36,""Sell_Factory""))*(260*2^COUNTI"&amp;"F(P$4:P36,""Factory_up""))))"),59.6)</f>
        <v>59.6</v>
      </c>
      <c r="S36" s="73">
        <f>IFERROR(__xludf.DUMMYFUNCTION("IF(COUNTA(P36:P147)=0,"""",IF(REGEXMATCH(INDEX(FILTER(P$4:P36,P$4:P36&lt;&gt;""""),ROWS(FILTER(P$4:P36,P$4:P36&lt;&gt;""""))),""^Sell_""),INDEX(FILTER(S$4:S35,P$4:P35&lt;&gt;""""),ROWS(FILTER(P$4:P35,P$4:P35&lt;&gt;""""))),$AD$5*(2^SWITCH(COUNTIF(P$4:P36,""Cursor_up""),0,0,1,1,2"&amp;",2,3)+SWITCH(COUNTIF(P$4:P36,""Cursor_up""),4,0.1,0)*(ROW(P36)-4-COUNTIF(P$4:P36,""Cursor"")-COUNTIF(P$4:P36,""*""&amp;""_up"")-2*COUNTIF(P$4:P36,""Sell_""&amp;""*"")+COUNTIF(P$4:P36,""Sell_Cursor"")-COUNTIF(P$4:P36,""""))+0.01*R36*COUNTIF(P$4:P36,""Plastic_up"")"&amp;")+R36))"),119.6)</f>
        <v>119.6</v>
      </c>
      <c r="T36" s="14">
        <f>IFERROR(__xludf.DUMMYFUNCTION("IF(COUNTA(P36:P147)=0,"""",IF(REGEXMATCH(P36,""_up""),VLOOKUP(P36,Upgrades!$F$3:$J$8,1+COUNTIF(P$4:P36,P36),FALSE),IF(P36="""",0,IF(REGEXMATCH(P36,""^Sell_""),-ROUNDDOWN(ROUNDUP(INDEX(Upgrades!$C$3:$C$8,MATCH(SUBSTITUTE(P36,""Sell_"",""""),Upgrades!$B$3:$"&amp;"B$8,0))*1.15^(COUNTIF(P$4:P35,SUBSTITUTE(P36,""Sell_"",""""))-COUNTIF(P$4:P35,""Sell_""&amp;SUBSTITUTE(P36,""Sell_"",""""))))/4),ROUNDUP(INDEX(Upgrades!$C$3:$C$7,MATCH(P36,Upgrades!$B$3:$B$7,0))*1.15^(COUNTIF(P$4:P35,P36)-COUNTIF(P$4:P35,""Sell_""&amp;P36)))))))"),93.0)</f>
        <v>93</v>
      </c>
      <c r="U36" s="14">
        <f t="shared" si="10"/>
        <v>93</v>
      </c>
      <c r="V36" s="75">
        <f t="shared" si="11"/>
        <v>105444.2497</v>
      </c>
      <c r="W36" s="76">
        <f t="shared" si="12"/>
        <v>133.4290408</v>
      </c>
      <c r="X36" s="71" t="str">
        <f t="shared" si="13"/>
        <v>2m 13s</v>
      </c>
      <c r="Y36" s="77">
        <f t="shared" si="14"/>
        <v>10146</v>
      </c>
      <c r="Z36" s="17"/>
      <c r="AA36" s="113" t="s">
        <v>84</v>
      </c>
      <c r="AB36" s="113"/>
      <c r="AC36" s="113"/>
      <c r="AD36" s="113"/>
      <c r="AE36" s="114"/>
      <c r="AF36" s="13"/>
      <c r="AG36" s="13"/>
    </row>
    <row r="37">
      <c r="A37" s="12"/>
      <c r="B37" s="65">
        <f t="shared" si="2"/>
        <v>12</v>
      </c>
      <c r="C37" s="66" t="s">
        <v>13</v>
      </c>
      <c r="D37" s="14" t="b">
        <f>IFERROR(__xludf.DUMMYFUNCTION("IF(COUNTA(C37:C147)=0,"""",IFERROR(IF(ISBLANK(C37),FALSE,IF(ISBLANK(G37),1,IF(NOT(COUNTIF($AA$24:$AA$34,SUBSTITUTE(C37,""Sell_"",""""))),1,IF(C37=""Plastic_up"",IF(I37&lt;1000,1),IF(C37=""Super_Up"",IF(OR(COUNTIF(C$4:C37,""Grandma"")-COUNTIF(C$4:C37,""Sell_G"&amp;"randma"")&lt;1,COUNTIF(C$4:C37,VLOOKUP(C37,Upgrades!$F$8:$N$8,7+COUNTIF(C$4:C37,C37)))-COUNTIF(C$4:C37,""Sell_""&amp;VLOOKUP(C37,Upgrades!$F$8:$N$8,7+COUNTIF(C$4:C37,C37)))&lt;15),1),IF(REGEXMATCH(C37,""_up""),IF(COUNTIF(C$4:C37,SUBSTITUTE(C37,""_up"",""""))&lt;IFERRO"&amp;"R(VLOOKUP(C37,Upgrades!$L$3:$P$6,1+COUNTIF(C$4:C37,C37),0),999),1),IF(REGEXMATCH(C37,""Sell_""),IF(COUNTIF(C$4:C37,SUBSTITUTE(C37,""Sell_"",""""))-COUNTIF(C$4:C36,C37)&lt;1,1),FALSE)))))))))"),FALSE)</f>
        <v>0</v>
      </c>
      <c r="E37" s="71">
        <f>IFERROR(__xludf.DUMMYFUNCTION("IF(REGEXMATCH(C37,""^Sell_""),E36, IF(COUNTA(C37:C147)=0,"""",(COUNTIF(C$4:C37,""Cursor"")-COUNTIF(C$4:C37,""Sell_Cursor""))*(0.1*2^SWITCH(COUNTIF(C$4:C37,""Cursor_up""),0,0,1,1,2,2,3)+SWITCH(COUNTIF(C$4:C37,""Cursor_up""),4,0.1,0)*(ROW(C37)-4-COUNTIF(C$4"&amp;":C37,""Cursor"")-COUNTIF(C$4:C37,""*""&amp;""_up"")-2*COUNTIF(C$4:C37,""Sell_""&amp;""*"")+COUNTIF(C$4:C37,""Sell_Cursor"")-COUNTIF(C$4:C37,"""")))+(COUNTIF(C$4:C37,""Grandma"")-COUNTIF(C$4:C37,""Sell_Grandma""))*(1*2^(COUNTIF(C$4:C37,""Grandma_up"")+COUNTIF(C$4:"&amp;"C37,""Super_up"")))+(COUNTIF(C$4:C37,""Farm"")-COUNTIF(C$4:C37,""Sell_Farm""))*(8*2^COUNTIF(C$4:C37,""Farm_up""))*IF(COUNTIF(C$4:C37,""Super_up"")&gt;0,1+0.01*(COUNTIF(C$4:C37,""Grandma"")-COUNTIF(C$4:C37,""Sell_Grandma"")),1)+(COUNTIF(C$4:C37,""Mine"")-COUN"&amp;"TIF(C$4:C37,""Sell_Mine""))*((47*2^COUNTIF(C$4:C37,""Mine_up""))*IF(COUNTIF(C$4:C37,""Super_up"")&gt;1,1+0.005*(COUNTIF(C$4:C37,""Grandma"")-COUNTIF(C$4:C37,""Sell_Grandma"")),1))+(COUNTIF(C$4:C37,""Factory"")-COUNTIF(C$4:C37,""Sell_Factory""))*(260*2^COUNTI"&amp;"F(C$4:C37,""Factory_up""))))"),61.6)</f>
        <v>61.6</v>
      </c>
      <c r="F37" s="73">
        <f>IFERROR(__xludf.DUMMYFUNCTION("IF(COUNTA(C37:C147)=0,"""",IF(REGEXMATCH(INDEX(FILTER(C$4:C37,C$4:C37&lt;&gt;""""),ROWS(FILTER(C$4:C37,C$4:C37&lt;&gt;""""))),""^Sell_""),INDEX(FILTER(F$4:F36,C$4:C36&lt;&gt;""""),ROWS(FILTER(C$4:C36,C$4:C36&lt;&gt;""""))),$AC$5*(2^SWITCH(COUNTIF(C$4:C37,""Cursor_up""),0,0,1,1,2"&amp;",2,3)+SWITCH(COUNTIF(C$4:C37,""Cursor_up""),4,0.1,0)*(ROW(C37)-4-COUNTIF(C$4:C37,""Cursor"")-COUNTIF(C$4:C37,""*""&amp;""_up"")-2*COUNTIF(C$4:C37,""Sell_""&amp;""*"")+COUNTIF(C$4:C37,""Sell_Cursor"")-COUNTIF(C$4:C37,""""))+0.01*E37*COUNTIF(C$4:C37,""Plastic_up"")"&amp;")+E37))"),121.6)</f>
        <v>121.6</v>
      </c>
      <c r="G37" s="14">
        <f>IFERROR(__xludf.DUMMYFUNCTION("IF(COUNTA(C37:C147)=0,"""",IF(REGEXMATCH(C37,""_up""),VLOOKUP(C37,Upgrades!$F$3:$J$8,1+COUNTIF(C$4:C37,C37),FALSE),IF(C37="""",0,IF(REGEXMATCH(C37,""^Sell_""),-ROUNDDOWN(ROUNDUP(INDEX(Upgrades!$C$3:$C$8,MATCH(SUBSTITUTE(C37,""Sell_"",""""),Upgrades!$B$3:$"&amp;"B$8,0))*1.15^(COUNTIF(C$4:C36,SUBSTITUTE(C37,""Sell_"",""""))-COUNTIF(C$4:C36,""Sell_""&amp;SUBSTITUTE(C37,""Sell_"",""""))))/4),ROUNDUP(INDEX(Upgrades!$C$3:$C$7,MATCH(C37,Upgrades!$B$3:$B$7,0))*1.15^(COUNTIF(C$4:C36,C37)-COUNTIF(C$4:C36,""Sell_""&amp;C37)))))))"),466.0)</f>
        <v>466</v>
      </c>
      <c r="H37" s="14">
        <f t="shared" si="3"/>
        <v>466</v>
      </c>
      <c r="I37" s="75">
        <f t="shared" si="4"/>
        <v>113683.7714</v>
      </c>
      <c r="J37" s="76">
        <f t="shared" si="5"/>
        <v>137.3253619</v>
      </c>
      <c r="K37" s="71" t="str">
        <f t="shared" si="6"/>
        <v>2m 17s</v>
      </c>
      <c r="L37" s="77">
        <f t="shared" si="7"/>
        <v>10612</v>
      </c>
      <c r="M37" s="51">
        <f t="shared" si="8"/>
        <v>0</v>
      </c>
      <c r="N37" s="52">
        <f>IFERROR(__xludf.DUMMYFUNCTION("IFS(AND(COUNTA(C37:C147)=0,COUNTA(P37:P147)=0),"""",OR(AND(L37&gt;=1000000,OR(Y37&gt;=1000000,COUNTA(P37:P147)=0)),AND(Y37&gt;=1000000,COUNTA(C37:C147)=0),AND(COUNTA(P37:P147)=0,O$3=TRUE)),
ROUNDDOWN((AB$1-AC$1)*MAX(INDEX(S$4:S147,MATCH(LARGE(FILTER(Y$4:Y147,Y$4:Y"&amp;"147&lt;1000000),1),Y$4:Y147)),INDEX(F$4:F147,MATCH(LARGE(FILTER(L$4:L147,L$4:L147&lt;1000000),1),L$4:L147)))),AND(L37&lt;1000000,COUNTA(C37:C147)&gt;0,O$3=FALSE),
ROUNDDOWN(INDEX(Y$4:Y147,MATCH(LARGE(FILTER(W$4:W147,W$4:W147&lt;=J37),1),W$4:W147))+(J37-LARGE(FILTER(W$4:"&amp;"W147,W$4:W147&lt;=J37),1))*INDEX(S$4:S147,MATCH(LARGE(FILTER(W$4:W147,W$4:W147&lt;=J37),1),W$4:W147))-L37),1,
ROUNDDOWN(Y37-INDEX(L$4:L147,MATCH(LARGE(FILTER(J$4:J147,J$4:J147&lt;=W37),1),J$4:J147))-(W37-LARGE(FILTER(J$4:J147,J$4:J147&lt;=W37),1))*INDEX(F$4:F147,MATC"&amp;"H(LARGE(FILTER(J$4:J147,J$4:J147&lt;=W37),1),J$4:J147))))"),0.0)</f>
        <v>0</v>
      </c>
      <c r="O37" s="65">
        <f t="shared" si="9"/>
        <v>12</v>
      </c>
      <c r="P37" s="66" t="s">
        <v>13</v>
      </c>
      <c r="Q37" s="14" t="b">
        <f>IFERROR(__xludf.DUMMYFUNCTION("IF(COUNTA(P37:P147)=0,"""",IFERROR(IF(ISBLANK(P37),FALSE,IF(ISBLANK(T37),1,IF(NOT(COUNTIF($AA$24:$AA$34,SUBSTITUTE(P37,""Sell_"",""""))),1,IF(P37=""Plastic_up"",IF(V37&lt;1000,1),IF(P37=""Super_Up"",IF(OR(COUNTIF(P$4:P37,""Grandma"")-COUNTIF(P$4:P37,""Sell_G"&amp;"randma"")&lt;1,COUNTIF(P$4:P37,VLOOKUP(P37,Upgrades!$F$8:$N$8,7+COUNTIF(P$4:P37,P37)))-COUNTIF(P$4:P37,""Sell_""&amp;VLOOKUP(P37,Upgrades!$F$8:$N$8,7+COUNTIF(P$4:P37,P37)))&lt;15),1),IF(REGEXMATCH(P37,""_up""),IF(COUNTIF(P$4:P37,SUBSTITUTE(P37,""_up"",""""))&lt;IFERRO"&amp;"R(VLOOKUP(P37,Upgrades!$L$3:$P$6,1+COUNTIF(P$4:P37,P37),0),999),1),IF(REGEXMATCH(P37,""Sell_""),IF(COUNTIF(P$4:P37,SUBSTITUTE(P37,""Sell_"",""""))-COUNTIF(P$4:P36,P37)&lt;1,1),FALSE)))))))))"),FALSE)</f>
        <v>0</v>
      </c>
      <c r="R37" s="71">
        <f>IFERROR(__xludf.DUMMYFUNCTION("IF(REGEXMATCH(P37,""^Sell_""),R36, IF(COUNTA(P37:P147)=0,"""",(COUNTIF(P$4:P37,""Cursor"")-COUNTIF(P$4:P37,""Sell_Cursor""))*(0.1*2^SWITCH(COUNTIF(P$4:P37,""Cursor_up""),0,0,1,1,2,2,3)+SWITCH(COUNTIF(P$4:P37,""Cursor_up""),4,0.1,0)*(ROW(P37)-4-COUNTIF(P$4"&amp;":P37,""Cursor"")-COUNTIF(P$4:P37,""*""&amp;""_up"")-2*COUNTIF(P$4:P37,""Sell_""&amp;""*"")+COUNTIF(P$4:P37,""Sell_Cursor"")-COUNTIF(P$4:P37,"""")))+(COUNTIF(P$4:P37,""Grandma"")-COUNTIF(P$4:P37,""Sell_Grandma""))*(1*2^(COUNTIF(P$4:P37,""Grandma_up"")+COUNTIF(P$4:"&amp;"P37,""Super_up"")))+(COUNTIF(P$4:P37,""Farm"")-COUNTIF(P$4:P37,""Sell_Farm""))*(8*2^COUNTIF(P$4:P37,""Farm_up""))*IF(COUNTIF(P$4:P37,""Super_up"")&gt;0,1+0.01*(COUNTIF(P$4:P37,""Grandma"")-COUNTIF(P$4:P37,""Sell_Grandma"")),1)+(COUNTIF(P$4:P37,""Mine"")-COUN"&amp;"TIF(P$4:P37,""Sell_Mine""))*((47*2^COUNTIF(P$4:P37,""Mine_up""))*IF(COUNTIF(P$4:P37,""Super_up"")&gt;1,1+0.005*(COUNTIF(P$4:P37,""Grandma"")-COUNTIF(P$4:P37,""Sell_Grandma"")),1))+(COUNTIF(P$4:P37,""Factory"")-COUNTIF(P$4:P37,""Sell_Factory""))*(260*2^COUNTI"&amp;"F(P$4:P37,""Factory_up""))))"),61.6)</f>
        <v>61.6</v>
      </c>
      <c r="S37" s="73">
        <f>IFERROR(__xludf.DUMMYFUNCTION("IF(COUNTA(P37:P147)=0,"""",IF(REGEXMATCH(INDEX(FILTER(P$4:P37,P$4:P37&lt;&gt;""""),ROWS(FILTER(P$4:P37,P$4:P37&lt;&gt;""""))),""^Sell_""),INDEX(FILTER(S$4:S36,P$4:P36&lt;&gt;""""),ROWS(FILTER(P$4:P36,P$4:P36&lt;&gt;""""))),$AD$5*(2^SWITCH(COUNTIF(P$4:P37,""Cursor_up""),0,0,1,1,2"&amp;",2,3)+SWITCH(COUNTIF(P$4:P37,""Cursor_up""),4,0.1,0)*(ROW(P37)-4-COUNTIF(P$4:P37,""Cursor"")-COUNTIF(P$4:P37,""*""&amp;""_up"")-2*COUNTIF(P$4:P37,""Sell_""&amp;""*"")+COUNTIF(P$4:P37,""Sell_Cursor"")-COUNTIF(P$4:P37,""""))+0.01*R37*COUNTIF(P$4:P37,""Plastic_up"")"&amp;")+R37))"),121.6)</f>
        <v>121.6</v>
      </c>
      <c r="T37" s="14">
        <f>IFERROR(__xludf.DUMMYFUNCTION("IF(COUNTA(P37:P147)=0,"""",IF(REGEXMATCH(P37,""_up""),VLOOKUP(P37,Upgrades!$F$3:$J$8,1+COUNTIF(P$4:P37,P37),FALSE),IF(P37="""",0,IF(REGEXMATCH(P37,""^Sell_""),-ROUNDDOWN(ROUNDUP(INDEX(Upgrades!$C$3:$C$8,MATCH(SUBSTITUTE(P37,""Sell_"",""""),Upgrades!$B$3:$"&amp;"B$8,0))*1.15^(COUNTIF(P$4:P36,SUBSTITUTE(P37,""Sell_"",""""))-COUNTIF(P$4:P36,""Sell_""&amp;SUBSTITUTE(P37,""Sell_"",""""))))/4),ROUNDUP(INDEX(Upgrades!$C$3:$C$7,MATCH(P37,Upgrades!$B$3:$B$7,0))*1.15^(COUNTIF(P$4:P36,P37)-COUNTIF(P$4:P36,""Sell_""&amp;P37)))))))"),466.0)</f>
        <v>466</v>
      </c>
      <c r="U37" s="14">
        <f t="shared" si="10"/>
        <v>466</v>
      </c>
      <c r="V37" s="75">
        <f t="shared" si="11"/>
        <v>113683.7714</v>
      </c>
      <c r="W37" s="76">
        <f t="shared" si="12"/>
        <v>137.3253619</v>
      </c>
      <c r="X37" s="71" t="str">
        <f t="shared" si="13"/>
        <v>2m 17s</v>
      </c>
      <c r="Y37" s="77">
        <f t="shared" si="14"/>
        <v>10612</v>
      </c>
      <c r="Z37" s="17"/>
      <c r="AA37" s="115" t="s">
        <v>85</v>
      </c>
      <c r="AB37" s="115"/>
      <c r="AC37" s="115"/>
      <c r="AD37" s="115"/>
      <c r="AE37" s="116"/>
      <c r="AF37" s="13"/>
      <c r="AG37" s="13"/>
    </row>
    <row r="38">
      <c r="A38" s="12"/>
      <c r="B38" s="65">
        <f t="shared" si="2"/>
        <v>2</v>
      </c>
      <c r="C38" s="66" t="s">
        <v>14</v>
      </c>
      <c r="D38" s="14" t="b">
        <f>IFERROR(__xludf.DUMMYFUNCTION("IF(COUNTA(C38:C147)=0,"""",IFERROR(IF(ISBLANK(C38),FALSE,IF(ISBLANK(G38),1,IF(NOT(COUNTIF($AA$24:$AA$34,SUBSTITUTE(C38,""Sell_"",""""))),1,IF(C38=""Plastic_up"",IF(I38&lt;1000,1),IF(C38=""Super_Up"",IF(OR(COUNTIF(C$4:C38,""Grandma"")-COUNTIF(C$4:C38,""Sell_G"&amp;"randma"")&lt;1,COUNTIF(C$4:C38,VLOOKUP(C38,Upgrades!$F$8:$N$8,7+COUNTIF(C$4:C38,C38)))-COUNTIF(C$4:C38,""Sell_""&amp;VLOOKUP(C38,Upgrades!$F$8:$N$8,7+COUNTIF(C$4:C38,C38)))&lt;15),1),IF(REGEXMATCH(C38,""_up""),IF(COUNTIF(C$4:C38,SUBSTITUTE(C38,""_up"",""""))&lt;IFERRO"&amp;"R(VLOOKUP(C38,Upgrades!$L$3:$P$6,1+COUNTIF(C$4:C38,C38),0),999),1),IF(REGEXMATCH(C38,""Sell_""),IF(COUNTIF(C$4:C38,SUBSTITUTE(C38,""Sell_"",""""))-COUNTIF(C$4:C37,C38)&lt;1,1),FALSE)))))))))"),FALSE)</f>
        <v>0</v>
      </c>
      <c r="E38" s="71">
        <f>IFERROR(__xludf.DUMMYFUNCTION("IF(REGEXMATCH(C38,""^Sell_""),E37, IF(COUNTA(C38:C147)=0,"""",(COUNTIF(C$4:C38,""Cursor"")-COUNTIF(C$4:C38,""Sell_Cursor""))*(0.1*2^SWITCH(COUNTIF(C$4:C38,""Cursor_up""),0,0,1,1,2,2,3)+SWITCH(COUNTIF(C$4:C38,""Cursor_up""),4,0.1,0)*(ROW(C38)-4-COUNTIF(C$4"&amp;":C38,""Cursor"")-COUNTIF(C$4:C38,""*""&amp;""_up"")-2*COUNTIF(C$4:C38,""Sell_""&amp;""*"")+COUNTIF(C$4:C38,""Sell_Cursor"")-COUNTIF(C$4:C38,"""")))+(COUNTIF(C$4:C38,""Grandma"")-COUNTIF(C$4:C38,""Sell_Grandma""))*(1*2^(COUNTIF(C$4:C38,""Grandma_up"")+COUNTIF(C$4:"&amp;"C38,""Super_up"")))+(COUNTIF(C$4:C38,""Farm"")-COUNTIF(C$4:C38,""Sell_Farm""))*(8*2^COUNTIF(C$4:C38,""Farm_up""))*IF(COUNTIF(C$4:C38,""Super_up"")&gt;0,1+0.01*(COUNTIF(C$4:C38,""Grandma"")-COUNTIF(C$4:C38,""Sell_Grandma"")),1)+(COUNTIF(C$4:C38,""Mine"")-COUN"&amp;"TIF(C$4:C38,""Sell_Mine""))*((47*2^COUNTIF(C$4:C38,""Mine_up""))*IF(COUNTIF(C$4:C38,""Super_up"")&gt;1,1+0.005*(COUNTIF(C$4:C38,""Grandma"")-COUNTIF(C$4:C38,""Sell_Grandma"")),1))+(COUNTIF(C$4:C38,""Factory"")-COUNTIF(C$4:C38,""Sell_Factory""))*(260*2^COUNTI"&amp;"F(C$4:C38,""Factory_up""))))"),85.6)</f>
        <v>85.6</v>
      </c>
      <c r="F38" s="73">
        <f>IFERROR(__xludf.DUMMYFUNCTION("IF(COUNTA(C38:C147)=0,"""",IF(REGEXMATCH(INDEX(FILTER(C$4:C38,C$4:C38&lt;&gt;""""),ROWS(FILTER(C$4:C38,C$4:C38&lt;&gt;""""))),""^Sell_""),INDEX(FILTER(F$4:F37,C$4:C37&lt;&gt;""""),ROWS(FILTER(C$4:C37,C$4:C37&lt;&gt;""""))),$AC$5*(2^SWITCH(COUNTIF(C$4:C38,""Cursor_up""),0,0,1,1,2"&amp;",2,3)+SWITCH(COUNTIF(C$4:C38,""Cursor_up""),4,0.1,0)*(ROW(C38)-4-COUNTIF(C$4:C38,""Cursor"")-COUNTIF(C$4:C38,""*""&amp;""_up"")-2*COUNTIF(C$4:C38,""Sell_""&amp;""*"")+COUNTIF(C$4:C38,""Sell_Cursor"")-COUNTIF(C$4:C38,""""))+0.01*E38*COUNTIF(C$4:C38,""Plastic_up"")"&amp;")+E38))"),145.6)</f>
        <v>145.6</v>
      </c>
      <c r="G38" s="14">
        <f>IFERROR(__xludf.DUMMYFUNCTION("IF(COUNTA(C38:C147)=0,"""",IF(REGEXMATCH(C38,""_up""),VLOOKUP(C38,Upgrades!$F$3:$J$8,1+COUNTIF(C$4:C38,C38),FALSE),IF(C38="""",0,IF(REGEXMATCH(C38,""^Sell_""),-ROUNDDOWN(ROUNDUP(INDEX(Upgrades!$C$3:$C$8,MATCH(SUBSTITUTE(C38,""Sell_"",""""),Upgrades!$B$3:$"&amp;"B$8,0))*1.15^(COUNTIF(C$4:C37,SUBSTITUTE(C38,""Sell_"",""""))-COUNTIF(C$4:C37,""Sell_""&amp;SUBSTITUTE(C38,""Sell_"",""""))))/4),ROUNDUP(INDEX(Upgrades!$C$3:$C$7,MATCH(C38,Upgrades!$B$3:$B$7,0))*1.15^(COUNTIF(C$4:C37,C38)-COUNTIF(C$4:C37,""Sell_""&amp;C38)))))))"),5000.0)</f>
        <v>5000</v>
      </c>
      <c r="H38" s="14">
        <f t="shared" si="3"/>
        <v>5000</v>
      </c>
      <c r="I38" s="75">
        <f t="shared" si="4"/>
        <v>124390.3984</v>
      </c>
      <c r="J38" s="76">
        <f t="shared" si="5"/>
        <v>178.443783</v>
      </c>
      <c r="K38" s="71" t="str">
        <f t="shared" si="6"/>
        <v>2m 58s</v>
      </c>
      <c r="L38" s="77">
        <f t="shared" si="7"/>
        <v>15612</v>
      </c>
      <c r="M38" s="51">
        <f t="shared" si="8"/>
        <v>0</v>
      </c>
      <c r="N38" s="52">
        <f>IFERROR(__xludf.DUMMYFUNCTION("IFS(AND(COUNTA(C38:C147)=0,COUNTA(P38:P147)=0),"""",OR(AND(L38&gt;=1000000,OR(Y38&gt;=1000000,COUNTA(P38:P147)=0)),AND(Y38&gt;=1000000,COUNTA(C38:C147)=0),AND(COUNTA(P38:P147)=0,O$3=TRUE)),
ROUNDDOWN((AB$1-AC$1)*MAX(INDEX(S$4:S147,MATCH(LARGE(FILTER(Y$4:Y147,Y$4:Y"&amp;"147&lt;1000000),1),Y$4:Y147)),INDEX(F$4:F147,MATCH(LARGE(FILTER(L$4:L147,L$4:L147&lt;1000000),1),L$4:L147)))),AND(L38&lt;1000000,COUNTA(C38:C147)&gt;0,O$3=FALSE),
ROUNDDOWN(INDEX(Y$4:Y147,MATCH(LARGE(FILTER(W$4:W147,W$4:W147&lt;=J38),1),W$4:W147))+(J38-LARGE(FILTER(W$4:"&amp;"W147,W$4:W147&lt;=J38),1))*INDEX(S$4:S147,MATCH(LARGE(FILTER(W$4:W147,W$4:W147&lt;=J38),1),W$4:W147))-L38),1,
ROUNDDOWN(Y38-INDEX(L$4:L147,MATCH(LARGE(FILTER(J$4:J147,J$4:J147&lt;=W38),1),J$4:J147))-(W38-LARGE(FILTER(J$4:J147,J$4:J147&lt;=W38),1))*INDEX(F$4:F147,MATC"&amp;"H(LARGE(FILTER(J$4:J147,J$4:J147&lt;=W38),1),J$4:J147))))"),0.0)</f>
        <v>0</v>
      </c>
      <c r="O38" s="65">
        <f t="shared" si="9"/>
        <v>2</v>
      </c>
      <c r="P38" s="66" t="s">
        <v>14</v>
      </c>
      <c r="Q38" s="14" t="b">
        <f>IFERROR(__xludf.DUMMYFUNCTION("IF(COUNTA(P38:P147)=0,"""",IFERROR(IF(ISBLANK(P38),FALSE,IF(ISBLANK(T38),1,IF(NOT(COUNTIF($AA$24:$AA$34,SUBSTITUTE(P38,""Sell_"",""""))),1,IF(P38=""Plastic_up"",IF(V38&lt;1000,1),IF(P38=""Super_Up"",IF(OR(COUNTIF(P$4:P38,""Grandma"")-COUNTIF(P$4:P38,""Sell_G"&amp;"randma"")&lt;1,COUNTIF(P$4:P38,VLOOKUP(P38,Upgrades!$F$8:$N$8,7+COUNTIF(P$4:P38,P38)))-COUNTIF(P$4:P38,""Sell_""&amp;VLOOKUP(P38,Upgrades!$F$8:$N$8,7+COUNTIF(P$4:P38,P38)))&lt;15),1),IF(REGEXMATCH(P38,""_up""),IF(COUNTIF(P$4:P38,SUBSTITUTE(P38,""_up"",""""))&lt;IFERRO"&amp;"R(VLOOKUP(P38,Upgrades!$L$3:$P$6,1+COUNTIF(P$4:P38,P38),0),999),1),IF(REGEXMATCH(P38,""Sell_""),IF(COUNTIF(P$4:P38,SUBSTITUTE(P38,""Sell_"",""""))-COUNTIF(P$4:P37,P38)&lt;1,1),FALSE)))))))))"),FALSE)</f>
        <v>0</v>
      </c>
      <c r="R38" s="71">
        <f>IFERROR(__xludf.DUMMYFUNCTION("IF(REGEXMATCH(P38,""^Sell_""),R37, IF(COUNTA(P38:P147)=0,"""",(COUNTIF(P$4:P38,""Cursor"")-COUNTIF(P$4:P38,""Sell_Cursor""))*(0.1*2^SWITCH(COUNTIF(P$4:P38,""Cursor_up""),0,0,1,1,2,2,3)+SWITCH(COUNTIF(P$4:P38,""Cursor_up""),4,0.1,0)*(ROW(P38)-4-COUNTIF(P$4"&amp;":P38,""Cursor"")-COUNTIF(P$4:P38,""*""&amp;""_up"")-2*COUNTIF(P$4:P38,""Sell_""&amp;""*"")+COUNTIF(P$4:P38,""Sell_Cursor"")-COUNTIF(P$4:P38,"""")))+(COUNTIF(P$4:P38,""Grandma"")-COUNTIF(P$4:P38,""Sell_Grandma""))*(1*2^(COUNTIF(P$4:P38,""Grandma_up"")+COUNTIF(P$4:"&amp;"P38,""Super_up"")))+(COUNTIF(P$4:P38,""Farm"")-COUNTIF(P$4:P38,""Sell_Farm""))*(8*2^COUNTIF(P$4:P38,""Farm_up""))*IF(COUNTIF(P$4:P38,""Super_up"")&gt;0,1+0.01*(COUNTIF(P$4:P38,""Grandma"")-COUNTIF(P$4:P38,""Sell_Grandma"")),1)+(COUNTIF(P$4:P38,""Mine"")-COUN"&amp;"TIF(P$4:P38,""Sell_Mine""))*((47*2^COUNTIF(P$4:P38,""Mine_up""))*IF(COUNTIF(P$4:P38,""Super_up"")&gt;1,1+0.005*(COUNTIF(P$4:P38,""Grandma"")-COUNTIF(P$4:P38,""Sell_Grandma"")),1))+(COUNTIF(P$4:P38,""Factory"")-COUNTIF(P$4:P38,""Sell_Factory""))*(260*2^COUNTI"&amp;"F(P$4:P38,""Factory_up""))))"),85.6)</f>
        <v>85.6</v>
      </c>
      <c r="S38" s="73">
        <f>IFERROR(__xludf.DUMMYFUNCTION("IF(COUNTA(P38:P147)=0,"""",IF(REGEXMATCH(INDEX(FILTER(P$4:P38,P$4:P38&lt;&gt;""""),ROWS(FILTER(P$4:P38,P$4:P38&lt;&gt;""""))),""^Sell_""),INDEX(FILTER(S$4:S37,P$4:P37&lt;&gt;""""),ROWS(FILTER(P$4:P37,P$4:P37&lt;&gt;""""))),$AD$5*(2^SWITCH(COUNTIF(P$4:P38,""Cursor_up""),0,0,1,1,2"&amp;",2,3)+SWITCH(COUNTIF(P$4:P38,""Cursor_up""),4,0.1,0)*(ROW(P38)-4-COUNTIF(P$4:P38,""Cursor"")-COUNTIF(P$4:P38,""*""&amp;""_up"")-2*COUNTIF(P$4:P38,""Sell_""&amp;""*"")+COUNTIF(P$4:P38,""Sell_Cursor"")-COUNTIF(P$4:P38,""""))+0.01*R38*COUNTIF(P$4:P38,""Plastic_up"")"&amp;")+R38))"),145.6)</f>
        <v>145.6</v>
      </c>
      <c r="T38" s="14">
        <f>IFERROR(__xludf.DUMMYFUNCTION("IF(COUNTA(P38:P147)=0,"""",IF(REGEXMATCH(P38,""_up""),VLOOKUP(P38,Upgrades!$F$3:$J$8,1+COUNTIF(P$4:P38,P38),FALSE),IF(P38="""",0,IF(REGEXMATCH(P38,""^Sell_""),-ROUNDDOWN(ROUNDUP(INDEX(Upgrades!$C$3:$C$8,MATCH(SUBSTITUTE(P38,""Sell_"",""""),Upgrades!$B$3:$"&amp;"B$8,0))*1.15^(COUNTIF(P$4:P37,SUBSTITUTE(P38,""Sell_"",""""))-COUNTIF(P$4:P37,""Sell_""&amp;SUBSTITUTE(P38,""Sell_"",""""))))/4),ROUNDUP(INDEX(Upgrades!$C$3:$C$7,MATCH(P38,Upgrades!$B$3:$B$7,0))*1.15^(COUNTIF(P$4:P37,P38)-COUNTIF(P$4:P37,""Sell_""&amp;P38)))))))"),5000.0)</f>
        <v>5000</v>
      </c>
      <c r="U38" s="14">
        <f t="shared" si="10"/>
        <v>5000</v>
      </c>
      <c r="V38" s="75">
        <f t="shared" si="11"/>
        <v>124390.3984</v>
      </c>
      <c r="W38" s="76">
        <f t="shared" si="12"/>
        <v>178.443783</v>
      </c>
      <c r="X38" s="71" t="str">
        <f t="shared" si="13"/>
        <v>2m 58s</v>
      </c>
      <c r="Y38" s="77">
        <f t="shared" si="14"/>
        <v>15612</v>
      </c>
      <c r="Z38" s="17"/>
      <c r="AF38" s="13"/>
      <c r="AG38" s="13"/>
    </row>
    <row r="39">
      <c r="A39" s="12"/>
      <c r="B39" s="65">
        <f t="shared" si="2"/>
        <v>13</v>
      </c>
      <c r="C39" s="66" t="s">
        <v>13</v>
      </c>
      <c r="D39" s="14" t="b">
        <f>IFERROR(__xludf.DUMMYFUNCTION("IF(COUNTA(C39:C147)=0,"""",IFERROR(IF(ISBLANK(C39),FALSE,IF(ISBLANK(G39),1,IF(NOT(COUNTIF($AA$24:$AA$34,SUBSTITUTE(C39,""Sell_"",""""))),1,IF(C39=""Plastic_up"",IF(I39&lt;1000,1),IF(C39=""Super_Up"",IF(OR(COUNTIF(C$4:C39,""Grandma"")-COUNTIF(C$4:C39,""Sell_G"&amp;"randma"")&lt;1,COUNTIF(C$4:C39,VLOOKUP(C39,Upgrades!$F$8:$N$8,7+COUNTIF(C$4:C39,C39)))-COUNTIF(C$4:C39,""Sell_""&amp;VLOOKUP(C39,Upgrades!$F$8:$N$8,7+COUNTIF(C$4:C39,C39)))&lt;15),1),IF(REGEXMATCH(C39,""_up""),IF(COUNTIF(C$4:C39,SUBSTITUTE(C39,""_up"",""""))&lt;IFERRO"&amp;"R(VLOOKUP(C39,Upgrades!$L$3:$P$6,1+COUNTIF(C$4:C39,C39),0),999),1),IF(REGEXMATCH(C39,""Sell_""),IF(COUNTIF(C$4:C39,SUBSTITUTE(C39,""Sell_"",""""))-COUNTIF(C$4:C38,C39)&lt;1,1),FALSE)))))))))"),FALSE)</f>
        <v>0</v>
      </c>
      <c r="E39" s="71">
        <f>IFERROR(__xludf.DUMMYFUNCTION("IF(REGEXMATCH(C39,""^Sell_""),E38, IF(COUNTA(C39:C147)=0,"""",(COUNTIF(C$4:C39,""Cursor"")-COUNTIF(C$4:C39,""Sell_Cursor""))*(0.1*2^SWITCH(COUNTIF(C$4:C39,""Cursor_up""),0,0,1,1,2,2,3)+SWITCH(COUNTIF(C$4:C39,""Cursor_up""),4,0.1,0)*(ROW(C39)-4-COUNTIF(C$4"&amp;":C39,""Cursor"")-COUNTIF(C$4:C39,""*""&amp;""_up"")-2*COUNTIF(C$4:C39,""Sell_""&amp;""*"")+COUNTIF(C$4:C39,""Sell_Cursor"")-COUNTIF(C$4:C39,"""")))+(COUNTIF(C$4:C39,""Grandma"")-COUNTIF(C$4:C39,""Sell_Grandma""))*(1*2^(COUNTIF(C$4:C39,""Grandma_up"")+COUNTIF(C$4:"&amp;"C39,""Super_up"")))+(COUNTIF(C$4:C39,""Farm"")-COUNTIF(C$4:C39,""Sell_Farm""))*(8*2^COUNTIF(C$4:C39,""Farm_up""))*IF(COUNTIF(C$4:C39,""Super_up"")&gt;0,1+0.01*(COUNTIF(C$4:C39,""Grandma"")-COUNTIF(C$4:C39,""Sell_Grandma"")),1)+(COUNTIF(C$4:C39,""Mine"")-COUN"&amp;"TIF(C$4:C39,""Sell_Mine""))*((47*2^COUNTIF(C$4:C39,""Mine_up""))*IF(COUNTIF(C$4:C39,""Super_up"")&gt;1,1+0.005*(COUNTIF(C$4:C39,""Grandma"")-COUNTIF(C$4:C39,""Sell_Grandma"")),1))+(COUNTIF(C$4:C39,""Factory"")-COUNTIF(C$4:C39,""Sell_Factory""))*(260*2^COUNTI"&amp;"F(C$4:C39,""Factory_up""))))"),89.6)</f>
        <v>89.6</v>
      </c>
      <c r="F39" s="73">
        <f>IFERROR(__xludf.DUMMYFUNCTION("IF(COUNTA(C39:C147)=0,"""",IF(REGEXMATCH(INDEX(FILTER(C$4:C39,C$4:C39&lt;&gt;""""),ROWS(FILTER(C$4:C39,C$4:C39&lt;&gt;""""))),""^Sell_""),INDEX(FILTER(F$4:F38,C$4:C38&lt;&gt;""""),ROWS(FILTER(C$4:C38,C$4:C38&lt;&gt;""""))),$AC$5*(2^SWITCH(COUNTIF(C$4:C39,""Cursor_up""),0,0,1,1,2"&amp;",2,3)+SWITCH(COUNTIF(C$4:C39,""Cursor_up""),4,0.1,0)*(ROW(C39)-4-COUNTIF(C$4:C39,""Cursor"")-COUNTIF(C$4:C39,""*""&amp;""_up"")-2*COUNTIF(C$4:C39,""Sell_""&amp;""*"")+COUNTIF(C$4:C39,""Sell_Cursor"")-COUNTIF(C$4:C39,""""))+0.01*E39*COUNTIF(C$4:C39,""Plastic_up"")"&amp;")+E39))"),149.6)</f>
        <v>149.6</v>
      </c>
      <c r="G39" s="14">
        <f>IFERROR(__xludf.DUMMYFUNCTION("IF(COUNTA(C39:C147)=0,"""",IF(REGEXMATCH(C39,""_up""),VLOOKUP(C39,Upgrades!$F$3:$J$8,1+COUNTIF(C$4:C39,C39),FALSE),IF(C39="""",0,IF(REGEXMATCH(C39,""^Sell_""),-ROUNDDOWN(ROUNDUP(INDEX(Upgrades!$C$3:$C$8,MATCH(SUBSTITUTE(C39,""Sell_"",""""),Upgrades!$B$3:$"&amp;"B$8,0))*1.15^(COUNTIF(C$4:C38,SUBSTITUTE(C39,""Sell_"",""""))-COUNTIF(C$4:C38,""Sell_""&amp;SUBSTITUTE(C39,""Sell_"",""""))))/4),ROUNDUP(INDEX(Upgrades!$C$3:$C$7,MATCH(C39,Upgrades!$B$3:$B$7,0))*1.15^(COUNTIF(C$4:C38,C39)-COUNTIF(C$4:C38,""Sell_""&amp;C39)))))))"),536.0)</f>
        <v>536</v>
      </c>
      <c r="H39" s="14">
        <f t="shared" si="3"/>
        <v>536</v>
      </c>
      <c r="I39" s="75">
        <f t="shared" si="4"/>
        <v>135317.9045</v>
      </c>
      <c r="J39" s="76">
        <f t="shared" si="5"/>
        <v>182.1251016</v>
      </c>
      <c r="K39" s="71" t="str">
        <f t="shared" si="6"/>
        <v>3m 02s</v>
      </c>
      <c r="L39" s="77">
        <f t="shared" si="7"/>
        <v>16148</v>
      </c>
      <c r="M39" s="51">
        <f t="shared" si="8"/>
        <v>0</v>
      </c>
      <c r="N39" s="52">
        <f>IFERROR(__xludf.DUMMYFUNCTION("IFS(AND(COUNTA(C39:C147)=0,COUNTA(P39:P147)=0),"""",OR(AND(L39&gt;=1000000,OR(Y39&gt;=1000000,COUNTA(P39:P147)=0)),AND(Y39&gt;=1000000,COUNTA(C39:C147)=0),AND(COUNTA(P39:P147)=0,O$3=TRUE)),
ROUNDDOWN((AB$1-AC$1)*MAX(INDEX(S$4:S147,MATCH(LARGE(FILTER(Y$4:Y147,Y$4:Y"&amp;"147&lt;1000000),1),Y$4:Y147)),INDEX(F$4:F147,MATCH(LARGE(FILTER(L$4:L147,L$4:L147&lt;1000000),1),L$4:L147)))),AND(L39&lt;1000000,COUNTA(C39:C147)&gt;0,O$3=FALSE),
ROUNDDOWN(INDEX(Y$4:Y147,MATCH(LARGE(FILTER(W$4:W147,W$4:W147&lt;=J39),1),W$4:W147))+(J39-LARGE(FILTER(W$4:"&amp;"W147,W$4:W147&lt;=J39),1))*INDEX(S$4:S147,MATCH(LARGE(FILTER(W$4:W147,W$4:W147&lt;=J39),1),W$4:W147))-L39),1,
ROUNDDOWN(Y39-INDEX(L$4:L147,MATCH(LARGE(FILTER(J$4:J147,J$4:J147&lt;=W39),1),J$4:J147))-(W39-LARGE(FILTER(J$4:J147,J$4:J147&lt;=W39),1))*INDEX(F$4:F147,MATC"&amp;"H(LARGE(FILTER(J$4:J147,J$4:J147&lt;=W39),1),J$4:J147))))"),0.0)</f>
        <v>0</v>
      </c>
      <c r="O39" s="65">
        <f t="shared" si="9"/>
        <v>13</v>
      </c>
      <c r="P39" s="66" t="s">
        <v>13</v>
      </c>
      <c r="Q39" s="14" t="b">
        <f>IFERROR(__xludf.DUMMYFUNCTION("IF(COUNTA(P39:P147)=0,"""",IFERROR(IF(ISBLANK(P39),FALSE,IF(ISBLANK(T39),1,IF(NOT(COUNTIF($AA$24:$AA$34,SUBSTITUTE(P39,""Sell_"",""""))),1,IF(P39=""Plastic_up"",IF(V39&lt;1000,1),IF(P39=""Super_Up"",IF(OR(COUNTIF(P$4:P39,""Grandma"")-COUNTIF(P$4:P39,""Sell_G"&amp;"randma"")&lt;1,COUNTIF(P$4:P39,VLOOKUP(P39,Upgrades!$F$8:$N$8,7+COUNTIF(P$4:P39,P39)))-COUNTIF(P$4:P39,""Sell_""&amp;VLOOKUP(P39,Upgrades!$F$8:$N$8,7+COUNTIF(P$4:P39,P39)))&lt;15),1),IF(REGEXMATCH(P39,""_up""),IF(COUNTIF(P$4:P39,SUBSTITUTE(P39,""_up"",""""))&lt;IFERRO"&amp;"R(VLOOKUP(P39,Upgrades!$L$3:$P$6,1+COUNTIF(P$4:P39,P39),0),999),1),IF(REGEXMATCH(P39,""Sell_""),IF(COUNTIF(P$4:P39,SUBSTITUTE(P39,""Sell_"",""""))-COUNTIF(P$4:P38,P39)&lt;1,1),FALSE)))))))))"),FALSE)</f>
        <v>0</v>
      </c>
      <c r="R39" s="71">
        <f>IFERROR(__xludf.DUMMYFUNCTION("IF(REGEXMATCH(P39,""^Sell_""),R38, IF(COUNTA(P39:P147)=0,"""",(COUNTIF(P$4:P39,""Cursor"")-COUNTIF(P$4:P39,""Sell_Cursor""))*(0.1*2^SWITCH(COUNTIF(P$4:P39,""Cursor_up""),0,0,1,1,2,2,3)+SWITCH(COUNTIF(P$4:P39,""Cursor_up""),4,0.1,0)*(ROW(P39)-4-COUNTIF(P$4"&amp;":P39,""Cursor"")-COUNTIF(P$4:P39,""*""&amp;""_up"")-2*COUNTIF(P$4:P39,""Sell_""&amp;""*"")+COUNTIF(P$4:P39,""Sell_Cursor"")-COUNTIF(P$4:P39,"""")))+(COUNTIF(P$4:P39,""Grandma"")-COUNTIF(P$4:P39,""Sell_Grandma""))*(1*2^(COUNTIF(P$4:P39,""Grandma_up"")+COUNTIF(P$4:"&amp;"P39,""Super_up"")))+(COUNTIF(P$4:P39,""Farm"")-COUNTIF(P$4:P39,""Sell_Farm""))*(8*2^COUNTIF(P$4:P39,""Farm_up""))*IF(COUNTIF(P$4:P39,""Super_up"")&gt;0,1+0.01*(COUNTIF(P$4:P39,""Grandma"")-COUNTIF(P$4:P39,""Sell_Grandma"")),1)+(COUNTIF(P$4:P39,""Mine"")-COUN"&amp;"TIF(P$4:P39,""Sell_Mine""))*((47*2^COUNTIF(P$4:P39,""Mine_up""))*IF(COUNTIF(P$4:P39,""Super_up"")&gt;1,1+0.005*(COUNTIF(P$4:P39,""Grandma"")-COUNTIF(P$4:P39,""Sell_Grandma"")),1))+(COUNTIF(P$4:P39,""Factory"")-COUNTIF(P$4:P39,""Sell_Factory""))*(260*2^COUNTI"&amp;"F(P$4:P39,""Factory_up""))))"),89.6)</f>
        <v>89.6</v>
      </c>
      <c r="S39" s="73">
        <f>IFERROR(__xludf.DUMMYFUNCTION("IF(COUNTA(P39:P147)=0,"""",IF(REGEXMATCH(INDEX(FILTER(P$4:P39,P$4:P39&lt;&gt;""""),ROWS(FILTER(P$4:P39,P$4:P39&lt;&gt;""""))),""^Sell_""),INDEX(FILTER(S$4:S38,P$4:P38&lt;&gt;""""),ROWS(FILTER(P$4:P38,P$4:P38&lt;&gt;""""))),$AD$5*(2^SWITCH(COUNTIF(P$4:P39,""Cursor_up""),0,0,1,1,2"&amp;",2,3)+SWITCH(COUNTIF(P$4:P39,""Cursor_up""),4,0.1,0)*(ROW(P39)-4-COUNTIF(P$4:P39,""Cursor"")-COUNTIF(P$4:P39,""*""&amp;""_up"")-2*COUNTIF(P$4:P39,""Sell_""&amp;""*"")+COUNTIF(P$4:P39,""Sell_Cursor"")-COUNTIF(P$4:P39,""""))+0.01*R39*COUNTIF(P$4:P39,""Plastic_up"")"&amp;")+R39))"),149.6)</f>
        <v>149.6</v>
      </c>
      <c r="T39" s="14">
        <f>IFERROR(__xludf.DUMMYFUNCTION("IF(COUNTA(P39:P147)=0,"""",IF(REGEXMATCH(P39,""_up""),VLOOKUP(P39,Upgrades!$F$3:$J$8,1+COUNTIF(P$4:P39,P39),FALSE),IF(P39="""",0,IF(REGEXMATCH(P39,""^Sell_""),-ROUNDDOWN(ROUNDUP(INDEX(Upgrades!$C$3:$C$8,MATCH(SUBSTITUTE(P39,""Sell_"",""""),Upgrades!$B$3:$"&amp;"B$8,0))*1.15^(COUNTIF(P$4:P38,SUBSTITUTE(P39,""Sell_"",""""))-COUNTIF(P$4:P38,""Sell_""&amp;SUBSTITUTE(P39,""Sell_"",""""))))/4),ROUNDUP(INDEX(Upgrades!$C$3:$C$7,MATCH(P39,Upgrades!$B$3:$B$7,0))*1.15^(COUNTIF(P$4:P38,P39)-COUNTIF(P$4:P38,""Sell_""&amp;P39)))))))"),536.0)</f>
        <v>536</v>
      </c>
      <c r="U39" s="14">
        <f t="shared" si="10"/>
        <v>536</v>
      </c>
      <c r="V39" s="75">
        <f t="shared" si="11"/>
        <v>135317.9045</v>
      </c>
      <c r="W39" s="76">
        <f t="shared" si="12"/>
        <v>182.1251016</v>
      </c>
      <c r="X39" s="71" t="str">
        <f t="shared" si="13"/>
        <v>3m 02s</v>
      </c>
      <c r="Y39" s="77">
        <f t="shared" si="14"/>
        <v>16148</v>
      </c>
      <c r="Z39" s="17"/>
      <c r="AA39" s="87" t="s">
        <v>63</v>
      </c>
      <c r="AB39" s="88"/>
      <c r="AC39" s="81" t="str">
        <f>IF(AF2&lt;0,"YES","NO")</f>
        <v>NO</v>
      </c>
      <c r="AD39" s="117" t="s">
        <v>86</v>
      </c>
      <c r="AE39" s="79"/>
    </row>
    <row r="40">
      <c r="A40" s="12"/>
      <c r="B40" s="65">
        <f t="shared" si="2"/>
        <v>14</v>
      </c>
      <c r="C40" s="66" t="s">
        <v>13</v>
      </c>
      <c r="D40" s="14" t="b">
        <f>IFERROR(__xludf.DUMMYFUNCTION("IF(COUNTA(C40:C147)=0,"""",IFERROR(IF(ISBLANK(C40),FALSE,IF(ISBLANK(G40),1,IF(NOT(COUNTIF($AA$24:$AA$34,SUBSTITUTE(C40,""Sell_"",""""))),1,IF(C40=""Plastic_up"",IF(I40&lt;1000,1),IF(C40=""Super_Up"",IF(OR(COUNTIF(C$4:C40,""Grandma"")-COUNTIF(C$4:C40,""Sell_G"&amp;"randma"")&lt;1,COUNTIF(C$4:C40,VLOOKUP(C40,Upgrades!$F$8:$N$8,7+COUNTIF(C$4:C40,C40)))-COUNTIF(C$4:C40,""Sell_""&amp;VLOOKUP(C40,Upgrades!$F$8:$N$8,7+COUNTIF(C$4:C40,C40)))&lt;15),1),IF(REGEXMATCH(C40,""_up""),IF(COUNTIF(C$4:C40,SUBSTITUTE(C40,""_up"",""""))&lt;IFERRO"&amp;"R(VLOOKUP(C40,Upgrades!$L$3:$P$6,1+COUNTIF(C$4:C40,C40),0),999),1),IF(REGEXMATCH(C40,""Sell_""),IF(COUNTIF(C$4:C40,SUBSTITUTE(C40,""Sell_"",""""))-COUNTIF(C$4:C39,C40)&lt;1,1),FALSE)))))))))"),FALSE)</f>
        <v>0</v>
      </c>
      <c r="E40" s="71">
        <f>IFERROR(__xludf.DUMMYFUNCTION("IF(REGEXMATCH(C40,""^Sell_""),E39, IF(COUNTA(C40:C147)=0,"""",(COUNTIF(C$4:C40,""Cursor"")-COUNTIF(C$4:C40,""Sell_Cursor""))*(0.1*2^SWITCH(COUNTIF(C$4:C40,""Cursor_up""),0,0,1,1,2,2,3)+SWITCH(COUNTIF(C$4:C40,""Cursor_up""),4,0.1,0)*(ROW(C40)-4-COUNTIF(C$4"&amp;":C40,""Cursor"")-COUNTIF(C$4:C40,""*""&amp;""_up"")-2*COUNTIF(C$4:C40,""Sell_""&amp;""*"")+COUNTIF(C$4:C40,""Sell_Cursor"")-COUNTIF(C$4:C40,"""")))+(COUNTIF(C$4:C40,""Grandma"")-COUNTIF(C$4:C40,""Sell_Grandma""))*(1*2^(COUNTIF(C$4:C40,""Grandma_up"")+COUNTIF(C$4:"&amp;"C40,""Super_up"")))+(COUNTIF(C$4:C40,""Farm"")-COUNTIF(C$4:C40,""Sell_Farm""))*(8*2^COUNTIF(C$4:C40,""Farm_up""))*IF(COUNTIF(C$4:C40,""Super_up"")&gt;0,1+0.01*(COUNTIF(C$4:C40,""Grandma"")-COUNTIF(C$4:C40,""Sell_Grandma"")),1)+(COUNTIF(C$4:C40,""Mine"")-COUN"&amp;"TIF(C$4:C40,""Sell_Mine""))*((47*2^COUNTIF(C$4:C40,""Mine_up""))*IF(COUNTIF(C$4:C40,""Super_up"")&gt;1,1+0.005*(COUNTIF(C$4:C40,""Grandma"")-COUNTIF(C$4:C40,""Sell_Grandma"")),1))+(COUNTIF(C$4:C40,""Factory"")-COUNTIF(C$4:C40,""Sell_Factory""))*(260*2^COUNTI"&amp;"F(C$4:C40,""Factory_up""))))"),93.6)</f>
        <v>93.6</v>
      </c>
      <c r="F40" s="73">
        <f>IFERROR(__xludf.DUMMYFUNCTION("IF(COUNTA(C40:C147)=0,"""",IF(REGEXMATCH(INDEX(FILTER(C$4:C40,C$4:C40&lt;&gt;""""),ROWS(FILTER(C$4:C40,C$4:C40&lt;&gt;""""))),""^Sell_""),INDEX(FILTER(F$4:F39,C$4:C39&lt;&gt;""""),ROWS(FILTER(C$4:C39,C$4:C39&lt;&gt;""""))),$AC$5*(2^SWITCH(COUNTIF(C$4:C40,""Cursor_up""),0,0,1,1,2"&amp;",2,3)+SWITCH(COUNTIF(C$4:C40,""Cursor_up""),4,0.1,0)*(ROW(C40)-4-COUNTIF(C$4:C40,""Cursor"")-COUNTIF(C$4:C40,""*""&amp;""_up"")-2*COUNTIF(C$4:C40,""Sell_""&amp;""*"")+COUNTIF(C$4:C40,""Sell_Cursor"")-COUNTIF(C$4:C40,""""))+0.01*E40*COUNTIF(C$4:C40,""Plastic_up"")"&amp;")+E40))"),153.6)</f>
        <v>153.6</v>
      </c>
      <c r="G40" s="14">
        <f>IFERROR(__xludf.DUMMYFUNCTION("IF(COUNTA(C40:C147)=0,"""",IF(REGEXMATCH(C40,""_up""),VLOOKUP(C40,Upgrades!$F$3:$J$8,1+COUNTIF(C$4:C40,C40),FALSE),IF(C40="""",0,IF(REGEXMATCH(C40,""^Sell_""),-ROUNDDOWN(ROUNDUP(INDEX(Upgrades!$C$3:$C$8,MATCH(SUBSTITUTE(C40,""Sell_"",""""),Upgrades!$B$3:$"&amp;"B$8,0))*1.15^(COUNTIF(C$4:C39,SUBSTITUTE(C40,""Sell_"",""""))-COUNTIF(C$4:C39,""Sell_""&amp;SUBSTITUTE(C40,""Sell_"",""""))))/4),ROUNDUP(INDEX(Upgrades!$C$3:$C$7,MATCH(C40,Upgrades!$B$3:$B$7,0))*1.15^(COUNTIF(C$4:C39,C40)-COUNTIF(C$4:C39,""Sell_""&amp;C40)))))))"),616.0)</f>
        <v>616</v>
      </c>
      <c r="H40" s="14">
        <f t="shared" si="3"/>
        <v>616</v>
      </c>
      <c r="I40" s="75">
        <f t="shared" si="4"/>
        <v>146492.4694</v>
      </c>
      <c r="J40" s="76">
        <f t="shared" si="5"/>
        <v>186.2427487</v>
      </c>
      <c r="K40" s="71" t="str">
        <f t="shared" si="6"/>
        <v>3m 06s</v>
      </c>
      <c r="L40" s="77">
        <f t="shared" si="7"/>
        <v>16764</v>
      </c>
      <c r="M40" s="51">
        <f t="shared" si="8"/>
        <v>0</v>
      </c>
      <c r="N40" s="52">
        <f>IFERROR(__xludf.DUMMYFUNCTION("IFS(AND(COUNTA(C40:C147)=0,COUNTA(P40:P147)=0),"""",OR(AND(L40&gt;=1000000,OR(Y40&gt;=1000000,COUNTA(P40:P147)=0)),AND(Y40&gt;=1000000,COUNTA(C40:C147)=0),AND(COUNTA(P40:P147)=0,O$3=TRUE)),
ROUNDDOWN((AB$1-AC$1)*MAX(INDEX(S$4:S147,MATCH(LARGE(FILTER(Y$4:Y147,Y$4:Y"&amp;"147&lt;1000000),1),Y$4:Y147)),INDEX(F$4:F147,MATCH(LARGE(FILTER(L$4:L147,L$4:L147&lt;1000000),1),L$4:L147)))),AND(L40&lt;1000000,COUNTA(C40:C147)&gt;0,O$3=FALSE),
ROUNDDOWN(INDEX(Y$4:Y147,MATCH(LARGE(FILTER(W$4:W147,W$4:W147&lt;=J40),1),W$4:W147))+(J40-LARGE(FILTER(W$4:"&amp;"W147,W$4:W147&lt;=J40),1))*INDEX(S$4:S147,MATCH(LARGE(FILTER(W$4:W147,W$4:W147&lt;=J40),1),W$4:W147))-L40),1,
ROUNDDOWN(Y40-INDEX(L$4:L147,MATCH(LARGE(FILTER(J$4:J147,J$4:J147&lt;=W40),1),J$4:J147))-(W40-LARGE(FILTER(J$4:J147,J$4:J147&lt;=W40),1))*INDEX(F$4:F147,MATC"&amp;"H(LARGE(FILTER(J$4:J147,J$4:J147&lt;=W40),1),J$4:J147))))"),0.0)</f>
        <v>0</v>
      </c>
      <c r="O40" s="65">
        <f t="shared" si="9"/>
        <v>14</v>
      </c>
      <c r="P40" s="66" t="s">
        <v>13</v>
      </c>
      <c r="Q40" s="14" t="b">
        <f>IFERROR(__xludf.DUMMYFUNCTION("IF(COUNTA(P40:P147)=0,"""",IFERROR(IF(ISBLANK(P40),FALSE,IF(ISBLANK(T40),1,IF(NOT(COUNTIF($AA$24:$AA$34,SUBSTITUTE(P40,""Sell_"",""""))),1,IF(P40=""Plastic_up"",IF(V40&lt;1000,1),IF(P40=""Super_Up"",IF(OR(COUNTIF(P$4:P40,""Grandma"")-COUNTIF(P$4:P40,""Sell_G"&amp;"randma"")&lt;1,COUNTIF(P$4:P40,VLOOKUP(P40,Upgrades!$F$8:$N$8,7+COUNTIF(P$4:P40,P40)))-COUNTIF(P$4:P40,""Sell_""&amp;VLOOKUP(P40,Upgrades!$F$8:$N$8,7+COUNTIF(P$4:P40,P40)))&lt;15),1),IF(REGEXMATCH(P40,""_up""),IF(COUNTIF(P$4:P40,SUBSTITUTE(P40,""_up"",""""))&lt;IFERRO"&amp;"R(VLOOKUP(P40,Upgrades!$L$3:$P$6,1+COUNTIF(P$4:P40,P40),0),999),1),IF(REGEXMATCH(P40,""Sell_""),IF(COUNTIF(P$4:P40,SUBSTITUTE(P40,""Sell_"",""""))-COUNTIF(P$4:P39,P40)&lt;1,1),FALSE)))))))))"),FALSE)</f>
        <v>0</v>
      </c>
      <c r="R40" s="71">
        <f>IFERROR(__xludf.DUMMYFUNCTION("IF(REGEXMATCH(P40,""^Sell_""),R39, IF(COUNTA(P40:P147)=0,"""",(COUNTIF(P$4:P40,""Cursor"")-COUNTIF(P$4:P40,""Sell_Cursor""))*(0.1*2^SWITCH(COUNTIF(P$4:P40,""Cursor_up""),0,0,1,1,2,2,3)+SWITCH(COUNTIF(P$4:P40,""Cursor_up""),4,0.1,0)*(ROW(P40)-4-COUNTIF(P$4"&amp;":P40,""Cursor"")-COUNTIF(P$4:P40,""*""&amp;""_up"")-2*COUNTIF(P$4:P40,""Sell_""&amp;""*"")+COUNTIF(P$4:P40,""Sell_Cursor"")-COUNTIF(P$4:P40,"""")))+(COUNTIF(P$4:P40,""Grandma"")-COUNTIF(P$4:P40,""Sell_Grandma""))*(1*2^(COUNTIF(P$4:P40,""Grandma_up"")+COUNTIF(P$4:"&amp;"P40,""Super_up"")))+(COUNTIF(P$4:P40,""Farm"")-COUNTIF(P$4:P40,""Sell_Farm""))*(8*2^COUNTIF(P$4:P40,""Farm_up""))*IF(COUNTIF(P$4:P40,""Super_up"")&gt;0,1+0.01*(COUNTIF(P$4:P40,""Grandma"")-COUNTIF(P$4:P40,""Sell_Grandma"")),1)+(COUNTIF(P$4:P40,""Mine"")-COUN"&amp;"TIF(P$4:P40,""Sell_Mine""))*((47*2^COUNTIF(P$4:P40,""Mine_up""))*IF(COUNTIF(P$4:P40,""Super_up"")&gt;1,1+0.005*(COUNTIF(P$4:P40,""Grandma"")-COUNTIF(P$4:P40,""Sell_Grandma"")),1))+(COUNTIF(P$4:P40,""Factory"")-COUNTIF(P$4:P40,""Sell_Factory""))*(260*2^COUNTI"&amp;"F(P$4:P40,""Factory_up""))))"),93.6)</f>
        <v>93.6</v>
      </c>
      <c r="S40" s="73">
        <f>IFERROR(__xludf.DUMMYFUNCTION("IF(COUNTA(P40:P147)=0,"""",IF(REGEXMATCH(INDEX(FILTER(P$4:P40,P$4:P40&lt;&gt;""""),ROWS(FILTER(P$4:P40,P$4:P40&lt;&gt;""""))),""^Sell_""),INDEX(FILTER(S$4:S39,P$4:P39&lt;&gt;""""),ROWS(FILTER(P$4:P39,P$4:P39&lt;&gt;""""))),$AD$5*(2^SWITCH(COUNTIF(P$4:P40,""Cursor_up""),0,0,1,1,2"&amp;",2,3)+SWITCH(COUNTIF(P$4:P40,""Cursor_up""),4,0.1,0)*(ROW(P40)-4-COUNTIF(P$4:P40,""Cursor"")-COUNTIF(P$4:P40,""*""&amp;""_up"")-2*COUNTIF(P$4:P40,""Sell_""&amp;""*"")+COUNTIF(P$4:P40,""Sell_Cursor"")-COUNTIF(P$4:P40,""""))+0.01*R40*COUNTIF(P$4:P40,""Plastic_up"")"&amp;")+R40))"),153.6)</f>
        <v>153.6</v>
      </c>
      <c r="T40" s="14">
        <f>IFERROR(__xludf.DUMMYFUNCTION("IF(COUNTA(P40:P147)=0,"""",IF(REGEXMATCH(P40,""_up""),VLOOKUP(P40,Upgrades!$F$3:$J$8,1+COUNTIF(P$4:P40,P40),FALSE),IF(P40="""",0,IF(REGEXMATCH(P40,""^Sell_""),-ROUNDDOWN(ROUNDUP(INDEX(Upgrades!$C$3:$C$8,MATCH(SUBSTITUTE(P40,""Sell_"",""""),Upgrades!$B$3:$"&amp;"B$8,0))*1.15^(COUNTIF(P$4:P39,SUBSTITUTE(P40,""Sell_"",""""))-COUNTIF(P$4:P39,""Sell_""&amp;SUBSTITUTE(P40,""Sell_"",""""))))/4),ROUNDUP(INDEX(Upgrades!$C$3:$C$7,MATCH(P40,Upgrades!$B$3:$B$7,0))*1.15^(COUNTIF(P$4:P39,P40)-COUNTIF(P$4:P39,""Sell_""&amp;P40)))))))"),616.0)</f>
        <v>616</v>
      </c>
      <c r="U40" s="14">
        <f t="shared" si="10"/>
        <v>616</v>
      </c>
      <c r="V40" s="75">
        <f t="shared" si="11"/>
        <v>146492.4694</v>
      </c>
      <c r="W40" s="76">
        <f t="shared" si="12"/>
        <v>186.2427487</v>
      </c>
      <c r="X40" s="71" t="str">
        <f t="shared" si="13"/>
        <v>3m 06s</v>
      </c>
      <c r="Y40" s="77">
        <f t="shared" si="14"/>
        <v>16764</v>
      </c>
      <c r="Z40" s="17"/>
    </row>
    <row r="41">
      <c r="A41" s="12"/>
      <c r="B41" s="65">
        <f t="shared" si="2"/>
        <v>15</v>
      </c>
      <c r="C41" s="66" t="s">
        <v>13</v>
      </c>
      <c r="D41" s="14" t="b">
        <f>IFERROR(__xludf.DUMMYFUNCTION("IF(COUNTA(C41:C147)=0,"""",IFERROR(IF(ISBLANK(C41),FALSE,IF(ISBLANK(G41),1,IF(NOT(COUNTIF($AA$24:$AA$34,SUBSTITUTE(C41,""Sell_"",""""))),1,IF(C41=""Plastic_up"",IF(I41&lt;1000,1),IF(C41=""Super_Up"",IF(OR(COUNTIF(C$4:C41,""Grandma"")-COUNTIF(C$4:C41,""Sell_G"&amp;"randma"")&lt;1,COUNTIF(C$4:C41,VLOOKUP(C41,Upgrades!$F$8:$N$8,7+COUNTIF(C$4:C41,C41)))-COUNTIF(C$4:C41,""Sell_""&amp;VLOOKUP(C41,Upgrades!$F$8:$N$8,7+COUNTIF(C$4:C41,C41)))&lt;15),1),IF(REGEXMATCH(C41,""_up""),IF(COUNTIF(C$4:C41,SUBSTITUTE(C41,""_up"",""""))&lt;IFERRO"&amp;"R(VLOOKUP(C41,Upgrades!$L$3:$P$6,1+COUNTIF(C$4:C41,C41),0),999),1),IF(REGEXMATCH(C41,""Sell_""),IF(COUNTIF(C$4:C41,SUBSTITUTE(C41,""Sell_"",""""))-COUNTIF(C$4:C40,C41)&lt;1,1),FALSE)))))))))"),FALSE)</f>
        <v>0</v>
      </c>
      <c r="E41" s="71">
        <f>IFERROR(__xludf.DUMMYFUNCTION("IF(REGEXMATCH(C41,""^Sell_""),E40, IF(COUNTA(C41:C147)=0,"""",(COUNTIF(C$4:C41,""Cursor"")-COUNTIF(C$4:C41,""Sell_Cursor""))*(0.1*2^SWITCH(COUNTIF(C$4:C41,""Cursor_up""),0,0,1,1,2,2,3)+SWITCH(COUNTIF(C$4:C41,""Cursor_up""),4,0.1,0)*(ROW(C41)-4-COUNTIF(C$4"&amp;":C41,""Cursor"")-COUNTIF(C$4:C41,""*""&amp;""_up"")-2*COUNTIF(C$4:C41,""Sell_""&amp;""*"")+COUNTIF(C$4:C41,""Sell_Cursor"")-COUNTIF(C$4:C41,"""")))+(COUNTIF(C$4:C41,""Grandma"")-COUNTIF(C$4:C41,""Sell_Grandma""))*(1*2^(COUNTIF(C$4:C41,""Grandma_up"")+COUNTIF(C$4:"&amp;"C41,""Super_up"")))+(COUNTIF(C$4:C41,""Farm"")-COUNTIF(C$4:C41,""Sell_Farm""))*(8*2^COUNTIF(C$4:C41,""Farm_up""))*IF(COUNTIF(C$4:C41,""Super_up"")&gt;0,1+0.01*(COUNTIF(C$4:C41,""Grandma"")-COUNTIF(C$4:C41,""Sell_Grandma"")),1)+(COUNTIF(C$4:C41,""Mine"")-COUN"&amp;"TIF(C$4:C41,""Sell_Mine""))*((47*2^COUNTIF(C$4:C41,""Mine_up""))*IF(COUNTIF(C$4:C41,""Super_up"")&gt;1,1+0.005*(COUNTIF(C$4:C41,""Grandma"")-COUNTIF(C$4:C41,""Sell_Grandma"")),1))+(COUNTIF(C$4:C41,""Factory"")-COUNTIF(C$4:C41,""Sell_Factory""))*(260*2^COUNTI"&amp;"F(C$4:C41,""Factory_up""))))"),97.6)</f>
        <v>97.6</v>
      </c>
      <c r="F41" s="73">
        <f>IFERROR(__xludf.DUMMYFUNCTION("IF(COUNTA(C41:C147)=0,"""",IF(REGEXMATCH(INDEX(FILTER(C$4:C41,C$4:C41&lt;&gt;""""),ROWS(FILTER(C$4:C41,C$4:C41&lt;&gt;""""))),""^Sell_""),INDEX(FILTER(F$4:F40,C$4:C40&lt;&gt;""""),ROWS(FILTER(C$4:C40,C$4:C40&lt;&gt;""""))),$AC$5*(2^SWITCH(COUNTIF(C$4:C41,""Cursor_up""),0,0,1,1,2"&amp;",2,3)+SWITCH(COUNTIF(C$4:C41,""Cursor_up""),4,0.1,0)*(ROW(C41)-4-COUNTIF(C$4:C41,""Cursor"")-COUNTIF(C$4:C41,""*""&amp;""_up"")-2*COUNTIF(C$4:C41,""Sell_""&amp;""*"")+COUNTIF(C$4:C41,""Sell_Cursor"")-COUNTIF(C$4:C41,""""))+0.01*E41*COUNTIF(C$4:C41,""Plastic_up"")"&amp;")+E41))"),157.6)</f>
        <v>157.6</v>
      </c>
      <c r="G41" s="14">
        <f>IFERROR(__xludf.DUMMYFUNCTION("IF(COUNTA(C41:C147)=0,"""",IF(REGEXMATCH(C41,""_up""),VLOOKUP(C41,Upgrades!$F$3:$J$8,1+COUNTIF(C$4:C41,C41),FALSE),IF(C41="""",0,IF(REGEXMATCH(C41,""^Sell_""),-ROUNDDOWN(ROUNDUP(INDEX(Upgrades!$C$3:$C$8,MATCH(SUBSTITUTE(C41,""Sell_"",""""),Upgrades!$B$3:$"&amp;"B$8,0))*1.15^(COUNTIF(C$4:C40,SUBSTITUTE(C41,""Sell_"",""""))-COUNTIF(C$4:C40,""Sell_""&amp;SUBSTITUTE(C41,""Sell_"",""""))))/4),ROUNDUP(INDEX(Upgrades!$C$3:$C$7,MATCH(C41,Upgrades!$B$3:$B$7,0))*1.15^(COUNTIF(C$4:C40,C41)-COUNTIF(C$4:C40,""Sell_""&amp;C41)))))))"),708.0)</f>
        <v>708</v>
      </c>
      <c r="H41" s="14">
        <f t="shared" si="3"/>
        <v>708</v>
      </c>
      <c r="I41" s="75">
        <f t="shared" si="4"/>
        <v>157943.5968</v>
      </c>
      <c r="J41" s="76">
        <f t="shared" si="5"/>
        <v>190.8521237</v>
      </c>
      <c r="K41" s="71" t="str">
        <f t="shared" si="6"/>
        <v>3m 10s</v>
      </c>
      <c r="L41" s="77">
        <f t="shared" si="7"/>
        <v>17472</v>
      </c>
      <c r="M41" s="51">
        <f t="shared" si="8"/>
        <v>0</v>
      </c>
      <c r="N41" s="52">
        <f>IFERROR(__xludf.DUMMYFUNCTION("IFS(AND(COUNTA(C41:C147)=0,COUNTA(P41:P147)=0),"""",OR(AND(L41&gt;=1000000,OR(Y41&gt;=1000000,COUNTA(P41:P147)=0)),AND(Y41&gt;=1000000,COUNTA(C41:C147)=0),AND(COUNTA(P41:P147)=0,O$3=TRUE)),
ROUNDDOWN((AB$1-AC$1)*MAX(INDEX(S$4:S147,MATCH(LARGE(FILTER(Y$4:Y147,Y$4:Y"&amp;"147&lt;1000000),1),Y$4:Y147)),INDEX(F$4:F147,MATCH(LARGE(FILTER(L$4:L147,L$4:L147&lt;1000000),1),L$4:L147)))),AND(L41&lt;1000000,COUNTA(C41:C147)&gt;0,O$3=FALSE),
ROUNDDOWN(INDEX(Y$4:Y147,MATCH(LARGE(FILTER(W$4:W147,W$4:W147&lt;=J41),1),W$4:W147))+(J41-LARGE(FILTER(W$4:"&amp;"W147,W$4:W147&lt;=J41),1))*INDEX(S$4:S147,MATCH(LARGE(FILTER(W$4:W147,W$4:W147&lt;=J41),1),W$4:W147))-L41),1,
ROUNDDOWN(Y41-INDEX(L$4:L147,MATCH(LARGE(FILTER(J$4:J147,J$4:J147&lt;=W41),1),J$4:J147))-(W41-LARGE(FILTER(J$4:J147,J$4:J147&lt;=W41),1))*INDEX(F$4:F147,MATC"&amp;"H(LARGE(FILTER(J$4:J147,J$4:J147&lt;=W41),1),J$4:J147))))"),0.0)</f>
        <v>0</v>
      </c>
      <c r="O41" s="65">
        <f t="shared" si="9"/>
        <v>15</v>
      </c>
      <c r="P41" s="66" t="s">
        <v>13</v>
      </c>
      <c r="Q41" s="14" t="b">
        <f>IFERROR(__xludf.DUMMYFUNCTION("IF(COUNTA(P41:P147)=0,"""",IFERROR(IF(ISBLANK(P41),FALSE,IF(ISBLANK(T41),1,IF(NOT(COUNTIF($AA$24:$AA$34,SUBSTITUTE(P41,""Sell_"",""""))),1,IF(P41=""Plastic_up"",IF(V41&lt;1000,1),IF(P41=""Super_Up"",IF(OR(COUNTIF(P$4:P41,""Grandma"")-COUNTIF(P$4:P41,""Sell_G"&amp;"randma"")&lt;1,COUNTIF(P$4:P41,VLOOKUP(P41,Upgrades!$F$8:$N$8,7+COUNTIF(P$4:P41,P41)))-COUNTIF(P$4:P41,""Sell_""&amp;VLOOKUP(P41,Upgrades!$F$8:$N$8,7+COUNTIF(P$4:P41,P41)))&lt;15),1),IF(REGEXMATCH(P41,""_up""),IF(COUNTIF(P$4:P41,SUBSTITUTE(P41,""_up"",""""))&lt;IFERRO"&amp;"R(VLOOKUP(P41,Upgrades!$L$3:$P$6,1+COUNTIF(P$4:P41,P41),0),999),1),IF(REGEXMATCH(P41,""Sell_""),IF(COUNTIF(P$4:P41,SUBSTITUTE(P41,""Sell_"",""""))-COUNTIF(P$4:P40,P41)&lt;1,1),FALSE)))))))))"),FALSE)</f>
        <v>0</v>
      </c>
      <c r="R41" s="71">
        <f>IFERROR(__xludf.DUMMYFUNCTION("IF(REGEXMATCH(P41,""^Sell_""),R40, IF(COUNTA(P41:P147)=0,"""",(COUNTIF(P$4:P41,""Cursor"")-COUNTIF(P$4:P41,""Sell_Cursor""))*(0.1*2^SWITCH(COUNTIF(P$4:P41,""Cursor_up""),0,0,1,1,2,2,3)+SWITCH(COUNTIF(P$4:P41,""Cursor_up""),4,0.1,0)*(ROW(P41)-4-COUNTIF(P$4"&amp;":P41,""Cursor"")-COUNTIF(P$4:P41,""*""&amp;""_up"")-2*COUNTIF(P$4:P41,""Sell_""&amp;""*"")+COUNTIF(P$4:P41,""Sell_Cursor"")-COUNTIF(P$4:P41,"""")))+(COUNTIF(P$4:P41,""Grandma"")-COUNTIF(P$4:P41,""Sell_Grandma""))*(1*2^(COUNTIF(P$4:P41,""Grandma_up"")+COUNTIF(P$4:"&amp;"P41,""Super_up"")))+(COUNTIF(P$4:P41,""Farm"")-COUNTIF(P$4:P41,""Sell_Farm""))*(8*2^COUNTIF(P$4:P41,""Farm_up""))*IF(COUNTIF(P$4:P41,""Super_up"")&gt;0,1+0.01*(COUNTIF(P$4:P41,""Grandma"")-COUNTIF(P$4:P41,""Sell_Grandma"")),1)+(COUNTIF(P$4:P41,""Mine"")-COUN"&amp;"TIF(P$4:P41,""Sell_Mine""))*((47*2^COUNTIF(P$4:P41,""Mine_up""))*IF(COUNTIF(P$4:P41,""Super_up"")&gt;1,1+0.005*(COUNTIF(P$4:P41,""Grandma"")-COUNTIF(P$4:P41,""Sell_Grandma"")),1))+(COUNTIF(P$4:P41,""Factory"")-COUNTIF(P$4:P41,""Sell_Factory""))*(260*2^COUNTI"&amp;"F(P$4:P41,""Factory_up""))))"),97.6)</f>
        <v>97.6</v>
      </c>
      <c r="S41" s="73">
        <f>IFERROR(__xludf.DUMMYFUNCTION("IF(COUNTA(P41:P147)=0,"""",IF(REGEXMATCH(INDEX(FILTER(P$4:P41,P$4:P41&lt;&gt;""""),ROWS(FILTER(P$4:P41,P$4:P41&lt;&gt;""""))),""^Sell_""),INDEX(FILTER(S$4:S40,P$4:P40&lt;&gt;""""),ROWS(FILTER(P$4:P40,P$4:P40&lt;&gt;""""))),$AD$5*(2^SWITCH(COUNTIF(P$4:P41,""Cursor_up""),0,0,1,1,2"&amp;",2,3)+SWITCH(COUNTIF(P$4:P41,""Cursor_up""),4,0.1,0)*(ROW(P41)-4-COUNTIF(P$4:P41,""Cursor"")-COUNTIF(P$4:P41,""*""&amp;""_up"")-2*COUNTIF(P$4:P41,""Sell_""&amp;""*"")+COUNTIF(P$4:P41,""Sell_Cursor"")-COUNTIF(P$4:P41,""""))+0.01*R41*COUNTIF(P$4:P41,""Plastic_up"")"&amp;")+R41))"),157.6)</f>
        <v>157.6</v>
      </c>
      <c r="T41" s="14">
        <f>IFERROR(__xludf.DUMMYFUNCTION("IF(COUNTA(P41:P147)=0,"""",IF(REGEXMATCH(P41,""_up""),VLOOKUP(P41,Upgrades!$F$3:$J$8,1+COUNTIF(P$4:P41,P41),FALSE),IF(P41="""",0,IF(REGEXMATCH(P41,""^Sell_""),-ROUNDDOWN(ROUNDUP(INDEX(Upgrades!$C$3:$C$8,MATCH(SUBSTITUTE(P41,""Sell_"",""""),Upgrades!$B$3:$"&amp;"B$8,0))*1.15^(COUNTIF(P$4:P40,SUBSTITUTE(P41,""Sell_"",""""))-COUNTIF(P$4:P40,""Sell_""&amp;SUBSTITUTE(P41,""Sell_"",""""))))/4),ROUNDUP(INDEX(Upgrades!$C$3:$C$7,MATCH(P41,Upgrades!$B$3:$B$7,0))*1.15^(COUNTIF(P$4:P40,P41)-COUNTIF(P$4:P40,""Sell_""&amp;P41)))))))"),708.0)</f>
        <v>708</v>
      </c>
      <c r="U41" s="14">
        <f t="shared" si="10"/>
        <v>708</v>
      </c>
      <c r="V41" s="75">
        <f t="shared" si="11"/>
        <v>157943.5968</v>
      </c>
      <c r="W41" s="76">
        <f t="shared" si="12"/>
        <v>190.8521237</v>
      </c>
      <c r="X41" s="71" t="str">
        <f t="shared" si="13"/>
        <v>3m 10s</v>
      </c>
      <c r="Y41" s="77">
        <f t="shared" si="14"/>
        <v>17472</v>
      </c>
      <c r="Z41" s="17"/>
    </row>
    <row r="42">
      <c r="A42" s="12"/>
      <c r="B42" s="65">
        <f t="shared" si="2"/>
        <v>16</v>
      </c>
      <c r="C42" s="66" t="s">
        <v>13</v>
      </c>
      <c r="D42" s="14" t="b">
        <f>IFERROR(__xludf.DUMMYFUNCTION("IF(COUNTA(C42:C147)=0,"""",IFERROR(IF(ISBLANK(C42),FALSE,IF(ISBLANK(G42),1,IF(NOT(COUNTIF($AA$24:$AA$34,SUBSTITUTE(C42,""Sell_"",""""))),1,IF(C42=""Plastic_up"",IF(I42&lt;1000,1),IF(C42=""Super_Up"",IF(OR(COUNTIF(C$4:C42,""Grandma"")-COUNTIF(C$4:C42,""Sell_G"&amp;"randma"")&lt;1,COUNTIF(C$4:C42,VLOOKUP(C42,Upgrades!$F$8:$N$8,7+COUNTIF(C$4:C42,C42)))-COUNTIF(C$4:C42,""Sell_""&amp;VLOOKUP(C42,Upgrades!$F$8:$N$8,7+COUNTIF(C$4:C42,C42)))&lt;15),1),IF(REGEXMATCH(C42,""_up""),IF(COUNTIF(C$4:C42,SUBSTITUTE(C42,""_up"",""""))&lt;IFERRO"&amp;"R(VLOOKUP(C42,Upgrades!$L$3:$P$6,1+COUNTIF(C$4:C42,C42),0),999),1),IF(REGEXMATCH(C42,""Sell_""),IF(COUNTIF(C$4:C42,SUBSTITUTE(C42,""Sell_"",""""))-COUNTIF(C$4:C41,C42)&lt;1,1),FALSE)))))))))"),FALSE)</f>
        <v>0</v>
      </c>
      <c r="E42" s="71">
        <f>IFERROR(__xludf.DUMMYFUNCTION("IF(REGEXMATCH(C42,""^Sell_""),E41, IF(COUNTA(C42:C147)=0,"""",(COUNTIF(C$4:C42,""Cursor"")-COUNTIF(C$4:C42,""Sell_Cursor""))*(0.1*2^SWITCH(COUNTIF(C$4:C42,""Cursor_up""),0,0,1,1,2,2,3)+SWITCH(COUNTIF(C$4:C42,""Cursor_up""),4,0.1,0)*(ROW(C42)-4-COUNTIF(C$4"&amp;":C42,""Cursor"")-COUNTIF(C$4:C42,""*""&amp;""_up"")-2*COUNTIF(C$4:C42,""Sell_""&amp;""*"")+COUNTIF(C$4:C42,""Sell_Cursor"")-COUNTIF(C$4:C42,"""")))+(COUNTIF(C$4:C42,""Grandma"")-COUNTIF(C$4:C42,""Sell_Grandma""))*(1*2^(COUNTIF(C$4:C42,""Grandma_up"")+COUNTIF(C$4:"&amp;"C42,""Super_up"")))+(COUNTIF(C$4:C42,""Farm"")-COUNTIF(C$4:C42,""Sell_Farm""))*(8*2^COUNTIF(C$4:C42,""Farm_up""))*IF(COUNTIF(C$4:C42,""Super_up"")&gt;0,1+0.01*(COUNTIF(C$4:C42,""Grandma"")-COUNTIF(C$4:C42,""Sell_Grandma"")),1)+(COUNTIF(C$4:C42,""Mine"")-COUN"&amp;"TIF(C$4:C42,""Sell_Mine""))*((47*2^COUNTIF(C$4:C42,""Mine_up""))*IF(COUNTIF(C$4:C42,""Super_up"")&gt;1,1+0.005*(COUNTIF(C$4:C42,""Grandma"")-COUNTIF(C$4:C42,""Sell_Grandma"")),1))+(COUNTIF(C$4:C42,""Factory"")-COUNTIF(C$4:C42,""Sell_Factory""))*(260*2^COUNTI"&amp;"F(C$4:C42,""Factory_up""))))"),101.6)</f>
        <v>101.6</v>
      </c>
      <c r="F42" s="73">
        <f>IFERROR(__xludf.DUMMYFUNCTION("IF(COUNTA(C42:C147)=0,"""",IF(REGEXMATCH(INDEX(FILTER(C$4:C42,C$4:C42&lt;&gt;""""),ROWS(FILTER(C$4:C42,C$4:C42&lt;&gt;""""))),""^Sell_""),INDEX(FILTER(F$4:F41,C$4:C41&lt;&gt;""""),ROWS(FILTER(C$4:C41,C$4:C41&lt;&gt;""""))),$AC$5*(2^SWITCH(COUNTIF(C$4:C42,""Cursor_up""),0,0,1,1,2"&amp;",2,3)+SWITCH(COUNTIF(C$4:C42,""Cursor_up""),4,0.1,0)*(ROW(C42)-4-COUNTIF(C$4:C42,""Cursor"")-COUNTIF(C$4:C42,""*""&amp;""_up"")-2*COUNTIF(C$4:C42,""Sell_""&amp;""*"")+COUNTIF(C$4:C42,""Sell_Cursor"")-COUNTIF(C$4:C42,""""))+0.01*E42*COUNTIF(C$4:C42,""Plastic_up"")"&amp;")+E42))"),161.6)</f>
        <v>161.6</v>
      </c>
      <c r="G42" s="14">
        <f>IFERROR(__xludf.DUMMYFUNCTION("IF(COUNTA(C42:C147)=0,"""",IF(REGEXMATCH(C42,""_up""),VLOOKUP(C42,Upgrades!$F$3:$J$8,1+COUNTIF(C$4:C42,C42),FALSE),IF(C42="""",0,IF(REGEXMATCH(C42,""^Sell_""),-ROUNDDOWN(ROUNDUP(INDEX(Upgrades!$C$3:$C$8,MATCH(SUBSTITUTE(C42,""Sell_"",""""),Upgrades!$B$3:$"&amp;"B$8,0))*1.15^(COUNTIF(C$4:C41,SUBSTITUTE(C42,""Sell_"",""""))-COUNTIF(C$4:C41,""Sell_""&amp;SUBSTITUTE(C42,""Sell_"",""""))))/4),ROUNDUP(INDEX(Upgrades!$C$3:$C$7,MATCH(C42,Upgrades!$B$3:$B$7,0))*1.15^(COUNTIF(C$4:C41,C42)-COUNTIF(C$4:C41,""Sell_""&amp;C42)))))))"),814.0)</f>
        <v>814</v>
      </c>
      <c r="H42" s="14">
        <f t="shared" si="3"/>
        <v>814</v>
      </c>
      <c r="I42" s="75">
        <f t="shared" si="4"/>
        <v>169704.6227</v>
      </c>
      <c r="J42" s="76">
        <f t="shared" si="5"/>
        <v>196.0170983</v>
      </c>
      <c r="K42" s="71" t="str">
        <f t="shared" si="6"/>
        <v>3m 16s</v>
      </c>
      <c r="L42" s="77">
        <f t="shared" si="7"/>
        <v>18286</v>
      </c>
      <c r="M42" s="51">
        <f t="shared" si="8"/>
        <v>0</v>
      </c>
      <c r="N42" s="52">
        <f>IFERROR(__xludf.DUMMYFUNCTION("IFS(AND(COUNTA(C42:C147)=0,COUNTA(P42:P147)=0),"""",OR(AND(L42&gt;=1000000,OR(Y42&gt;=1000000,COUNTA(P42:P147)=0)),AND(Y42&gt;=1000000,COUNTA(C42:C147)=0),AND(COUNTA(P42:P147)=0,O$3=TRUE)),
ROUNDDOWN((AB$1-AC$1)*MAX(INDEX(S$4:S147,MATCH(LARGE(FILTER(Y$4:Y147,Y$4:Y"&amp;"147&lt;1000000),1),Y$4:Y147)),INDEX(F$4:F147,MATCH(LARGE(FILTER(L$4:L147,L$4:L147&lt;1000000),1),L$4:L147)))),AND(L42&lt;1000000,COUNTA(C42:C147)&gt;0,O$3=FALSE),
ROUNDDOWN(INDEX(Y$4:Y147,MATCH(LARGE(FILTER(W$4:W147,W$4:W147&lt;=J42),1),W$4:W147))+(J42-LARGE(FILTER(W$4:"&amp;"W147,W$4:W147&lt;=J42),1))*INDEX(S$4:S147,MATCH(LARGE(FILTER(W$4:W147,W$4:W147&lt;=J42),1),W$4:W147))-L42),1,
ROUNDDOWN(Y42-INDEX(L$4:L147,MATCH(LARGE(FILTER(J$4:J147,J$4:J147&lt;=W42),1),J$4:J147))-(W42-LARGE(FILTER(J$4:J147,J$4:J147&lt;=W42),1))*INDEX(F$4:F147,MATC"&amp;"H(LARGE(FILTER(J$4:J147,J$4:J147&lt;=W42),1),J$4:J147))))"),0.0)</f>
        <v>0</v>
      </c>
      <c r="O42" s="65">
        <f t="shared" si="9"/>
        <v>16</v>
      </c>
      <c r="P42" s="66" t="s">
        <v>13</v>
      </c>
      <c r="Q42" s="14" t="b">
        <f>IFERROR(__xludf.DUMMYFUNCTION("IF(COUNTA(P42:P147)=0,"""",IFERROR(IF(ISBLANK(P42),FALSE,IF(ISBLANK(T42),1,IF(NOT(COUNTIF($AA$24:$AA$34,SUBSTITUTE(P42,""Sell_"",""""))),1,IF(P42=""Plastic_up"",IF(V42&lt;1000,1),IF(P42=""Super_Up"",IF(OR(COUNTIF(P$4:P42,""Grandma"")-COUNTIF(P$4:P42,""Sell_G"&amp;"randma"")&lt;1,COUNTIF(P$4:P42,VLOOKUP(P42,Upgrades!$F$8:$N$8,7+COUNTIF(P$4:P42,P42)))-COUNTIF(P$4:P42,""Sell_""&amp;VLOOKUP(P42,Upgrades!$F$8:$N$8,7+COUNTIF(P$4:P42,P42)))&lt;15),1),IF(REGEXMATCH(P42,""_up""),IF(COUNTIF(P$4:P42,SUBSTITUTE(P42,""_up"",""""))&lt;IFERRO"&amp;"R(VLOOKUP(P42,Upgrades!$L$3:$P$6,1+COUNTIF(P$4:P42,P42),0),999),1),IF(REGEXMATCH(P42,""Sell_""),IF(COUNTIF(P$4:P42,SUBSTITUTE(P42,""Sell_"",""""))-COUNTIF(P$4:P41,P42)&lt;1,1),FALSE)))))))))"),FALSE)</f>
        <v>0</v>
      </c>
      <c r="R42" s="71">
        <f>IFERROR(__xludf.DUMMYFUNCTION("IF(REGEXMATCH(P42,""^Sell_""),R41, IF(COUNTA(P42:P147)=0,"""",(COUNTIF(P$4:P42,""Cursor"")-COUNTIF(P$4:P42,""Sell_Cursor""))*(0.1*2^SWITCH(COUNTIF(P$4:P42,""Cursor_up""),0,0,1,1,2,2,3)+SWITCH(COUNTIF(P$4:P42,""Cursor_up""),4,0.1,0)*(ROW(P42)-4-COUNTIF(P$4"&amp;":P42,""Cursor"")-COUNTIF(P$4:P42,""*""&amp;""_up"")-2*COUNTIF(P$4:P42,""Sell_""&amp;""*"")+COUNTIF(P$4:P42,""Sell_Cursor"")-COUNTIF(P$4:P42,"""")))+(COUNTIF(P$4:P42,""Grandma"")-COUNTIF(P$4:P42,""Sell_Grandma""))*(1*2^(COUNTIF(P$4:P42,""Grandma_up"")+COUNTIF(P$4:"&amp;"P42,""Super_up"")))+(COUNTIF(P$4:P42,""Farm"")-COUNTIF(P$4:P42,""Sell_Farm""))*(8*2^COUNTIF(P$4:P42,""Farm_up""))*IF(COUNTIF(P$4:P42,""Super_up"")&gt;0,1+0.01*(COUNTIF(P$4:P42,""Grandma"")-COUNTIF(P$4:P42,""Sell_Grandma"")),1)+(COUNTIF(P$4:P42,""Mine"")-COUN"&amp;"TIF(P$4:P42,""Sell_Mine""))*((47*2^COUNTIF(P$4:P42,""Mine_up""))*IF(COUNTIF(P$4:P42,""Super_up"")&gt;1,1+0.005*(COUNTIF(P$4:P42,""Grandma"")-COUNTIF(P$4:P42,""Sell_Grandma"")),1))+(COUNTIF(P$4:P42,""Factory"")-COUNTIF(P$4:P42,""Sell_Factory""))*(260*2^COUNTI"&amp;"F(P$4:P42,""Factory_up""))))"),101.6)</f>
        <v>101.6</v>
      </c>
      <c r="S42" s="73">
        <f>IFERROR(__xludf.DUMMYFUNCTION("IF(COUNTA(P42:P147)=0,"""",IF(REGEXMATCH(INDEX(FILTER(P$4:P42,P$4:P42&lt;&gt;""""),ROWS(FILTER(P$4:P42,P$4:P42&lt;&gt;""""))),""^Sell_""),INDEX(FILTER(S$4:S41,P$4:P41&lt;&gt;""""),ROWS(FILTER(P$4:P41,P$4:P41&lt;&gt;""""))),$AD$5*(2^SWITCH(COUNTIF(P$4:P42,""Cursor_up""),0,0,1,1,2"&amp;",2,3)+SWITCH(COUNTIF(P$4:P42,""Cursor_up""),4,0.1,0)*(ROW(P42)-4-COUNTIF(P$4:P42,""Cursor"")-COUNTIF(P$4:P42,""*""&amp;""_up"")-2*COUNTIF(P$4:P42,""Sell_""&amp;""*"")+COUNTIF(P$4:P42,""Sell_Cursor"")-COUNTIF(P$4:P42,""""))+0.01*R42*COUNTIF(P$4:P42,""Plastic_up"")"&amp;")+R42))"),161.6)</f>
        <v>161.6</v>
      </c>
      <c r="T42" s="14">
        <f>IFERROR(__xludf.DUMMYFUNCTION("IF(COUNTA(P42:P147)=0,"""",IF(REGEXMATCH(P42,""_up""),VLOOKUP(P42,Upgrades!$F$3:$J$8,1+COUNTIF(P$4:P42,P42),FALSE),IF(P42="""",0,IF(REGEXMATCH(P42,""^Sell_""),-ROUNDDOWN(ROUNDUP(INDEX(Upgrades!$C$3:$C$8,MATCH(SUBSTITUTE(P42,""Sell_"",""""),Upgrades!$B$3:$"&amp;"B$8,0))*1.15^(COUNTIF(P$4:P41,SUBSTITUTE(P42,""Sell_"",""""))-COUNTIF(P$4:P41,""Sell_""&amp;SUBSTITUTE(P42,""Sell_"",""""))))/4),ROUNDUP(INDEX(Upgrades!$C$3:$C$7,MATCH(P42,Upgrades!$B$3:$B$7,0))*1.15^(COUNTIF(P$4:P41,P42)-COUNTIF(P$4:P41,""Sell_""&amp;P42)))))))"),814.0)</f>
        <v>814</v>
      </c>
      <c r="U42" s="14">
        <f t="shared" si="10"/>
        <v>814</v>
      </c>
      <c r="V42" s="75">
        <f t="shared" si="11"/>
        <v>169704.6227</v>
      </c>
      <c r="W42" s="76">
        <f t="shared" si="12"/>
        <v>196.0170983</v>
      </c>
      <c r="X42" s="71" t="str">
        <f t="shared" si="13"/>
        <v>3m 16s</v>
      </c>
      <c r="Y42" s="77">
        <f t="shared" si="14"/>
        <v>18286</v>
      </c>
      <c r="Z42" s="17"/>
      <c r="AA42" s="13"/>
      <c r="AB42" s="13"/>
      <c r="AC42" s="13"/>
      <c r="AD42" s="13"/>
      <c r="AE42" s="13"/>
      <c r="AF42" s="13"/>
      <c r="AG42" s="13"/>
    </row>
    <row r="43">
      <c r="A43" s="12"/>
      <c r="B43" s="65">
        <f t="shared" si="2"/>
        <v>3</v>
      </c>
      <c r="C43" s="66" t="s">
        <v>11</v>
      </c>
      <c r="D43" s="14" t="b">
        <f>IFERROR(__xludf.DUMMYFUNCTION("IF(COUNTA(C43:C147)=0,"""",IFERROR(IF(ISBLANK(C43),FALSE,IF(ISBLANK(G43),1,IF(NOT(COUNTIF($AA$24:$AA$34,SUBSTITUTE(C43,""Sell_"",""""))),1,IF(C43=""Plastic_up"",IF(I43&lt;1000,1),IF(C43=""Super_Up"",IF(OR(COUNTIF(C$4:C43,""Grandma"")-COUNTIF(C$4:C43,""Sell_G"&amp;"randma"")&lt;1,COUNTIF(C$4:C43,VLOOKUP(C43,Upgrades!$F$8:$N$8,7+COUNTIF(C$4:C43,C43)))-COUNTIF(C$4:C43,""Sell_""&amp;VLOOKUP(C43,Upgrades!$F$8:$N$8,7+COUNTIF(C$4:C43,C43)))&lt;15),1),IF(REGEXMATCH(C43,""_up""),IF(COUNTIF(C$4:C43,SUBSTITUTE(C43,""_up"",""""))&lt;IFERRO"&amp;"R(VLOOKUP(C43,Upgrades!$L$3:$P$6,1+COUNTIF(C$4:C43,C43),0),999),1),IF(REGEXMATCH(C43,""Sell_""),IF(COUNTIF(C$4:C43,SUBSTITUTE(C43,""Sell_"",""""))-COUNTIF(C$4:C42,C43)&lt;1,1),FALSE)))))))))"),FALSE)</f>
        <v>0</v>
      </c>
      <c r="E43" s="71">
        <f>IFERROR(__xludf.DUMMYFUNCTION("IF(REGEXMATCH(C43,""^Sell_""),E42, IF(COUNTA(C43:C147)=0,"""",(COUNTIF(C$4:C43,""Cursor"")-COUNTIF(C$4:C43,""Sell_Cursor""))*(0.1*2^SWITCH(COUNTIF(C$4:C43,""Cursor_up""),0,0,1,1,2,2,3)+SWITCH(COUNTIF(C$4:C43,""Cursor_up""),4,0.1,0)*(ROW(C43)-4-COUNTIF(C$4"&amp;":C43,""Cursor"")-COUNTIF(C$4:C43,""*""&amp;""_up"")-2*COUNTIF(C$4:C43,""Sell_""&amp;""*"")+COUNTIF(C$4:C43,""Sell_Cursor"")-COUNTIF(C$4:C43,"""")))+(COUNTIF(C$4:C43,""Grandma"")-COUNTIF(C$4:C43,""Sell_Grandma""))*(1*2^(COUNTIF(C$4:C43,""Grandma_up"")+COUNTIF(C$4:"&amp;"C43,""Super_up"")))+(COUNTIF(C$4:C43,""Farm"")-COUNTIF(C$4:C43,""Sell_Farm""))*(8*2^COUNTIF(C$4:C43,""Farm_up""))*IF(COUNTIF(C$4:C43,""Super_up"")&gt;0,1+0.01*(COUNTIF(C$4:C43,""Grandma"")-COUNTIF(C$4:C43,""Sell_Grandma"")),1)+(COUNTIF(C$4:C43,""Mine"")-COUN"&amp;"TIF(C$4:C43,""Sell_Mine""))*((47*2^COUNTIF(C$4:C43,""Mine_up""))*IF(COUNTIF(C$4:C43,""Super_up"")&gt;1,1+0.005*(COUNTIF(C$4:C43,""Grandma"")-COUNTIF(C$4:C43,""Sell_Grandma"")),1))+(COUNTIF(C$4:C43,""Factory"")-COUNTIF(C$4:C43,""Sell_Factory""))*(260*2^COUNTI"&amp;"F(C$4:C43,""Factory_up""))))"),107.2)</f>
        <v>107.2</v>
      </c>
      <c r="F43" s="73">
        <f>IFERROR(__xludf.DUMMYFUNCTION("IF(COUNTA(C43:C147)=0,"""",IF(REGEXMATCH(INDEX(FILTER(C$4:C43,C$4:C43&lt;&gt;""""),ROWS(FILTER(C$4:C43,C$4:C43&lt;&gt;""""))),""^Sell_""),INDEX(FILTER(F$4:F42,C$4:C42&lt;&gt;""""),ROWS(FILTER(C$4:C42,C$4:C42&lt;&gt;""""))),$AC$5*(2^SWITCH(COUNTIF(C$4:C43,""Cursor_up""),0,0,1,1,2"&amp;",2,3)+SWITCH(COUNTIF(C$4:C43,""Cursor_up""),4,0.1,0)*(ROW(C43)-4-COUNTIF(C$4:C43,""Cursor"")-COUNTIF(C$4:C43,""*""&amp;""_up"")-2*COUNTIF(C$4:C43,""Sell_""&amp;""*"")+COUNTIF(C$4:C43,""Sell_Cursor"")-COUNTIF(C$4:C43,""""))+0.01*E43*COUNTIF(C$4:C43,""Plastic_up"")"&amp;")+E43))"),227.2)</f>
        <v>227.2</v>
      </c>
      <c r="G43" s="14">
        <f>IFERROR(__xludf.DUMMYFUNCTION("IF(COUNTA(C43:C147)=0,"""",IF(REGEXMATCH(C43,""_up""),VLOOKUP(C43,Upgrades!$F$3:$J$8,1+COUNTIF(C$4:C43,C43),FALSE),IF(C43="""",0,IF(REGEXMATCH(C43,""^Sell_""),-ROUNDDOWN(ROUNDUP(INDEX(Upgrades!$C$3:$C$8,MATCH(SUBSTITUTE(C43,""Sell_"",""""),Upgrades!$B$3:$"&amp;"B$8,0))*1.15^(COUNTIF(C$4:C42,SUBSTITUTE(C43,""Sell_"",""""))-COUNTIF(C$4:C42,""Sell_""&amp;SUBSTITUTE(C43,""Sell_"",""""))))/4),ROUNDUP(INDEX(Upgrades!$C$3:$C$7,MATCH(C43,Upgrades!$B$3:$B$7,0))*1.15^(COUNTIF(C$4:C42,C43)-COUNTIF(C$4:C42,""Sell_""&amp;C43)))))))"),10000.0)</f>
        <v>10000</v>
      </c>
      <c r="H43" s="14">
        <f t="shared" si="3"/>
        <v>10000</v>
      </c>
      <c r="I43" s="75">
        <f t="shared" si="4"/>
        <v>185178.5199</v>
      </c>
      <c r="J43" s="76">
        <f t="shared" si="5"/>
        <v>257.8982864</v>
      </c>
      <c r="K43" s="71" t="str">
        <f t="shared" si="6"/>
        <v>4m 17s</v>
      </c>
      <c r="L43" s="77">
        <f t="shared" si="7"/>
        <v>28286</v>
      </c>
      <c r="M43" s="51">
        <f t="shared" si="8"/>
        <v>0</v>
      </c>
      <c r="N43" s="52">
        <f>IFERROR(__xludf.DUMMYFUNCTION("IFS(AND(COUNTA(C43:C147)=0,COUNTA(P43:P147)=0),"""",OR(AND(L43&gt;=1000000,OR(Y43&gt;=1000000,COUNTA(P43:P147)=0)),AND(Y43&gt;=1000000,COUNTA(C43:C147)=0),AND(COUNTA(P43:P147)=0,O$3=TRUE)),
ROUNDDOWN((AB$1-AC$1)*MAX(INDEX(S$4:S147,MATCH(LARGE(FILTER(Y$4:Y147,Y$4:Y"&amp;"147&lt;1000000),1),Y$4:Y147)),INDEX(F$4:F147,MATCH(LARGE(FILTER(L$4:L147,L$4:L147&lt;1000000),1),L$4:L147)))),AND(L43&lt;1000000,COUNTA(C43:C147)&gt;0,O$3=FALSE),
ROUNDDOWN(INDEX(Y$4:Y147,MATCH(LARGE(FILTER(W$4:W147,W$4:W147&lt;=J43),1),W$4:W147))+(J43-LARGE(FILTER(W$4:"&amp;"W147,W$4:W147&lt;=J43),1))*INDEX(S$4:S147,MATCH(LARGE(FILTER(W$4:W147,W$4:W147&lt;=J43),1),W$4:W147))-L43),1,
ROUNDDOWN(Y43-INDEX(L$4:L147,MATCH(LARGE(FILTER(J$4:J147,J$4:J147&lt;=W43),1),J$4:J147))-(W43-LARGE(FILTER(J$4:J147,J$4:J147&lt;=W43),1))*INDEX(F$4:F147,MATC"&amp;"H(LARGE(FILTER(J$4:J147,J$4:J147&lt;=W43),1),J$4:J147))))"),0.0)</f>
        <v>0</v>
      </c>
      <c r="O43" s="65">
        <f t="shared" si="9"/>
        <v>3</v>
      </c>
      <c r="P43" s="66" t="s">
        <v>11</v>
      </c>
      <c r="Q43" s="14" t="b">
        <f>IFERROR(__xludf.DUMMYFUNCTION("IF(COUNTA(P43:P147)=0,"""",IFERROR(IF(ISBLANK(P43),FALSE,IF(ISBLANK(T43),1,IF(NOT(COUNTIF($AA$24:$AA$34,SUBSTITUTE(P43,""Sell_"",""""))),1,IF(P43=""Plastic_up"",IF(V43&lt;1000,1),IF(P43=""Super_Up"",IF(OR(COUNTIF(P$4:P43,""Grandma"")-COUNTIF(P$4:P43,""Sell_G"&amp;"randma"")&lt;1,COUNTIF(P$4:P43,VLOOKUP(P43,Upgrades!$F$8:$N$8,7+COUNTIF(P$4:P43,P43)))-COUNTIF(P$4:P43,""Sell_""&amp;VLOOKUP(P43,Upgrades!$F$8:$N$8,7+COUNTIF(P$4:P43,P43)))&lt;15),1),IF(REGEXMATCH(P43,""_up""),IF(COUNTIF(P$4:P43,SUBSTITUTE(P43,""_up"",""""))&lt;IFERRO"&amp;"R(VLOOKUP(P43,Upgrades!$L$3:$P$6,1+COUNTIF(P$4:P43,P43),0),999),1),IF(REGEXMATCH(P43,""Sell_""),IF(COUNTIF(P$4:P43,SUBSTITUTE(P43,""Sell_"",""""))-COUNTIF(P$4:P42,P43)&lt;1,1),FALSE)))))))))"),FALSE)</f>
        <v>0</v>
      </c>
      <c r="R43" s="71">
        <f>IFERROR(__xludf.DUMMYFUNCTION("IF(REGEXMATCH(P43,""^Sell_""),R42, IF(COUNTA(P43:P147)=0,"""",(COUNTIF(P$4:P43,""Cursor"")-COUNTIF(P$4:P43,""Sell_Cursor""))*(0.1*2^SWITCH(COUNTIF(P$4:P43,""Cursor_up""),0,0,1,1,2,2,3)+SWITCH(COUNTIF(P$4:P43,""Cursor_up""),4,0.1,0)*(ROW(P43)-4-COUNTIF(P$4"&amp;":P43,""Cursor"")-COUNTIF(P$4:P43,""*""&amp;""_up"")-2*COUNTIF(P$4:P43,""Sell_""&amp;""*"")+COUNTIF(P$4:P43,""Sell_Cursor"")-COUNTIF(P$4:P43,"""")))+(COUNTIF(P$4:P43,""Grandma"")-COUNTIF(P$4:P43,""Sell_Grandma""))*(1*2^(COUNTIF(P$4:P43,""Grandma_up"")+COUNTIF(P$4:"&amp;"P43,""Super_up"")))+(COUNTIF(P$4:P43,""Farm"")-COUNTIF(P$4:P43,""Sell_Farm""))*(8*2^COUNTIF(P$4:P43,""Farm_up""))*IF(COUNTIF(P$4:P43,""Super_up"")&gt;0,1+0.01*(COUNTIF(P$4:P43,""Grandma"")-COUNTIF(P$4:P43,""Sell_Grandma"")),1)+(COUNTIF(P$4:P43,""Mine"")-COUN"&amp;"TIF(P$4:P43,""Sell_Mine""))*((47*2^COUNTIF(P$4:P43,""Mine_up""))*IF(COUNTIF(P$4:P43,""Super_up"")&gt;1,1+0.005*(COUNTIF(P$4:P43,""Grandma"")-COUNTIF(P$4:P43,""Sell_Grandma"")),1))+(COUNTIF(P$4:P43,""Factory"")-COUNTIF(P$4:P43,""Sell_Factory""))*(260*2^COUNTI"&amp;"F(P$4:P43,""Factory_up""))))"),107.2)</f>
        <v>107.2</v>
      </c>
      <c r="S43" s="73">
        <f>IFERROR(__xludf.DUMMYFUNCTION("IF(COUNTA(P43:P147)=0,"""",IF(REGEXMATCH(INDEX(FILTER(P$4:P43,P$4:P43&lt;&gt;""""),ROWS(FILTER(P$4:P43,P$4:P43&lt;&gt;""""))),""^Sell_""),INDEX(FILTER(S$4:S42,P$4:P42&lt;&gt;""""),ROWS(FILTER(P$4:P42,P$4:P42&lt;&gt;""""))),$AD$5*(2^SWITCH(COUNTIF(P$4:P43,""Cursor_up""),0,0,1,1,2"&amp;",2,3)+SWITCH(COUNTIF(P$4:P43,""Cursor_up""),4,0.1,0)*(ROW(P43)-4-COUNTIF(P$4:P43,""Cursor"")-COUNTIF(P$4:P43,""*""&amp;""_up"")-2*COUNTIF(P$4:P43,""Sell_""&amp;""*"")+COUNTIF(P$4:P43,""Sell_Cursor"")-COUNTIF(P$4:P43,""""))+0.01*R43*COUNTIF(P$4:P43,""Plastic_up"")"&amp;")+R43))"),227.2)</f>
        <v>227.2</v>
      </c>
      <c r="T43" s="14">
        <f>IFERROR(__xludf.DUMMYFUNCTION("IF(COUNTA(P43:P147)=0,"""",IF(REGEXMATCH(P43,""_up""),VLOOKUP(P43,Upgrades!$F$3:$J$8,1+COUNTIF(P$4:P43,P43),FALSE),IF(P43="""",0,IF(REGEXMATCH(P43,""^Sell_""),-ROUNDDOWN(ROUNDUP(INDEX(Upgrades!$C$3:$C$8,MATCH(SUBSTITUTE(P43,""Sell_"",""""),Upgrades!$B$3:$"&amp;"B$8,0))*1.15^(COUNTIF(P$4:P42,SUBSTITUTE(P43,""Sell_"",""""))-COUNTIF(P$4:P42,""Sell_""&amp;SUBSTITUTE(P43,""Sell_"",""""))))/4),ROUNDUP(INDEX(Upgrades!$C$3:$C$7,MATCH(P43,Upgrades!$B$3:$B$7,0))*1.15^(COUNTIF(P$4:P42,P43)-COUNTIF(P$4:P42,""Sell_""&amp;P43)))))))"),10000.0)</f>
        <v>10000</v>
      </c>
      <c r="U43" s="14">
        <f t="shared" si="10"/>
        <v>10000</v>
      </c>
      <c r="V43" s="75">
        <f t="shared" si="11"/>
        <v>185178.5199</v>
      </c>
      <c r="W43" s="76">
        <f t="shared" si="12"/>
        <v>257.8982864</v>
      </c>
      <c r="X43" s="71" t="str">
        <f t="shared" si="13"/>
        <v>4m 17s</v>
      </c>
      <c r="Y43" s="77">
        <f t="shared" si="14"/>
        <v>28286</v>
      </c>
      <c r="Z43" s="17"/>
      <c r="AA43" s="13"/>
      <c r="AB43" s="13"/>
      <c r="AC43" s="13"/>
      <c r="AD43" s="13"/>
      <c r="AE43" s="13"/>
      <c r="AF43" s="13"/>
      <c r="AG43" s="13"/>
    </row>
    <row r="44">
      <c r="A44" s="12"/>
      <c r="B44" s="65">
        <f t="shared" si="2"/>
        <v>15</v>
      </c>
      <c r="C44" s="66" t="s">
        <v>10</v>
      </c>
      <c r="D44" s="14" t="b">
        <f>IFERROR(__xludf.DUMMYFUNCTION("IF(COUNTA(C44:C147)=0,"""",IFERROR(IF(ISBLANK(C44),FALSE,IF(ISBLANK(G44),1,IF(NOT(COUNTIF($AA$24:$AA$34,SUBSTITUTE(C44,""Sell_"",""""))),1,IF(C44=""Plastic_up"",IF(I44&lt;1000,1),IF(C44=""Super_Up"",IF(OR(COUNTIF(C$4:C44,""Grandma"")-COUNTIF(C$4:C44,""Sell_G"&amp;"randma"")&lt;1,COUNTIF(C$4:C44,VLOOKUP(C44,Upgrades!$F$8:$N$8,7+COUNTIF(C$4:C44,C44)))-COUNTIF(C$4:C44,""Sell_""&amp;VLOOKUP(C44,Upgrades!$F$8:$N$8,7+COUNTIF(C$4:C44,C44)))&lt;15),1),IF(REGEXMATCH(C44,""_up""),IF(COUNTIF(C$4:C44,SUBSTITUTE(C44,""_up"",""""))&lt;IFERRO"&amp;"R(VLOOKUP(C44,Upgrades!$L$3:$P$6,1+COUNTIF(C$4:C44,C44),0),999),1),IF(REGEXMATCH(C44,""Sell_""),IF(COUNTIF(C$4:C44,SUBSTITUTE(C44,""Sell_"",""""))-COUNTIF(C$4:C43,C44)&lt;1,1),FALSE)))))))))"),FALSE)</f>
        <v>0</v>
      </c>
      <c r="E44" s="71">
        <f>IFERROR(__xludf.DUMMYFUNCTION("IF(REGEXMATCH(C44,""^Sell_""),E43, IF(COUNTA(C44:C147)=0,"""",(COUNTIF(C$4:C44,""Cursor"")-COUNTIF(C$4:C44,""Sell_Cursor""))*(0.1*2^SWITCH(COUNTIF(C$4:C44,""Cursor_up""),0,0,1,1,2,2,3)+SWITCH(COUNTIF(C$4:C44,""Cursor_up""),4,0.1,0)*(ROW(C44)-4-COUNTIF(C$4"&amp;":C44,""Cursor"")-COUNTIF(C$4:C44,""*""&amp;""_up"")-2*COUNTIF(C$4:C44,""Sell_""&amp;""*"")+COUNTIF(C$4:C44,""Sell_Cursor"")-COUNTIF(C$4:C44,"""")))+(COUNTIF(C$4:C44,""Grandma"")-COUNTIF(C$4:C44,""Sell_Grandma""))*(1*2^(COUNTIF(C$4:C44,""Grandma_up"")+COUNTIF(C$4:"&amp;"C44,""Super_up"")))+(COUNTIF(C$4:C44,""Farm"")-COUNTIF(C$4:C44,""Sell_Farm""))*(8*2^COUNTIF(C$4:C44,""Farm_up""))*IF(COUNTIF(C$4:C44,""Super_up"")&gt;0,1+0.01*(COUNTIF(C$4:C44,""Grandma"")-COUNTIF(C$4:C44,""Sell_Grandma"")),1)+(COUNTIF(C$4:C44,""Mine"")-COUN"&amp;"TIF(C$4:C44,""Sell_Mine""))*((47*2^COUNTIF(C$4:C44,""Mine_up""))*IF(COUNTIF(C$4:C44,""Super_up"")&gt;1,1+0.005*(COUNTIF(C$4:C44,""Grandma"")-COUNTIF(C$4:C44,""Sell_Grandma"")),1))+(COUNTIF(C$4:C44,""Factory"")-COUNTIF(C$4:C44,""Sell_Factory""))*(260*2^COUNTI"&amp;"F(C$4:C44,""Factory_up""))))"),108.0)</f>
        <v>108</v>
      </c>
      <c r="F44" s="73">
        <f>IFERROR(__xludf.DUMMYFUNCTION("IF(COUNTA(C44:C147)=0,"""",IF(REGEXMATCH(INDEX(FILTER(C$4:C44,C$4:C44&lt;&gt;""""),ROWS(FILTER(C$4:C44,C$4:C44&lt;&gt;""""))),""^Sell_""),INDEX(FILTER(F$4:F43,C$4:C43&lt;&gt;""""),ROWS(FILTER(C$4:C43,C$4:C43&lt;&gt;""""))),$AC$5*(2^SWITCH(COUNTIF(C$4:C44,""Cursor_up""),0,0,1,1,2"&amp;",2,3)+SWITCH(COUNTIF(C$4:C44,""Cursor_up""),4,0.1,0)*(ROW(C44)-4-COUNTIF(C$4:C44,""Cursor"")-COUNTIF(C$4:C44,""*""&amp;""_up"")-2*COUNTIF(C$4:C44,""Sell_""&amp;""*"")+COUNTIF(C$4:C44,""Sell_Cursor"")-COUNTIF(C$4:C44,""""))+0.01*E44*COUNTIF(C$4:C44,""Plastic_up"")"&amp;")+E44))"),228.0)</f>
        <v>228</v>
      </c>
      <c r="G44" s="14">
        <f>IFERROR(__xludf.DUMMYFUNCTION("IF(COUNTA(C44:C147)=0,"""",IF(REGEXMATCH(C44,""_up""),VLOOKUP(C44,Upgrades!$F$3:$J$8,1+COUNTIF(C$4:C44,C44),FALSE),IF(C44="""",0,IF(REGEXMATCH(C44,""^Sell_""),-ROUNDDOWN(ROUNDUP(INDEX(Upgrades!$C$3:$C$8,MATCH(SUBSTITUTE(C44,""Sell_"",""""),Upgrades!$B$3:$"&amp;"B$8,0))*1.15^(COUNTIF(C$4:C43,SUBSTITUTE(C44,""Sell_"",""""))-COUNTIF(C$4:C43,""Sell_""&amp;SUBSTITUTE(C44,""Sell_"",""""))))/4),ROUNDUP(INDEX(Upgrades!$C$3:$C$7,MATCH(C44,Upgrades!$B$3:$B$7,0))*1.15^(COUNTIF(C$4:C43,C44)-COUNTIF(C$4:C43,""Sell_""&amp;C44)))))))"),107.0)</f>
        <v>107</v>
      </c>
      <c r="H44" s="14">
        <f t="shared" si="3"/>
        <v>107</v>
      </c>
      <c r="I44" s="75">
        <f t="shared" si="4"/>
        <v>216182.8283</v>
      </c>
      <c r="J44" s="76">
        <f t="shared" si="5"/>
        <v>258.3692371</v>
      </c>
      <c r="K44" s="71" t="str">
        <f t="shared" si="6"/>
        <v>4m 18s</v>
      </c>
      <c r="L44" s="77">
        <f t="shared" si="7"/>
        <v>28393</v>
      </c>
      <c r="M44" s="51">
        <f t="shared" si="8"/>
        <v>0</v>
      </c>
      <c r="N44" s="52">
        <f>IFERROR(__xludf.DUMMYFUNCTION("IFS(AND(COUNTA(C44:C147)=0,COUNTA(P44:P147)=0),"""",OR(AND(L44&gt;=1000000,OR(Y44&gt;=1000000,COUNTA(P44:P147)=0)),AND(Y44&gt;=1000000,COUNTA(C44:C147)=0),AND(COUNTA(P44:P147)=0,O$3=TRUE)),
ROUNDDOWN((AB$1-AC$1)*MAX(INDEX(S$4:S147,MATCH(LARGE(FILTER(Y$4:Y147,Y$4:Y"&amp;"147&lt;1000000),1),Y$4:Y147)),INDEX(F$4:F147,MATCH(LARGE(FILTER(L$4:L147,L$4:L147&lt;1000000),1),L$4:L147)))),AND(L44&lt;1000000,COUNTA(C44:C147)&gt;0,O$3=FALSE),
ROUNDDOWN(INDEX(Y$4:Y147,MATCH(LARGE(FILTER(W$4:W147,W$4:W147&lt;=J44),1),W$4:W147))+(J44-LARGE(FILTER(W$4:"&amp;"W147,W$4:W147&lt;=J44),1))*INDEX(S$4:S147,MATCH(LARGE(FILTER(W$4:W147,W$4:W147&lt;=J44),1),W$4:W147))-L44),1,
ROUNDDOWN(Y44-INDEX(L$4:L147,MATCH(LARGE(FILTER(J$4:J147,J$4:J147&lt;=W44),1),J$4:J147))-(W44-LARGE(FILTER(J$4:J147,J$4:J147&lt;=W44),1))*INDEX(F$4:F147,MATC"&amp;"H(LARGE(FILTER(J$4:J147,J$4:J147&lt;=W44),1),J$4:J147))))"),0.0)</f>
        <v>0</v>
      </c>
      <c r="O44" s="65">
        <f t="shared" si="9"/>
        <v>15</v>
      </c>
      <c r="P44" s="66" t="s">
        <v>10</v>
      </c>
      <c r="Q44" s="14" t="b">
        <f>IFERROR(__xludf.DUMMYFUNCTION("IF(COUNTA(P44:P147)=0,"""",IFERROR(IF(ISBLANK(P44),FALSE,IF(ISBLANK(T44),1,IF(NOT(COUNTIF($AA$24:$AA$34,SUBSTITUTE(P44,""Sell_"",""""))),1,IF(P44=""Plastic_up"",IF(V44&lt;1000,1),IF(P44=""Super_Up"",IF(OR(COUNTIF(P$4:P44,""Grandma"")-COUNTIF(P$4:P44,""Sell_G"&amp;"randma"")&lt;1,COUNTIF(P$4:P44,VLOOKUP(P44,Upgrades!$F$8:$N$8,7+COUNTIF(P$4:P44,P44)))-COUNTIF(P$4:P44,""Sell_""&amp;VLOOKUP(P44,Upgrades!$F$8:$N$8,7+COUNTIF(P$4:P44,P44)))&lt;15),1),IF(REGEXMATCH(P44,""_up""),IF(COUNTIF(P$4:P44,SUBSTITUTE(P44,""_up"",""""))&lt;IFERRO"&amp;"R(VLOOKUP(P44,Upgrades!$L$3:$P$6,1+COUNTIF(P$4:P44,P44),0),999),1),IF(REGEXMATCH(P44,""Sell_""),IF(COUNTIF(P$4:P44,SUBSTITUTE(P44,""Sell_"",""""))-COUNTIF(P$4:P43,P44)&lt;1,1),FALSE)))))))))"),FALSE)</f>
        <v>0</v>
      </c>
      <c r="R44" s="71">
        <f>IFERROR(__xludf.DUMMYFUNCTION("IF(REGEXMATCH(P44,""^Sell_""),R43, IF(COUNTA(P44:P147)=0,"""",(COUNTIF(P$4:P44,""Cursor"")-COUNTIF(P$4:P44,""Sell_Cursor""))*(0.1*2^SWITCH(COUNTIF(P$4:P44,""Cursor_up""),0,0,1,1,2,2,3)+SWITCH(COUNTIF(P$4:P44,""Cursor_up""),4,0.1,0)*(ROW(P44)-4-COUNTIF(P$4"&amp;":P44,""Cursor"")-COUNTIF(P$4:P44,""*""&amp;""_up"")-2*COUNTIF(P$4:P44,""Sell_""&amp;""*"")+COUNTIF(P$4:P44,""Sell_Cursor"")-COUNTIF(P$4:P44,"""")))+(COUNTIF(P$4:P44,""Grandma"")-COUNTIF(P$4:P44,""Sell_Grandma""))*(1*2^(COUNTIF(P$4:P44,""Grandma_up"")+COUNTIF(P$4:"&amp;"P44,""Super_up"")))+(COUNTIF(P$4:P44,""Farm"")-COUNTIF(P$4:P44,""Sell_Farm""))*(8*2^COUNTIF(P$4:P44,""Farm_up""))*IF(COUNTIF(P$4:P44,""Super_up"")&gt;0,1+0.01*(COUNTIF(P$4:P44,""Grandma"")-COUNTIF(P$4:P44,""Sell_Grandma"")),1)+(COUNTIF(P$4:P44,""Mine"")-COUN"&amp;"TIF(P$4:P44,""Sell_Mine""))*((47*2^COUNTIF(P$4:P44,""Mine_up""))*IF(COUNTIF(P$4:P44,""Super_up"")&gt;1,1+0.005*(COUNTIF(P$4:P44,""Grandma"")-COUNTIF(P$4:P44,""Sell_Grandma"")),1))+(COUNTIF(P$4:P44,""Factory"")-COUNTIF(P$4:P44,""Sell_Factory""))*(260*2^COUNTI"&amp;"F(P$4:P44,""Factory_up""))))"),108.0)</f>
        <v>108</v>
      </c>
      <c r="S44" s="73">
        <f>IFERROR(__xludf.DUMMYFUNCTION("IF(COUNTA(P44:P147)=0,"""",IF(REGEXMATCH(INDEX(FILTER(P$4:P44,P$4:P44&lt;&gt;""""),ROWS(FILTER(P$4:P44,P$4:P44&lt;&gt;""""))),""^Sell_""),INDEX(FILTER(S$4:S43,P$4:P43&lt;&gt;""""),ROWS(FILTER(P$4:P43,P$4:P43&lt;&gt;""""))),$AD$5*(2^SWITCH(COUNTIF(P$4:P44,""Cursor_up""),0,0,1,1,2"&amp;",2,3)+SWITCH(COUNTIF(P$4:P44,""Cursor_up""),4,0.1,0)*(ROW(P44)-4-COUNTIF(P$4:P44,""Cursor"")-COUNTIF(P$4:P44,""*""&amp;""_up"")-2*COUNTIF(P$4:P44,""Sell_""&amp;""*"")+COUNTIF(P$4:P44,""Sell_Cursor"")-COUNTIF(P$4:P44,""""))+0.01*R44*COUNTIF(P$4:P44,""Plastic_up"")"&amp;")+R44))"),228.0)</f>
        <v>228</v>
      </c>
      <c r="T44" s="14">
        <f>IFERROR(__xludf.DUMMYFUNCTION("IF(COUNTA(P44:P147)=0,"""",IF(REGEXMATCH(P44,""_up""),VLOOKUP(P44,Upgrades!$F$3:$J$8,1+COUNTIF(P$4:P44,P44),FALSE),IF(P44="""",0,IF(REGEXMATCH(P44,""^Sell_""),-ROUNDDOWN(ROUNDUP(INDEX(Upgrades!$C$3:$C$8,MATCH(SUBSTITUTE(P44,""Sell_"",""""),Upgrades!$B$3:$"&amp;"B$8,0))*1.15^(COUNTIF(P$4:P43,SUBSTITUTE(P44,""Sell_"",""""))-COUNTIF(P$4:P43,""Sell_""&amp;SUBSTITUTE(P44,""Sell_"",""""))))/4),ROUNDUP(INDEX(Upgrades!$C$3:$C$7,MATCH(P44,Upgrades!$B$3:$B$7,0))*1.15^(COUNTIF(P$4:P43,P44)-COUNTIF(P$4:P43,""Sell_""&amp;P44)))))))"),107.0)</f>
        <v>107</v>
      </c>
      <c r="U44" s="14">
        <f t="shared" si="10"/>
        <v>107</v>
      </c>
      <c r="V44" s="75">
        <f t="shared" si="11"/>
        <v>216182.8283</v>
      </c>
      <c r="W44" s="76">
        <f t="shared" si="12"/>
        <v>258.3692371</v>
      </c>
      <c r="X44" s="71" t="str">
        <f t="shared" si="13"/>
        <v>4m 18s</v>
      </c>
      <c r="Y44" s="77">
        <f t="shared" si="14"/>
        <v>28393</v>
      </c>
      <c r="Z44" s="17"/>
      <c r="AA44" s="13"/>
      <c r="AB44" s="13"/>
      <c r="AC44" s="13"/>
      <c r="AD44" s="13"/>
      <c r="AE44" s="13"/>
      <c r="AF44" s="13"/>
      <c r="AG44" s="13"/>
    </row>
    <row r="45">
      <c r="A45" s="12"/>
      <c r="B45" s="65">
        <f t="shared" si="2"/>
        <v>16</v>
      </c>
      <c r="C45" s="66" t="s">
        <v>10</v>
      </c>
      <c r="D45" s="14" t="b">
        <f>IFERROR(__xludf.DUMMYFUNCTION("IF(COUNTA(C45:C147)=0,"""",IFERROR(IF(ISBLANK(C45),FALSE,IF(ISBLANK(G45),1,IF(NOT(COUNTIF($AA$24:$AA$34,SUBSTITUTE(C45,""Sell_"",""""))),1,IF(C45=""Plastic_up"",IF(I45&lt;1000,1),IF(C45=""Super_Up"",IF(OR(COUNTIF(C$4:C45,""Grandma"")-COUNTIF(C$4:C45,""Sell_G"&amp;"randma"")&lt;1,COUNTIF(C$4:C45,VLOOKUP(C45,Upgrades!$F$8:$N$8,7+COUNTIF(C$4:C45,C45)))-COUNTIF(C$4:C45,""Sell_""&amp;VLOOKUP(C45,Upgrades!$F$8:$N$8,7+COUNTIF(C$4:C45,C45)))&lt;15),1),IF(REGEXMATCH(C45,""_up""),IF(COUNTIF(C$4:C45,SUBSTITUTE(C45,""_up"",""""))&lt;IFERRO"&amp;"R(VLOOKUP(C45,Upgrades!$L$3:$P$6,1+COUNTIF(C$4:C45,C45),0),999),1),IF(REGEXMATCH(C45,""Sell_""),IF(COUNTIF(C$4:C45,SUBSTITUTE(C45,""Sell_"",""""))-COUNTIF(C$4:C44,C45)&lt;1,1),FALSE)))))))))"),FALSE)</f>
        <v>0</v>
      </c>
      <c r="E45" s="71">
        <f>IFERROR(__xludf.DUMMYFUNCTION("IF(REGEXMATCH(C45,""^Sell_""),E44, IF(COUNTA(C45:C147)=0,"""",(COUNTIF(C$4:C45,""Cursor"")-COUNTIF(C$4:C45,""Sell_Cursor""))*(0.1*2^SWITCH(COUNTIF(C$4:C45,""Cursor_up""),0,0,1,1,2,2,3)+SWITCH(COUNTIF(C$4:C45,""Cursor_up""),4,0.1,0)*(ROW(C45)-4-COUNTIF(C$4"&amp;":C45,""Cursor"")-COUNTIF(C$4:C45,""*""&amp;""_up"")-2*COUNTIF(C$4:C45,""Sell_""&amp;""*"")+COUNTIF(C$4:C45,""Sell_Cursor"")-COUNTIF(C$4:C45,"""")))+(COUNTIF(C$4:C45,""Grandma"")-COUNTIF(C$4:C45,""Sell_Grandma""))*(1*2^(COUNTIF(C$4:C45,""Grandma_up"")+COUNTIF(C$4:"&amp;"C45,""Super_up"")))+(COUNTIF(C$4:C45,""Farm"")-COUNTIF(C$4:C45,""Sell_Farm""))*(8*2^COUNTIF(C$4:C45,""Farm_up""))*IF(COUNTIF(C$4:C45,""Super_up"")&gt;0,1+0.01*(COUNTIF(C$4:C45,""Grandma"")-COUNTIF(C$4:C45,""Sell_Grandma"")),1)+(COUNTIF(C$4:C45,""Mine"")-COUN"&amp;"TIF(C$4:C45,""Sell_Mine""))*((47*2^COUNTIF(C$4:C45,""Mine_up""))*IF(COUNTIF(C$4:C45,""Super_up"")&gt;1,1+0.005*(COUNTIF(C$4:C45,""Grandma"")-COUNTIF(C$4:C45,""Sell_Grandma"")),1))+(COUNTIF(C$4:C45,""Factory"")-COUNTIF(C$4:C45,""Sell_Factory""))*(260*2^COUNTI"&amp;"F(C$4:C45,""Factory_up""))))"),108.8)</f>
        <v>108.8</v>
      </c>
      <c r="F45" s="73">
        <f>IFERROR(__xludf.DUMMYFUNCTION("IF(COUNTA(C45:C147)=0,"""",IF(REGEXMATCH(INDEX(FILTER(C$4:C45,C$4:C45&lt;&gt;""""),ROWS(FILTER(C$4:C45,C$4:C45&lt;&gt;""""))),""^Sell_""),INDEX(FILTER(F$4:F44,C$4:C44&lt;&gt;""""),ROWS(FILTER(C$4:C44,C$4:C44&lt;&gt;""""))),$AC$5*(2^SWITCH(COUNTIF(C$4:C45,""Cursor_up""),0,0,1,1,2"&amp;",2,3)+SWITCH(COUNTIF(C$4:C45,""Cursor_up""),4,0.1,0)*(ROW(C45)-4-COUNTIF(C$4:C45,""Cursor"")-COUNTIF(C$4:C45,""*""&amp;""_up"")-2*COUNTIF(C$4:C45,""Sell_""&amp;""*"")+COUNTIF(C$4:C45,""Sell_Cursor"")-COUNTIF(C$4:C45,""""))+0.01*E45*COUNTIF(C$4:C45,""Plastic_up"")"&amp;")+E45))"),228.8)</f>
        <v>228.8</v>
      </c>
      <c r="G45" s="14">
        <f>IFERROR(__xludf.DUMMYFUNCTION("IF(COUNTA(C45:C147)=0,"""",IF(REGEXMATCH(C45,""_up""),VLOOKUP(C45,Upgrades!$F$3:$J$8,1+COUNTIF(C$4:C45,C45),FALSE),IF(C45="""",0,IF(REGEXMATCH(C45,""^Sell_""),-ROUNDDOWN(ROUNDUP(INDEX(Upgrades!$C$3:$C$8,MATCH(SUBSTITUTE(C45,""Sell_"",""""),Upgrades!$B$3:$"&amp;"B$8,0))*1.15^(COUNTIF(C$4:C44,SUBSTITUTE(C45,""Sell_"",""""))-COUNTIF(C$4:C44,""Sell_""&amp;SUBSTITUTE(C45,""Sell_"",""""))))/4),ROUNDUP(INDEX(Upgrades!$C$3:$C$7,MATCH(C45,Upgrades!$B$3:$B$7,0))*1.15^(COUNTIF(C$4:C44,C45)-COUNTIF(C$4:C44,""Sell_""&amp;C45)))))))"),123.0)</f>
        <v>123</v>
      </c>
      <c r="H45" s="14">
        <f t="shared" si="3"/>
        <v>123</v>
      </c>
      <c r="I45" s="75">
        <f t="shared" si="4"/>
        <v>247251.8736</v>
      </c>
      <c r="J45" s="76">
        <f t="shared" si="5"/>
        <v>258.9087108</v>
      </c>
      <c r="K45" s="71" t="str">
        <f t="shared" si="6"/>
        <v>4m 18s</v>
      </c>
      <c r="L45" s="77">
        <f t="shared" si="7"/>
        <v>28516</v>
      </c>
      <c r="M45" s="51">
        <f t="shared" si="8"/>
        <v>0</v>
      </c>
      <c r="N45" s="52">
        <f>IFERROR(__xludf.DUMMYFUNCTION("IFS(AND(COUNTA(C45:C147)=0,COUNTA(P45:P147)=0),"""",OR(AND(L45&gt;=1000000,OR(Y45&gt;=1000000,COUNTA(P45:P147)=0)),AND(Y45&gt;=1000000,COUNTA(C45:C147)=0),AND(COUNTA(P45:P147)=0,O$3=TRUE)),
ROUNDDOWN((AB$1-AC$1)*MAX(INDEX(S$4:S147,MATCH(LARGE(FILTER(Y$4:Y147,Y$4:Y"&amp;"147&lt;1000000),1),Y$4:Y147)),INDEX(F$4:F147,MATCH(LARGE(FILTER(L$4:L147,L$4:L147&lt;1000000),1),L$4:L147)))),AND(L45&lt;1000000,COUNTA(C45:C147)&gt;0,O$3=FALSE),
ROUNDDOWN(INDEX(Y$4:Y147,MATCH(LARGE(FILTER(W$4:W147,W$4:W147&lt;=J45),1),W$4:W147))+(J45-LARGE(FILTER(W$4:"&amp;"W147,W$4:W147&lt;=J45),1))*INDEX(S$4:S147,MATCH(LARGE(FILTER(W$4:W147,W$4:W147&lt;=J45),1),W$4:W147))-L45),1,
ROUNDDOWN(Y45-INDEX(L$4:L147,MATCH(LARGE(FILTER(J$4:J147,J$4:J147&lt;=W45),1),J$4:J147))-(W45-LARGE(FILTER(J$4:J147,J$4:J147&lt;=W45),1))*INDEX(F$4:F147,MATC"&amp;"H(LARGE(FILTER(J$4:J147,J$4:J147&lt;=W45),1),J$4:J147))))"),0.0)</f>
        <v>0</v>
      </c>
      <c r="O45" s="65">
        <f t="shared" si="9"/>
        <v>16</v>
      </c>
      <c r="P45" s="66" t="s">
        <v>10</v>
      </c>
      <c r="Q45" s="14" t="b">
        <f>IFERROR(__xludf.DUMMYFUNCTION("IF(COUNTA(P45:P147)=0,"""",IFERROR(IF(ISBLANK(P45),FALSE,IF(ISBLANK(T45),1,IF(NOT(COUNTIF($AA$24:$AA$34,SUBSTITUTE(P45,""Sell_"",""""))),1,IF(P45=""Plastic_up"",IF(V45&lt;1000,1),IF(P45=""Super_Up"",IF(OR(COUNTIF(P$4:P45,""Grandma"")-COUNTIF(P$4:P45,""Sell_G"&amp;"randma"")&lt;1,COUNTIF(P$4:P45,VLOOKUP(P45,Upgrades!$F$8:$N$8,7+COUNTIF(P$4:P45,P45)))-COUNTIF(P$4:P45,""Sell_""&amp;VLOOKUP(P45,Upgrades!$F$8:$N$8,7+COUNTIF(P$4:P45,P45)))&lt;15),1),IF(REGEXMATCH(P45,""_up""),IF(COUNTIF(P$4:P45,SUBSTITUTE(P45,""_up"",""""))&lt;IFERRO"&amp;"R(VLOOKUP(P45,Upgrades!$L$3:$P$6,1+COUNTIF(P$4:P45,P45),0),999),1),IF(REGEXMATCH(P45,""Sell_""),IF(COUNTIF(P$4:P45,SUBSTITUTE(P45,""Sell_"",""""))-COUNTIF(P$4:P44,P45)&lt;1,1),FALSE)))))))))"),FALSE)</f>
        <v>0</v>
      </c>
      <c r="R45" s="71">
        <f>IFERROR(__xludf.DUMMYFUNCTION("IF(REGEXMATCH(P45,""^Sell_""),R44, IF(COUNTA(P45:P147)=0,"""",(COUNTIF(P$4:P45,""Cursor"")-COUNTIF(P$4:P45,""Sell_Cursor""))*(0.1*2^SWITCH(COUNTIF(P$4:P45,""Cursor_up""),0,0,1,1,2,2,3)+SWITCH(COUNTIF(P$4:P45,""Cursor_up""),4,0.1,0)*(ROW(P45)-4-COUNTIF(P$4"&amp;":P45,""Cursor"")-COUNTIF(P$4:P45,""*""&amp;""_up"")-2*COUNTIF(P$4:P45,""Sell_""&amp;""*"")+COUNTIF(P$4:P45,""Sell_Cursor"")-COUNTIF(P$4:P45,"""")))+(COUNTIF(P$4:P45,""Grandma"")-COUNTIF(P$4:P45,""Sell_Grandma""))*(1*2^(COUNTIF(P$4:P45,""Grandma_up"")+COUNTIF(P$4:"&amp;"P45,""Super_up"")))+(COUNTIF(P$4:P45,""Farm"")-COUNTIF(P$4:P45,""Sell_Farm""))*(8*2^COUNTIF(P$4:P45,""Farm_up""))*IF(COUNTIF(P$4:P45,""Super_up"")&gt;0,1+0.01*(COUNTIF(P$4:P45,""Grandma"")-COUNTIF(P$4:P45,""Sell_Grandma"")),1)+(COUNTIF(P$4:P45,""Mine"")-COUN"&amp;"TIF(P$4:P45,""Sell_Mine""))*((47*2^COUNTIF(P$4:P45,""Mine_up""))*IF(COUNTIF(P$4:P45,""Super_up"")&gt;1,1+0.005*(COUNTIF(P$4:P45,""Grandma"")-COUNTIF(P$4:P45,""Sell_Grandma"")),1))+(COUNTIF(P$4:P45,""Factory"")-COUNTIF(P$4:P45,""Sell_Factory""))*(260*2^COUNTI"&amp;"F(P$4:P45,""Factory_up""))))"),108.8)</f>
        <v>108.8</v>
      </c>
      <c r="S45" s="73">
        <f>IFERROR(__xludf.DUMMYFUNCTION("IF(COUNTA(P45:P147)=0,"""",IF(REGEXMATCH(INDEX(FILTER(P$4:P45,P$4:P45&lt;&gt;""""),ROWS(FILTER(P$4:P45,P$4:P45&lt;&gt;""""))),""^Sell_""),INDEX(FILTER(S$4:S44,P$4:P44&lt;&gt;""""),ROWS(FILTER(P$4:P44,P$4:P44&lt;&gt;""""))),$AD$5*(2^SWITCH(COUNTIF(P$4:P45,""Cursor_up""),0,0,1,1,2"&amp;",2,3)+SWITCH(COUNTIF(P$4:P45,""Cursor_up""),4,0.1,0)*(ROW(P45)-4-COUNTIF(P$4:P45,""Cursor"")-COUNTIF(P$4:P45,""*""&amp;""_up"")-2*COUNTIF(P$4:P45,""Sell_""&amp;""*"")+COUNTIF(P$4:P45,""Sell_Cursor"")-COUNTIF(P$4:P45,""""))+0.01*R45*COUNTIF(P$4:P45,""Plastic_up"")"&amp;")+R45))"),228.8)</f>
        <v>228.8</v>
      </c>
      <c r="T45" s="14">
        <f>IFERROR(__xludf.DUMMYFUNCTION("IF(COUNTA(P45:P147)=0,"""",IF(REGEXMATCH(P45,""_up""),VLOOKUP(P45,Upgrades!$F$3:$J$8,1+COUNTIF(P$4:P45,P45),FALSE),IF(P45="""",0,IF(REGEXMATCH(P45,""^Sell_""),-ROUNDDOWN(ROUNDUP(INDEX(Upgrades!$C$3:$C$8,MATCH(SUBSTITUTE(P45,""Sell_"",""""),Upgrades!$B$3:$"&amp;"B$8,0))*1.15^(COUNTIF(P$4:P44,SUBSTITUTE(P45,""Sell_"",""""))-COUNTIF(P$4:P44,""Sell_""&amp;SUBSTITUTE(P45,""Sell_"",""""))))/4),ROUNDUP(INDEX(Upgrades!$C$3:$C$7,MATCH(P45,Upgrades!$B$3:$B$7,0))*1.15^(COUNTIF(P$4:P44,P45)-COUNTIF(P$4:P44,""Sell_""&amp;P45)))))))"),123.0)</f>
        <v>123</v>
      </c>
      <c r="U45" s="14">
        <f t="shared" si="10"/>
        <v>123</v>
      </c>
      <c r="V45" s="75">
        <f t="shared" si="11"/>
        <v>247251.8736</v>
      </c>
      <c r="W45" s="76">
        <f t="shared" si="12"/>
        <v>258.9087108</v>
      </c>
      <c r="X45" s="71" t="str">
        <f t="shared" si="13"/>
        <v>4m 18s</v>
      </c>
      <c r="Y45" s="77">
        <f t="shared" si="14"/>
        <v>28516</v>
      </c>
      <c r="Z45" s="17"/>
      <c r="AA45" s="13"/>
      <c r="AB45" s="13"/>
      <c r="AC45" s="118"/>
      <c r="AD45" s="118"/>
      <c r="AE45" s="13"/>
      <c r="AF45" s="13"/>
      <c r="AG45" s="13"/>
    </row>
    <row r="46">
      <c r="A46" s="12"/>
      <c r="B46" s="65">
        <f t="shared" si="2"/>
        <v>17</v>
      </c>
      <c r="C46" s="66" t="s">
        <v>10</v>
      </c>
      <c r="D46" s="14" t="b">
        <f>IFERROR(__xludf.DUMMYFUNCTION("IF(COUNTA(C46:C147)=0,"""",IFERROR(IF(ISBLANK(C46),FALSE,IF(ISBLANK(G46),1,IF(NOT(COUNTIF($AA$24:$AA$34,SUBSTITUTE(C46,""Sell_"",""""))),1,IF(C46=""Plastic_up"",IF(I46&lt;1000,1),IF(C46=""Super_Up"",IF(OR(COUNTIF(C$4:C46,""Grandma"")-COUNTIF(C$4:C46,""Sell_G"&amp;"randma"")&lt;1,COUNTIF(C$4:C46,VLOOKUP(C46,Upgrades!$F$8:$N$8,7+COUNTIF(C$4:C46,C46)))-COUNTIF(C$4:C46,""Sell_""&amp;VLOOKUP(C46,Upgrades!$F$8:$N$8,7+COUNTIF(C$4:C46,C46)))&lt;15),1),IF(REGEXMATCH(C46,""_up""),IF(COUNTIF(C$4:C46,SUBSTITUTE(C46,""_up"",""""))&lt;IFERRO"&amp;"R(VLOOKUP(C46,Upgrades!$L$3:$P$6,1+COUNTIF(C$4:C46,C46),0),999),1),IF(REGEXMATCH(C46,""Sell_""),IF(COUNTIF(C$4:C46,SUBSTITUTE(C46,""Sell_"",""""))-COUNTIF(C$4:C45,C46)&lt;1,1),FALSE)))))))))"),FALSE)</f>
        <v>0</v>
      </c>
      <c r="E46" s="71">
        <f>IFERROR(__xludf.DUMMYFUNCTION("IF(REGEXMATCH(C46,""^Sell_""),E45, IF(COUNTA(C46:C147)=0,"""",(COUNTIF(C$4:C46,""Cursor"")-COUNTIF(C$4:C46,""Sell_Cursor""))*(0.1*2^SWITCH(COUNTIF(C$4:C46,""Cursor_up""),0,0,1,1,2,2,3)+SWITCH(COUNTIF(C$4:C46,""Cursor_up""),4,0.1,0)*(ROW(C46)-4-COUNTIF(C$4"&amp;":C46,""Cursor"")-COUNTIF(C$4:C46,""*""&amp;""_up"")-2*COUNTIF(C$4:C46,""Sell_""&amp;""*"")+COUNTIF(C$4:C46,""Sell_Cursor"")-COUNTIF(C$4:C46,"""")))+(COUNTIF(C$4:C46,""Grandma"")-COUNTIF(C$4:C46,""Sell_Grandma""))*(1*2^(COUNTIF(C$4:C46,""Grandma_up"")+COUNTIF(C$4:"&amp;"C46,""Super_up"")))+(COUNTIF(C$4:C46,""Farm"")-COUNTIF(C$4:C46,""Sell_Farm""))*(8*2^COUNTIF(C$4:C46,""Farm_up""))*IF(COUNTIF(C$4:C46,""Super_up"")&gt;0,1+0.01*(COUNTIF(C$4:C46,""Grandma"")-COUNTIF(C$4:C46,""Sell_Grandma"")),1)+(COUNTIF(C$4:C46,""Mine"")-COUN"&amp;"TIF(C$4:C46,""Sell_Mine""))*((47*2^COUNTIF(C$4:C46,""Mine_up""))*IF(COUNTIF(C$4:C46,""Super_up"")&gt;1,1+0.005*(COUNTIF(C$4:C46,""Grandma"")-COUNTIF(C$4:C46,""Sell_Grandma"")),1))+(COUNTIF(C$4:C46,""Factory"")-COUNTIF(C$4:C46,""Sell_Factory""))*(260*2^COUNTI"&amp;"F(C$4:C46,""Factory_up""))))"),109.6)</f>
        <v>109.6</v>
      </c>
      <c r="F46" s="73">
        <f>IFERROR(__xludf.DUMMYFUNCTION("IF(COUNTA(C46:C147)=0,"""",IF(REGEXMATCH(INDEX(FILTER(C$4:C46,C$4:C46&lt;&gt;""""),ROWS(FILTER(C$4:C46,C$4:C46&lt;&gt;""""))),""^Sell_""),INDEX(FILTER(F$4:F45,C$4:C45&lt;&gt;""""),ROWS(FILTER(C$4:C45,C$4:C45&lt;&gt;""""))),$AC$5*(2^SWITCH(COUNTIF(C$4:C46,""Cursor_up""),0,0,1,1,2"&amp;",2,3)+SWITCH(COUNTIF(C$4:C46,""Cursor_up""),4,0.1,0)*(ROW(C46)-4-COUNTIF(C$4:C46,""Cursor"")-COUNTIF(C$4:C46,""*""&amp;""_up"")-2*COUNTIF(C$4:C46,""Sell_""&amp;""*"")+COUNTIF(C$4:C46,""Sell_Cursor"")-COUNTIF(C$4:C46,""""))+0.01*E46*COUNTIF(C$4:C46,""Plastic_up"")"&amp;")+E46))"),229.6)</f>
        <v>229.6</v>
      </c>
      <c r="G46" s="14">
        <f>IFERROR(__xludf.DUMMYFUNCTION("IF(COUNTA(C46:C147)=0,"""",IF(REGEXMATCH(C46,""_up""),VLOOKUP(C46,Upgrades!$F$3:$J$8,1+COUNTIF(C$4:C46,C46),FALSE),IF(C46="""",0,IF(REGEXMATCH(C46,""^Sell_""),-ROUNDDOWN(ROUNDUP(INDEX(Upgrades!$C$3:$C$8,MATCH(SUBSTITUTE(C46,""Sell_"",""""),Upgrades!$B$3:$"&amp;"B$8,0))*1.15^(COUNTIF(C$4:C45,SUBSTITUTE(C46,""Sell_"",""""))-COUNTIF(C$4:C45,""Sell_""&amp;SUBSTITUTE(C46,""Sell_"",""""))))/4),ROUNDUP(INDEX(Upgrades!$C$3:$C$7,MATCH(C46,Upgrades!$B$3:$B$7,0))*1.15^(COUNTIF(C$4:C45,C46)-COUNTIF(C$4:C45,""Sell_""&amp;C46)))))))"),141.0)</f>
        <v>141</v>
      </c>
      <c r="H46" s="14">
        <f t="shared" si="3"/>
        <v>141</v>
      </c>
      <c r="I46" s="75">
        <f t="shared" si="4"/>
        <v>278394.87</v>
      </c>
      <c r="J46" s="76">
        <f t="shared" si="5"/>
        <v>259.5249696</v>
      </c>
      <c r="K46" s="71" t="str">
        <f t="shared" si="6"/>
        <v>4m 19s</v>
      </c>
      <c r="L46" s="77">
        <f t="shared" si="7"/>
        <v>28657</v>
      </c>
      <c r="M46" s="51">
        <f t="shared" si="8"/>
        <v>0</v>
      </c>
      <c r="N46" s="52">
        <f>IFERROR(__xludf.DUMMYFUNCTION("IFS(AND(COUNTA(C46:C147)=0,COUNTA(P46:P147)=0),"""",OR(AND(L46&gt;=1000000,OR(Y46&gt;=1000000,COUNTA(P46:P147)=0)),AND(Y46&gt;=1000000,COUNTA(C46:C147)=0),AND(COUNTA(P46:P147)=0,O$3=TRUE)),
ROUNDDOWN((AB$1-AC$1)*MAX(INDEX(S$4:S147,MATCH(LARGE(FILTER(Y$4:Y147,Y$4:Y"&amp;"147&lt;1000000),1),Y$4:Y147)),INDEX(F$4:F147,MATCH(LARGE(FILTER(L$4:L147,L$4:L147&lt;1000000),1),L$4:L147)))),AND(L46&lt;1000000,COUNTA(C46:C147)&gt;0,O$3=FALSE),
ROUNDDOWN(INDEX(Y$4:Y147,MATCH(LARGE(FILTER(W$4:W147,W$4:W147&lt;=J46),1),W$4:W147))+(J46-LARGE(FILTER(W$4:"&amp;"W147,W$4:W147&lt;=J46),1))*INDEX(S$4:S147,MATCH(LARGE(FILTER(W$4:W147,W$4:W147&lt;=J46),1),W$4:W147))-L46),1,
ROUNDDOWN(Y46-INDEX(L$4:L147,MATCH(LARGE(FILTER(J$4:J147,J$4:J147&lt;=W46),1),J$4:J147))-(W46-LARGE(FILTER(J$4:J147,J$4:J147&lt;=W46),1))*INDEX(F$4:F147,MATC"&amp;"H(LARGE(FILTER(J$4:J147,J$4:J147&lt;=W46),1),J$4:J147))))"),0.0)</f>
        <v>0</v>
      </c>
      <c r="O46" s="65">
        <f t="shared" si="9"/>
        <v>17</v>
      </c>
      <c r="P46" s="66" t="s">
        <v>10</v>
      </c>
      <c r="Q46" s="14" t="b">
        <f>IFERROR(__xludf.DUMMYFUNCTION("IF(COUNTA(P46:P147)=0,"""",IFERROR(IF(ISBLANK(P46),FALSE,IF(ISBLANK(T46),1,IF(NOT(COUNTIF($AA$24:$AA$34,SUBSTITUTE(P46,""Sell_"",""""))),1,IF(P46=""Plastic_up"",IF(V46&lt;1000,1),IF(P46=""Super_Up"",IF(OR(COUNTIF(P$4:P46,""Grandma"")-COUNTIF(P$4:P46,""Sell_G"&amp;"randma"")&lt;1,COUNTIF(P$4:P46,VLOOKUP(P46,Upgrades!$F$8:$N$8,7+COUNTIF(P$4:P46,P46)))-COUNTIF(P$4:P46,""Sell_""&amp;VLOOKUP(P46,Upgrades!$F$8:$N$8,7+COUNTIF(P$4:P46,P46)))&lt;15),1),IF(REGEXMATCH(P46,""_up""),IF(COUNTIF(P$4:P46,SUBSTITUTE(P46,""_up"",""""))&lt;IFERRO"&amp;"R(VLOOKUP(P46,Upgrades!$L$3:$P$6,1+COUNTIF(P$4:P46,P46),0),999),1),IF(REGEXMATCH(P46,""Sell_""),IF(COUNTIF(P$4:P46,SUBSTITUTE(P46,""Sell_"",""""))-COUNTIF(P$4:P45,P46)&lt;1,1),FALSE)))))))))"),FALSE)</f>
        <v>0</v>
      </c>
      <c r="R46" s="71">
        <f>IFERROR(__xludf.DUMMYFUNCTION("IF(REGEXMATCH(P46,""^Sell_""),R45, IF(COUNTA(P46:P147)=0,"""",(COUNTIF(P$4:P46,""Cursor"")-COUNTIF(P$4:P46,""Sell_Cursor""))*(0.1*2^SWITCH(COUNTIF(P$4:P46,""Cursor_up""),0,0,1,1,2,2,3)+SWITCH(COUNTIF(P$4:P46,""Cursor_up""),4,0.1,0)*(ROW(P46)-4-COUNTIF(P$4"&amp;":P46,""Cursor"")-COUNTIF(P$4:P46,""*""&amp;""_up"")-2*COUNTIF(P$4:P46,""Sell_""&amp;""*"")+COUNTIF(P$4:P46,""Sell_Cursor"")-COUNTIF(P$4:P46,"""")))+(COUNTIF(P$4:P46,""Grandma"")-COUNTIF(P$4:P46,""Sell_Grandma""))*(1*2^(COUNTIF(P$4:P46,""Grandma_up"")+COUNTIF(P$4:"&amp;"P46,""Super_up"")))+(COUNTIF(P$4:P46,""Farm"")-COUNTIF(P$4:P46,""Sell_Farm""))*(8*2^COUNTIF(P$4:P46,""Farm_up""))*IF(COUNTIF(P$4:P46,""Super_up"")&gt;0,1+0.01*(COUNTIF(P$4:P46,""Grandma"")-COUNTIF(P$4:P46,""Sell_Grandma"")),1)+(COUNTIF(P$4:P46,""Mine"")-COUN"&amp;"TIF(P$4:P46,""Sell_Mine""))*((47*2^COUNTIF(P$4:P46,""Mine_up""))*IF(COUNTIF(P$4:P46,""Super_up"")&gt;1,1+0.005*(COUNTIF(P$4:P46,""Grandma"")-COUNTIF(P$4:P46,""Sell_Grandma"")),1))+(COUNTIF(P$4:P46,""Factory"")-COUNTIF(P$4:P46,""Sell_Factory""))*(260*2^COUNTI"&amp;"F(P$4:P46,""Factory_up""))))"),109.6)</f>
        <v>109.6</v>
      </c>
      <c r="S46" s="73">
        <f>IFERROR(__xludf.DUMMYFUNCTION("IF(COUNTA(P46:P147)=0,"""",IF(REGEXMATCH(INDEX(FILTER(P$4:P46,P$4:P46&lt;&gt;""""),ROWS(FILTER(P$4:P46,P$4:P46&lt;&gt;""""))),""^Sell_""),INDEX(FILTER(S$4:S45,P$4:P45&lt;&gt;""""),ROWS(FILTER(P$4:P45,P$4:P45&lt;&gt;""""))),$AD$5*(2^SWITCH(COUNTIF(P$4:P46,""Cursor_up""),0,0,1,1,2"&amp;",2,3)+SWITCH(COUNTIF(P$4:P46,""Cursor_up""),4,0.1,0)*(ROW(P46)-4-COUNTIF(P$4:P46,""Cursor"")-COUNTIF(P$4:P46,""*""&amp;""_up"")-2*COUNTIF(P$4:P46,""Sell_""&amp;""*"")+COUNTIF(P$4:P46,""Sell_Cursor"")-COUNTIF(P$4:P46,""""))+0.01*R46*COUNTIF(P$4:P46,""Plastic_up"")"&amp;")+R46))"),229.6)</f>
        <v>229.6</v>
      </c>
      <c r="T46" s="14">
        <f>IFERROR(__xludf.DUMMYFUNCTION("IF(COUNTA(P46:P147)=0,"""",IF(REGEXMATCH(P46,""_up""),VLOOKUP(P46,Upgrades!$F$3:$J$8,1+COUNTIF(P$4:P46,P46),FALSE),IF(P46="""",0,IF(REGEXMATCH(P46,""^Sell_""),-ROUNDDOWN(ROUNDUP(INDEX(Upgrades!$C$3:$C$8,MATCH(SUBSTITUTE(P46,""Sell_"",""""),Upgrades!$B$3:$"&amp;"B$8,0))*1.15^(COUNTIF(P$4:P45,SUBSTITUTE(P46,""Sell_"",""""))-COUNTIF(P$4:P45,""Sell_""&amp;SUBSTITUTE(P46,""Sell_"",""""))))/4),ROUNDUP(INDEX(Upgrades!$C$3:$C$7,MATCH(P46,Upgrades!$B$3:$B$7,0))*1.15^(COUNTIF(P$4:P45,P46)-COUNTIF(P$4:P45,""Sell_""&amp;P46)))))))"),141.0)</f>
        <v>141</v>
      </c>
      <c r="U46" s="14">
        <f t="shared" si="10"/>
        <v>141</v>
      </c>
      <c r="V46" s="75">
        <f t="shared" si="11"/>
        <v>278394.87</v>
      </c>
      <c r="W46" s="76">
        <f t="shared" si="12"/>
        <v>259.5249696</v>
      </c>
      <c r="X46" s="71" t="str">
        <f t="shared" si="13"/>
        <v>4m 19s</v>
      </c>
      <c r="Y46" s="77">
        <f t="shared" si="14"/>
        <v>28657</v>
      </c>
      <c r="Z46" s="17"/>
      <c r="AA46" s="13"/>
      <c r="AB46" s="13"/>
      <c r="AC46" s="13"/>
      <c r="AD46" s="13"/>
      <c r="AE46" s="13"/>
      <c r="AF46" s="13"/>
      <c r="AG46" s="13"/>
    </row>
    <row r="47">
      <c r="A47" s="12"/>
      <c r="B47" s="65">
        <f t="shared" si="2"/>
        <v>18</v>
      </c>
      <c r="C47" s="66" t="s">
        <v>10</v>
      </c>
      <c r="D47" s="14" t="b">
        <f>IFERROR(__xludf.DUMMYFUNCTION("IF(COUNTA(C47:C147)=0,"""",IFERROR(IF(ISBLANK(C47),FALSE,IF(ISBLANK(G47),1,IF(NOT(COUNTIF($AA$24:$AA$34,SUBSTITUTE(C47,""Sell_"",""""))),1,IF(C47=""Plastic_up"",IF(I47&lt;1000,1),IF(C47=""Super_Up"",IF(OR(COUNTIF(C$4:C47,""Grandma"")-COUNTIF(C$4:C47,""Sell_G"&amp;"randma"")&lt;1,COUNTIF(C$4:C47,VLOOKUP(C47,Upgrades!$F$8:$N$8,7+COUNTIF(C$4:C47,C47)))-COUNTIF(C$4:C47,""Sell_""&amp;VLOOKUP(C47,Upgrades!$F$8:$N$8,7+COUNTIF(C$4:C47,C47)))&lt;15),1),IF(REGEXMATCH(C47,""_up""),IF(COUNTIF(C$4:C47,SUBSTITUTE(C47,""_up"",""""))&lt;IFERRO"&amp;"R(VLOOKUP(C47,Upgrades!$L$3:$P$6,1+COUNTIF(C$4:C47,C47),0),999),1),IF(REGEXMATCH(C47,""Sell_""),IF(COUNTIF(C$4:C47,SUBSTITUTE(C47,""Sell_"",""""))-COUNTIF(C$4:C46,C47)&lt;1,1),FALSE)))))))))"),FALSE)</f>
        <v>0</v>
      </c>
      <c r="E47" s="71">
        <f>IFERROR(__xludf.DUMMYFUNCTION("IF(REGEXMATCH(C47,""^Sell_""),E46, IF(COUNTA(C47:C147)=0,"""",(COUNTIF(C$4:C47,""Cursor"")-COUNTIF(C$4:C47,""Sell_Cursor""))*(0.1*2^SWITCH(COUNTIF(C$4:C47,""Cursor_up""),0,0,1,1,2,2,3)+SWITCH(COUNTIF(C$4:C47,""Cursor_up""),4,0.1,0)*(ROW(C47)-4-COUNTIF(C$4"&amp;":C47,""Cursor"")-COUNTIF(C$4:C47,""*""&amp;""_up"")-2*COUNTIF(C$4:C47,""Sell_""&amp;""*"")+COUNTIF(C$4:C47,""Sell_Cursor"")-COUNTIF(C$4:C47,"""")))+(COUNTIF(C$4:C47,""Grandma"")-COUNTIF(C$4:C47,""Sell_Grandma""))*(1*2^(COUNTIF(C$4:C47,""Grandma_up"")+COUNTIF(C$4:"&amp;"C47,""Super_up"")))+(COUNTIF(C$4:C47,""Farm"")-COUNTIF(C$4:C47,""Sell_Farm""))*(8*2^COUNTIF(C$4:C47,""Farm_up""))*IF(COUNTIF(C$4:C47,""Super_up"")&gt;0,1+0.01*(COUNTIF(C$4:C47,""Grandma"")-COUNTIF(C$4:C47,""Sell_Grandma"")),1)+(COUNTIF(C$4:C47,""Mine"")-COUN"&amp;"TIF(C$4:C47,""Sell_Mine""))*((47*2^COUNTIF(C$4:C47,""Mine_up""))*IF(COUNTIF(C$4:C47,""Super_up"")&gt;1,1+0.005*(COUNTIF(C$4:C47,""Grandma"")-COUNTIF(C$4:C47,""Sell_Grandma"")),1))+(COUNTIF(C$4:C47,""Factory"")-COUNTIF(C$4:C47,""Sell_Factory""))*(260*2^COUNTI"&amp;"F(C$4:C47,""Factory_up""))))"),110.4)</f>
        <v>110.4</v>
      </c>
      <c r="F47" s="73">
        <f>IFERROR(__xludf.DUMMYFUNCTION("IF(COUNTA(C47:C147)=0,"""",IF(REGEXMATCH(INDEX(FILTER(C$4:C47,C$4:C47&lt;&gt;""""),ROWS(FILTER(C$4:C47,C$4:C47&lt;&gt;""""))),""^Sell_""),INDEX(FILTER(F$4:F46,C$4:C46&lt;&gt;""""),ROWS(FILTER(C$4:C46,C$4:C46&lt;&gt;""""))),$AC$5*(2^SWITCH(COUNTIF(C$4:C47,""Cursor_up""),0,0,1,1,2"&amp;",2,3)+SWITCH(COUNTIF(C$4:C47,""Cursor_up""),4,0.1,0)*(ROW(C47)-4-COUNTIF(C$4:C47,""Cursor"")-COUNTIF(C$4:C47,""*""&amp;""_up"")-2*COUNTIF(C$4:C47,""Sell_""&amp;""*"")+COUNTIF(C$4:C47,""Sell_Cursor"")-COUNTIF(C$4:C47,""""))+0.01*E47*COUNTIF(C$4:C47,""Plastic_up"")"&amp;")+E47))"),230.4)</f>
        <v>230.4</v>
      </c>
      <c r="G47" s="14">
        <f>IFERROR(__xludf.DUMMYFUNCTION("IF(COUNTA(C47:C147)=0,"""",IF(REGEXMATCH(C47,""_up""),VLOOKUP(C47,Upgrades!$F$3:$J$8,1+COUNTIF(C$4:C47,C47),FALSE),IF(C47="""",0,IF(REGEXMATCH(C47,""^Sell_""),-ROUNDDOWN(ROUNDUP(INDEX(Upgrades!$C$3:$C$8,MATCH(SUBSTITUTE(C47,""Sell_"",""""),Upgrades!$B$3:$"&amp;"B$8,0))*1.15^(COUNTIF(C$4:C46,SUBSTITUTE(C47,""Sell_"",""""))-COUNTIF(C$4:C46,""Sell_""&amp;SUBSTITUTE(C47,""Sell_"",""""))))/4),ROUNDUP(INDEX(Upgrades!$C$3:$C$7,MATCH(C47,Upgrades!$B$3:$B$7,0))*1.15^(COUNTIF(C$4:C46,C47)-COUNTIF(C$4:C46,""Sell_""&amp;C47)))))))"),162.0)</f>
        <v>162</v>
      </c>
      <c r="H47" s="14">
        <f t="shared" si="3"/>
        <v>162</v>
      </c>
      <c r="I47" s="75">
        <f t="shared" si="4"/>
        <v>309622.5353</v>
      </c>
      <c r="J47" s="76">
        <f t="shared" si="5"/>
        <v>260.2305445</v>
      </c>
      <c r="K47" s="71" t="str">
        <f t="shared" si="6"/>
        <v>4m 20s</v>
      </c>
      <c r="L47" s="77">
        <f t="shared" si="7"/>
        <v>28819</v>
      </c>
      <c r="M47" s="51">
        <f t="shared" si="8"/>
        <v>0</v>
      </c>
      <c r="N47" s="52">
        <f>IFERROR(__xludf.DUMMYFUNCTION("IFS(AND(COUNTA(C47:C147)=0,COUNTA(P47:P147)=0),"""",OR(AND(L47&gt;=1000000,OR(Y47&gt;=1000000,COUNTA(P47:P147)=0)),AND(Y47&gt;=1000000,COUNTA(C47:C147)=0),AND(COUNTA(P47:P147)=0,O$3=TRUE)),
ROUNDDOWN((AB$1-AC$1)*MAX(INDEX(S$4:S147,MATCH(LARGE(FILTER(Y$4:Y147,Y$4:Y"&amp;"147&lt;1000000),1),Y$4:Y147)),INDEX(F$4:F147,MATCH(LARGE(FILTER(L$4:L147,L$4:L147&lt;1000000),1),L$4:L147)))),AND(L47&lt;1000000,COUNTA(C47:C147)&gt;0,O$3=FALSE),
ROUNDDOWN(INDEX(Y$4:Y147,MATCH(LARGE(FILTER(W$4:W147,W$4:W147&lt;=J47),1),W$4:W147))+(J47-LARGE(FILTER(W$4:"&amp;"W147,W$4:W147&lt;=J47),1))*INDEX(S$4:S147,MATCH(LARGE(FILTER(W$4:W147,W$4:W147&lt;=J47),1),W$4:W147))-L47),1,
ROUNDDOWN(Y47-INDEX(L$4:L147,MATCH(LARGE(FILTER(J$4:J147,J$4:J147&lt;=W47),1),J$4:J147))-(W47-LARGE(FILTER(J$4:J147,J$4:J147&lt;=W47),1))*INDEX(F$4:F147,MATC"&amp;"H(LARGE(FILTER(J$4:J147,J$4:J147&lt;=W47),1),J$4:J147))))"),0.0)</f>
        <v>0</v>
      </c>
      <c r="O47" s="65">
        <f t="shared" si="9"/>
        <v>18</v>
      </c>
      <c r="P47" s="66" t="s">
        <v>10</v>
      </c>
      <c r="Q47" s="14" t="b">
        <f>IFERROR(__xludf.DUMMYFUNCTION("IF(COUNTA(P47:P147)=0,"""",IFERROR(IF(ISBLANK(P47),FALSE,IF(ISBLANK(T47),1,IF(NOT(COUNTIF($AA$24:$AA$34,SUBSTITUTE(P47,""Sell_"",""""))),1,IF(P47=""Plastic_up"",IF(V47&lt;1000,1),IF(P47=""Super_Up"",IF(OR(COUNTIF(P$4:P47,""Grandma"")-COUNTIF(P$4:P47,""Sell_G"&amp;"randma"")&lt;1,COUNTIF(P$4:P47,VLOOKUP(P47,Upgrades!$F$8:$N$8,7+COUNTIF(P$4:P47,P47)))-COUNTIF(P$4:P47,""Sell_""&amp;VLOOKUP(P47,Upgrades!$F$8:$N$8,7+COUNTIF(P$4:P47,P47)))&lt;15),1),IF(REGEXMATCH(P47,""_up""),IF(COUNTIF(P$4:P47,SUBSTITUTE(P47,""_up"",""""))&lt;IFERRO"&amp;"R(VLOOKUP(P47,Upgrades!$L$3:$P$6,1+COUNTIF(P$4:P47,P47),0),999),1),IF(REGEXMATCH(P47,""Sell_""),IF(COUNTIF(P$4:P47,SUBSTITUTE(P47,""Sell_"",""""))-COUNTIF(P$4:P46,P47)&lt;1,1),FALSE)))))))))"),FALSE)</f>
        <v>0</v>
      </c>
      <c r="R47" s="71">
        <f>IFERROR(__xludf.DUMMYFUNCTION("IF(REGEXMATCH(P47,""^Sell_""),R46, IF(COUNTA(P47:P147)=0,"""",(COUNTIF(P$4:P47,""Cursor"")-COUNTIF(P$4:P47,""Sell_Cursor""))*(0.1*2^SWITCH(COUNTIF(P$4:P47,""Cursor_up""),0,0,1,1,2,2,3)+SWITCH(COUNTIF(P$4:P47,""Cursor_up""),4,0.1,0)*(ROW(P47)-4-COUNTIF(P$4"&amp;":P47,""Cursor"")-COUNTIF(P$4:P47,""*""&amp;""_up"")-2*COUNTIF(P$4:P47,""Sell_""&amp;""*"")+COUNTIF(P$4:P47,""Sell_Cursor"")-COUNTIF(P$4:P47,"""")))+(COUNTIF(P$4:P47,""Grandma"")-COUNTIF(P$4:P47,""Sell_Grandma""))*(1*2^(COUNTIF(P$4:P47,""Grandma_up"")+COUNTIF(P$4:"&amp;"P47,""Super_up"")))+(COUNTIF(P$4:P47,""Farm"")-COUNTIF(P$4:P47,""Sell_Farm""))*(8*2^COUNTIF(P$4:P47,""Farm_up""))*IF(COUNTIF(P$4:P47,""Super_up"")&gt;0,1+0.01*(COUNTIF(P$4:P47,""Grandma"")-COUNTIF(P$4:P47,""Sell_Grandma"")),1)+(COUNTIF(P$4:P47,""Mine"")-COUN"&amp;"TIF(P$4:P47,""Sell_Mine""))*((47*2^COUNTIF(P$4:P47,""Mine_up""))*IF(COUNTIF(P$4:P47,""Super_up"")&gt;1,1+0.005*(COUNTIF(P$4:P47,""Grandma"")-COUNTIF(P$4:P47,""Sell_Grandma"")),1))+(COUNTIF(P$4:P47,""Factory"")-COUNTIF(P$4:P47,""Sell_Factory""))*(260*2^COUNTI"&amp;"F(P$4:P47,""Factory_up""))))"),110.4)</f>
        <v>110.4</v>
      </c>
      <c r="S47" s="73">
        <f>IFERROR(__xludf.DUMMYFUNCTION("IF(COUNTA(P47:P147)=0,"""",IF(REGEXMATCH(INDEX(FILTER(P$4:P47,P$4:P47&lt;&gt;""""),ROWS(FILTER(P$4:P47,P$4:P47&lt;&gt;""""))),""^Sell_""),INDEX(FILTER(S$4:S46,P$4:P46&lt;&gt;""""),ROWS(FILTER(P$4:P46,P$4:P46&lt;&gt;""""))),$AD$5*(2^SWITCH(COUNTIF(P$4:P47,""Cursor_up""),0,0,1,1,2"&amp;",2,3)+SWITCH(COUNTIF(P$4:P47,""Cursor_up""),4,0.1,0)*(ROW(P47)-4-COUNTIF(P$4:P47,""Cursor"")-COUNTIF(P$4:P47,""*""&amp;""_up"")-2*COUNTIF(P$4:P47,""Sell_""&amp;""*"")+COUNTIF(P$4:P47,""Sell_Cursor"")-COUNTIF(P$4:P47,""""))+0.01*R47*COUNTIF(P$4:P47,""Plastic_up"")"&amp;")+R47))"),230.4)</f>
        <v>230.4</v>
      </c>
      <c r="T47" s="14">
        <f>IFERROR(__xludf.DUMMYFUNCTION("IF(COUNTA(P47:P147)=0,"""",IF(REGEXMATCH(P47,""_up""),VLOOKUP(P47,Upgrades!$F$3:$J$8,1+COUNTIF(P$4:P47,P47),FALSE),IF(P47="""",0,IF(REGEXMATCH(P47,""^Sell_""),-ROUNDDOWN(ROUNDUP(INDEX(Upgrades!$C$3:$C$8,MATCH(SUBSTITUTE(P47,""Sell_"",""""),Upgrades!$B$3:$"&amp;"B$8,0))*1.15^(COUNTIF(P$4:P46,SUBSTITUTE(P47,""Sell_"",""""))-COUNTIF(P$4:P46,""Sell_""&amp;SUBSTITUTE(P47,""Sell_"",""""))))/4),ROUNDUP(INDEX(Upgrades!$C$3:$C$7,MATCH(P47,Upgrades!$B$3:$B$7,0))*1.15^(COUNTIF(P$4:P46,P47)-COUNTIF(P$4:P46,""Sell_""&amp;P47)))))))"),162.0)</f>
        <v>162</v>
      </c>
      <c r="U47" s="14">
        <f t="shared" si="10"/>
        <v>162</v>
      </c>
      <c r="V47" s="75">
        <f t="shared" si="11"/>
        <v>309622.5353</v>
      </c>
      <c r="W47" s="76">
        <f t="shared" si="12"/>
        <v>260.2305445</v>
      </c>
      <c r="X47" s="71" t="str">
        <f t="shared" si="13"/>
        <v>4m 20s</v>
      </c>
      <c r="Y47" s="77">
        <f t="shared" si="14"/>
        <v>28819</v>
      </c>
      <c r="Z47" s="17"/>
      <c r="AA47" s="13"/>
      <c r="AB47" s="13"/>
      <c r="AC47" s="13"/>
      <c r="AD47" s="13"/>
      <c r="AE47" s="13"/>
      <c r="AF47" s="13"/>
      <c r="AG47" s="13"/>
    </row>
    <row r="48">
      <c r="A48" s="12"/>
      <c r="B48" s="65">
        <f t="shared" si="2"/>
        <v>19</v>
      </c>
      <c r="C48" s="66" t="s">
        <v>10</v>
      </c>
      <c r="D48" s="14" t="b">
        <f>IFERROR(__xludf.DUMMYFUNCTION("IF(COUNTA(C48:C147)=0,"""",IFERROR(IF(ISBLANK(C48),FALSE,IF(ISBLANK(G48),1,IF(NOT(COUNTIF($AA$24:$AA$34,SUBSTITUTE(C48,""Sell_"",""""))),1,IF(C48=""Plastic_up"",IF(I48&lt;1000,1),IF(C48=""Super_Up"",IF(OR(COUNTIF(C$4:C48,""Grandma"")-COUNTIF(C$4:C48,""Sell_G"&amp;"randma"")&lt;1,COUNTIF(C$4:C48,VLOOKUP(C48,Upgrades!$F$8:$N$8,7+COUNTIF(C$4:C48,C48)))-COUNTIF(C$4:C48,""Sell_""&amp;VLOOKUP(C48,Upgrades!$F$8:$N$8,7+COUNTIF(C$4:C48,C48)))&lt;15),1),IF(REGEXMATCH(C48,""_up""),IF(COUNTIF(C$4:C48,SUBSTITUTE(C48,""_up"",""""))&lt;IFERRO"&amp;"R(VLOOKUP(C48,Upgrades!$L$3:$P$6,1+COUNTIF(C$4:C48,C48),0),999),1),IF(REGEXMATCH(C48,""Sell_""),IF(COUNTIF(C$4:C48,SUBSTITUTE(C48,""Sell_"",""""))-COUNTIF(C$4:C47,C48)&lt;1,1),FALSE)))))))))"),FALSE)</f>
        <v>0</v>
      </c>
      <c r="E48" s="71">
        <f>IFERROR(__xludf.DUMMYFUNCTION("IF(REGEXMATCH(C48,""^Sell_""),E47, IF(COUNTA(C48:C147)=0,"""",(COUNTIF(C$4:C48,""Cursor"")-COUNTIF(C$4:C48,""Sell_Cursor""))*(0.1*2^SWITCH(COUNTIF(C$4:C48,""Cursor_up""),0,0,1,1,2,2,3)+SWITCH(COUNTIF(C$4:C48,""Cursor_up""),4,0.1,0)*(ROW(C48)-4-COUNTIF(C$4"&amp;":C48,""Cursor"")-COUNTIF(C$4:C48,""*""&amp;""_up"")-2*COUNTIF(C$4:C48,""Sell_""&amp;""*"")+COUNTIF(C$4:C48,""Sell_Cursor"")-COUNTIF(C$4:C48,"""")))+(COUNTIF(C$4:C48,""Grandma"")-COUNTIF(C$4:C48,""Sell_Grandma""))*(1*2^(COUNTIF(C$4:C48,""Grandma_up"")+COUNTIF(C$4:"&amp;"C48,""Super_up"")))+(COUNTIF(C$4:C48,""Farm"")-COUNTIF(C$4:C48,""Sell_Farm""))*(8*2^COUNTIF(C$4:C48,""Farm_up""))*IF(COUNTIF(C$4:C48,""Super_up"")&gt;0,1+0.01*(COUNTIF(C$4:C48,""Grandma"")-COUNTIF(C$4:C48,""Sell_Grandma"")),1)+(COUNTIF(C$4:C48,""Mine"")-COUN"&amp;"TIF(C$4:C48,""Sell_Mine""))*((47*2^COUNTIF(C$4:C48,""Mine_up""))*IF(COUNTIF(C$4:C48,""Super_up"")&gt;1,1+0.005*(COUNTIF(C$4:C48,""Grandma"")-COUNTIF(C$4:C48,""Sell_Grandma"")),1))+(COUNTIF(C$4:C48,""Factory"")-COUNTIF(C$4:C48,""Sell_Factory""))*(260*2^COUNTI"&amp;"F(C$4:C48,""Factory_up""))))"),111.2)</f>
        <v>111.2</v>
      </c>
      <c r="F48" s="73">
        <f>IFERROR(__xludf.DUMMYFUNCTION("IF(COUNTA(C48:C147)=0,"""",IF(REGEXMATCH(INDEX(FILTER(C$4:C48,C$4:C48&lt;&gt;""""),ROWS(FILTER(C$4:C48,C$4:C48&lt;&gt;""""))),""^Sell_""),INDEX(FILTER(F$4:F47,C$4:C47&lt;&gt;""""),ROWS(FILTER(C$4:C47,C$4:C47&lt;&gt;""""))),$AC$5*(2^SWITCH(COUNTIF(C$4:C48,""Cursor_up""),0,0,1,1,2"&amp;",2,3)+SWITCH(COUNTIF(C$4:C48,""Cursor_up""),4,0.1,0)*(ROW(C48)-4-COUNTIF(C$4:C48,""Cursor"")-COUNTIF(C$4:C48,""*""&amp;""_up"")-2*COUNTIF(C$4:C48,""Sell_""&amp;""*"")+COUNTIF(C$4:C48,""Sell_Cursor"")-COUNTIF(C$4:C48,""""))+0.01*E48*COUNTIF(C$4:C48,""Plastic_up"")"&amp;")+E48))"),231.2)</f>
        <v>231.2</v>
      </c>
      <c r="G48" s="14">
        <f>IFERROR(__xludf.DUMMYFUNCTION("IF(COUNTA(C48:C147)=0,"""",IF(REGEXMATCH(C48,""_up""),VLOOKUP(C48,Upgrades!$F$3:$J$8,1+COUNTIF(C$4:C48,C48),FALSE),IF(C48="""",0,IF(REGEXMATCH(C48,""^Sell_""),-ROUNDDOWN(ROUNDUP(INDEX(Upgrades!$C$3:$C$8,MATCH(SUBSTITUTE(C48,""Sell_"",""""),Upgrades!$B$3:$"&amp;"B$8,0))*1.15^(COUNTIF(C$4:C47,SUBSTITUTE(C48,""Sell_"",""""))-COUNTIF(C$4:C47,""Sell_""&amp;SUBSTITUTE(C48,""Sell_"",""""))))/4),ROUNDUP(INDEX(Upgrades!$C$3:$C$7,MATCH(C48,Upgrades!$B$3:$B$7,0))*1.15^(COUNTIF(C$4:C47,C48)-COUNTIF(C$4:C47,""Sell_""&amp;C48)))))))"),186.0)</f>
        <v>186</v>
      </c>
      <c r="H48" s="14">
        <f t="shared" si="3"/>
        <v>186</v>
      </c>
      <c r="I48" s="75">
        <f t="shared" si="4"/>
        <v>340947.0757</v>
      </c>
      <c r="J48" s="76">
        <f t="shared" si="5"/>
        <v>261.0378361</v>
      </c>
      <c r="K48" s="71" t="str">
        <f t="shared" si="6"/>
        <v>4m 21s</v>
      </c>
      <c r="L48" s="77">
        <f t="shared" si="7"/>
        <v>29005</v>
      </c>
      <c r="M48" s="51">
        <f t="shared" si="8"/>
        <v>0</v>
      </c>
      <c r="N48" s="52">
        <f>IFERROR(__xludf.DUMMYFUNCTION("IFS(AND(COUNTA(C48:C147)=0,COUNTA(P48:P147)=0),"""",OR(AND(L48&gt;=1000000,OR(Y48&gt;=1000000,COUNTA(P48:P147)=0)),AND(Y48&gt;=1000000,COUNTA(C48:C147)=0),AND(COUNTA(P48:P147)=0,O$3=TRUE)),
ROUNDDOWN((AB$1-AC$1)*MAX(INDEX(S$4:S147,MATCH(LARGE(FILTER(Y$4:Y147,Y$4:Y"&amp;"147&lt;1000000),1),Y$4:Y147)),INDEX(F$4:F147,MATCH(LARGE(FILTER(L$4:L147,L$4:L147&lt;1000000),1),L$4:L147)))),AND(L48&lt;1000000,COUNTA(C48:C147)&gt;0,O$3=FALSE),
ROUNDDOWN(INDEX(Y$4:Y147,MATCH(LARGE(FILTER(W$4:W147,W$4:W147&lt;=J48),1),W$4:W147))+(J48-LARGE(FILTER(W$4:"&amp;"W147,W$4:W147&lt;=J48),1))*INDEX(S$4:S147,MATCH(LARGE(FILTER(W$4:W147,W$4:W147&lt;=J48),1),W$4:W147))-L48),1,
ROUNDDOWN(Y48-INDEX(L$4:L147,MATCH(LARGE(FILTER(J$4:J147,J$4:J147&lt;=W48),1),J$4:J147))-(W48-LARGE(FILTER(J$4:J147,J$4:J147&lt;=W48),1))*INDEX(F$4:F147,MATC"&amp;"H(LARGE(FILTER(J$4:J147,J$4:J147&lt;=W48),1),J$4:J147))))"),0.0)</f>
        <v>0</v>
      </c>
      <c r="O48" s="65">
        <f t="shared" si="9"/>
        <v>19</v>
      </c>
      <c r="P48" s="66" t="s">
        <v>10</v>
      </c>
      <c r="Q48" s="14" t="b">
        <f>IFERROR(__xludf.DUMMYFUNCTION("IF(COUNTA(P48:P147)=0,"""",IFERROR(IF(ISBLANK(P48),FALSE,IF(ISBLANK(T48),1,IF(NOT(COUNTIF($AA$24:$AA$34,SUBSTITUTE(P48,""Sell_"",""""))),1,IF(P48=""Plastic_up"",IF(V48&lt;1000,1),IF(P48=""Super_Up"",IF(OR(COUNTIF(P$4:P48,""Grandma"")-COUNTIF(P$4:P48,""Sell_G"&amp;"randma"")&lt;1,COUNTIF(P$4:P48,VLOOKUP(P48,Upgrades!$F$8:$N$8,7+COUNTIF(P$4:P48,P48)))-COUNTIF(P$4:P48,""Sell_""&amp;VLOOKUP(P48,Upgrades!$F$8:$N$8,7+COUNTIF(P$4:P48,P48)))&lt;15),1),IF(REGEXMATCH(P48,""_up""),IF(COUNTIF(P$4:P48,SUBSTITUTE(P48,""_up"",""""))&lt;IFERRO"&amp;"R(VLOOKUP(P48,Upgrades!$L$3:$P$6,1+COUNTIF(P$4:P48,P48),0),999),1),IF(REGEXMATCH(P48,""Sell_""),IF(COUNTIF(P$4:P48,SUBSTITUTE(P48,""Sell_"",""""))-COUNTIF(P$4:P47,P48)&lt;1,1),FALSE)))))))))"),FALSE)</f>
        <v>0</v>
      </c>
      <c r="R48" s="71">
        <f>IFERROR(__xludf.DUMMYFUNCTION("IF(REGEXMATCH(P48,""^Sell_""),R47, IF(COUNTA(P48:P147)=0,"""",(COUNTIF(P$4:P48,""Cursor"")-COUNTIF(P$4:P48,""Sell_Cursor""))*(0.1*2^SWITCH(COUNTIF(P$4:P48,""Cursor_up""),0,0,1,1,2,2,3)+SWITCH(COUNTIF(P$4:P48,""Cursor_up""),4,0.1,0)*(ROW(P48)-4-COUNTIF(P$4"&amp;":P48,""Cursor"")-COUNTIF(P$4:P48,""*""&amp;""_up"")-2*COUNTIF(P$4:P48,""Sell_""&amp;""*"")+COUNTIF(P$4:P48,""Sell_Cursor"")-COUNTIF(P$4:P48,"""")))+(COUNTIF(P$4:P48,""Grandma"")-COUNTIF(P$4:P48,""Sell_Grandma""))*(1*2^(COUNTIF(P$4:P48,""Grandma_up"")+COUNTIF(P$4:"&amp;"P48,""Super_up"")))+(COUNTIF(P$4:P48,""Farm"")-COUNTIF(P$4:P48,""Sell_Farm""))*(8*2^COUNTIF(P$4:P48,""Farm_up""))*IF(COUNTIF(P$4:P48,""Super_up"")&gt;0,1+0.01*(COUNTIF(P$4:P48,""Grandma"")-COUNTIF(P$4:P48,""Sell_Grandma"")),1)+(COUNTIF(P$4:P48,""Mine"")-COUN"&amp;"TIF(P$4:P48,""Sell_Mine""))*((47*2^COUNTIF(P$4:P48,""Mine_up""))*IF(COUNTIF(P$4:P48,""Super_up"")&gt;1,1+0.005*(COUNTIF(P$4:P48,""Grandma"")-COUNTIF(P$4:P48,""Sell_Grandma"")),1))+(COUNTIF(P$4:P48,""Factory"")-COUNTIF(P$4:P48,""Sell_Factory""))*(260*2^COUNTI"&amp;"F(P$4:P48,""Factory_up""))))"),111.2)</f>
        <v>111.2</v>
      </c>
      <c r="S48" s="73">
        <f>IFERROR(__xludf.DUMMYFUNCTION("IF(COUNTA(P48:P147)=0,"""",IF(REGEXMATCH(INDEX(FILTER(P$4:P48,P$4:P48&lt;&gt;""""),ROWS(FILTER(P$4:P48,P$4:P48&lt;&gt;""""))),""^Sell_""),INDEX(FILTER(S$4:S47,P$4:P47&lt;&gt;""""),ROWS(FILTER(P$4:P47,P$4:P47&lt;&gt;""""))),$AD$5*(2^SWITCH(COUNTIF(P$4:P48,""Cursor_up""),0,0,1,1,2"&amp;",2,3)+SWITCH(COUNTIF(P$4:P48,""Cursor_up""),4,0.1,0)*(ROW(P48)-4-COUNTIF(P$4:P48,""Cursor"")-COUNTIF(P$4:P48,""*""&amp;""_up"")-2*COUNTIF(P$4:P48,""Sell_""&amp;""*"")+COUNTIF(P$4:P48,""Sell_Cursor"")-COUNTIF(P$4:P48,""""))+0.01*R48*COUNTIF(P$4:P48,""Plastic_up"")"&amp;")+R48))"),231.2)</f>
        <v>231.2</v>
      </c>
      <c r="T48" s="14">
        <f>IFERROR(__xludf.DUMMYFUNCTION("IF(COUNTA(P48:P147)=0,"""",IF(REGEXMATCH(P48,""_up""),VLOOKUP(P48,Upgrades!$F$3:$J$8,1+COUNTIF(P$4:P48,P48),FALSE),IF(P48="""",0,IF(REGEXMATCH(P48,""^Sell_""),-ROUNDDOWN(ROUNDUP(INDEX(Upgrades!$C$3:$C$8,MATCH(SUBSTITUTE(P48,""Sell_"",""""),Upgrades!$B$3:$"&amp;"B$8,0))*1.15^(COUNTIF(P$4:P47,SUBSTITUTE(P48,""Sell_"",""""))-COUNTIF(P$4:P47,""Sell_""&amp;SUBSTITUTE(P48,""Sell_"",""""))))/4),ROUNDUP(INDEX(Upgrades!$C$3:$C$7,MATCH(P48,Upgrades!$B$3:$B$7,0))*1.15^(COUNTIF(P$4:P47,P48)-COUNTIF(P$4:P47,""Sell_""&amp;P48)))))))"),186.0)</f>
        <v>186</v>
      </c>
      <c r="U48" s="14">
        <f t="shared" si="10"/>
        <v>186</v>
      </c>
      <c r="V48" s="75">
        <f t="shared" si="11"/>
        <v>340947.0757</v>
      </c>
      <c r="W48" s="76">
        <f t="shared" si="12"/>
        <v>261.0378361</v>
      </c>
      <c r="X48" s="71" t="str">
        <f t="shared" si="13"/>
        <v>4m 21s</v>
      </c>
      <c r="Y48" s="77">
        <f t="shared" si="14"/>
        <v>29005</v>
      </c>
      <c r="Z48" s="17"/>
      <c r="AA48" s="13"/>
      <c r="AB48" s="13"/>
      <c r="AC48" s="13"/>
      <c r="AD48" s="13"/>
      <c r="AE48" s="13"/>
      <c r="AF48" s="13"/>
      <c r="AG48" s="13"/>
    </row>
    <row r="49">
      <c r="A49" s="12"/>
      <c r="B49" s="65">
        <f t="shared" si="2"/>
        <v>17</v>
      </c>
      <c r="C49" s="66" t="s">
        <v>13</v>
      </c>
      <c r="D49" s="14" t="b">
        <f>IFERROR(__xludf.DUMMYFUNCTION("IF(COUNTA(C49:C147)=0,"""",IFERROR(IF(ISBLANK(C49),FALSE,IF(ISBLANK(G49),1,IF(NOT(COUNTIF($AA$24:$AA$34,SUBSTITUTE(C49,""Sell_"",""""))),1,IF(C49=""Plastic_up"",IF(I49&lt;1000,1),IF(C49=""Super_Up"",IF(OR(COUNTIF(C$4:C49,""Grandma"")-COUNTIF(C$4:C49,""Sell_G"&amp;"randma"")&lt;1,COUNTIF(C$4:C49,VLOOKUP(C49,Upgrades!$F$8:$N$8,7+COUNTIF(C$4:C49,C49)))-COUNTIF(C$4:C49,""Sell_""&amp;VLOOKUP(C49,Upgrades!$F$8:$N$8,7+COUNTIF(C$4:C49,C49)))&lt;15),1),IF(REGEXMATCH(C49,""_up""),IF(COUNTIF(C$4:C49,SUBSTITUTE(C49,""_up"",""""))&lt;IFERRO"&amp;"R(VLOOKUP(C49,Upgrades!$L$3:$P$6,1+COUNTIF(C$4:C49,C49),0),999),1),IF(REGEXMATCH(C49,""Sell_""),IF(COUNTIF(C$4:C49,SUBSTITUTE(C49,""Sell_"",""""))-COUNTIF(C$4:C48,C49)&lt;1,1),FALSE)))))))))"),FALSE)</f>
        <v>0</v>
      </c>
      <c r="E49" s="71">
        <f>IFERROR(__xludf.DUMMYFUNCTION("IF(REGEXMATCH(C49,""^Sell_""),E48, IF(COUNTA(C49:C147)=0,"""",(COUNTIF(C$4:C49,""Cursor"")-COUNTIF(C$4:C49,""Sell_Cursor""))*(0.1*2^SWITCH(COUNTIF(C$4:C49,""Cursor_up""),0,0,1,1,2,2,3)+SWITCH(COUNTIF(C$4:C49,""Cursor_up""),4,0.1,0)*(ROW(C49)-4-COUNTIF(C$4"&amp;":C49,""Cursor"")-COUNTIF(C$4:C49,""*""&amp;""_up"")-2*COUNTIF(C$4:C49,""Sell_""&amp;""*"")+COUNTIF(C$4:C49,""Sell_Cursor"")-COUNTIF(C$4:C49,"""")))+(COUNTIF(C$4:C49,""Grandma"")-COUNTIF(C$4:C49,""Sell_Grandma""))*(1*2^(COUNTIF(C$4:C49,""Grandma_up"")+COUNTIF(C$4:"&amp;"C49,""Super_up"")))+(COUNTIF(C$4:C49,""Farm"")-COUNTIF(C$4:C49,""Sell_Farm""))*(8*2^COUNTIF(C$4:C49,""Farm_up""))*IF(COUNTIF(C$4:C49,""Super_up"")&gt;0,1+0.01*(COUNTIF(C$4:C49,""Grandma"")-COUNTIF(C$4:C49,""Sell_Grandma"")),1)+(COUNTIF(C$4:C49,""Mine"")-COUN"&amp;"TIF(C$4:C49,""Sell_Mine""))*((47*2^COUNTIF(C$4:C49,""Mine_up""))*IF(COUNTIF(C$4:C49,""Super_up"")&gt;1,1+0.005*(COUNTIF(C$4:C49,""Grandma"")-COUNTIF(C$4:C49,""Sell_Grandma"")),1))+(COUNTIF(C$4:C49,""Factory"")-COUNTIF(C$4:C49,""Sell_Factory""))*(260*2^COUNTI"&amp;"F(C$4:C49,""Factory_up""))))"),115.2)</f>
        <v>115.2</v>
      </c>
      <c r="F49" s="73">
        <f>IFERROR(__xludf.DUMMYFUNCTION("IF(COUNTA(C49:C147)=0,"""",IF(REGEXMATCH(INDEX(FILTER(C$4:C49,C$4:C49&lt;&gt;""""),ROWS(FILTER(C$4:C49,C$4:C49&lt;&gt;""""))),""^Sell_""),INDEX(FILTER(F$4:F48,C$4:C48&lt;&gt;""""),ROWS(FILTER(C$4:C48,C$4:C48&lt;&gt;""""))),$AC$5*(2^SWITCH(COUNTIF(C$4:C49,""Cursor_up""),0,0,1,1,2"&amp;",2,3)+SWITCH(COUNTIF(C$4:C49,""Cursor_up""),4,0.1,0)*(ROW(C49)-4-COUNTIF(C$4:C49,""Cursor"")-COUNTIF(C$4:C49,""*""&amp;""_up"")-2*COUNTIF(C$4:C49,""Sell_""&amp;""*"")+COUNTIF(C$4:C49,""Sell_Cursor"")-COUNTIF(C$4:C49,""""))+0.01*E49*COUNTIF(C$4:C49,""Plastic_up"")"&amp;")+E49))"),235.2)</f>
        <v>235.2</v>
      </c>
      <c r="G49" s="14">
        <f>IFERROR(__xludf.DUMMYFUNCTION("IF(COUNTA(C49:C147)=0,"""",IF(REGEXMATCH(C49,""_up""),VLOOKUP(C49,Upgrades!$F$3:$J$8,1+COUNTIF(C$4:C49,C49),FALSE),IF(C49="""",0,IF(REGEXMATCH(C49,""^Sell_""),-ROUNDDOWN(ROUNDUP(INDEX(Upgrades!$C$3:$C$8,MATCH(SUBSTITUTE(C49,""Sell_"",""""),Upgrades!$B$3:$"&amp;"B$8,0))*1.15^(COUNTIF(C$4:C48,SUBSTITUTE(C49,""Sell_"",""""))-COUNTIF(C$4:C48,""Sell_""&amp;SUBSTITUTE(C49,""Sell_"",""""))))/4),ROUNDUP(INDEX(Upgrades!$C$3:$C$7,MATCH(C49,Upgrades!$B$3:$B$7,0))*1.15^(COUNTIF(C$4:C48,C49)-COUNTIF(C$4:C48,""Sell_""&amp;C49)))))))"),936.0)</f>
        <v>936</v>
      </c>
      <c r="H49" s="14">
        <f t="shared" si="3"/>
        <v>936</v>
      </c>
      <c r="I49" s="75">
        <f t="shared" si="4"/>
        <v>372757.4291</v>
      </c>
      <c r="J49" s="76">
        <f t="shared" si="5"/>
        <v>265.086279</v>
      </c>
      <c r="K49" s="71" t="str">
        <f t="shared" si="6"/>
        <v>4m 25s</v>
      </c>
      <c r="L49" s="77">
        <f t="shared" si="7"/>
        <v>29941</v>
      </c>
      <c r="M49" s="51">
        <f t="shared" si="8"/>
        <v>0</v>
      </c>
      <c r="N49" s="52">
        <f>IFERROR(__xludf.DUMMYFUNCTION("IFS(AND(COUNTA(C49:C147)=0,COUNTA(P49:P147)=0),"""",OR(AND(L49&gt;=1000000,OR(Y49&gt;=1000000,COUNTA(P49:P147)=0)),AND(Y49&gt;=1000000,COUNTA(C49:C147)=0),AND(COUNTA(P49:P147)=0,O$3=TRUE)),
ROUNDDOWN((AB$1-AC$1)*MAX(INDEX(S$4:S147,MATCH(LARGE(FILTER(Y$4:Y147,Y$4:Y"&amp;"147&lt;1000000),1),Y$4:Y147)),INDEX(F$4:F147,MATCH(LARGE(FILTER(L$4:L147,L$4:L147&lt;1000000),1),L$4:L147)))),AND(L49&lt;1000000,COUNTA(C49:C147)&gt;0,O$3=FALSE),
ROUNDDOWN(INDEX(Y$4:Y147,MATCH(LARGE(FILTER(W$4:W147,W$4:W147&lt;=J49),1),W$4:W147))+(J49-LARGE(FILTER(W$4:"&amp;"W147,W$4:W147&lt;=J49),1))*INDEX(S$4:S147,MATCH(LARGE(FILTER(W$4:W147,W$4:W147&lt;=J49),1),W$4:W147))-L49),1,
ROUNDDOWN(Y49-INDEX(L$4:L147,MATCH(LARGE(FILTER(J$4:J147,J$4:J147&lt;=W49),1),J$4:J147))-(W49-LARGE(FILTER(J$4:J147,J$4:J147&lt;=W49),1))*INDEX(F$4:F147,MATC"&amp;"H(LARGE(FILTER(J$4:J147,J$4:J147&lt;=W49),1),J$4:J147))))"),0.0)</f>
        <v>0</v>
      </c>
      <c r="O49" s="65">
        <f t="shared" si="9"/>
        <v>17</v>
      </c>
      <c r="P49" s="66" t="s">
        <v>13</v>
      </c>
      <c r="Q49" s="14" t="b">
        <f>IFERROR(__xludf.DUMMYFUNCTION("IF(COUNTA(P49:P147)=0,"""",IFERROR(IF(ISBLANK(P49),FALSE,IF(ISBLANK(T49),1,IF(NOT(COUNTIF($AA$24:$AA$34,SUBSTITUTE(P49,""Sell_"",""""))),1,IF(P49=""Plastic_up"",IF(V49&lt;1000,1),IF(P49=""Super_Up"",IF(OR(COUNTIF(P$4:P49,""Grandma"")-COUNTIF(P$4:P49,""Sell_G"&amp;"randma"")&lt;1,COUNTIF(P$4:P49,VLOOKUP(P49,Upgrades!$F$8:$N$8,7+COUNTIF(P$4:P49,P49)))-COUNTIF(P$4:P49,""Sell_""&amp;VLOOKUP(P49,Upgrades!$F$8:$N$8,7+COUNTIF(P$4:P49,P49)))&lt;15),1),IF(REGEXMATCH(P49,""_up""),IF(COUNTIF(P$4:P49,SUBSTITUTE(P49,""_up"",""""))&lt;IFERRO"&amp;"R(VLOOKUP(P49,Upgrades!$L$3:$P$6,1+COUNTIF(P$4:P49,P49),0),999),1),IF(REGEXMATCH(P49,""Sell_""),IF(COUNTIF(P$4:P49,SUBSTITUTE(P49,""Sell_"",""""))-COUNTIF(P$4:P48,P49)&lt;1,1),FALSE)))))))))"),FALSE)</f>
        <v>0</v>
      </c>
      <c r="R49" s="71">
        <f>IFERROR(__xludf.DUMMYFUNCTION("IF(REGEXMATCH(P49,""^Sell_""),R48, IF(COUNTA(P49:P147)=0,"""",(COUNTIF(P$4:P49,""Cursor"")-COUNTIF(P$4:P49,""Sell_Cursor""))*(0.1*2^SWITCH(COUNTIF(P$4:P49,""Cursor_up""),0,0,1,1,2,2,3)+SWITCH(COUNTIF(P$4:P49,""Cursor_up""),4,0.1,0)*(ROW(P49)-4-COUNTIF(P$4"&amp;":P49,""Cursor"")-COUNTIF(P$4:P49,""*""&amp;""_up"")-2*COUNTIF(P$4:P49,""Sell_""&amp;""*"")+COUNTIF(P$4:P49,""Sell_Cursor"")-COUNTIF(P$4:P49,"""")))+(COUNTIF(P$4:P49,""Grandma"")-COUNTIF(P$4:P49,""Sell_Grandma""))*(1*2^(COUNTIF(P$4:P49,""Grandma_up"")+COUNTIF(P$4:"&amp;"P49,""Super_up"")))+(COUNTIF(P$4:P49,""Farm"")-COUNTIF(P$4:P49,""Sell_Farm""))*(8*2^COUNTIF(P$4:P49,""Farm_up""))*IF(COUNTIF(P$4:P49,""Super_up"")&gt;0,1+0.01*(COUNTIF(P$4:P49,""Grandma"")-COUNTIF(P$4:P49,""Sell_Grandma"")),1)+(COUNTIF(P$4:P49,""Mine"")-COUN"&amp;"TIF(P$4:P49,""Sell_Mine""))*((47*2^COUNTIF(P$4:P49,""Mine_up""))*IF(COUNTIF(P$4:P49,""Super_up"")&gt;1,1+0.005*(COUNTIF(P$4:P49,""Grandma"")-COUNTIF(P$4:P49,""Sell_Grandma"")),1))+(COUNTIF(P$4:P49,""Factory"")-COUNTIF(P$4:P49,""Sell_Factory""))*(260*2^COUNTI"&amp;"F(P$4:P49,""Factory_up""))))"),115.2)</f>
        <v>115.2</v>
      </c>
      <c r="S49" s="73">
        <f>IFERROR(__xludf.DUMMYFUNCTION("IF(COUNTA(P49:P147)=0,"""",IF(REGEXMATCH(INDEX(FILTER(P$4:P49,P$4:P49&lt;&gt;""""),ROWS(FILTER(P$4:P49,P$4:P49&lt;&gt;""""))),""^Sell_""),INDEX(FILTER(S$4:S48,P$4:P48&lt;&gt;""""),ROWS(FILTER(P$4:P48,P$4:P48&lt;&gt;""""))),$AD$5*(2^SWITCH(COUNTIF(P$4:P49,""Cursor_up""),0,0,1,1,2"&amp;",2,3)+SWITCH(COUNTIF(P$4:P49,""Cursor_up""),4,0.1,0)*(ROW(P49)-4-COUNTIF(P$4:P49,""Cursor"")-COUNTIF(P$4:P49,""*""&amp;""_up"")-2*COUNTIF(P$4:P49,""Sell_""&amp;""*"")+COUNTIF(P$4:P49,""Sell_Cursor"")-COUNTIF(P$4:P49,""""))+0.01*R49*COUNTIF(P$4:P49,""Plastic_up"")"&amp;")+R49))"),235.2)</f>
        <v>235.2</v>
      </c>
      <c r="T49" s="14">
        <f>IFERROR(__xludf.DUMMYFUNCTION("IF(COUNTA(P49:P147)=0,"""",IF(REGEXMATCH(P49,""_up""),VLOOKUP(P49,Upgrades!$F$3:$J$8,1+COUNTIF(P$4:P49,P49),FALSE),IF(P49="""",0,IF(REGEXMATCH(P49,""^Sell_""),-ROUNDDOWN(ROUNDUP(INDEX(Upgrades!$C$3:$C$8,MATCH(SUBSTITUTE(P49,""Sell_"",""""),Upgrades!$B$3:$"&amp;"B$8,0))*1.15^(COUNTIF(P$4:P48,SUBSTITUTE(P49,""Sell_"",""""))-COUNTIF(P$4:P48,""Sell_""&amp;SUBSTITUTE(P49,""Sell_"",""""))))/4),ROUNDUP(INDEX(Upgrades!$C$3:$C$7,MATCH(P49,Upgrades!$B$3:$B$7,0))*1.15^(COUNTIF(P$4:P48,P49)-COUNTIF(P$4:P48,""Sell_""&amp;P49)))))))"),936.0)</f>
        <v>936</v>
      </c>
      <c r="U49" s="14">
        <f t="shared" si="10"/>
        <v>936</v>
      </c>
      <c r="V49" s="75">
        <f t="shared" si="11"/>
        <v>372757.4291</v>
      </c>
      <c r="W49" s="76">
        <f t="shared" si="12"/>
        <v>265.086279</v>
      </c>
      <c r="X49" s="71" t="str">
        <f t="shared" si="13"/>
        <v>4m 25s</v>
      </c>
      <c r="Y49" s="77">
        <f t="shared" si="14"/>
        <v>29941</v>
      </c>
      <c r="Z49" s="17"/>
      <c r="AA49" s="13"/>
      <c r="AB49" s="13"/>
      <c r="AC49" s="13"/>
      <c r="AD49" s="13"/>
      <c r="AE49" s="13"/>
      <c r="AF49" s="13"/>
      <c r="AG49" s="13"/>
    </row>
    <row r="50">
      <c r="A50" s="12"/>
      <c r="B50" s="65">
        <f t="shared" si="2"/>
        <v>5</v>
      </c>
      <c r="C50" s="66" t="s">
        <v>16</v>
      </c>
      <c r="D50" s="14" t="b">
        <f>IFERROR(__xludf.DUMMYFUNCTION("IF(COUNTA(C50:C147)=0,"""",IFERROR(IF(ISBLANK(C50),FALSE,IF(ISBLANK(G50),1,IF(NOT(COUNTIF($AA$24:$AA$34,SUBSTITUTE(C50,""Sell_"",""""))),1,IF(C50=""Plastic_up"",IF(I50&lt;1000,1),IF(C50=""Super_Up"",IF(OR(COUNTIF(C$4:C50,""Grandma"")-COUNTIF(C$4:C50,""Sell_G"&amp;"randma"")&lt;1,COUNTIF(C$4:C50,VLOOKUP(C50,Upgrades!$F$8:$N$8,7+COUNTIF(C$4:C50,C50)))-COUNTIF(C$4:C50,""Sell_""&amp;VLOOKUP(C50,Upgrades!$F$8:$N$8,7+COUNTIF(C$4:C50,C50)))&lt;15),1),IF(REGEXMATCH(C50,""_up""),IF(COUNTIF(C$4:C50,SUBSTITUTE(C50,""_up"",""""))&lt;IFERRO"&amp;"R(VLOOKUP(C50,Upgrades!$L$3:$P$6,1+COUNTIF(C$4:C50,C50),0),999),1),IF(REGEXMATCH(C50,""Sell_""),IF(COUNTIF(C$4:C50,SUBSTITUTE(C50,""Sell_"",""""))-COUNTIF(C$4:C49,C50)&lt;1,1),FALSE)))))))))"),FALSE)</f>
        <v>0</v>
      </c>
      <c r="E50" s="71">
        <f>IFERROR(__xludf.DUMMYFUNCTION("IF(REGEXMATCH(C50,""^Sell_""),E49, IF(COUNTA(C50:C147)=0,"""",(COUNTIF(C$4:C50,""Cursor"")-COUNTIF(C$4:C50,""Sell_Cursor""))*(0.1*2^SWITCH(COUNTIF(C$4:C50,""Cursor_up""),0,0,1,1,2,2,3)+SWITCH(COUNTIF(C$4:C50,""Cursor_up""),4,0.1,0)*(ROW(C50)-4-COUNTIF(C$4"&amp;":C50,""Cursor"")-COUNTIF(C$4:C50,""*""&amp;""_up"")-2*COUNTIF(C$4:C50,""Sell_""&amp;""*"")+COUNTIF(C$4:C50,""Sell_Cursor"")-COUNTIF(C$4:C50,"""")))+(COUNTIF(C$4:C50,""Grandma"")-COUNTIF(C$4:C50,""Sell_Grandma""))*(1*2^(COUNTIF(C$4:C50,""Grandma_up"")+COUNTIF(C$4:"&amp;"C50,""Super_up"")))+(COUNTIF(C$4:C50,""Farm"")-COUNTIF(C$4:C50,""Sell_Farm""))*(8*2^COUNTIF(C$4:C50,""Farm_up""))*IF(COUNTIF(C$4:C50,""Super_up"")&gt;0,1+0.01*(COUNTIF(C$4:C50,""Grandma"")-COUNTIF(C$4:C50,""Sell_Grandma"")),1)+(COUNTIF(C$4:C50,""Mine"")-COUN"&amp;"TIF(C$4:C50,""Sell_Mine""))*((47*2^COUNTIF(C$4:C50,""Mine_up""))*IF(COUNTIF(C$4:C50,""Super_up"")&gt;1,1+0.005*(COUNTIF(C$4:C50,""Grandma"")-COUNTIF(C$4:C50,""Sell_Grandma"")),1))+(COUNTIF(C$4:C50,""Factory"")-COUNTIF(C$4:C50,""Sell_Factory""))*(260*2^COUNTI"&amp;"F(C$4:C50,""Factory_up""))))"),123.2)</f>
        <v>123.2</v>
      </c>
      <c r="F50" s="73">
        <f>IFERROR(__xludf.DUMMYFUNCTION("IF(COUNTA(C50:C147)=0,"""",IF(REGEXMATCH(INDEX(FILTER(C$4:C50,C$4:C50&lt;&gt;""""),ROWS(FILTER(C$4:C50,C$4:C50&lt;&gt;""""))),""^Sell_""),INDEX(FILTER(F$4:F49,C$4:C49&lt;&gt;""""),ROWS(FILTER(C$4:C49,C$4:C49&lt;&gt;""""))),$AC$5*(2^SWITCH(COUNTIF(C$4:C50,""Cursor_up""),0,0,1,1,2"&amp;",2,3)+SWITCH(COUNTIF(C$4:C50,""Cursor_up""),4,0.1,0)*(ROW(C50)-4-COUNTIF(C$4:C50,""Cursor"")-COUNTIF(C$4:C50,""*""&amp;""_up"")-2*COUNTIF(C$4:C50,""Sell_""&amp;""*"")+COUNTIF(C$4:C50,""Sell_Cursor"")-COUNTIF(C$4:C50,""""))+0.01*E50*COUNTIF(C$4:C50,""Plastic_up"")"&amp;")+E50))"),243.2)</f>
        <v>243.2</v>
      </c>
      <c r="G50" s="14">
        <f>IFERROR(__xludf.DUMMYFUNCTION("IF(COUNTA(C50:C147)=0,"""",IF(REGEXMATCH(C50,""_up""),VLOOKUP(C50,Upgrades!$F$3:$J$8,1+COUNTIF(C$4:C50,C50),FALSE),IF(C50="""",0,IF(REGEXMATCH(C50,""^Sell_""),-ROUNDDOWN(ROUNDUP(INDEX(Upgrades!$C$3:$C$8,MATCH(SUBSTITUTE(C50,""Sell_"",""""),Upgrades!$B$3:$"&amp;"B$8,0))*1.15^(COUNTIF(C$4:C49,SUBSTITUTE(C50,""Sell_"",""""))-COUNTIF(C$4:C49,""Sell_""&amp;SUBSTITUTE(C50,""Sell_"",""""))))/4),ROUNDUP(INDEX(Upgrades!$C$3:$C$7,MATCH(C50,Upgrades!$B$3:$B$7,0))*1.15^(COUNTIF(C$4:C49,C50)-COUNTIF(C$4:C49,""Sell_""&amp;C50)))))))"),1924.0)</f>
        <v>1924</v>
      </c>
      <c r="H50" s="14">
        <f t="shared" si="3"/>
        <v>1924</v>
      </c>
      <c r="I50" s="75">
        <f t="shared" si="4"/>
        <v>405549.4153</v>
      </c>
      <c r="J50" s="76">
        <f t="shared" si="5"/>
        <v>273.2665512</v>
      </c>
      <c r="K50" s="71" t="str">
        <f t="shared" si="6"/>
        <v>4m 33s</v>
      </c>
      <c r="L50" s="77">
        <f t="shared" si="7"/>
        <v>31865</v>
      </c>
      <c r="M50" s="51">
        <f t="shared" si="8"/>
        <v>0</v>
      </c>
      <c r="N50" s="52">
        <f>IFERROR(__xludf.DUMMYFUNCTION("IFS(AND(COUNTA(C50:C147)=0,COUNTA(P50:P147)=0),"""",OR(AND(L50&gt;=1000000,OR(Y50&gt;=1000000,COUNTA(P50:P147)=0)),AND(Y50&gt;=1000000,COUNTA(C50:C147)=0),AND(COUNTA(P50:P147)=0,O$3=TRUE)),
ROUNDDOWN((AB$1-AC$1)*MAX(INDEX(S$4:S147,MATCH(LARGE(FILTER(Y$4:Y147,Y$4:Y"&amp;"147&lt;1000000),1),Y$4:Y147)),INDEX(F$4:F147,MATCH(LARGE(FILTER(L$4:L147,L$4:L147&lt;1000000),1),L$4:L147)))),AND(L50&lt;1000000,COUNTA(C50:C147)&gt;0,O$3=FALSE),
ROUNDDOWN(INDEX(Y$4:Y147,MATCH(LARGE(FILTER(W$4:W147,W$4:W147&lt;=J50),1),W$4:W147))+(J50-LARGE(FILTER(W$4:"&amp;"W147,W$4:W147&lt;=J50),1))*INDEX(S$4:S147,MATCH(LARGE(FILTER(W$4:W147,W$4:W147&lt;=J50),1),W$4:W147))-L50),1,
ROUNDDOWN(Y50-INDEX(L$4:L147,MATCH(LARGE(FILTER(J$4:J147,J$4:J147&lt;=W50),1),J$4:J147))-(W50-LARGE(FILTER(J$4:J147,J$4:J147&lt;=W50),1))*INDEX(F$4:F147,MATC"&amp;"H(LARGE(FILTER(J$4:J147,J$4:J147&lt;=W50),1),J$4:J147))))"),0.0)</f>
        <v>0</v>
      </c>
      <c r="O50" s="65">
        <f t="shared" si="9"/>
        <v>5</v>
      </c>
      <c r="P50" s="66" t="s">
        <v>16</v>
      </c>
      <c r="Q50" s="14" t="b">
        <f>IFERROR(__xludf.DUMMYFUNCTION("IF(COUNTA(P50:P147)=0,"""",IFERROR(IF(ISBLANK(P50),FALSE,IF(ISBLANK(T50),1,IF(NOT(COUNTIF($AA$24:$AA$34,SUBSTITUTE(P50,""Sell_"",""""))),1,IF(P50=""Plastic_up"",IF(V50&lt;1000,1),IF(P50=""Super_Up"",IF(OR(COUNTIF(P$4:P50,""Grandma"")-COUNTIF(P$4:P50,""Sell_G"&amp;"randma"")&lt;1,COUNTIF(P$4:P50,VLOOKUP(P50,Upgrades!$F$8:$N$8,7+COUNTIF(P$4:P50,P50)))-COUNTIF(P$4:P50,""Sell_""&amp;VLOOKUP(P50,Upgrades!$F$8:$N$8,7+COUNTIF(P$4:P50,P50)))&lt;15),1),IF(REGEXMATCH(P50,""_up""),IF(COUNTIF(P$4:P50,SUBSTITUTE(P50,""_up"",""""))&lt;IFERRO"&amp;"R(VLOOKUP(P50,Upgrades!$L$3:$P$6,1+COUNTIF(P$4:P50,P50),0),999),1),IF(REGEXMATCH(P50,""Sell_""),IF(COUNTIF(P$4:P50,SUBSTITUTE(P50,""Sell_"",""""))-COUNTIF(P$4:P49,P50)&lt;1,1),FALSE)))))))))"),FALSE)</f>
        <v>0</v>
      </c>
      <c r="R50" s="71">
        <f>IFERROR(__xludf.DUMMYFUNCTION("IF(REGEXMATCH(P50,""^Sell_""),R49, IF(COUNTA(P50:P147)=0,"""",(COUNTIF(P$4:P50,""Cursor"")-COUNTIF(P$4:P50,""Sell_Cursor""))*(0.1*2^SWITCH(COUNTIF(P$4:P50,""Cursor_up""),0,0,1,1,2,2,3)+SWITCH(COUNTIF(P$4:P50,""Cursor_up""),4,0.1,0)*(ROW(P50)-4-COUNTIF(P$4"&amp;":P50,""Cursor"")-COUNTIF(P$4:P50,""*""&amp;""_up"")-2*COUNTIF(P$4:P50,""Sell_""&amp;""*"")+COUNTIF(P$4:P50,""Sell_Cursor"")-COUNTIF(P$4:P50,"""")))+(COUNTIF(P$4:P50,""Grandma"")-COUNTIF(P$4:P50,""Sell_Grandma""))*(1*2^(COUNTIF(P$4:P50,""Grandma_up"")+COUNTIF(P$4:"&amp;"P50,""Super_up"")))+(COUNTIF(P$4:P50,""Farm"")-COUNTIF(P$4:P50,""Sell_Farm""))*(8*2^COUNTIF(P$4:P50,""Farm_up""))*IF(COUNTIF(P$4:P50,""Super_up"")&gt;0,1+0.01*(COUNTIF(P$4:P50,""Grandma"")-COUNTIF(P$4:P50,""Sell_Grandma"")),1)+(COUNTIF(P$4:P50,""Mine"")-COUN"&amp;"TIF(P$4:P50,""Sell_Mine""))*((47*2^COUNTIF(P$4:P50,""Mine_up""))*IF(COUNTIF(P$4:P50,""Super_up"")&gt;1,1+0.005*(COUNTIF(P$4:P50,""Grandma"")-COUNTIF(P$4:P50,""Sell_Grandma"")),1))+(COUNTIF(P$4:P50,""Factory"")-COUNTIF(P$4:P50,""Sell_Factory""))*(260*2^COUNTI"&amp;"F(P$4:P50,""Factory_up""))))"),123.2)</f>
        <v>123.2</v>
      </c>
      <c r="S50" s="73">
        <f>IFERROR(__xludf.DUMMYFUNCTION("IF(COUNTA(P50:P147)=0,"""",IF(REGEXMATCH(INDEX(FILTER(P$4:P50,P$4:P50&lt;&gt;""""),ROWS(FILTER(P$4:P50,P$4:P50&lt;&gt;""""))),""^Sell_""),INDEX(FILTER(S$4:S49,P$4:P49&lt;&gt;""""),ROWS(FILTER(P$4:P49,P$4:P49&lt;&gt;""""))),$AD$5*(2^SWITCH(COUNTIF(P$4:P50,""Cursor_up""),0,0,1,1,2"&amp;",2,3)+SWITCH(COUNTIF(P$4:P50,""Cursor_up""),4,0.1,0)*(ROW(P50)-4-COUNTIF(P$4:P50,""Cursor"")-COUNTIF(P$4:P50,""*""&amp;""_up"")-2*COUNTIF(P$4:P50,""Sell_""&amp;""*"")+COUNTIF(P$4:P50,""Sell_Cursor"")-COUNTIF(P$4:P50,""""))+0.01*R50*COUNTIF(P$4:P50,""Plastic_up"")"&amp;")+R50))"),243.2)</f>
        <v>243.2</v>
      </c>
      <c r="T50" s="14">
        <f>IFERROR(__xludf.DUMMYFUNCTION("IF(COUNTA(P50:P147)=0,"""",IF(REGEXMATCH(P50,""_up""),VLOOKUP(P50,Upgrades!$F$3:$J$8,1+COUNTIF(P$4:P50,P50),FALSE),IF(P50="""",0,IF(REGEXMATCH(P50,""^Sell_""),-ROUNDDOWN(ROUNDUP(INDEX(Upgrades!$C$3:$C$8,MATCH(SUBSTITUTE(P50,""Sell_"",""""),Upgrades!$B$3:$"&amp;"B$8,0))*1.15^(COUNTIF(P$4:P49,SUBSTITUTE(P50,""Sell_"",""""))-COUNTIF(P$4:P49,""Sell_""&amp;SUBSTITUTE(P50,""Sell_"",""""))))/4),ROUNDUP(INDEX(Upgrades!$C$3:$C$7,MATCH(P50,Upgrades!$B$3:$B$7,0))*1.15^(COUNTIF(P$4:P49,P50)-COUNTIF(P$4:P49,""Sell_""&amp;P50)))))))"),1924.0)</f>
        <v>1924</v>
      </c>
      <c r="U50" s="14">
        <f t="shared" si="10"/>
        <v>1924</v>
      </c>
      <c r="V50" s="75">
        <f t="shared" si="11"/>
        <v>405549.4153</v>
      </c>
      <c r="W50" s="76">
        <f t="shared" si="12"/>
        <v>273.2665512</v>
      </c>
      <c r="X50" s="71" t="str">
        <f t="shared" si="13"/>
        <v>4m 33s</v>
      </c>
      <c r="Y50" s="77">
        <f t="shared" si="14"/>
        <v>31865</v>
      </c>
      <c r="Z50" s="17"/>
      <c r="AA50" s="13"/>
      <c r="AB50" s="13"/>
      <c r="AC50" s="13"/>
      <c r="AD50" s="13"/>
      <c r="AE50" s="13"/>
      <c r="AF50" s="13"/>
      <c r="AG50" s="13"/>
    </row>
    <row r="51">
      <c r="A51" s="12"/>
      <c r="B51" s="65">
        <f t="shared" si="2"/>
        <v>20</v>
      </c>
      <c r="C51" s="66" t="s">
        <v>10</v>
      </c>
      <c r="D51" s="14" t="b">
        <f>IFERROR(__xludf.DUMMYFUNCTION("IF(COUNTA(C51:C147)=0,"""",IFERROR(IF(ISBLANK(C51),FALSE,IF(ISBLANK(G51),1,IF(NOT(COUNTIF($AA$24:$AA$34,SUBSTITUTE(C51,""Sell_"",""""))),1,IF(C51=""Plastic_up"",IF(I51&lt;1000,1),IF(C51=""Super_Up"",IF(OR(COUNTIF(C$4:C51,""Grandma"")-COUNTIF(C$4:C51,""Sell_G"&amp;"randma"")&lt;1,COUNTIF(C$4:C51,VLOOKUP(C51,Upgrades!$F$8:$N$8,7+COUNTIF(C$4:C51,C51)))-COUNTIF(C$4:C51,""Sell_""&amp;VLOOKUP(C51,Upgrades!$F$8:$N$8,7+COUNTIF(C$4:C51,C51)))&lt;15),1),IF(REGEXMATCH(C51,""_up""),IF(COUNTIF(C$4:C51,SUBSTITUTE(C51,""_up"",""""))&lt;IFERRO"&amp;"R(VLOOKUP(C51,Upgrades!$L$3:$P$6,1+COUNTIF(C$4:C51,C51),0),999),1),IF(REGEXMATCH(C51,""Sell_""),IF(COUNTIF(C$4:C51,SUBSTITUTE(C51,""Sell_"",""""))-COUNTIF(C$4:C50,C51)&lt;1,1),FALSE)))))))))"),FALSE)</f>
        <v>0</v>
      </c>
      <c r="E51" s="71">
        <f>IFERROR(__xludf.DUMMYFUNCTION("IF(REGEXMATCH(C51,""^Sell_""),E50, IF(COUNTA(C51:C147)=0,"""",(COUNTIF(C$4:C51,""Cursor"")-COUNTIF(C$4:C51,""Sell_Cursor""))*(0.1*2^SWITCH(COUNTIF(C$4:C51,""Cursor_up""),0,0,1,1,2,2,3)+SWITCH(COUNTIF(C$4:C51,""Cursor_up""),4,0.1,0)*(ROW(C51)-4-COUNTIF(C$4"&amp;":C51,""Cursor"")-COUNTIF(C$4:C51,""*""&amp;""_up"")-2*COUNTIF(C$4:C51,""Sell_""&amp;""*"")+COUNTIF(C$4:C51,""Sell_Cursor"")-COUNTIF(C$4:C51,"""")))+(COUNTIF(C$4:C51,""Grandma"")-COUNTIF(C$4:C51,""Sell_Grandma""))*(1*2^(COUNTIF(C$4:C51,""Grandma_up"")+COUNTIF(C$4:"&amp;"C51,""Super_up"")))+(COUNTIF(C$4:C51,""Farm"")-COUNTIF(C$4:C51,""Sell_Farm""))*(8*2^COUNTIF(C$4:C51,""Farm_up""))*IF(COUNTIF(C$4:C51,""Super_up"")&gt;0,1+0.01*(COUNTIF(C$4:C51,""Grandma"")-COUNTIF(C$4:C51,""Sell_Grandma"")),1)+(COUNTIF(C$4:C51,""Mine"")-COUN"&amp;"TIF(C$4:C51,""Sell_Mine""))*((47*2^COUNTIF(C$4:C51,""Mine_up""))*IF(COUNTIF(C$4:C51,""Super_up"")&gt;1,1+0.005*(COUNTIF(C$4:C51,""Grandma"")-COUNTIF(C$4:C51,""Sell_Grandma"")),1))+(COUNTIF(C$4:C51,""Factory"")-COUNTIF(C$4:C51,""Sell_Factory""))*(260*2^COUNTI"&amp;"F(C$4:C51,""Factory_up""))))"),124.0)</f>
        <v>124</v>
      </c>
      <c r="F51" s="73">
        <f>IFERROR(__xludf.DUMMYFUNCTION("IF(COUNTA(C51:C147)=0,"""",IF(REGEXMATCH(INDEX(FILTER(C$4:C51,C$4:C51&lt;&gt;""""),ROWS(FILTER(C$4:C51,C$4:C51&lt;&gt;""""))),""^Sell_""),INDEX(FILTER(F$4:F50,C$4:C50&lt;&gt;""""),ROWS(FILTER(C$4:C50,C$4:C50&lt;&gt;""""))),$AC$5*(2^SWITCH(COUNTIF(C$4:C51,""Cursor_up""),0,0,1,1,2"&amp;",2,3)+SWITCH(COUNTIF(C$4:C51,""Cursor_up""),4,0.1,0)*(ROW(C51)-4-COUNTIF(C$4:C51,""Cursor"")-COUNTIF(C$4:C51,""*""&amp;""_up"")-2*COUNTIF(C$4:C51,""Sell_""&amp;""*"")+COUNTIF(C$4:C51,""Sell_Cursor"")-COUNTIF(C$4:C51,""""))+0.01*E51*COUNTIF(C$4:C51,""Plastic_up"")"&amp;")+E51))"),244.0)</f>
        <v>244</v>
      </c>
      <c r="G51" s="14">
        <f>IFERROR(__xludf.DUMMYFUNCTION("IF(COUNTA(C51:C147)=0,"""",IF(REGEXMATCH(C51,""_up""),VLOOKUP(C51,Upgrades!$F$3:$J$8,1+COUNTIF(C$4:C51,C51),FALSE),IF(C51="""",0,IF(REGEXMATCH(C51,""^Sell_""),-ROUNDDOWN(ROUNDUP(INDEX(Upgrades!$C$3:$C$8,MATCH(SUBSTITUTE(C51,""Sell_"",""""),Upgrades!$B$3:$"&amp;"B$8,0))*1.15^(COUNTIF(C$4:C50,SUBSTITUTE(C51,""Sell_"",""""))-COUNTIF(C$4:C50,""Sell_""&amp;SUBSTITUTE(C51,""Sell_"",""""))))/4),ROUNDUP(INDEX(Upgrades!$C$3:$C$7,MATCH(C51,Upgrades!$B$3:$B$7,0))*1.15^(COUNTIF(C$4:C50,C51)-COUNTIF(C$4:C50,""Sell_""&amp;C51)))))))"),214.0)</f>
        <v>214</v>
      </c>
      <c r="H51" s="14">
        <f t="shared" si="3"/>
        <v>214</v>
      </c>
      <c r="I51" s="75">
        <f t="shared" si="4"/>
        <v>438446.9935</v>
      </c>
      <c r="J51" s="76">
        <f t="shared" si="5"/>
        <v>274.1464854</v>
      </c>
      <c r="K51" s="71" t="str">
        <f t="shared" si="6"/>
        <v>4m 34s</v>
      </c>
      <c r="L51" s="77">
        <f t="shared" si="7"/>
        <v>32079</v>
      </c>
      <c r="M51" s="51">
        <f t="shared" si="8"/>
        <v>0</v>
      </c>
      <c r="N51" s="52">
        <f>IFERROR(__xludf.DUMMYFUNCTION("IFS(AND(COUNTA(C51:C147)=0,COUNTA(P51:P147)=0),"""",OR(AND(L51&gt;=1000000,OR(Y51&gt;=1000000,COUNTA(P51:P147)=0)),AND(Y51&gt;=1000000,COUNTA(C51:C147)=0),AND(COUNTA(P51:P147)=0,O$3=TRUE)),
ROUNDDOWN((AB$1-AC$1)*MAX(INDEX(S$4:S147,MATCH(LARGE(FILTER(Y$4:Y147,Y$4:Y"&amp;"147&lt;1000000),1),Y$4:Y147)),INDEX(F$4:F147,MATCH(LARGE(FILTER(L$4:L147,L$4:L147&lt;1000000),1),L$4:L147)))),AND(L51&lt;1000000,COUNTA(C51:C147)&gt;0,O$3=FALSE),
ROUNDDOWN(INDEX(Y$4:Y147,MATCH(LARGE(FILTER(W$4:W147,W$4:W147&lt;=J51),1),W$4:W147))+(J51-LARGE(FILTER(W$4:"&amp;"W147,W$4:W147&lt;=J51),1))*INDEX(S$4:S147,MATCH(LARGE(FILTER(W$4:W147,W$4:W147&lt;=J51),1),W$4:W147))-L51),1,
ROUNDDOWN(Y51-INDEX(L$4:L147,MATCH(LARGE(FILTER(J$4:J147,J$4:J147&lt;=W51),1),J$4:J147))-(W51-LARGE(FILTER(J$4:J147,J$4:J147&lt;=W51),1))*INDEX(F$4:F147,MATC"&amp;"H(LARGE(FILTER(J$4:J147,J$4:J147&lt;=W51),1),J$4:J147))))"),0.0)</f>
        <v>0</v>
      </c>
      <c r="O51" s="65">
        <f t="shared" si="9"/>
        <v>20</v>
      </c>
      <c r="P51" s="66" t="s">
        <v>10</v>
      </c>
      <c r="Q51" s="14" t="b">
        <f>IFERROR(__xludf.DUMMYFUNCTION("IF(COUNTA(P51:P147)=0,"""",IFERROR(IF(ISBLANK(P51),FALSE,IF(ISBLANK(T51),1,IF(NOT(COUNTIF($AA$24:$AA$34,SUBSTITUTE(P51,""Sell_"",""""))),1,IF(P51=""Plastic_up"",IF(V51&lt;1000,1),IF(P51=""Super_Up"",IF(OR(COUNTIF(P$4:P51,""Grandma"")-COUNTIF(P$4:P51,""Sell_G"&amp;"randma"")&lt;1,COUNTIF(P$4:P51,VLOOKUP(P51,Upgrades!$F$8:$N$8,7+COUNTIF(P$4:P51,P51)))-COUNTIF(P$4:P51,""Sell_""&amp;VLOOKUP(P51,Upgrades!$F$8:$N$8,7+COUNTIF(P$4:P51,P51)))&lt;15),1),IF(REGEXMATCH(P51,""_up""),IF(COUNTIF(P$4:P51,SUBSTITUTE(P51,""_up"",""""))&lt;IFERRO"&amp;"R(VLOOKUP(P51,Upgrades!$L$3:$P$6,1+COUNTIF(P$4:P51,P51),0),999),1),IF(REGEXMATCH(P51,""Sell_""),IF(COUNTIF(P$4:P51,SUBSTITUTE(P51,""Sell_"",""""))-COUNTIF(P$4:P50,P51)&lt;1,1),FALSE)))))))))"),FALSE)</f>
        <v>0</v>
      </c>
      <c r="R51" s="71">
        <f>IFERROR(__xludf.DUMMYFUNCTION("IF(REGEXMATCH(P51,""^Sell_""),R50, IF(COUNTA(P51:P147)=0,"""",(COUNTIF(P$4:P51,""Cursor"")-COUNTIF(P$4:P51,""Sell_Cursor""))*(0.1*2^SWITCH(COUNTIF(P$4:P51,""Cursor_up""),0,0,1,1,2,2,3)+SWITCH(COUNTIF(P$4:P51,""Cursor_up""),4,0.1,0)*(ROW(P51)-4-COUNTIF(P$4"&amp;":P51,""Cursor"")-COUNTIF(P$4:P51,""*""&amp;""_up"")-2*COUNTIF(P$4:P51,""Sell_""&amp;""*"")+COUNTIF(P$4:P51,""Sell_Cursor"")-COUNTIF(P$4:P51,"""")))+(COUNTIF(P$4:P51,""Grandma"")-COUNTIF(P$4:P51,""Sell_Grandma""))*(1*2^(COUNTIF(P$4:P51,""Grandma_up"")+COUNTIF(P$4:"&amp;"P51,""Super_up"")))+(COUNTIF(P$4:P51,""Farm"")-COUNTIF(P$4:P51,""Sell_Farm""))*(8*2^COUNTIF(P$4:P51,""Farm_up""))*IF(COUNTIF(P$4:P51,""Super_up"")&gt;0,1+0.01*(COUNTIF(P$4:P51,""Grandma"")-COUNTIF(P$4:P51,""Sell_Grandma"")),1)+(COUNTIF(P$4:P51,""Mine"")-COUN"&amp;"TIF(P$4:P51,""Sell_Mine""))*((47*2^COUNTIF(P$4:P51,""Mine_up""))*IF(COUNTIF(P$4:P51,""Super_up"")&gt;1,1+0.005*(COUNTIF(P$4:P51,""Grandma"")-COUNTIF(P$4:P51,""Sell_Grandma"")),1))+(COUNTIF(P$4:P51,""Factory"")-COUNTIF(P$4:P51,""Sell_Factory""))*(260*2^COUNTI"&amp;"F(P$4:P51,""Factory_up""))))"),124.0)</f>
        <v>124</v>
      </c>
      <c r="S51" s="73">
        <f>IFERROR(__xludf.DUMMYFUNCTION("IF(COUNTA(P51:P147)=0,"""",IF(REGEXMATCH(INDEX(FILTER(P$4:P51,P$4:P51&lt;&gt;""""),ROWS(FILTER(P$4:P51,P$4:P51&lt;&gt;""""))),""^Sell_""),INDEX(FILTER(S$4:S50,P$4:P50&lt;&gt;""""),ROWS(FILTER(P$4:P50,P$4:P50&lt;&gt;""""))),$AD$5*(2^SWITCH(COUNTIF(P$4:P51,""Cursor_up""),0,0,1,1,2"&amp;",2,3)+SWITCH(COUNTIF(P$4:P51,""Cursor_up""),4,0.1,0)*(ROW(P51)-4-COUNTIF(P$4:P51,""Cursor"")-COUNTIF(P$4:P51,""*""&amp;""_up"")-2*COUNTIF(P$4:P51,""Sell_""&amp;""*"")+COUNTIF(P$4:P51,""Sell_Cursor"")-COUNTIF(P$4:P51,""""))+0.01*R51*COUNTIF(P$4:P51,""Plastic_up"")"&amp;")+R51))"),244.0)</f>
        <v>244</v>
      </c>
      <c r="T51" s="14">
        <f>IFERROR(__xludf.DUMMYFUNCTION("IF(COUNTA(P51:P147)=0,"""",IF(REGEXMATCH(P51,""_up""),VLOOKUP(P51,Upgrades!$F$3:$J$8,1+COUNTIF(P$4:P51,P51),FALSE),IF(P51="""",0,IF(REGEXMATCH(P51,""^Sell_""),-ROUNDDOWN(ROUNDUP(INDEX(Upgrades!$C$3:$C$8,MATCH(SUBSTITUTE(P51,""Sell_"",""""),Upgrades!$B$3:$"&amp;"B$8,0))*1.15^(COUNTIF(P$4:P50,SUBSTITUTE(P51,""Sell_"",""""))-COUNTIF(P$4:P50,""Sell_""&amp;SUBSTITUTE(P51,""Sell_"",""""))))/4),ROUNDUP(INDEX(Upgrades!$C$3:$C$7,MATCH(P51,Upgrades!$B$3:$B$7,0))*1.15^(COUNTIF(P$4:P50,P51)-COUNTIF(P$4:P50,""Sell_""&amp;P51)))))))"),214.0)</f>
        <v>214</v>
      </c>
      <c r="U51" s="14">
        <f t="shared" si="10"/>
        <v>214</v>
      </c>
      <c r="V51" s="75">
        <f t="shared" si="11"/>
        <v>438446.9935</v>
      </c>
      <c r="W51" s="76">
        <f t="shared" si="12"/>
        <v>274.1464854</v>
      </c>
      <c r="X51" s="71" t="str">
        <f t="shared" si="13"/>
        <v>4m 34s</v>
      </c>
      <c r="Y51" s="77">
        <f t="shared" si="14"/>
        <v>32079</v>
      </c>
      <c r="Z51" s="17"/>
      <c r="AA51" s="13"/>
      <c r="AB51" s="13"/>
      <c r="AC51" s="13"/>
      <c r="AD51" s="13"/>
      <c r="AE51" s="13"/>
      <c r="AF51" s="13"/>
      <c r="AG51" s="13"/>
    </row>
    <row r="52">
      <c r="A52" s="12"/>
      <c r="B52" s="65">
        <f t="shared" si="2"/>
        <v>6</v>
      </c>
      <c r="C52" s="66" t="s">
        <v>16</v>
      </c>
      <c r="D52" s="14" t="b">
        <f>IFERROR(__xludf.DUMMYFUNCTION("IF(COUNTA(C52:C147)=0,"""",IFERROR(IF(ISBLANK(C52),FALSE,IF(ISBLANK(G52),1,IF(NOT(COUNTIF($AA$24:$AA$34,SUBSTITUTE(C52,""Sell_"",""""))),1,IF(C52=""Plastic_up"",IF(I52&lt;1000,1),IF(C52=""Super_Up"",IF(OR(COUNTIF(C$4:C52,""Grandma"")-COUNTIF(C$4:C52,""Sell_G"&amp;"randma"")&lt;1,COUNTIF(C$4:C52,VLOOKUP(C52,Upgrades!$F$8:$N$8,7+COUNTIF(C$4:C52,C52)))-COUNTIF(C$4:C52,""Sell_""&amp;VLOOKUP(C52,Upgrades!$F$8:$N$8,7+COUNTIF(C$4:C52,C52)))&lt;15),1),IF(REGEXMATCH(C52,""_up""),IF(COUNTIF(C$4:C52,SUBSTITUTE(C52,""_up"",""""))&lt;IFERRO"&amp;"R(VLOOKUP(C52,Upgrades!$L$3:$P$6,1+COUNTIF(C$4:C52,C52),0),999),1),IF(REGEXMATCH(C52,""Sell_""),IF(COUNTIF(C$4:C52,SUBSTITUTE(C52,""Sell_"",""""))-COUNTIF(C$4:C51,C52)&lt;1,1),FALSE)))))))))"),FALSE)</f>
        <v>0</v>
      </c>
      <c r="E52" s="71">
        <f>IFERROR(__xludf.DUMMYFUNCTION("IF(REGEXMATCH(C52,""^Sell_""),E51, IF(COUNTA(C52:C147)=0,"""",(COUNTIF(C$4:C52,""Cursor"")-COUNTIF(C$4:C52,""Sell_Cursor""))*(0.1*2^SWITCH(COUNTIF(C$4:C52,""Cursor_up""),0,0,1,1,2,2,3)+SWITCH(COUNTIF(C$4:C52,""Cursor_up""),4,0.1,0)*(ROW(C52)-4-COUNTIF(C$4"&amp;":C52,""Cursor"")-COUNTIF(C$4:C52,""*""&amp;""_up"")-2*COUNTIF(C$4:C52,""Sell_""&amp;""*"")+COUNTIF(C$4:C52,""Sell_Cursor"")-COUNTIF(C$4:C52,"""")))+(COUNTIF(C$4:C52,""Grandma"")-COUNTIF(C$4:C52,""Sell_Grandma""))*(1*2^(COUNTIF(C$4:C52,""Grandma_up"")+COUNTIF(C$4:"&amp;"C52,""Super_up"")))+(COUNTIF(C$4:C52,""Farm"")-COUNTIF(C$4:C52,""Sell_Farm""))*(8*2^COUNTIF(C$4:C52,""Farm_up""))*IF(COUNTIF(C$4:C52,""Super_up"")&gt;0,1+0.01*(COUNTIF(C$4:C52,""Grandma"")-COUNTIF(C$4:C52,""Sell_Grandma"")),1)+(COUNTIF(C$4:C52,""Mine"")-COUN"&amp;"TIF(C$4:C52,""Sell_Mine""))*((47*2^COUNTIF(C$4:C52,""Mine_up""))*IF(COUNTIF(C$4:C52,""Super_up"")&gt;1,1+0.005*(COUNTIF(C$4:C52,""Grandma"")-COUNTIF(C$4:C52,""Sell_Grandma"")),1))+(COUNTIF(C$4:C52,""Factory"")-COUNTIF(C$4:C52,""Sell_Factory""))*(260*2^COUNTI"&amp;"F(C$4:C52,""Factory_up""))))"),132.0)</f>
        <v>132</v>
      </c>
      <c r="F52" s="73">
        <f>IFERROR(__xludf.DUMMYFUNCTION("IF(COUNTA(C52:C147)=0,"""",IF(REGEXMATCH(INDEX(FILTER(C$4:C52,C$4:C52&lt;&gt;""""),ROWS(FILTER(C$4:C52,C$4:C52&lt;&gt;""""))),""^Sell_""),INDEX(FILTER(F$4:F51,C$4:C51&lt;&gt;""""),ROWS(FILTER(C$4:C51,C$4:C51&lt;&gt;""""))),$AC$5*(2^SWITCH(COUNTIF(C$4:C52,""Cursor_up""),0,0,1,1,2"&amp;",2,3)+SWITCH(COUNTIF(C$4:C52,""Cursor_up""),4,0.1,0)*(ROW(C52)-4-COUNTIF(C$4:C52,""Cursor"")-COUNTIF(C$4:C52,""*""&amp;""_up"")-2*COUNTIF(C$4:C52,""Sell_""&amp;""*"")+COUNTIF(C$4:C52,""Sell_Cursor"")-COUNTIF(C$4:C52,""""))+0.01*E52*COUNTIF(C$4:C52,""Plastic_up"")"&amp;")+E52))"),252.0)</f>
        <v>252</v>
      </c>
      <c r="G52" s="14">
        <f>IFERROR(__xludf.DUMMYFUNCTION("IF(COUNTA(C52:C147)=0,"""",IF(REGEXMATCH(C52,""_up""),VLOOKUP(C52,Upgrades!$F$3:$J$8,1+COUNTIF(C$4:C52,C52),FALSE),IF(C52="""",0,IF(REGEXMATCH(C52,""^Sell_""),-ROUNDDOWN(ROUNDUP(INDEX(Upgrades!$C$3:$C$8,MATCH(SUBSTITUTE(C52,""Sell_"",""""),Upgrades!$B$3:$"&amp;"B$8,0))*1.15^(COUNTIF(C$4:C51,SUBSTITUTE(C52,""Sell_"",""""))-COUNTIF(C$4:C51,""Sell_""&amp;SUBSTITUTE(C52,""Sell_"",""""))))/4),ROUNDUP(INDEX(Upgrades!$C$3:$C$7,MATCH(C52,Upgrades!$B$3:$B$7,0))*1.15^(COUNTIF(C$4:C51,C52)-COUNTIF(C$4:C51,""Sell_""&amp;C52)))))))"),2213.0)</f>
        <v>2213</v>
      </c>
      <c r="H52" s="14">
        <f t="shared" si="3"/>
        <v>2213</v>
      </c>
      <c r="I52" s="75">
        <f t="shared" si="4"/>
        <v>472432.9324</v>
      </c>
      <c r="J52" s="76">
        <f t="shared" si="5"/>
        <v>283.2161575</v>
      </c>
      <c r="K52" s="71" t="str">
        <f t="shared" si="6"/>
        <v>4m 43s</v>
      </c>
      <c r="L52" s="77">
        <f t="shared" si="7"/>
        <v>34292</v>
      </c>
      <c r="M52" s="51">
        <f t="shared" si="8"/>
        <v>0</v>
      </c>
      <c r="N52" s="52">
        <f>IFERROR(__xludf.DUMMYFUNCTION("IFS(AND(COUNTA(C52:C147)=0,COUNTA(P52:P147)=0),"""",OR(AND(L52&gt;=1000000,OR(Y52&gt;=1000000,COUNTA(P52:P147)=0)),AND(Y52&gt;=1000000,COUNTA(C52:C147)=0),AND(COUNTA(P52:P147)=0,O$3=TRUE)),
ROUNDDOWN((AB$1-AC$1)*MAX(INDEX(S$4:S147,MATCH(LARGE(FILTER(Y$4:Y147,Y$4:Y"&amp;"147&lt;1000000),1),Y$4:Y147)),INDEX(F$4:F147,MATCH(LARGE(FILTER(L$4:L147,L$4:L147&lt;1000000),1),L$4:L147)))),AND(L52&lt;1000000,COUNTA(C52:C147)&gt;0,O$3=FALSE),
ROUNDDOWN(INDEX(Y$4:Y147,MATCH(LARGE(FILTER(W$4:W147,W$4:W147&lt;=J52),1),W$4:W147))+(J52-LARGE(FILTER(W$4:"&amp;"W147,W$4:W147&lt;=J52),1))*INDEX(S$4:S147,MATCH(LARGE(FILTER(W$4:W147,W$4:W147&lt;=J52),1),W$4:W147))-L52),1,
ROUNDDOWN(Y52-INDEX(L$4:L147,MATCH(LARGE(FILTER(J$4:J147,J$4:J147&lt;=W52),1),J$4:J147))-(W52-LARGE(FILTER(J$4:J147,J$4:J147&lt;=W52),1))*INDEX(F$4:F147,MATC"&amp;"H(LARGE(FILTER(J$4:J147,J$4:J147&lt;=W52),1),J$4:J147))))"),0.0)</f>
        <v>0</v>
      </c>
      <c r="O52" s="65">
        <f t="shared" si="9"/>
        <v>6</v>
      </c>
      <c r="P52" s="66" t="s">
        <v>16</v>
      </c>
      <c r="Q52" s="14" t="b">
        <f>IFERROR(__xludf.DUMMYFUNCTION("IF(COUNTA(P52:P147)=0,"""",IFERROR(IF(ISBLANK(P52),FALSE,IF(ISBLANK(T52),1,IF(NOT(COUNTIF($AA$24:$AA$34,SUBSTITUTE(P52,""Sell_"",""""))),1,IF(P52=""Plastic_up"",IF(V52&lt;1000,1),IF(P52=""Super_Up"",IF(OR(COUNTIF(P$4:P52,""Grandma"")-COUNTIF(P$4:P52,""Sell_G"&amp;"randma"")&lt;1,COUNTIF(P$4:P52,VLOOKUP(P52,Upgrades!$F$8:$N$8,7+COUNTIF(P$4:P52,P52)))-COUNTIF(P$4:P52,""Sell_""&amp;VLOOKUP(P52,Upgrades!$F$8:$N$8,7+COUNTIF(P$4:P52,P52)))&lt;15),1),IF(REGEXMATCH(P52,""_up""),IF(COUNTIF(P$4:P52,SUBSTITUTE(P52,""_up"",""""))&lt;IFERRO"&amp;"R(VLOOKUP(P52,Upgrades!$L$3:$P$6,1+COUNTIF(P$4:P52,P52),0),999),1),IF(REGEXMATCH(P52,""Sell_""),IF(COUNTIF(P$4:P52,SUBSTITUTE(P52,""Sell_"",""""))-COUNTIF(P$4:P51,P52)&lt;1,1),FALSE)))))))))"),FALSE)</f>
        <v>0</v>
      </c>
      <c r="R52" s="71">
        <f>IFERROR(__xludf.DUMMYFUNCTION("IF(REGEXMATCH(P52,""^Sell_""),R51, IF(COUNTA(P52:P147)=0,"""",(COUNTIF(P$4:P52,""Cursor"")-COUNTIF(P$4:P52,""Sell_Cursor""))*(0.1*2^SWITCH(COUNTIF(P$4:P52,""Cursor_up""),0,0,1,1,2,2,3)+SWITCH(COUNTIF(P$4:P52,""Cursor_up""),4,0.1,0)*(ROW(P52)-4-COUNTIF(P$4"&amp;":P52,""Cursor"")-COUNTIF(P$4:P52,""*""&amp;""_up"")-2*COUNTIF(P$4:P52,""Sell_""&amp;""*"")+COUNTIF(P$4:P52,""Sell_Cursor"")-COUNTIF(P$4:P52,"""")))+(COUNTIF(P$4:P52,""Grandma"")-COUNTIF(P$4:P52,""Sell_Grandma""))*(1*2^(COUNTIF(P$4:P52,""Grandma_up"")+COUNTIF(P$4:"&amp;"P52,""Super_up"")))+(COUNTIF(P$4:P52,""Farm"")-COUNTIF(P$4:P52,""Sell_Farm""))*(8*2^COUNTIF(P$4:P52,""Farm_up""))*IF(COUNTIF(P$4:P52,""Super_up"")&gt;0,1+0.01*(COUNTIF(P$4:P52,""Grandma"")-COUNTIF(P$4:P52,""Sell_Grandma"")),1)+(COUNTIF(P$4:P52,""Mine"")-COUN"&amp;"TIF(P$4:P52,""Sell_Mine""))*((47*2^COUNTIF(P$4:P52,""Mine_up""))*IF(COUNTIF(P$4:P52,""Super_up"")&gt;1,1+0.005*(COUNTIF(P$4:P52,""Grandma"")-COUNTIF(P$4:P52,""Sell_Grandma"")),1))+(COUNTIF(P$4:P52,""Factory"")-COUNTIF(P$4:P52,""Sell_Factory""))*(260*2^COUNTI"&amp;"F(P$4:P52,""Factory_up""))))"),132.0)</f>
        <v>132</v>
      </c>
      <c r="S52" s="73">
        <f>IFERROR(__xludf.DUMMYFUNCTION("IF(COUNTA(P52:P147)=0,"""",IF(REGEXMATCH(INDEX(FILTER(P$4:P52,P$4:P52&lt;&gt;""""),ROWS(FILTER(P$4:P52,P$4:P52&lt;&gt;""""))),""^Sell_""),INDEX(FILTER(S$4:S51,P$4:P51&lt;&gt;""""),ROWS(FILTER(P$4:P51,P$4:P51&lt;&gt;""""))),$AD$5*(2^SWITCH(COUNTIF(P$4:P52,""Cursor_up""),0,0,1,1,2"&amp;",2,3)+SWITCH(COUNTIF(P$4:P52,""Cursor_up""),4,0.1,0)*(ROW(P52)-4-COUNTIF(P$4:P52,""Cursor"")-COUNTIF(P$4:P52,""*""&amp;""_up"")-2*COUNTIF(P$4:P52,""Sell_""&amp;""*"")+COUNTIF(P$4:P52,""Sell_Cursor"")-COUNTIF(P$4:P52,""""))+0.01*R52*COUNTIF(P$4:P52,""Plastic_up"")"&amp;")+R52))"),252.0)</f>
        <v>252</v>
      </c>
      <c r="T52" s="14">
        <f>IFERROR(__xludf.DUMMYFUNCTION("IF(COUNTA(P52:P147)=0,"""",IF(REGEXMATCH(P52,""_up""),VLOOKUP(P52,Upgrades!$F$3:$J$8,1+COUNTIF(P$4:P52,P52),FALSE),IF(P52="""",0,IF(REGEXMATCH(P52,""^Sell_""),-ROUNDDOWN(ROUNDUP(INDEX(Upgrades!$C$3:$C$8,MATCH(SUBSTITUTE(P52,""Sell_"",""""),Upgrades!$B$3:$"&amp;"B$8,0))*1.15^(COUNTIF(P$4:P51,SUBSTITUTE(P52,""Sell_"",""""))-COUNTIF(P$4:P51,""Sell_""&amp;SUBSTITUTE(P52,""Sell_"",""""))))/4),ROUNDUP(INDEX(Upgrades!$C$3:$C$7,MATCH(P52,Upgrades!$B$3:$B$7,0))*1.15^(COUNTIF(P$4:P51,P52)-COUNTIF(P$4:P51,""Sell_""&amp;P52)))))))"),2213.0)</f>
        <v>2213</v>
      </c>
      <c r="U52" s="14">
        <f t="shared" si="10"/>
        <v>2213</v>
      </c>
      <c r="V52" s="75">
        <f t="shared" si="11"/>
        <v>472432.9324</v>
      </c>
      <c r="W52" s="76">
        <f t="shared" si="12"/>
        <v>283.2161575</v>
      </c>
      <c r="X52" s="71" t="str">
        <f t="shared" si="13"/>
        <v>4m 43s</v>
      </c>
      <c r="Y52" s="77">
        <f t="shared" si="14"/>
        <v>34292</v>
      </c>
      <c r="Z52" s="17"/>
      <c r="AA52" s="13"/>
      <c r="AB52" s="13"/>
      <c r="AC52" s="13"/>
      <c r="AD52" s="13"/>
      <c r="AE52" s="13"/>
      <c r="AF52" s="13"/>
      <c r="AG52" s="13"/>
    </row>
    <row r="53">
      <c r="A53" s="12"/>
      <c r="B53" s="65">
        <f t="shared" si="2"/>
        <v>1</v>
      </c>
      <c r="C53" s="66" t="s">
        <v>17</v>
      </c>
      <c r="D53" s="14" t="b">
        <f>IFERROR(__xludf.DUMMYFUNCTION("IF(COUNTA(C53:C147)=0,"""",IFERROR(IF(ISBLANK(C53),FALSE,IF(ISBLANK(G53),1,IF(NOT(COUNTIF($AA$24:$AA$34,SUBSTITUTE(C53,""Sell_"",""""))),1,IF(C53=""Plastic_up"",IF(I53&lt;1000,1),IF(C53=""Super_Up"",IF(OR(COUNTIF(C$4:C53,""Grandma"")-COUNTIF(C$4:C53,""Sell_G"&amp;"randma"")&lt;1,COUNTIF(C$4:C53,VLOOKUP(C53,Upgrades!$F$8:$N$8,7+COUNTIF(C$4:C53,C53)))-COUNTIF(C$4:C53,""Sell_""&amp;VLOOKUP(C53,Upgrades!$F$8:$N$8,7+COUNTIF(C$4:C53,C53)))&lt;15),1),IF(REGEXMATCH(C53,""_up""),IF(COUNTIF(C$4:C53,SUBSTITUTE(C53,""_up"",""""))&lt;IFERRO"&amp;"R(VLOOKUP(C53,Upgrades!$L$3:$P$6,1+COUNTIF(C$4:C53,C53),0),999),1),IF(REGEXMATCH(C53,""Sell_""),IF(COUNTIF(C$4:C53,SUBSTITUTE(C53,""Sell_"",""""))-COUNTIF(C$4:C52,C53)&lt;1,1),FALSE)))))))))"),FALSE)</f>
        <v>0</v>
      </c>
      <c r="E53" s="71">
        <f>IFERROR(__xludf.DUMMYFUNCTION("IF(REGEXMATCH(C53,""^Sell_""),E52, IF(COUNTA(C53:C147)=0,"""",(COUNTIF(C$4:C53,""Cursor"")-COUNTIF(C$4:C53,""Sell_Cursor""))*(0.1*2^SWITCH(COUNTIF(C$4:C53,""Cursor_up""),0,0,1,1,2,2,3)+SWITCH(COUNTIF(C$4:C53,""Cursor_up""),4,0.1,0)*(ROW(C53)-4-COUNTIF(C$4"&amp;":C53,""Cursor"")-COUNTIF(C$4:C53,""*""&amp;""_up"")-2*COUNTIF(C$4:C53,""Sell_""&amp;""*"")+COUNTIF(C$4:C53,""Sell_Cursor"")-COUNTIF(C$4:C53,"""")))+(COUNTIF(C$4:C53,""Grandma"")-COUNTIF(C$4:C53,""Sell_Grandma""))*(1*2^(COUNTIF(C$4:C53,""Grandma_up"")+COUNTIF(C$4:"&amp;"C53,""Super_up"")))+(COUNTIF(C$4:C53,""Farm"")-COUNTIF(C$4:C53,""Sell_Farm""))*(8*2^COUNTIF(C$4:C53,""Farm_up""))*IF(COUNTIF(C$4:C53,""Super_up"")&gt;0,1+0.01*(COUNTIF(C$4:C53,""Grandma"")-COUNTIF(C$4:C53,""Sell_Grandma"")),1)+(COUNTIF(C$4:C53,""Mine"")-COUN"&amp;"TIF(C$4:C53,""Sell_Mine""))*((47*2^COUNTIF(C$4:C53,""Mine_up""))*IF(COUNTIF(C$4:C53,""Super_up"")&gt;1,1+0.005*(COUNTIF(C$4:C53,""Grandma"")-COUNTIF(C$4:C53,""Sell_Grandma"")),1))+(COUNTIF(C$4:C53,""Factory"")-COUNTIF(C$4:C53,""Sell_Factory""))*(260*2^COUNTI"&amp;"F(C$4:C53,""Factory_up""))))"),180.0)</f>
        <v>180</v>
      </c>
      <c r="F53" s="73">
        <f>IFERROR(__xludf.DUMMYFUNCTION("IF(COUNTA(C53:C147)=0,"""",IF(REGEXMATCH(INDEX(FILTER(C$4:C53,C$4:C53&lt;&gt;""""),ROWS(FILTER(C$4:C53,C$4:C53&lt;&gt;""""))),""^Sell_""),INDEX(FILTER(F$4:F52,C$4:C52&lt;&gt;""""),ROWS(FILTER(C$4:C52,C$4:C52&lt;&gt;""""))),$AC$5*(2^SWITCH(COUNTIF(C$4:C53,""Cursor_up""),0,0,1,1,2"&amp;",2,3)+SWITCH(COUNTIF(C$4:C53,""Cursor_up""),4,0.1,0)*(ROW(C53)-4-COUNTIF(C$4:C53,""Cursor"")-COUNTIF(C$4:C53,""*""&amp;""_up"")-2*COUNTIF(C$4:C53,""Sell_""&amp;""*"")+COUNTIF(C$4:C53,""Sell_Cursor"")-COUNTIF(C$4:C53,""""))+0.01*E53*COUNTIF(C$4:C53,""Plastic_up"")"&amp;")+E53))"),300.0)</f>
        <v>300</v>
      </c>
      <c r="G53" s="14">
        <f>IFERROR(__xludf.DUMMYFUNCTION("IF(COUNTA(C53:C147)=0,"""",IF(REGEXMATCH(C53,""_up""),VLOOKUP(C53,Upgrades!$F$3:$J$8,1+COUNTIF(C$4:C53,C53),FALSE),IF(C53="""",0,IF(REGEXMATCH(C53,""^Sell_""),-ROUNDDOWN(ROUNDUP(INDEX(Upgrades!$C$3:$C$8,MATCH(SUBSTITUTE(C53,""Sell_"",""""),Upgrades!$B$3:$"&amp;"B$8,0))*1.15^(COUNTIF(C$4:C52,SUBSTITUTE(C53,""Sell_"",""""))-COUNTIF(C$4:C52,""Sell_""&amp;SUBSTITUTE(C53,""Sell_"",""""))))/4),ROUNDUP(INDEX(Upgrades!$C$3:$C$7,MATCH(C53,Upgrades!$B$3:$B$7,0))*1.15^(COUNTIF(C$4:C52,C53)-COUNTIF(C$4:C52,""Sell_""&amp;C53)))))))"),11000.0)</f>
        <v>11000</v>
      </c>
      <c r="H53" s="14">
        <f t="shared" si="3"/>
        <v>11000</v>
      </c>
      <c r="I53" s="75">
        <f t="shared" si="4"/>
        <v>511656.9666</v>
      </c>
      <c r="J53" s="76">
        <f t="shared" si="5"/>
        <v>326.8669511</v>
      </c>
      <c r="K53" s="71" t="str">
        <f t="shared" si="6"/>
        <v>5m 26s</v>
      </c>
      <c r="L53" s="77">
        <f t="shared" si="7"/>
        <v>45292</v>
      </c>
      <c r="M53" s="51">
        <f t="shared" si="8"/>
        <v>0</v>
      </c>
      <c r="N53" s="52">
        <f>IFERROR(__xludf.DUMMYFUNCTION("IFS(AND(COUNTA(C53:C147)=0,COUNTA(P53:P147)=0),"""",OR(AND(L53&gt;=1000000,OR(Y53&gt;=1000000,COUNTA(P53:P147)=0)),AND(Y53&gt;=1000000,COUNTA(C53:C147)=0),AND(COUNTA(P53:P147)=0,O$3=TRUE)),
ROUNDDOWN((AB$1-AC$1)*MAX(INDEX(S$4:S147,MATCH(LARGE(FILTER(Y$4:Y147,Y$4:Y"&amp;"147&lt;1000000),1),Y$4:Y147)),INDEX(F$4:F147,MATCH(LARGE(FILTER(L$4:L147,L$4:L147&lt;1000000),1),L$4:L147)))),AND(L53&lt;1000000,COUNTA(C53:C147)&gt;0,O$3=FALSE),
ROUNDDOWN(INDEX(Y$4:Y147,MATCH(LARGE(FILTER(W$4:W147,W$4:W147&lt;=J53),1),W$4:W147))+(J53-LARGE(FILTER(W$4:"&amp;"W147,W$4:W147&lt;=J53),1))*INDEX(S$4:S147,MATCH(LARGE(FILTER(W$4:W147,W$4:W147&lt;=J53),1),W$4:W147))-L53),1,
ROUNDDOWN(Y53-INDEX(L$4:L147,MATCH(LARGE(FILTER(J$4:J147,J$4:J147&lt;=W53),1),J$4:J147))-(W53-LARGE(FILTER(J$4:J147,J$4:J147&lt;=W53),1))*INDEX(F$4:F147,MATC"&amp;"H(LARGE(FILTER(J$4:J147,J$4:J147&lt;=W53),1),J$4:J147))))"),0.0)</f>
        <v>0</v>
      </c>
      <c r="O53" s="65">
        <f t="shared" si="9"/>
        <v>1</v>
      </c>
      <c r="P53" s="66" t="s">
        <v>17</v>
      </c>
      <c r="Q53" s="14" t="b">
        <f>IFERROR(__xludf.DUMMYFUNCTION("IF(COUNTA(P53:P147)=0,"""",IFERROR(IF(ISBLANK(P53),FALSE,IF(ISBLANK(T53),1,IF(NOT(COUNTIF($AA$24:$AA$34,SUBSTITUTE(P53,""Sell_"",""""))),1,IF(P53=""Plastic_up"",IF(V53&lt;1000,1),IF(P53=""Super_Up"",IF(OR(COUNTIF(P$4:P53,""Grandma"")-COUNTIF(P$4:P53,""Sell_G"&amp;"randma"")&lt;1,COUNTIF(P$4:P53,VLOOKUP(P53,Upgrades!$F$8:$N$8,7+COUNTIF(P$4:P53,P53)))-COUNTIF(P$4:P53,""Sell_""&amp;VLOOKUP(P53,Upgrades!$F$8:$N$8,7+COUNTIF(P$4:P53,P53)))&lt;15),1),IF(REGEXMATCH(P53,""_up""),IF(COUNTIF(P$4:P53,SUBSTITUTE(P53,""_up"",""""))&lt;IFERRO"&amp;"R(VLOOKUP(P53,Upgrades!$L$3:$P$6,1+COUNTIF(P$4:P53,P53),0),999),1),IF(REGEXMATCH(P53,""Sell_""),IF(COUNTIF(P$4:P53,SUBSTITUTE(P53,""Sell_"",""""))-COUNTIF(P$4:P52,P53)&lt;1,1),FALSE)))))))))"),FALSE)</f>
        <v>0</v>
      </c>
      <c r="R53" s="71">
        <f>IFERROR(__xludf.DUMMYFUNCTION("IF(REGEXMATCH(P53,""^Sell_""),R52, IF(COUNTA(P53:P147)=0,"""",(COUNTIF(P$4:P53,""Cursor"")-COUNTIF(P$4:P53,""Sell_Cursor""))*(0.1*2^SWITCH(COUNTIF(P$4:P53,""Cursor_up""),0,0,1,1,2,2,3)+SWITCH(COUNTIF(P$4:P53,""Cursor_up""),4,0.1,0)*(ROW(P53)-4-COUNTIF(P$4"&amp;":P53,""Cursor"")-COUNTIF(P$4:P53,""*""&amp;""_up"")-2*COUNTIF(P$4:P53,""Sell_""&amp;""*"")+COUNTIF(P$4:P53,""Sell_Cursor"")-COUNTIF(P$4:P53,"""")))+(COUNTIF(P$4:P53,""Grandma"")-COUNTIF(P$4:P53,""Sell_Grandma""))*(1*2^(COUNTIF(P$4:P53,""Grandma_up"")+COUNTIF(P$4:"&amp;"P53,""Super_up"")))+(COUNTIF(P$4:P53,""Farm"")-COUNTIF(P$4:P53,""Sell_Farm""))*(8*2^COUNTIF(P$4:P53,""Farm_up""))*IF(COUNTIF(P$4:P53,""Super_up"")&gt;0,1+0.01*(COUNTIF(P$4:P53,""Grandma"")-COUNTIF(P$4:P53,""Sell_Grandma"")),1)+(COUNTIF(P$4:P53,""Mine"")-COUN"&amp;"TIF(P$4:P53,""Sell_Mine""))*((47*2^COUNTIF(P$4:P53,""Mine_up""))*IF(COUNTIF(P$4:P53,""Super_up"")&gt;1,1+0.005*(COUNTIF(P$4:P53,""Grandma"")-COUNTIF(P$4:P53,""Sell_Grandma"")),1))+(COUNTIF(P$4:P53,""Factory"")-COUNTIF(P$4:P53,""Sell_Factory""))*(260*2^COUNTI"&amp;"F(P$4:P53,""Factory_up""))))"),180.0)</f>
        <v>180</v>
      </c>
      <c r="S53" s="73">
        <f>IFERROR(__xludf.DUMMYFUNCTION("IF(COUNTA(P53:P147)=0,"""",IF(REGEXMATCH(INDEX(FILTER(P$4:P53,P$4:P53&lt;&gt;""""),ROWS(FILTER(P$4:P53,P$4:P53&lt;&gt;""""))),""^Sell_""),INDEX(FILTER(S$4:S52,P$4:P52&lt;&gt;""""),ROWS(FILTER(P$4:P52,P$4:P52&lt;&gt;""""))),$AD$5*(2^SWITCH(COUNTIF(P$4:P53,""Cursor_up""),0,0,1,1,2"&amp;",2,3)+SWITCH(COUNTIF(P$4:P53,""Cursor_up""),4,0.1,0)*(ROW(P53)-4-COUNTIF(P$4:P53,""Cursor"")-COUNTIF(P$4:P53,""*""&amp;""_up"")-2*COUNTIF(P$4:P53,""Sell_""&amp;""*"")+COUNTIF(P$4:P53,""Sell_Cursor"")-COUNTIF(P$4:P53,""""))+0.01*R53*COUNTIF(P$4:P53,""Plastic_up"")"&amp;")+R53))"),300.0)</f>
        <v>300</v>
      </c>
      <c r="T53" s="14">
        <f>IFERROR(__xludf.DUMMYFUNCTION("IF(COUNTA(P53:P147)=0,"""",IF(REGEXMATCH(P53,""_up""),VLOOKUP(P53,Upgrades!$F$3:$J$8,1+COUNTIF(P$4:P53,P53),FALSE),IF(P53="""",0,IF(REGEXMATCH(P53,""^Sell_""),-ROUNDDOWN(ROUNDUP(INDEX(Upgrades!$C$3:$C$8,MATCH(SUBSTITUTE(P53,""Sell_"",""""),Upgrades!$B$3:$"&amp;"B$8,0))*1.15^(COUNTIF(P$4:P52,SUBSTITUTE(P53,""Sell_"",""""))-COUNTIF(P$4:P52,""Sell_""&amp;SUBSTITUTE(P53,""Sell_"",""""))))/4),ROUNDUP(INDEX(Upgrades!$C$3:$C$7,MATCH(P53,Upgrades!$B$3:$B$7,0))*1.15^(COUNTIF(P$4:P52,P53)-COUNTIF(P$4:P52,""Sell_""&amp;P53)))))))"),11000.0)</f>
        <v>11000</v>
      </c>
      <c r="U53" s="14">
        <f t="shared" si="10"/>
        <v>11000</v>
      </c>
      <c r="V53" s="75">
        <f t="shared" si="11"/>
        <v>511656.9666</v>
      </c>
      <c r="W53" s="76">
        <f t="shared" si="12"/>
        <v>326.8669511</v>
      </c>
      <c r="X53" s="71" t="str">
        <f t="shared" si="13"/>
        <v>5m 26s</v>
      </c>
      <c r="Y53" s="77">
        <f t="shared" si="14"/>
        <v>45292</v>
      </c>
      <c r="Z53" s="17"/>
      <c r="AA53" s="13"/>
      <c r="AB53" s="13"/>
      <c r="AC53" s="13"/>
      <c r="AD53" s="13"/>
      <c r="AE53" s="13"/>
      <c r="AF53" s="13"/>
      <c r="AG53" s="13"/>
    </row>
    <row r="54">
      <c r="A54" s="12"/>
      <c r="B54" s="65">
        <f t="shared" si="2"/>
        <v>7</v>
      </c>
      <c r="C54" s="66" t="s">
        <v>16</v>
      </c>
      <c r="D54" s="14" t="b">
        <f>IFERROR(__xludf.DUMMYFUNCTION("IF(COUNTA(C54:C147)=0,"""",IFERROR(IF(ISBLANK(C54),FALSE,IF(ISBLANK(G54),1,IF(NOT(COUNTIF($AA$24:$AA$34,SUBSTITUTE(C54,""Sell_"",""""))),1,IF(C54=""Plastic_up"",IF(I54&lt;1000,1),IF(C54=""Super_Up"",IF(OR(COUNTIF(C$4:C54,""Grandma"")-COUNTIF(C$4:C54,""Sell_G"&amp;"randma"")&lt;1,COUNTIF(C$4:C54,VLOOKUP(C54,Upgrades!$F$8:$N$8,7+COUNTIF(C$4:C54,C54)))-COUNTIF(C$4:C54,""Sell_""&amp;VLOOKUP(C54,Upgrades!$F$8:$N$8,7+COUNTIF(C$4:C54,C54)))&lt;15),1),IF(REGEXMATCH(C54,""_up""),IF(COUNTIF(C$4:C54,SUBSTITUTE(C54,""_up"",""""))&lt;IFERRO"&amp;"R(VLOOKUP(C54,Upgrades!$L$3:$P$6,1+COUNTIF(C$4:C54,C54),0),999),1),IF(REGEXMATCH(C54,""Sell_""),IF(COUNTIF(C$4:C54,SUBSTITUTE(C54,""Sell_"",""""))-COUNTIF(C$4:C53,C54)&lt;1,1),FALSE)))))))))"),FALSE)</f>
        <v>0</v>
      </c>
      <c r="E54" s="71">
        <f>IFERROR(__xludf.DUMMYFUNCTION("IF(REGEXMATCH(C54,""^Sell_""),E53, IF(COUNTA(C54:C147)=0,"""",(COUNTIF(C$4:C54,""Cursor"")-COUNTIF(C$4:C54,""Sell_Cursor""))*(0.1*2^SWITCH(COUNTIF(C$4:C54,""Cursor_up""),0,0,1,1,2,2,3)+SWITCH(COUNTIF(C$4:C54,""Cursor_up""),4,0.1,0)*(ROW(C54)-4-COUNTIF(C$4"&amp;":C54,""Cursor"")-COUNTIF(C$4:C54,""*""&amp;""_up"")-2*COUNTIF(C$4:C54,""Sell_""&amp;""*"")+COUNTIF(C$4:C54,""Sell_Cursor"")-COUNTIF(C$4:C54,"""")))+(COUNTIF(C$4:C54,""Grandma"")-COUNTIF(C$4:C54,""Sell_Grandma""))*(1*2^(COUNTIF(C$4:C54,""Grandma_up"")+COUNTIF(C$4:"&amp;"C54,""Super_up"")))+(COUNTIF(C$4:C54,""Farm"")-COUNTIF(C$4:C54,""Sell_Farm""))*(8*2^COUNTIF(C$4:C54,""Farm_up""))*IF(COUNTIF(C$4:C54,""Super_up"")&gt;0,1+0.01*(COUNTIF(C$4:C54,""Grandma"")-COUNTIF(C$4:C54,""Sell_Grandma"")),1)+(COUNTIF(C$4:C54,""Mine"")-COUN"&amp;"TIF(C$4:C54,""Sell_Mine""))*((47*2^COUNTIF(C$4:C54,""Mine_up""))*IF(COUNTIF(C$4:C54,""Super_up"")&gt;1,1+0.005*(COUNTIF(C$4:C54,""Grandma"")-COUNTIF(C$4:C54,""Sell_Grandma"")),1))+(COUNTIF(C$4:C54,""Factory"")-COUNTIF(C$4:C54,""Sell_Factory""))*(260*2^COUNTI"&amp;"F(C$4:C54,""Factory_up""))))"),196.0)</f>
        <v>196</v>
      </c>
      <c r="F54" s="73">
        <f>IFERROR(__xludf.DUMMYFUNCTION("IF(COUNTA(C54:C147)=0,"""",IF(REGEXMATCH(INDEX(FILTER(C$4:C54,C$4:C54&lt;&gt;""""),ROWS(FILTER(C$4:C54,C$4:C54&lt;&gt;""""))),""^Sell_""),INDEX(FILTER(F$4:F53,C$4:C53&lt;&gt;""""),ROWS(FILTER(C$4:C53,C$4:C53&lt;&gt;""""))),$AC$5*(2^SWITCH(COUNTIF(C$4:C54,""Cursor_up""),0,0,1,1,2"&amp;",2,3)+SWITCH(COUNTIF(C$4:C54,""Cursor_up""),4,0.1,0)*(ROW(C54)-4-COUNTIF(C$4:C54,""Cursor"")-COUNTIF(C$4:C54,""*""&amp;""_up"")-2*COUNTIF(C$4:C54,""Sell_""&amp;""*"")+COUNTIF(C$4:C54,""Sell_Cursor"")-COUNTIF(C$4:C54,""""))+0.01*E54*COUNTIF(C$4:C54,""Plastic_up"")"&amp;")+E54))"),316.0)</f>
        <v>316</v>
      </c>
      <c r="G54" s="14">
        <f>IFERROR(__xludf.DUMMYFUNCTION("IF(COUNTA(C54:C147)=0,"""",IF(REGEXMATCH(C54,""_up""),VLOOKUP(C54,Upgrades!$F$3:$J$8,1+COUNTIF(C$4:C54,C54),FALSE),IF(C54="""",0,IF(REGEXMATCH(C54,""^Sell_""),-ROUNDDOWN(ROUNDUP(INDEX(Upgrades!$C$3:$C$8,MATCH(SUBSTITUTE(C54,""Sell_"",""""),Upgrades!$B$3:$"&amp;"B$8,0))*1.15^(COUNTIF(C$4:C53,SUBSTITUTE(C54,""Sell_"",""""))-COUNTIF(C$4:C53,""Sell_""&amp;SUBSTITUTE(C54,""Sell_"",""""))))/4),ROUNDUP(INDEX(Upgrades!$C$3:$C$7,MATCH(C54,Upgrades!$B$3:$B$7,0))*1.15^(COUNTIF(C$4:C53,C54)-COUNTIF(C$4:C53,""Sell_""&amp;C54)))))))"),2545.0)</f>
        <v>2545</v>
      </c>
      <c r="H54" s="14">
        <f t="shared" si="3"/>
        <v>2545</v>
      </c>
      <c r="I54" s="75">
        <f t="shared" si="4"/>
        <v>551899.0007</v>
      </c>
      <c r="J54" s="76">
        <f t="shared" si="5"/>
        <v>335.3502845</v>
      </c>
      <c r="K54" s="71" t="str">
        <f t="shared" si="6"/>
        <v>5m 35s</v>
      </c>
      <c r="L54" s="77">
        <f t="shared" si="7"/>
        <v>47837</v>
      </c>
      <c r="M54" s="51">
        <f t="shared" si="8"/>
        <v>0</v>
      </c>
      <c r="N54" s="52">
        <f>IFERROR(__xludf.DUMMYFUNCTION("IFS(AND(COUNTA(C54:C147)=0,COUNTA(P54:P147)=0),"""",OR(AND(L54&gt;=1000000,OR(Y54&gt;=1000000,COUNTA(P54:P147)=0)),AND(Y54&gt;=1000000,COUNTA(C54:C147)=0),AND(COUNTA(P54:P147)=0,O$3=TRUE)),
ROUNDDOWN((AB$1-AC$1)*MAX(INDEX(S$4:S147,MATCH(LARGE(FILTER(Y$4:Y147,Y$4:Y"&amp;"147&lt;1000000),1),Y$4:Y147)),INDEX(F$4:F147,MATCH(LARGE(FILTER(L$4:L147,L$4:L147&lt;1000000),1),L$4:L147)))),AND(L54&lt;1000000,COUNTA(C54:C147)&gt;0,O$3=FALSE),
ROUNDDOWN(INDEX(Y$4:Y147,MATCH(LARGE(FILTER(W$4:W147,W$4:W147&lt;=J54),1),W$4:W147))+(J54-LARGE(FILTER(W$4:"&amp;"W147,W$4:W147&lt;=J54),1))*INDEX(S$4:S147,MATCH(LARGE(FILTER(W$4:W147,W$4:W147&lt;=J54),1),W$4:W147))-L54),1,
ROUNDDOWN(Y54-INDEX(L$4:L147,MATCH(LARGE(FILTER(J$4:J147,J$4:J147&lt;=W54),1),J$4:J147))-(W54-LARGE(FILTER(J$4:J147,J$4:J147&lt;=W54),1))*INDEX(F$4:F147,MATC"&amp;"H(LARGE(FILTER(J$4:J147,J$4:J147&lt;=W54),1),J$4:J147))))"),0.0)</f>
        <v>0</v>
      </c>
      <c r="O54" s="65">
        <f t="shared" si="9"/>
        <v>7</v>
      </c>
      <c r="P54" s="66" t="s">
        <v>16</v>
      </c>
      <c r="Q54" s="14" t="b">
        <f>IFERROR(__xludf.DUMMYFUNCTION("IF(COUNTA(P54:P147)=0,"""",IFERROR(IF(ISBLANK(P54),FALSE,IF(ISBLANK(T54),1,IF(NOT(COUNTIF($AA$24:$AA$34,SUBSTITUTE(P54,""Sell_"",""""))),1,IF(P54=""Plastic_up"",IF(V54&lt;1000,1),IF(P54=""Super_Up"",IF(OR(COUNTIF(P$4:P54,""Grandma"")-COUNTIF(P$4:P54,""Sell_G"&amp;"randma"")&lt;1,COUNTIF(P$4:P54,VLOOKUP(P54,Upgrades!$F$8:$N$8,7+COUNTIF(P$4:P54,P54)))-COUNTIF(P$4:P54,""Sell_""&amp;VLOOKUP(P54,Upgrades!$F$8:$N$8,7+COUNTIF(P$4:P54,P54)))&lt;15),1),IF(REGEXMATCH(P54,""_up""),IF(COUNTIF(P$4:P54,SUBSTITUTE(P54,""_up"",""""))&lt;IFERRO"&amp;"R(VLOOKUP(P54,Upgrades!$L$3:$P$6,1+COUNTIF(P$4:P54,P54),0),999),1),IF(REGEXMATCH(P54,""Sell_""),IF(COUNTIF(P$4:P54,SUBSTITUTE(P54,""Sell_"",""""))-COUNTIF(P$4:P53,P54)&lt;1,1),FALSE)))))))))"),FALSE)</f>
        <v>0</v>
      </c>
      <c r="R54" s="71">
        <f>IFERROR(__xludf.DUMMYFUNCTION("IF(REGEXMATCH(P54,""^Sell_""),R53, IF(COUNTA(P54:P147)=0,"""",(COUNTIF(P$4:P54,""Cursor"")-COUNTIF(P$4:P54,""Sell_Cursor""))*(0.1*2^SWITCH(COUNTIF(P$4:P54,""Cursor_up""),0,0,1,1,2,2,3)+SWITCH(COUNTIF(P$4:P54,""Cursor_up""),4,0.1,0)*(ROW(P54)-4-COUNTIF(P$4"&amp;":P54,""Cursor"")-COUNTIF(P$4:P54,""*""&amp;""_up"")-2*COUNTIF(P$4:P54,""Sell_""&amp;""*"")+COUNTIF(P$4:P54,""Sell_Cursor"")-COUNTIF(P$4:P54,"""")))+(COUNTIF(P$4:P54,""Grandma"")-COUNTIF(P$4:P54,""Sell_Grandma""))*(1*2^(COUNTIF(P$4:P54,""Grandma_up"")+COUNTIF(P$4:"&amp;"P54,""Super_up"")))+(COUNTIF(P$4:P54,""Farm"")-COUNTIF(P$4:P54,""Sell_Farm""))*(8*2^COUNTIF(P$4:P54,""Farm_up""))*IF(COUNTIF(P$4:P54,""Super_up"")&gt;0,1+0.01*(COUNTIF(P$4:P54,""Grandma"")-COUNTIF(P$4:P54,""Sell_Grandma"")),1)+(COUNTIF(P$4:P54,""Mine"")-COUN"&amp;"TIF(P$4:P54,""Sell_Mine""))*((47*2^COUNTIF(P$4:P54,""Mine_up""))*IF(COUNTIF(P$4:P54,""Super_up"")&gt;1,1+0.005*(COUNTIF(P$4:P54,""Grandma"")-COUNTIF(P$4:P54,""Sell_Grandma"")),1))+(COUNTIF(P$4:P54,""Factory"")-COUNTIF(P$4:P54,""Sell_Factory""))*(260*2^COUNTI"&amp;"F(P$4:P54,""Factory_up""))))"),196.0)</f>
        <v>196</v>
      </c>
      <c r="S54" s="73">
        <f>IFERROR(__xludf.DUMMYFUNCTION("IF(COUNTA(P54:P147)=0,"""",IF(REGEXMATCH(INDEX(FILTER(P$4:P54,P$4:P54&lt;&gt;""""),ROWS(FILTER(P$4:P54,P$4:P54&lt;&gt;""""))),""^Sell_""),INDEX(FILTER(S$4:S53,P$4:P53&lt;&gt;""""),ROWS(FILTER(P$4:P53,P$4:P53&lt;&gt;""""))),$AD$5*(2^SWITCH(COUNTIF(P$4:P54,""Cursor_up""),0,0,1,1,2"&amp;",2,3)+SWITCH(COUNTIF(P$4:P54,""Cursor_up""),4,0.1,0)*(ROW(P54)-4-COUNTIF(P$4:P54,""Cursor"")-COUNTIF(P$4:P54,""*""&amp;""_up"")-2*COUNTIF(P$4:P54,""Sell_""&amp;""*"")+COUNTIF(P$4:P54,""Sell_Cursor"")-COUNTIF(P$4:P54,""""))+0.01*R54*COUNTIF(P$4:P54,""Plastic_up"")"&amp;")+R54))"),316.0)</f>
        <v>316</v>
      </c>
      <c r="T54" s="14">
        <f>IFERROR(__xludf.DUMMYFUNCTION("IF(COUNTA(P54:P147)=0,"""",IF(REGEXMATCH(P54,""_up""),VLOOKUP(P54,Upgrades!$F$3:$J$8,1+COUNTIF(P$4:P54,P54),FALSE),IF(P54="""",0,IF(REGEXMATCH(P54,""^Sell_""),-ROUNDDOWN(ROUNDUP(INDEX(Upgrades!$C$3:$C$8,MATCH(SUBSTITUTE(P54,""Sell_"",""""),Upgrades!$B$3:$"&amp;"B$8,0))*1.15^(COUNTIF(P$4:P53,SUBSTITUTE(P54,""Sell_"",""""))-COUNTIF(P$4:P53,""Sell_""&amp;SUBSTITUTE(P54,""Sell_"",""""))))/4),ROUNDUP(INDEX(Upgrades!$C$3:$C$7,MATCH(P54,Upgrades!$B$3:$B$7,0))*1.15^(COUNTIF(P$4:P53,P54)-COUNTIF(P$4:P53,""Sell_""&amp;P54)))))))"),2545.0)</f>
        <v>2545</v>
      </c>
      <c r="U54" s="14">
        <f t="shared" si="10"/>
        <v>2545</v>
      </c>
      <c r="V54" s="75">
        <f t="shared" si="11"/>
        <v>551899.0007</v>
      </c>
      <c r="W54" s="76">
        <f t="shared" si="12"/>
        <v>335.3502845</v>
      </c>
      <c r="X54" s="71" t="str">
        <f t="shared" si="13"/>
        <v>5m 35s</v>
      </c>
      <c r="Y54" s="77">
        <f t="shared" si="14"/>
        <v>47837</v>
      </c>
      <c r="Z54" s="17"/>
      <c r="AA54" s="13"/>
      <c r="AB54" s="13"/>
      <c r="AC54" s="13"/>
      <c r="AD54" s="13"/>
      <c r="AE54" s="13"/>
      <c r="AF54" s="13"/>
      <c r="AG54" s="13"/>
    </row>
    <row r="55">
      <c r="A55" s="12"/>
      <c r="B55" s="65">
        <f t="shared" si="2"/>
        <v>8</v>
      </c>
      <c r="C55" s="66" t="s">
        <v>16</v>
      </c>
      <c r="D55" s="14" t="b">
        <f>IFERROR(__xludf.DUMMYFUNCTION("IF(COUNTA(C55:C147)=0,"""",IFERROR(IF(ISBLANK(C55),FALSE,IF(ISBLANK(G55),1,IF(NOT(COUNTIF($AA$24:$AA$34,SUBSTITUTE(C55,""Sell_"",""""))),1,IF(C55=""Plastic_up"",IF(I55&lt;1000,1),IF(C55=""Super_Up"",IF(OR(COUNTIF(C$4:C55,""Grandma"")-COUNTIF(C$4:C55,""Sell_G"&amp;"randma"")&lt;1,COUNTIF(C$4:C55,VLOOKUP(C55,Upgrades!$F$8:$N$8,7+COUNTIF(C$4:C55,C55)))-COUNTIF(C$4:C55,""Sell_""&amp;VLOOKUP(C55,Upgrades!$F$8:$N$8,7+COUNTIF(C$4:C55,C55)))&lt;15),1),IF(REGEXMATCH(C55,""_up""),IF(COUNTIF(C$4:C55,SUBSTITUTE(C55,""_up"",""""))&lt;IFERRO"&amp;"R(VLOOKUP(C55,Upgrades!$L$3:$P$6,1+COUNTIF(C$4:C55,C55),0),999),1),IF(REGEXMATCH(C55,""Sell_""),IF(COUNTIF(C$4:C55,SUBSTITUTE(C55,""Sell_"",""""))-COUNTIF(C$4:C54,C55)&lt;1,1),FALSE)))))))))"),FALSE)</f>
        <v>0</v>
      </c>
      <c r="E55" s="71">
        <f>IFERROR(__xludf.DUMMYFUNCTION("IF(REGEXMATCH(C55,""^Sell_""),E54, IF(COUNTA(C55:C147)=0,"""",(COUNTIF(C$4:C55,""Cursor"")-COUNTIF(C$4:C55,""Sell_Cursor""))*(0.1*2^SWITCH(COUNTIF(C$4:C55,""Cursor_up""),0,0,1,1,2,2,3)+SWITCH(COUNTIF(C$4:C55,""Cursor_up""),4,0.1,0)*(ROW(C55)-4-COUNTIF(C$4"&amp;":C55,""Cursor"")-COUNTIF(C$4:C55,""*""&amp;""_up"")-2*COUNTIF(C$4:C55,""Sell_""&amp;""*"")+COUNTIF(C$4:C55,""Sell_Cursor"")-COUNTIF(C$4:C55,"""")))+(COUNTIF(C$4:C55,""Grandma"")-COUNTIF(C$4:C55,""Sell_Grandma""))*(1*2^(COUNTIF(C$4:C55,""Grandma_up"")+COUNTIF(C$4:"&amp;"C55,""Super_up"")))+(COUNTIF(C$4:C55,""Farm"")-COUNTIF(C$4:C55,""Sell_Farm""))*(8*2^COUNTIF(C$4:C55,""Farm_up""))*IF(COUNTIF(C$4:C55,""Super_up"")&gt;0,1+0.01*(COUNTIF(C$4:C55,""Grandma"")-COUNTIF(C$4:C55,""Sell_Grandma"")),1)+(COUNTIF(C$4:C55,""Mine"")-COUN"&amp;"TIF(C$4:C55,""Sell_Mine""))*((47*2^COUNTIF(C$4:C55,""Mine_up""))*IF(COUNTIF(C$4:C55,""Super_up"")&gt;1,1+0.005*(COUNTIF(C$4:C55,""Grandma"")-COUNTIF(C$4:C55,""Sell_Grandma"")),1))+(COUNTIF(C$4:C55,""Factory"")-COUNTIF(C$4:C55,""Sell_Factory""))*(260*2^COUNTI"&amp;"F(C$4:C55,""Factory_up""))))"),212.0)</f>
        <v>212</v>
      </c>
      <c r="F55" s="73">
        <f>IFERROR(__xludf.DUMMYFUNCTION("IF(COUNTA(C55:C147)=0,"""",IF(REGEXMATCH(INDEX(FILTER(C$4:C55,C$4:C55&lt;&gt;""""),ROWS(FILTER(C$4:C55,C$4:C55&lt;&gt;""""))),""^Sell_""),INDEX(FILTER(F$4:F54,C$4:C54&lt;&gt;""""),ROWS(FILTER(C$4:C54,C$4:C54&lt;&gt;""""))),$AC$5*(2^SWITCH(COUNTIF(C$4:C55,""Cursor_up""),0,0,1,1,2"&amp;",2,3)+SWITCH(COUNTIF(C$4:C55,""Cursor_up""),4,0.1,0)*(ROW(C55)-4-COUNTIF(C$4:C55,""Cursor"")-COUNTIF(C$4:C55,""*""&amp;""_up"")-2*COUNTIF(C$4:C55,""Sell_""&amp;""*"")+COUNTIF(C$4:C55,""Sell_Cursor"")-COUNTIF(C$4:C55,""""))+0.01*E55*COUNTIF(C$4:C55,""Plastic_up"")"&amp;")+E55))"),332.0)</f>
        <v>332</v>
      </c>
      <c r="G55" s="14">
        <f>IFERROR(__xludf.DUMMYFUNCTION("IF(COUNTA(C55:C147)=0,"""",IF(REGEXMATCH(C55,""_up""),VLOOKUP(C55,Upgrades!$F$3:$J$8,1+COUNTIF(C$4:C55,C55),FALSE),IF(C55="""",0,IF(REGEXMATCH(C55,""^Sell_""),-ROUNDDOWN(ROUNDUP(INDEX(Upgrades!$C$3:$C$8,MATCH(SUBSTITUTE(C55,""Sell_"",""""),Upgrades!$B$3:$"&amp;"B$8,0))*1.15^(COUNTIF(C$4:C54,SUBSTITUTE(C55,""Sell_"",""""))-COUNTIF(C$4:C54,""Sell_""&amp;SUBSTITUTE(C55,""Sell_"",""""))))/4),ROUNDUP(INDEX(Upgrades!$C$3:$C$7,MATCH(C55,Upgrades!$B$3:$B$7,0))*1.15^(COUNTIF(C$4:C54,C55)-COUNTIF(C$4:C54,""Sell_""&amp;C55)))))))"),2927.0)</f>
        <v>2927</v>
      </c>
      <c r="H55" s="14">
        <f t="shared" si="3"/>
        <v>2927</v>
      </c>
      <c r="I55" s="75">
        <f t="shared" si="4"/>
        <v>593252.5538</v>
      </c>
      <c r="J55" s="76">
        <f t="shared" si="5"/>
        <v>344.6129427</v>
      </c>
      <c r="K55" s="71" t="str">
        <f t="shared" si="6"/>
        <v>5m 44s</v>
      </c>
      <c r="L55" s="77">
        <f t="shared" si="7"/>
        <v>50764</v>
      </c>
      <c r="M55" s="51">
        <f t="shared" si="8"/>
        <v>0</v>
      </c>
      <c r="N55" s="52">
        <f>IFERROR(__xludf.DUMMYFUNCTION("IFS(AND(COUNTA(C55:C147)=0,COUNTA(P55:P147)=0),"""",OR(AND(L55&gt;=1000000,OR(Y55&gt;=1000000,COUNTA(P55:P147)=0)),AND(Y55&gt;=1000000,COUNTA(C55:C147)=0),AND(COUNTA(P55:P147)=0,O$3=TRUE)),
ROUNDDOWN((AB$1-AC$1)*MAX(INDEX(S$4:S147,MATCH(LARGE(FILTER(Y$4:Y147,Y$4:Y"&amp;"147&lt;1000000),1),Y$4:Y147)),INDEX(F$4:F147,MATCH(LARGE(FILTER(L$4:L147,L$4:L147&lt;1000000),1),L$4:L147)))),AND(L55&lt;1000000,COUNTA(C55:C147)&gt;0,O$3=FALSE),
ROUNDDOWN(INDEX(Y$4:Y147,MATCH(LARGE(FILTER(W$4:W147,W$4:W147&lt;=J55),1),W$4:W147))+(J55-LARGE(FILTER(W$4:"&amp;"W147,W$4:W147&lt;=J55),1))*INDEX(S$4:S147,MATCH(LARGE(FILTER(W$4:W147,W$4:W147&lt;=J55),1),W$4:W147))-L55),1,
ROUNDDOWN(Y55-INDEX(L$4:L147,MATCH(LARGE(FILTER(J$4:J147,J$4:J147&lt;=W55),1),J$4:J147))-(W55-LARGE(FILTER(J$4:J147,J$4:J147&lt;=W55),1))*INDEX(F$4:F147,MATC"&amp;"H(LARGE(FILTER(J$4:J147,J$4:J147&lt;=W55),1),J$4:J147))))"),0.0)</f>
        <v>0</v>
      </c>
      <c r="O55" s="65">
        <f t="shared" si="9"/>
        <v>8</v>
      </c>
      <c r="P55" s="66" t="s">
        <v>16</v>
      </c>
      <c r="Q55" s="14" t="b">
        <f>IFERROR(__xludf.DUMMYFUNCTION("IF(COUNTA(P55:P147)=0,"""",IFERROR(IF(ISBLANK(P55),FALSE,IF(ISBLANK(T55),1,IF(NOT(COUNTIF($AA$24:$AA$34,SUBSTITUTE(P55,""Sell_"",""""))),1,IF(P55=""Plastic_up"",IF(V55&lt;1000,1),IF(P55=""Super_Up"",IF(OR(COUNTIF(P$4:P55,""Grandma"")-COUNTIF(P$4:P55,""Sell_G"&amp;"randma"")&lt;1,COUNTIF(P$4:P55,VLOOKUP(P55,Upgrades!$F$8:$N$8,7+COUNTIF(P$4:P55,P55)))-COUNTIF(P$4:P55,""Sell_""&amp;VLOOKUP(P55,Upgrades!$F$8:$N$8,7+COUNTIF(P$4:P55,P55)))&lt;15),1),IF(REGEXMATCH(P55,""_up""),IF(COUNTIF(P$4:P55,SUBSTITUTE(P55,""_up"",""""))&lt;IFERRO"&amp;"R(VLOOKUP(P55,Upgrades!$L$3:$P$6,1+COUNTIF(P$4:P55,P55),0),999),1),IF(REGEXMATCH(P55,""Sell_""),IF(COUNTIF(P$4:P55,SUBSTITUTE(P55,""Sell_"",""""))-COUNTIF(P$4:P54,P55)&lt;1,1),FALSE)))))))))"),FALSE)</f>
        <v>0</v>
      </c>
      <c r="R55" s="71">
        <f>IFERROR(__xludf.DUMMYFUNCTION("IF(REGEXMATCH(P55,""^Sell_""),R54, IF(COUNTA(P55:P147)=0,"""",(COUNTIF(P$4:P55,""Cursor"")-COUNTIF(P$4:P55,""Sell_Cursor""))*(0.1*2^SWITCH(COUNTIF(P$4:P55,""Cursor_up""),0,0,1,1,2,2,3)+SWITCH(COUNTIF(P$4:P55,""Cursor_up""),4,0.1,0)*(ROW(P55)-4-COUNTIF(P$4"&amp;":P55,""Cursor"")-COUNTIF(P$4:P55,""*""&amp;""_up"")-2*COUNTIF(P$4:P55,""Sell_""&amp;""*"")+COUNTIF(P$4:P55,""Sell_Cursor"")-COUNTIF(P$4:P55,"""")))+(COUNTIF(P$4:P55,""Grandma"")-COUNTIF(P$4:P55,""Sell_Grandma""))*(1*2^(COUNTIF(P$4:P55,""Grandma_up"")+COUNTIF(P$4:"&amp;"P55,""Super_up"")))+(COUNTIF(P$4:P55,""Farm"")-COUNTIF(P$4:P55,""Sell_Farm""))*(8*2^COUNTIF(P$4:P55,""Farm_up""))*IF(COUNTIF(P$4:P55,""Super_up"")&gt;0,1+0.01*(COUNTIF(P$4:P55,""Grandma"")-COUNTIF(P$4:P55,""Sell_Grandma"")),1)+(COUNTIF(P$4:P55,""Mine"")-COUN"&amp;"TIF(P$4:P55,""Sell_Mine""))*((47*2^COUNTIF(P$4:P55,""Mine_up""))*IF(COUNTIF(P$4:P55,""Super_up"")&gt;1,1+0.005*(COUNTIF(P$4:P55,""Grandma"")-COUNTIF(P$4:P55,""Sell_Grandma"")),1))+(COUNTIF(P$4:P55,""Factory"")-COUNTIF(P$4:P55,""Sell_Factory""))*(260*2^COUNTI"&amp;"F(P$4:P55,""Factory_up""))))"),212.0)</f>
        <v>212</v>
      </c>
      <c r="S55" s="73">
        <f>IFERROR(__xludf.DUMMYFUNCTION("IF(COUNTA(P55:P147)=0,"""",IF(REGEXMATCH(INDEX(FILTER(P$4:P55,P$4:P55&lt;&gt;""""),ROWS(FILTER(P$4:P55,P$4:P55&lt;&gt;""""))),""^Sell_""),INDEX(FILTER(S$4:S54,P$4:P54&lt;&gt;""""),ROWS(FILTER(P$4:P54,P$4:P54&lt;&gt;""""))),$AD$5*(2^SWITCH(COUNTIF(P$4:P55,""Cursor_up""),0,0,1,1,2"&amp;",2,3)+SWITCH(COUNTIF(P$4:P55,""Cursor_up""),4,0.1,0)*(ROW(P55)-4-COUNTIF(P$4:P55,""Cursor"")-COUNTIF(P$4:P55,""*""&amp;""_up"")-2*COUNTIF(P$4:P55,""Sell_""&amp;""*"")+COUNTIF(P$4:P55,""Sell_Cursor"")-COUNTIF(P$4:P55,""""))+0.01*R55*COUNTIF(P$4:P55,""Plastic_up"")"&amp;")+R55))"),332.0)</f>
        <v>332</v>
      </c>
      <c r="T55" s="14">
        <f>IFERROR(__xludf.DUMMYFUNCTION("IF(COUNTA(P55:P147)=0,"""",IF(REGEXMATCH(P55,""_up""),VLOOKUP(P55,Upgrades!$F$3:$J$8,1+COUNTIF(P$4:P55,P55),FALSE),IF(P55="""",0,IF(REGEXMATCH(P55,""^Sell_""),-ROUNDDOWN(ROUNDUP(INDEX(Upgrades!$C$3:$C$8,MATCH(SUBSTITUTE(P55,""Sell_"",""""),Upgrades!$B$3:$"&amp;"B$8,0))*1.15^(COUNTIF(P$4:P54,SUBSTITUTE(P55,""Sell_"",""""))-COUNTIF(P$4:P54,""Sell_""&amp;SUBSTITUTE(P55,""Sell_"",""""))))/4),ROUNDUP(INDEX(Upgrades!$C$3:$C$7,MATCH(P55,Upgrades!$B$3:$B$7,0))*1.15^(COUNTIF(P$4:P54,P55)-COUNTIF(P$4:P54,""Sell_""&amp;P55)))))))"),2927.0)</f>
        <v>2927</v>
      </c>
      <c r="U55" s="14">
        <f t="shared" si="10"/>
        <v>2927</v>
      </c>
      <c r="V55" s="75">
        <f t="shared" si="11"/>
        <v>593252.5538</v>
      </c>
      <c r="W55" s="76">
        <f t="shared" si="12"/>
        <v>344.6129427</v>
      </c>
      <c r="X55" s="71" t="str">
        <f t="shared" si="13"/>
        <v>5m 44s</v>
      </c>
      <c r="Y55" s="77">
        <f t="shared" si="14"/>
        <v>50764</v>
      </c>
      <c r="Z55" s="17"/>
      <c r="AA55" s="13"/>
      <c r="AB55" s="13"/>
      <c r="AC55" s="13"/>
      <c r="AD55" s="13"/>
      <c r="AE55" s="13"/>
      <c r="AF55" s="13"/>
      <c r="AG55" s="13"/>
    </row>
    <row r="56">
      <c r="A56" s="12"/>
      <c r="B56" s="65">
        <f t="shared" si="2"/>
        <v>9</v>
      </c>
      <c r="C56" s="66" t="s">
        <v>16</v>
      </c>
      <c r="D56" s="14" t="b">
        <f>IFERROR(__xludf.DUMMYFUNCTION("IF(COUNTA(C56:C147)=0,"""",IFERROR(IF(ISBLANK(C56),FALSE,IF(ISBLANK(G56),1,IF(NOT(COUNTIF($AA$24:$AA$34,SUBSTITUTE(C56,""Sell_"",""""))),1,IF(C56=""Plastic_up"",IF(I56&lt;1000,1),IF(C56=""Super_Up"",IF(OR(COUNTIF(C$4:C56,""Grandma"")-COUNTIF(C$4:C56,""Sell_G"&amp;"randma"")&lt;1,COUNTIF(C$4:C56,VLOOKUP(C56,Upgrades!$F$8:$N$8,7+COUNTIF(C$4:C56,C56)))-COUNTIF(C$4:C56,""Sell_""&amp;VLOOKUP(C56,Upgrades!$F$8:$N$8,7+COUNTIF(C$4:C56,C56)))&lt;15),1),IF(REGEXMATCH(C56,""_up""),IF(COUNTIF(C$4:C56,SUBSTITUTE(C56,""_up"",""""))&lt;IFERRO"&amp;"R(VLOOKUP(C56,Upgrades!$L$3:$P$6,1+COUNTIF(C$4:C56,C56),0),999),1),IF(REGEXMATCH(C56,""Sell_""),IF(COUNTIF(C$4:C56,SUBSTITUTE(C56,""Sell_"",""""))-COUNTIF(C$4:C55,C56)&lt;1,1),FALSE)))))))))"),FALSE)</f>
        <v>0</v>
      </c>
      <c r="E56" s="71">
        <f>IFERROR(__xludf.DUMMYFUNCTION("IF(REGEXMATCH(C56,""^Sell_""),E55, IF(COUNTA(C56:C147)=0,"""",(COUNTIF(C$4:C56,""Cursor"")-COUNTIF(C$4:C56,""Sell_Cursor""))*(0.1*2^SWITCH(COUNTIF(C$4:C56,""Cursor_up""),0,0,1,1,2,2,3)+SWITCH(COUNTIF(C$4:C56,""Cursor_up""),4,0.1,0)*(ROW(C56)-4-COUNTIF(C$4"&amp;":C56,""Cursor"")-COUNTIF(C$4:C56,""*""&amp;""_up"")-2*COUNTIF(C$4:C56,""Sell_""&amp;""*"")+COUNTIF(C$4:C56,""Sell_Cursor"")-COUNTIF(C$4:C56,"""")))+(COUNTIF(C$4:C56,""Grandma"")-COUNTIF(C$4:C56,""Sell_Grandma""))*(1*2^(COUNTIF(C$4:C56,""Grandma_up"")+COUNTIF(C$4:"&amp;"C56,""Super_up"")))+(COUNTIF(C$4:C56,""Farm"")-COUNTIF(C$4:C56,""Sell_Farm""))*(8*2^COUNTIF(C$4:C56,""Farm_up""))*IF(COUNTIF(C$4:C56,""Super_up"")&gt;0,1+0.01*(COUNTIF(C$4:C56,""Grandma"")-COUNTIF(C$4:C56,""Sell_Grandma"")),1)+(COUNTIF(C$4:C56,""Mine"")-COUN"&amp;"TIF(C$4:C56,""Sell_Mine""))*((47*2^COUNTIF(C$4:C56,""Mine_up""))*IF(COUNTIF(C$4:C56,""Super_up"")&gt;1,1+0.005*(COUNTIF(C$4:C56,""Grandma"")-COUNTIF(C$4:C56,""Sell_Grandma"")),1))+(COUNTIF(C$4:C56,""Factory"")-COUNTIF(C$4:C56,""Sell_Factory""))*(260*2^COUNTI"&amp;"F(C$4:C56,""Factory_up""))))"),228.0)</f>
        <v>228</v>
      </c>
      <c r="F56" s="73">
        <f>IFERROR(__xludf.DUMMYFUNCTION("IF(COUNTA(C56:C147)=0,"""",IF(REGEXMATCH(INDEX(FILTER(C$4:C56,C$4:C56&lt;&gt;""""),ROWS(FILTER(C$4:C56,C$4:C56&lt;&gt;""""))),""^Sell_""),INDEX(FILTER(F$4:F55,C$4:C55&lt;&gt;""""),ROWS(FILTER(C$4:C55,C$4:C55&lt;&gt;""""))),$AC$5*(2^SWITCH(COUNTIF(C$4:C56,""Cursor_up""),0,0,1,1,2"&amp;",2,3)+SWITCH(COUNTIF(C$4:C56,""Cursor_up""),4,0.1,0)*(ROW(C56)-4-COUNTIF(C$4:C56,""Cursor"")-COUNTIF(C$4:C56,""*""&amp;""_up"")-2*COUNTIF(C$4:C56,""Sell_""&amp;""*"")+COUNTIF(C$4:C56,""Sell_Cursor"")-COUNTIF(C$4:C56,""""))+0.01*E56*COUNTIF(C$4:C56,""Plastic_up"")"&amp;")+E56))"),348.0)</f>
        <v>348</v>
      </c>
      <c r="G56" s="14">
        <f>IFERROR(__xludf.DUMMYFUNCTION("IF(COUNTA(C56:C147)=0,"""",IF(REGEXMATCH(C56,""_up""),VLOOKUP(C56,Upgrades!$F$3:$J$8,1+COUNTIF(C$4:C56,C56),FALSE),IF(C56="""",0,IF(REGEXMATCH(C56,""^Sell_""),-ROUNDDOWN(ROUNDUP(INDEX(Upgrades!$C$3:$C$8,MATCH(SUBSTITUTE(C56,""Sell_"",""""),Upgrades!$B$3:$"&amp;"B$8,0))*1.15^(COUNTIF(C$4:C55,SUBSTITUTE(C56,""Sell_"",""""))-COUNTIF(C$4:C55,""Sell_""&amp;SUBSTITUTE(C56,""Sell_"",""""))))/4),ROUNDUP(INDEX(Upgrades!$C$3:$C$7,MATCH(C56,Upgrades!$B$3:$B$7,0))*1.15^(COUNTIF(C$4:C55,C56)-COUNTIF(C$4:C55,""Sell_""&amp;C56)))))))"),3365.0)</f>
        <v>3365</v>
      </c>
      <c r="H56" s="14">
        <f t="shared" si="3"/>
        <v>3365</v>
      </c>
      <c r="I56" s="75">
        <f t="shared" si="4"/>
        <v>635822.372</v>
      </c>
      <c r="J56" s="76">
        <f t="shared" si="5"/>
        <v>354.7484849</v>
      </c>
      <c r="K56" s="71" t="str">
        <f t="shared" si="6"/>
        <v>5m 54s</v>
      </c>
      <c r="L56" s="77">
        <f t="shared" si="7"/>
        <v>54129</v>
      </c>
      <c r="M56" s="51">
        <f t="shared" si="8"/>
        <v>0</v>
      </c>
      <c r="N56" s="52">
        <f>IFERROR(__xludf.DUMMYFUNCTION("IFS(AND(COUNTA(C56:C147)=0,COUNTA(P56:P147)=0),"""",OR(AND(L56&gt;=1000000,OR(Y56&gt;=1000000,COUNTA(P56:P147)=0)),AND(Y56&gt;=1000000,COUNTA(C56:C147)=0),AND(COUNTA(P56:P147)=0,O$3=TRUE)),
ROUNDDOWN((AB$1-AC$1)*MAX(INDEX(S$4:S147,MATCH(LARGE(FILTER(Y$4:Y147,Y$4:Y"&amp;"147&lt;1000000),1),Y$4:Y147)),INDEX(F$4:F147,MATCH(LARGE(FILTER(L$4:L147,L$4:L147&lt;1000000),1),L$4:L147)))),AND(L56&lt;1000000,COUNTA(C56:C147)&gt;0,O$3=FALSE),
ROUNDDOWN(INDEX(Y$4:Y147,MATCH(LARGE(FILTER(W$4:W147,W$4:W147&lt;=J56),1),W$4:W147))+(J56-LARGE(FILTER(W$4:"&amp;"W147,W$4:W147&lt;=J56),1))*INDEX(S$4:S147,MATCH(LARGE(FILTER(W$4:W147,W$4:W147&lt;=J56),1),W$4:W147))-L56),1,
ROUNDDOWN(Y56-INDEX(L$4:L147,MATCH(LARGE(FILTER(J$4:J147,J$4:J147&lt;=W56),1),J$4:J147))-(W56-LARGE(FILTER(J$4:J147,J$4:J147&lt;=W56),1))*INDEX(F$4:F147,MATC"&amp;"H(LARGE(FILTER(J$4:J147,J$4:J147&lt;=W56),1),J$4:J147))))"),0.0)</f>
        <v>0</v>
      </c>
      <c r="O56" s="65">
        <f t="shared" si="9"/>
        <v>9</v>
      </c>
      <c r="P56" s="66" t="s">
        <v>16</v>
      </c>
      <c r="Q56" s="14" t="b">
        <f>IFERROR(__xludf.DUMMYFUNCTION("IF(COUNTA(P56:P147)=0,"""",IFERROR(IF(ISBLANK(P56),FALSE,IF(ISBLANK(T56),1,IF(NOT(COUNTIF($AA$24:$AA$34,SUBSTITUTE(P56,""Sell_"",""""))),1,IF(P56=""Plastic_up"",IF(V56&lt;1000,1),IF(P56=""Super_Up"",IF(OR(COUNTIF(P$4:P56,""Grandma"")-COUNTIF(P$4:P56,""Sell_G"&amp;"randma"")&lt;1,COUNTIF(P$4:P56,VLOOKUP(P56,Upgrades!$F$8:$N$8,7+COUNTIF(P$4:P56,P56)))-COUNTIF(P$4:P56,""Sell_""&amp;VLOOKUP(P56,Upgrades!$F$8:$N$8,7+COUNTIF(P$4:P56,P56)))&lt;15),1),IF(REGEXMATCH(P56,""_up""),IF(COUNTIF(P$4:P56,SUBSTITUTE(P56,""_up"",""""))&lt;IFERRO"&amp;"R(VLOOKUP(P56,Upgrades!$L$3:$P$6,1+COUNTIF(P$4:P56,P56),0),999),1),IF(REGEXMATCH(P56,""Sell_""),IF(COUNTIF(P$4:P56,SUBSTITUTE(P56,""Sell_"",""""))-COUNTIF(P$4:P55,P56)&lt;1,1),FALSE)))))))))"),FALSE)</f>
        <v>0</v>
      </c>
      <c r="R56" s="71">
        <f>IFERROR(__xludf.DUMMYFUNCTION("IF(REGEXMATCH(P56,""^Sell_""),R55, IF(COUNTA(P56:P147)=0,"""",(COUNTIF(P$4:P56,""Cursor"")-COUNTIF(P$4:P56,""Sell_Cursor""))*(0.1*2^SWITCH(COUNTIF(P$4:P56,""Cursor_up""),0,0,1,1,2,2,3)+SWITCH(COUNTIF(P$4:P56,""Cursor_up""),4,0.1,0)*(ROW(P56)-4-COUNTIF(P$4"&amp;":P56,""Cursor"")-COUNTIF(P$4:P56,""*""&amp;""_up"")-2*COUNTIF(P$4:P56,""Sell_""&amp;""*"")+COUNTIF(P$4:P56,""Sell_Cursor"")-COUNTIF(P$4:P56,"""")))+(COUNTIF(P$4:P56,""Grandma"")-COUNTIF(P$4:P56,""Sell_Grandma""))*(1*2^(COUNTIF(P$4:P56,""Grandma_up"")+COUNTIF(P$4:"&amp;"P56,""Super_up"")))+(COUNTIF(P$4:P56,""Farm"")-COUNTIF(P$4:P56,""Sell_Farm""))*(8*2^COUNTIF(P$4:P56,""Farm_up""))*IF(COUNTIF(P$4:P56,""Super_up"")&gt;0,1+0.01*(COUNTIF(P$4:P56,""Grandma"")-COUNTIF(P$4:P56,""Sell_Grandma"")),1)+(COUNTIF(P$4:P56,""Mine"")-COUN"&amp;"TIF(P$4:P56,""Sell_Mine""))*((47*2^COUNTIF(P$4:P56,""Mine_up""))*IF(COUNTIF(P$4:P56,""Super_up"")&gt;1,1+0.005*(COUNTIF(P$4:P56,""Grandma"")-COUNTIF(P$4:P56,""Sell_Grandma"")),1))+(COUNTIF(P$4:P56,""Factory"")-COUNTIF(P$4:P56,""Sell_Factory""))*(260*2^COUNTI"&amp;"F(P$4:P56,""Factory_up""))))"),228.0)</f>
        <v>228</v>
      </c>
      <c r="S56" s="73">
        <f>IFERROR(__xludf.DUMMYFUNCTION("IF(COUNTA(P56:P147)=0,"""",IF(REGEXMATCH(INDEX(FILTER(P$4:P56,P$4:P56&lt;&gt;""""),ROWS(FILTER(P$4:P56,P$4:P56&lt;&gt;""""))),""^Sell_""),INDEX(FILTER(S$4:S55,P$4:P55&lt;&gt;""""),ROWS(FILTER(P$4:P55,P$4:P55&lt;&gt;""""))),$AD$5*(2^SWITCH(COUNTIF(P$4:P56,""Cursor_up""),0,0,1,1,2"&amp;",2,3)+SWITCH(COUNTIF(P$4:P56,""Cursor_up""),4,0.1,0)*(ROW(P56)-4-COUNTIF(P$4:P56,""Cursor"")-COUNTIF(P$4:P56,""*""&amp;""_up"")-2*COUNTIF(P$4:P56,""Sell_""&amp;""*"")+COUNTIF(P$4:P56,""Sell_Cursor"")-COUNTIF(P$4:P56,""""))+0.01*R56*COUNTIF(P$4:P56,""Plastic_up"")"&amp;")+R56))"),348.0)</f>
        <v>348</v>
      </c>
      <c r="T56" s="14">
        <f>IFERROR(__xludf.DUMMYFUNCTION("IF(COUNTA(P56:P147)=0,"""",IF(REGEXMATCH(P56,""_up""),VLOOKUP(P56,Upgrades!$F$3:$J$8,1+COUNTIF(P$4:P56,P56),FALSE),IF(P56="""",0,IF(REGEXMATCH(P56,""^Sell_""),-ROUNDDOWN(ROUNDUP(INDEX(Upgrades!$C$3:$C$8,MATCH(SUBSTITUTE(P56,""Sell_"",""""),Upgrades!$B$3:$"&amp;"B$8,0))*1.15^(COUNTIF(P$4:P55,SUBSTITUTE(P56,""Sell_"",""""))-COUNTIF(P$4:P55,""Sell_""&amp;SUBSTITUTE(P56,""Sell_"",""""))))/4),ROUNDUP(INDEX(Upgrades!$C$3:$C$7,MATCH(P56,Upgrades!$B$3:$B$7,0))*1.15^(COUNTIF(P$4:P55,P56)-COUNTIF(P$4:P55,""Sell_""&amp;P56)))))))"),3365.0)</f>
        <v>3365</v>
      </c>
      <c r="U56" s="14">
        <f t="shared" si="10"/>
        <v>3365</v>
      </c>
      <c r="V56" s="75">
        <f t="shared" si="11"/>
        <v>635822.372</v>
      </c>
      <c r="W56" s="76">
        <f t="shared" si="12"/>
        <v>354.7484849</v>
      </c>
      <c r="X56" s="71" t="str">
        <f t="shared" si="13"/>
        <v>5m 54s</v>
      </c>
      <c r="Y56" s="77">
        <f t="shared" si="14"/>
        <v>54129</v>
      </c>
      <c r="Z56" s="17"/>
      <c r="AA56" s="13"/>
      <c r="AB56" s="13"/>
      <c r="AC56" s="13"/>
      <c r="AD56" s="13"/>
      <c r="AE56" s="13"/>
      <c r="AF56" s="13"/>
      <c r="AG56" s="13"/>
    </row>
    <row r="57">
      <c r="A57" s="12"/>
      <c r="B57" s="65">
        <f t="shared" si="2"/>
        <v>10</v>
      </c>
      <c r="C57" s="66" t="s">
        <v>16</v>
      </c>
      <c r="D57" s="14" t="b">
        <f>IFERROR(__xludf.DUMMYFUNCTION("IF(COUNTA(C57:C147)=0,"""",IFERROR(IF(ISBLANK(C57),FALSE,IF(ISBLANK(G57),1,IF(NOT(COUNTIF($AA$24:$AA$34,SUBSTITUTE(C57,""Sell_"",""""))),1,IF(C57=""Plastic_up"",IF(I57&lt;1000,1),IF(C57=""Super_Up"",IF(OR(COUNTIF(C$4:C57,""Grandma"")-COUNTIF(C$4:C57,""Sell_G"&amp;"randma"")&lt;1,COUNTIF(C$4:C57,VLOOKUP(C57,Upgrades!$F$8:$N$8,7+COUNTIF(C$4:C57,C57)))-COUNTIF(C$4:C57,""Sell_""&amp;VLOOKUP(C57,Upgrades!$F$8:$N$8,7+COUNTIF(C$4:C57,C57)))&lt;15),1),IF(REGEXMATCH(C57,""_up""),IF(COUNTIF(C$4:C57,SUBSTITUTE(C57,""_up"",""""))&lt;IFERRO"&amp;"R(VLOOKUP(C57,Upgrades!$L$3:$P$6,1+COUNTIF(C$4:C57,C57),0),999),1),IF(REGEXMATCH(C57,""Sell_""),IF(COUNTIF(C$4:C57,SUBSTITUTE(C57,""Sell_"",""""))-COUNTIF(C$4:C56,C57)&lt;1,1),FALSE)))))))))"),FALSE)</f>
        <v>0</v>
      </c>
      <c r="E57" s="71">
        <f>IFERROR(__xludf.DUMMYFUNCTION("IF(REGEXMATCH(C57,""^Sell_""),E56, IF(COUNTA(C57:C147)=0,"""",(COUNTIF(C$4:C57,""Cursor"")-COUNTIF(C$4:C57,""Sell_Cursor""))*(0.1*2^SWITCH(COUNTIF(C$4:C57,""Cursor_up""),0,0,1,1,2,2,3)+SWITCH(COUNTIF(C$4:C57,""Cursor_up""),4,0.1,0)*(ROW(C57)-4-COUNTIF(C$4"&amp;":C57,""Cursor"")-COUNTIF(C$4:C57,""*""&amp;""_up"")-2*COUNTIF(C$4:C57,""Sell_""&amp;""*"")+COUNTIF(C$4:C57,""Sell_Cursor"")-COUNTIF(C$4:C57,"""")))+(COUNTIF(C$4:C57,""Grandma"")-COUNTIF(C$4:C57,""Sell_Grandma""))*(1*2^(COUNTIF(C$4:C57,""Grandma_up"")+COUNTIF(C$4:"&amp;"C57,""Super_up"")))+(COUNTIF(C$4:C57,""Farm"")-COUNTIF(C$4:C57,""Sell_Farm""))*(8*2^COUNTIF(C$4:C57,""Farm_up""))*IF(COUNTIF(C$4:C57,""Super_up"")&gt;0,1+0.01*(COUNTIF(C$4:C57,""Grandma"")-COUNTIF(C$4:C57,""Sell_Grandma"")),1)+(COUNTIF(C$4:C57,""Mine"")-COUN"&amp;"TIF(C$4:C57,""Sell_Mine""))*((47*2^COUNTIF(C$4:C57,""Mine_up""))*IF(COUNTIF(C$4:C57,""Super_up"")&gt;1,1+0.005*(COUNTIF(C$4:C57,""Grandma"")-COUNTIF(C$4:C57,""Sell_Grandma"")),1))+(COUNTIF(C$4:C57,""Factory"")-COUNTIF(C$4:C57,""Sell_Factory""))*(260*2^COUNTI"&amp;"F(C$4:C57,""Factory_up""))))"),244.0)</f>
        <v>244</v>
      </c>
      <c r="F57" s="73">
        <f>IFERROR(__xludf.DUMMYFUNCTION("IF(COUNTA(C57:C147)=0,"""",IF(REGEXMATCH(INDEX(FILTER(C$4:C57,C$4:C57&lt;&gt;""""),ROWS(FILTER(C$4:C57,C$4:C57&lt;&gt;""""))),""^Sell_""),INDEX(FILTER(F$4:F56,C$4:C56&lt;&gt;""""),ROWS(FILTER(C$4:C56,C$4:C56&lt;&gt;""""))),$AC$5*(2^SWITCH(COUNTIF(C$4:C57,""Cursor_up""),0,0,1,1,2"&amp;",2,3)+SWITCH(COUNTIF(C$4:C57,""Cursor_up""),4,0.1,0)*(ROW(C57)-4-COUNTIF(C$4:C57,""Cursor"")-COUNTIF(C$4:C57,""*""&amp;""_up"")-2*COUNTIF(C$4:C57,""Sell_""&amp;""*"")+COUNTIF(C$4:C57,""Sell_Cursor"")-COUNTIF(C$4:C57,""""))+0.01*E57*COUNTIF(C$4:C57,""Plastic_up"")"&amp;")+E57))"),364.0)</f>
        <v>364</v>
      </c>
      <c r="G57" s="14">
        <f>IFERROR(__xludf.DUMMYFUNCTION("IF(COUNTA(C57:C147)=0,"""",IF(REGEXMATCH(C57,""_up""),VLOOKUP(C57,Upgrades!$F$3:$J$8,1+COUNTIF(C$4:C57,C57),FALSE),IF(C57="""",0,IF(REGEXMATCH(C57,""^Sell_""),-ROUNDDOWN(ROUNDUP(INDEX(Upgrades!$C$3:$C$8,MATCH(SUBSTITUTE(C57,""Sell_"",""""),Upgrades!$B$3:$"&amp;"B$8,0))*1.15^(COUNTIF(C$4:C56,SUBSTITUTE(C57,""Sell_"",""""))-COUNTIF(C$4:C56,""Sell_""&amp;SUBSTITUTE(C57,""Sell_"",""""))))/4),ROUNDUP(INDEX(Upgrades!$C$3:$C$7,MATCH(C57,Upgrades!$B$3:$B$7,0))*1.15^(COUNTIF(C$4:C56,C57)-COUNTIF(C$4:C56,""Sell_""&amp;C57)))))))"),3870.0)</f>
        <v>3870</v>
      </c>
      <c r="H57" s="14">
        <f t="shared" si="3"/>
        <v>3870</v>
      </c>
      <c r="I57" s="75">
        <f t="shared" si="4"/>
        <v>679726.673</v>
      </c>
      <c r="J57" s="76">
        <f t="shared" si="5"/>
        <v>365.8691745</v>
      </c>
      <c r="K57" s="71" t="str">
        <f t="shared" si="6"/>
        <v>6m 05s</v>
      </c>
      <c r="L57" s="77">
        <f t="shared" si="7"/>
        <v>57999</v>
      </c>
      <c r="M57" s="51">
        <f t="shared" si="8"/>
        <v>0</v>
      </c>
      <c r="N57" s="52">
        <f>IFERROR(__xludf.DUMMYFUNCTION("IFS(AND(COUNTA(C57:C147)=0,COUNTA(P57:P147)=0),"""",OR(AND(L57&gt;=1000000,OR(Y57&gt;=1000000,COUNTA(P57:P147)=0)),AND(Y57&gt;=1000000,COUNTA(C57:C147)=0),AND(COUNTA(P57:P147)=0,O$3=TRUE)),
ROUNDDOWN((AB$1-AC$1)*MAX(INDEX(S$4:S147,MATCH(LARGE(FILTER(Y$4:Y147,Y$4:Y"&amp;"147&lt;1000000),1),Y$4:Y147)),INDEX(F$4:F147,MATCH(LARGE(FILTER(L$4:L147,L$4:L147&lt;1000000),1),L$4:L147)))),AND(L57&lt;1000000,COUNTA(C57:C147)&gt;0,O$3=FALSE),
ROUNDDOWN(INDEX(Y$4:Y147,MATCH(LARGE(FILTER(W$4:W147,W$4:W147&lt;=J57),1),W$4:W147))+(J57-LARGE(FILTER(W$4:"&amp;"W147,W$4:W147&lt;=J57),1))*INDEX(S$4:S147,MATCH(LARGE(FILTER(W$4:W147,W$4:W147&lt;=J57),1),W$4:W147))-L57),1,
ROUNDDOWN(Y57-INDEX(L$4:L147,MATCH(LARGE(FILTER(J$4:J147,J$4:J147&lt;=W57),1),J$4:J147))-(W57-LARGE(FILTER(J$4:J147,J$4:J147&lt;=W57),1))*INDEX(F$4:F147,MATC"&amp;"H(LARGE(FILTER(J$4:J147,J$4:J147&lt;=W57),1),J$4:J147))))"),0.0)</f>
        <v>0</v>
      </c>
      <c r="O57" s="65">
        <f t="shared" si="9"/>
        <v>10</v>
      </c>
      <c r="P57" s="66" t="s">
        <v>16</v>
      </c>
      <c r="Q57" s="14" t="b">
        <f>IFERROR(__xludf.DUMMYFUNCTION("IF(COUNTA(P57:P147)=0,"""",IFERROR(IF(ISBLANK(P57),FALSE,IF(ISBLANK(T57),1,IF(NOT(COUNTIF($AA$24:$AA$34,SUBSTITUTE(P57,""Sell_"",""""))),1,IF(P57=""Plastic_up"",IF(V57&lt;1000,1),IF(P57=""Super_Up"",IF(OR(COUNTIF(P$4:P57,""Grandma"")-COUNTIF(P$4:P57,""Sell_G"&amp;"randma"")&lt;1,COUNTIF(P$4:P57,VLOOKUP(P57,Upgrades!$F$8:$N$8,7+COUNTIF(P$4:P57,P57)))-COUNTIF(P$4:P57,""Sell_""&amp;VLOOKUP(P57,Upgrades!$F$8:$N$8,7+COUNTIF(P$4:P57,P57)))&lt;15),1),IF(REGEXMATCH(P57,""_up""),IF(COUNTIF(P$4:P57,SUBSTITUTE(P57,""_up"",""""))&lt;IFERRO"&amp;"R(VLOOKUP(P57,Upgrades!$L$3:$P$6,1+COUNTIF(P$4:P57,P57),0),999),1),IF(REGEXMATCH(P57,""Sell_""),IF(COUNTIF(P$4:P57,SUBSTITUTE(P57,""Sell_"",""""))-COUNTIF(P$4:P56,P57)&lt;1,1),FALSE)))))))))"),FALSE)</f>
        <v>0</v>
      </c>
      <c r="R57" s="71">
        <f>IFERROR(__xludf.DUMMYFUNCTION("IF(REGEXMATCH(P57,""^Sell_""),R56, IF(COUNTA(P57:P147)=0,"""",(COUNTIF(P$4:P57,""Cursor"")-COUNTIF(P$4:P57,""Sell_Cursor""))*(0.1*2^SWITCH(COUNTIF(P$4:P57,""Cursor_up""),0,0,1,1,2,2,3)+SWITCH(COUNTIF(P$4:P57,""Cursor_up""),4,0.1,0)*(ROW(P57)-4-COUNTIF(P$4"&amp;":P57,""Cursor"")-COUNTIF(P$4:P57,""*""&amp;""_up"")-2*COUNTIF(P$4:P57,""Sell_""&amp;""*"")+COUNTIF(P$4:P57,""Sell_Cursor"")-COUNTIF(P$4:P57,"""")))+(COUNTIF(P$4:P57,""Grandma"")-COUNTIF(P$4:P57,""Sell_Grandma""))*(1*2^(COUNTIF(P$4:P57,""Grandma_up"")+COUNTIF(P$4:"&amp;"P57,""Super_up"")))+(COUNTIF(P$4:P57,""Farm"")-COUNTIF(P$4:P57,""Sell_Farm""))*(8*2^COUNTIF(P$4:P57,""Farm_up""))*IF(COUNTIF(P$4:P57,""Super_up"")&gt;0,1+0.01*(COUNTIF(P$4:P57,""Grandma"")-COUNTIF(P$4:P57,""Sell_Grandma"")),1)+(COUNTIF(P$4:P57,""Mine"")-COUN"&amp;"TIF(P$4:P57,""Sell_Mine""))*((47*2^COUNTIF(P$4:P57,""Mine_up""))*IF(COUNTIF(P$4:P57,""Super_up"")&gt;1,1+0.005*(COUNTIF(P$4:P57,""Grandma"")-COUNTIF(P$4:P57,""Sell_Grandma"")),1))+(COUNTIF(P$4:P57,""Factory"")-COUNTIF(P$4:P57,""Sell_Factory""))*(260*2^COUNTI"&amp;"F(P$4:P57,""Factory_up""))))"),244.0)</f>
        <v>244</v>
      </c>
      <c r="S57" s="73">
        <f>IFERROR(__xludf.DUMMYFUNCTION("IF(COUNTA(P57:P147)=0,"""",IF(REGEXMATCH(INDEX(FILTER(P$4:P57,P$4:P57&lt;&gt;""""),ROWS(FILTER(P$4:P57,P$4:P57&lt;&gt;""""))),""^Sell_""),INDEX(FILTER(S$4:S56,P$4:P56&lt;&gt;""""),ROWS(FILTER(P$4:P56,P$4:P56&lt;&gt;""""))),$AD$5*(2^SWITCH(COUNTIF(P$4:P57,""Cursor_up""),0,0,1,1,2"&amp;",2,3)+SWITCH(COUNTIF(P$4:P57,""Cursor_up""),4,0.1,0)*(ROW(P57)-4-COUNTIF(P$4:P57,""Cursor"")-COUNTIF(P$4:P57,""*""&amp;""_up"")-2*COUNTIF(P$4:P57,""Sell_""&amp;""*"")+COUNTIF(P$4:P57,""Sell_Cursor"")-COUNTIF(P$4:P57,""""))+0.01*R57*COUNTIF(P$4:P57,""Plastic_up"")"&amp;")+R57))"),364.0)</f>
        <v>364</v>
      </c>
      <c r="T57" s="14">
        <f>IFERROR(__xludf.DUMMYFUNCTION("IF(COUNTA(P57:P147)=0,"""",IF(REGEXMATCH(P57,""_up""),VLOOKUP(P57,Upgrades!$F$3:$J$8,1+COUNTIF(P$4:P57,P57),FALSE),IF(P57="""",0,IF(REGEXMATCH(P57,""^Sell_""),-ROUNDDOWN(ROUNDUP(INDEX(Upgrades!$C$3:$C$8,MATCH(SUBSTITUTE(P57,""Sell_"",""""),Upgrades!$B$3:$"&amp;"B$8,0))*1.15^(COUNTIF(P$4:P56,SUBSTITUTE(P57,""Sell_"",""""))-COUNTIF(P$4:P56,""Sell_""&amp;SUBSTITUTE(P57,""Sell_"",""""))))/4),ROUNDUP(INDEX(Upgrades!$C$3:$C$7,MATCH(P57,Upgrades!$B$3:$B$7,0))*1.15^(COUNTIF(P$4:P56,P57)-COUNTIF(P$4:P56,""Sell_""&amp;P57)))))))"),3870.0)</f>
        <v>3870</v>
      </c>
      <c r="U57" s="14">
        <f t="shared" si="10"/>
        <v>3870</v>
      </c>
      <c r="V57" s="75">
        <f t="shared" si="11"/>
        <v>679726.673</v>
      </c>
      <c r="W57" s="76">
        <f t="shared" si="12"/>
        <v>365.8691745</v>
      </c>
      <c r="X57" s="71" t="str">
        <f t="shared" si="13"/>
        <v>6m 05s</v>
      </c>
      <c r="Y57" s="77">
        <f t="shared" si="14"/>
        <v>57999</v>
      </c>
      <c r="Z57" s="17"/>
      <c r="AA57" s="13"/>
      <c r="AB57" s="13"/>
      <c r="AC57" s="13"/>
      <c r="AD57" s="13"/>
      <c r="AE57" s="13"/>
      <c r="AF57" s="13"/>
      <c r="AG57" s="13"/>
    </row>
    <row r="58">
      <c r="A58" s="12"/>
      <c r="B58" s="65">
        <f t="shared" si="2"/>
        <v>18</v>
      </c>
      <c r="C58" s="66" t="s">
        <v>13</v>
      </c>
      <c r="D58" s="14" t="b">
        <f>IFERROR(__xludf.DUMMYFUNCTION("IF(COUNTA(C58:C147)=0,"""",IFERROR(IF(ISBLANK(C58),FALSE,IF(ISBLANK(G58),1,IF(NOT(COUNTIF($AA$24:$AA$34,SUBSTITUTE(C58,""Sell_"",""""))),1,IF(C58=""Plastic_up"",IF(I58&lt;1000,1),IF(C58=""Super_Up"",IF(OR(COUNTIF(C$4:C58,""Grandma"")-COUNTIF(C$4:C58,""Sell_G"&amp;"randma"")&lt;1,COUNTIF(C$4:C58,VLOOKUP(C58,Upgrades!$F$8:$N$8,7+COUNTIF(C$4:C58,C58)))-COUNTIF(C$4:C58,""Sell_""&amp;VLOOKUP(C58,Upgrades!$F$8:$N$8,7+COUNTIF(C$4:C58,C58)))&lt;15),1),IF(REGEXMATCH(C58,""_up""),IF(COUNTIF(C$4:C58,SUBSTITUTE(C58,""_up"",""""))&lt;IFERRO"&amp;"R(VLOOKUP(C58,Upgrades!$L$3:$P$6,1+COUNTIF(C$4:C58,C58),0),999),1),IF(REGEXMATCH(C58,""Sell_""),IF(COUNTIF(C$4:C58,SUBSTITUTE(C58,""Sell_"",""""))-COUNTIF(C$4:C57,C58)&lt;1,1),FALSE)))))))))"),FALSE)</f>
        <v>0</v>
      </c>
      <c r="E58" s="71">
        <f>IFERROR(__xludf.DUMMYFUNCTION("IF(REGEXMATCH(C58,""^Sell_""),E57, IF(COUNTA(C58:C147)=0,"""",(COUNTIF(C$4:C58,""Cursor"")-COUNTIF(C$4:C58,""Sell_Cursor""))*(0.1*2^SWITCH(COUNTIF(C$4:C58,""Cursor_up""),0,0,1,1,2,2,3)+SWITCH(COUNTIF(C$4:C58,""Cursor_up""),4,0.1,0)*(ROW(C58)-4-COUNTIF(C$4"&amp;":C58,""Cursor"")-COUNTIF(C$4:C58,""*""&amp;""_up"")-2*COUNTIF(C$4:C58,""Sell_""&amp;""*"")+COUNTIF(C$4:C58,""Sell_Cursor"")-COUNTIF(C$4:C58,"""")))+(COUNTIF(C$4:C58,""Grandma"")-COUNTIF(C$4:C58,""Sell_Grandma""))*(1*2^(COUNTIF(C$4:C58,""Grandma_up"")+COUNTIF(C$4:"&amp;"C58,""Super_up"")))+(COUNTIF(C$4:C58,""Farm"")-COUNTIF(C$4:C58,""Sell_Farm""))*(8*2^COUNTIF(C$4:C58,""Farm_up""))*IF(COUNTIF(C$4:C58,""Super_up"")&gt;0,1+0.01*(COUNTIF(C$4:C58,""Grandma"")-COUNTIF(C$4:C58,""Sell_Grandma"")),1)+(COUNTIF(C$4:C58,""Mine"")-COUN"&amp;"TIF(C$4:C58,""Sell_Mine""))*((47*2^COUNTIF(C$4:C58,""Mine_up""))*IF(COUNTIF(C$4:C58,""Super_up"")&gt;1,1+0.005*(COUNTIF(C$4:C58,""Grandma"")-COUNTIF(C$4:C58,""Sell_Grandma"")),1))+(COUNTIF(C$4:C58,""Factory"")-COUNTIF(C$4:C58,""Sell_Factory""))*(260*2^COUNTI"&amp;"F(C$4:C58,""Factory_up""))))"),248.0)</f>
        <v>248</v>
      </c>
      <c r="F58" s="73">
        <f>IFERROR(__xludf.DUMMYFUNCTION("IF(COUNTA(C58:C147)=0,"""",IF(REGEXMATCH(INDEX(FILTER(C$4:C58,C$4:C58&lt;&gt;""""),ROWS(FILTER(C$4:C58,C$4:C58&lt;&gt;""""))),""^Sell_""),INDEX(FILTER(F$4:F57,C$4:C57&lt;&gt;""""),ROWS(FILTER(C$4:C57,C$4:C57&lt;&gt;""""))),$AC$5*(2^SWITCH(COUNTIF(C$4:C58,""Cursor_up""),0,0,1,1,2"&amp;",2,3)+SWITCH(COUNTIF(C$4:C58,""Cursor_up""),4,0.1,0)*(ROW(C58)-4-COUNTIF(C$4:C58,""Cursor"")-COUNTIF(C$4:C58,""*""&amp;""_up"")-2*COUNTIF(C$4:C58,""Sell_""&amp;""*"")+COUNTIF(C$4:C58,""Sell_Cursor"")-COUNTIF(C$4:C58,""""))+0.01*E58*COUNTIF(C$4:C58,""Plastic_up"")"&amp;")+E58))"),368.0)</f>
        <v>368</v>
      </c>
      <c r="G58" s="14">
        <f>IFERROR(__xludf.DUMMYFUNCTION("IF(COUNTA(C58:C147)=0,"""",IF(REGEXMATCH(C58,""_up""),VLOOKUP(C58,Upgrades!$F$3:$J$8,1+COUNTIF(C$4:C58,C58),FALSE),IF(C58="""",0,IF(REGEXMATCH(C58,""^Sell_""),-ROUNDDOWN(ROUNDUP(INDEX(Upgrades!$C$3:$C$8,MATCH(SUBSTITUTE(C58,""Sell_"",""""),Upgrades!$B$3:$"&amp;"B$8,0))*1.15^(COUNTIF(C$4:C57,SUBSTITUTE(C58,""Sell_"",""""))-COUNTIF(C$4:C57,""Sell_""&amp;SUBSTITUTE(C58,""Sell_"",""""))))/4),ROUNDUP(INDEX(Upgrades!$C$3:$C$7,MATCH(C58,Upgrades!$B$3:$B$7,0))*1.15^(COUNTIF(C$4:C57,C58)-COUNTIF(C$4:C57,""Sell_""&amp;C58)))))))"),1077.0)</f>
        <v>1077</v>
      </c>
      <c r="H58" s="14">
        <f t="shared" si="3"/>
        <v>1077</v>
      </c>
      <c r="I58" s="75">
        <f t="shared" si="4"/>
        <v>723986.0288</v>
      </c>
      <c r="J58" s="76">
        <f t="shared" si="5"/>
        <v>368.8279657</v>
      </c>
      <c r="K58" s="71" t="str">
        <f t="shared" si="6"/>
        <v>6m 08s</v>
      </c>
      <c r="L58" s="77">
        <f t="shared" si="7"/>
        <v>59076</v>
      </c>
      <c r="M58" s="51">
        <f t="shared" si="8"/>
        <v>0</v>
      </c>
      <c r="N58" s="52">
        <f>IFERROR(__xludf.DUMMYFUNCTION("IFS(AND(COUNTA(C58:C147)=0,COUNTA(P58:P147)=0),"""",OR(AND(L58&gt;=1000000,OR(Y58&gt;=1000000,COUNTA(P58:P147)=0)),AND(Y58&gt;=1000000,COUNTA(C58:C147)=0),AND(COUNTA(P58:P147)=0,O$3=TRUE)),
ROUNDDOWN((AB$1-AC$1)*MAX(INDEX(S$4:S147,MATCH(LARGE(FILTER(Y$4:Y147,Y$4:Y"&amp;"147&lt;1000000),1),Y$4:Y147)),INDEX(F$4:F147,MATCH(LARGE(FILTER(L$4:L147,L$4:L147&lt;1000000),1),L$4:L147)))),AND(L58&lt;1000000,COUNTA(C58:C147)&gt;0,O$3=FALSE),
ROUNDDOWN(INDEX(Y$4:Y147,MATCH(LARGE(FILTER(W$4:W147,W$4:W147&lt;=J58),1),W$4:W147))+(J58-LARGE(FILTER(W$4:"&amp;"W147,W$4:W147&lt;=J58),1))*INDEX(S$4:S147,MATCH(LARGE(FILTER(W$4:W147,W$4:W147&lt;=J58),1),W$4:W147))-L58),1,
ROUNDDOWN(Y58-INDEX(L$4:L147,MATCH(LARGE(FILTER(J$4:J147,J$4:J147&lt;=W58),1),J$4:J147))-(W58-LARGE(FILTER(J$4:J147,J$4:J147&lt;=W58),1))*INDEX(F$4:F147,MATC"&amp;"H(LARGE(FILTER(J$4:J147,J$4:J147&lt;=W58),1),J$4:J147))))"),0.0)</f>
        <v>0</v>
      </c>
      <c r="O58" s="65">
        <f t="shared" si="9"/>
        <v>18</v>
      </c>
      <c r="P58" s="66" t="s">
        <v>13</v>
      </c>
      <c r="Q58" s="14" t="b">
        <f>IFERROR(__xludf.DUMMYFUNCTION("IF(COUNTA(P58:P147)=0,"""",IFERROR(IF(ISBLANK(P58),FALSE,IF(ISBLANK(T58),1,IF(NOT(COUNTIF($AA$24:$AA$34,SUBSTITUTE(P58,""Sell_"",""""))),1,IF(P58=""Plastic_up"",IF(V58&lt;1000,1),IF(P58=""Super_Up"",IF(OR(COUNTIF(P$4:P58,""Grandma"")-COUNTIF(P$4:P58,""Sell_G"&amp;"randma"")&lt;1,COUNTIF(P$4:P58,VLOOKUP(P58,Upgrades!$F$8:$N$8,7+COUNTIF(P$4:P58,P58)))-COUNTIF(P$4:P58,""Sell_""&amp;VLOOKUP(P58,Upgrades!$F$8:$N$8,7+COUNTIF(P$4:P58,P58)))&lt;15),1),IF(REGEXMATCH(P58,""_up""),IF(COUNTIF(P$4:P58,SUBSTITUTE(P58,""_up"",""""))&lt;IFERRO"&amp;"R(VLOOKUP(P58,Upgrades!$L$3:$P$6,1+COUNTIF(P$4:P58,P58),0),999),1),IF(REGEXMATCH(P58,""Sell_""),IF(COUNTIF(P$4:P58,SUBSTITUTE(P58,""Sell_"",""""))-COUNTIF(P$4:P57,P58)&lt;1,1),FALSE)))))))))"),FALSE)</f>
        <v>0</v>
      </c>
      <c r="R58" s="71">
        <f>IFERROR(__xludf.DUMMYFUNCTION("IF(REGEXMATCH(P58,""^Sell_""),R57, IF(COUNTA(P58:P147)=0,"""",(COUNTIF(P$4:P58,""Cursor"")-COUNTIF(P$4:P58,""Sell_Cursor""))*(0.1*2^SWITCH(COUNTIF(P$4:P58,""Cursor_up""),0,0,1,1,2,2,3)+SWITCH(COUNTIF(P$4:P58,""Cursor_up""),4,0.1,0)*(ROW(P58)-4-COUNTIF(P$4"&amp;":P58,""Cursor"")-COUNTIF(P$4:P58,""*""&amp;""_up"")-2*COUNTIF(P$4:P58,""Sell_""&amp;""*"")+COUNTIF(P$4:P58,""Sell_Cursor"")-COUNTIF(P$4:P58,"""")))+(COUNTIF(P$4:P58,""Grandma"")-COUNTIF(P$4:P58,""Sell_Grandma""))*(1*2^(COUNTIF(P$4:P58,""Grandma_up"")+COUNTIF(P$4:"&amp;"P58,""Super_up"")))+(COUNTIF(P$4:P58,""Farm"")-COUNTIF(P$4:P58,""Sell_Farm""))*(8*2^COUNTIF(P$4:P58,""Farm_up""))*IF(COUNTIF(P$4:P58,""Super_up"")&gt;0,1+0.01*(COUNTIF(P$4:P58,""Grandma"")-COUNTIF(P$4:P58,""Sell_Grandma"")),1)+(COUNTIF(P$4:P58,""Mine"")-COUN"&amp;"TIF(P$4:P58,""Sell_Mine""))*((47*2^COUNTIF(P$4:P58,""Mine_up""))*IF(COUNTIF(P$4:P58,""Super_up"")&gt;1,1+0.005*(COUNTIF(P$4:P58,""Grandma"")-COUNTIF(P$4:P58,""Sell_Grandma"")),1))+(COUNTIF(P$4:P58,""Factory"")-COUNTIF(P$4:P58,""Sell_Factory""))*(260*2^COUNTI"&amp;"F(P$4:P58,""Factory_up""))))"),248.0)</f>
        <v>248</v>
      </c>
      <c r="S58" s="73">
        <f>IFERROR(__xludf.DUMMYFUNCTION("IF(COUNTA(P58:P147)=0,"""",IF(REGEXMATCH(INDEX(FILTER(P$4:P58,P$4:P58&lt;&gt;""""),ROWS(FILTER(P$4:P58,P$4:P58&lt;&gt;""""))),""^Sell_""),INDEX(FILTER(S$4:S57,P$4:P57&lt;&gt;""""),ROWS(FILTER(P$4:P57,P$4:P57&lt;&gt;""""))),$AD$5*(2^SWITCH(COUNTIF(P$4:P58,""Cursor_up""),0,0,1,1,2"&amp;",2,3)+SWITCH(COUNTIF(P$4:P58,""Cursor_up""),4,0.1,0)*(ROW(P58)-4-COUNTIF(P$4:P58,""Cursor"")-COUNTIF(P$4:P58,""*""&amp;""_up"")-2*COUNTIF(P$4:P58,""Sell_""&amp;""*"")+COUNTIF(P$4:P58,""Sell_Cursor"")-COUNTIF(P$4:P58,""""))+0.01*R58*COUNTIF(P$4:P58,""Plastic_up"")"&amp;")+R58))"),368.0)</f>
        <v>368</v>
      </c>
      <c r="T58" s="14">
        <f>IFERROR(__xludf.DUMMYFUNCTION("IF(COUNTA(P58:P147)=0,"""",IF(REGEXMATCH(P58,""_up""),VLOOKUP(P58,Upgrades!$F$3:$J$8,1+COUNTIF(P$4:P58,P58),FALSE),IF(P58="""",0,IF(REGEXMATCH(P58,""^Sell_""),-ROUNDDOWN(ROUNDUP(INDEX(Upgrades!$C$3:$C$8,MATCH(SUBSTITUTE(P58,""Sell_"",""""),Upgrades!$B$3:$"&amp;"B$8,0))*1.15^(COUNTIF(P$4:P57,SUBSTITUTE(P58,""Sell_"",""""))-COUNTIF(P$4:P57,""Sell_""&amp;SUBSTITUTE(P58,""Sell_"",""""))))/4),ROUNDUP(INDEX(Upgrades!$C$3:$C$7,MATCH(P58,Upgrades!$B$3:$B$7,0))*1.15^(COUNTIF(P$4:P57,P58)-COUNTIF(P$4:P57,""Sell_""&amp;P58)))))))"),1077.0)</f>
        <v>1077</v>
      </c>
      <c r="U58" s="14">
        <f t="shared" si="10"/>
        <v>1077</v>
      </c>
      <c r="V58" s="75">
        <f t="shared" si="11"/>
        <v>723986.0288</v>
      </c>
      <c r="W58" s="76">
        <f t="shared" si="12"/>
        <v>368.8279657</v>
      </c>
      <c r="X58" s="71" t="str">
        <f t="shared" si="13"/>
        <v>6m 08s</v>
      </c>
      <c r="Y58" s="77">
        <f t="shared" si="14"/>
        <v>59076</v>
      </c>
      <c r="Z58" s="17"/>
      <c r="AA58" s="13"/>
      <c r="AB58" s="13"/>
      <c r="AC58" s="13"/>
      <c r="AD58" s="13"/>
      <c r="AE58" s="13"/>
      <c r="AF58" s="13"/>
      <c r="AG58" s="13"/>
    </row>
    <row r="59">
      <c r="A59" s="12"/>
      <c r="B59" s="65">
        <f t="shared" si="2"/>
        <v>1</v>
      </c>
      <c r="C59" s="66" t="s">
        <v>18</v>
      </c>
      <c r="D59" s="14" t="b">
        <f>IFERROR(__xludf.DUMMYFUNCTION("IF(COUNTA(C59:C147)=0,"""",IFERROR(IF(ISBLANK(C59),FALSE,IF(ISBLANK(G59),1,IF(NOT(COUNTIF($AA$24:$AA$34,SUBSTITUTE(C59,""Sell_"",""""))),1,IF(C59=""Plastic_up"",IF(I59&lt;1000,1),IF(C59=""Super_Up"",IF(OR(COUNTIF(C$4:C59,""Grandma"")-COUNTIF(C$4:C59,""Sell_G"&amp;"randma"")&lt;1,COUNTIF(C$4:C59,VLOOKUP(C59,Upgrades!$F$8:$N$8,7+COUNTIF(C$4:C59,C59)))-COUNTIF(C$4:C59,""Sell_""&amp;VLOOKUP(C59,Upgrades!$F$8:$N$8,7+COUNTIF(C$4:C59,C59)))&lt;15),1),IF(REGEXMATCH(C59,""_up""),IF(COUNTIF(C$4:C59,SUBSTITUTE(C59,""_up"",""""))&lt;IFERRO"&amp;"R(VLOOKUP(C59,Upgrades!$L$3:$P$6,1+COUNTIF(C$4:C59,C59),0),999),1),IF(REGEXMATCH(C59,""Sell_""),IF(COUNTIF(C$4:C59,SUBSTITUTE(C59,""Sell_"",""""))-COUNTIF(C$4:C58,C59)&lt;1,1),FALSE)))))))))"),FALSE)</f>
        <v>0</v>
      </c>
      <c r="E59" s="71">
        <f>IFERROR(__xludf.DUMMYFUNCTION("IF(REGEXMATCH(C59,""^Sell_""),E58, IF(COUNTA(C59:C147)=0,"""",(COUNTIF(C$4:C59,""Cursor"")-COUNTIF(C$4:C59,""Sell_Cursor""))*(0.1*2^SWITCH(COUNTIF(C$4:C59,""Cursor_up""),0,0,1,1,2,2,3)+SWITCH(COUNTIF(C$4:C59,""Cursor_up""),4,0.1,0)*(ROW(C59)-4-COUNTIF(C$4"&amp;":C59,""Cursor"")-COUNTIF(C$4:C59,""*""&amp;""_up"")-2*COUNTIF(C$4:C59,""Sell_""&amp;""*"")+COUNTIF(C$4:C59,""Sell_Cursor"")-COUNTIF(C$4:C59,"""")))+(COUNTIF(C$4:C59,""Grandma"")-COUNTIF(C$4:C59,""Sell_Grandma""))*(1*2^(COUNTIF(C$4:C59,""Grandma_up"")+COUNTIF(C$4:"&amp;"C59,""Super_up"")))+(COUNTIF(C$4:C59,""Farm"")-COUNTIF(C$4:C59,""Sell_Farm""))*(8*2^COUNTIF(C$4:C59,""Farm_up""))*IF(COUNTIF(C$4:C59,""Super_up"")&gt;0,1+0.01*(COUNTIF(C$4:C59,""Grandma"")-COUNTIF(C$4:C59,""Sell_Grandma"")),1)+(COUNTIF(C$4:C59,""Mine"")-COUN"&amp;"TIF(C$4:C59,""Sell_Mine""))*((47*2^COUNTIF(C$4:C59,""Mine_up""))*IF(COUNTIF(C$4:C59,""Super_up"")&gt;1,1+0.005*(COUNTIF(C$4:C59,""Grandma"")-COUNTIF(C$4:C59,""Sell_Grandma"")),1))+(COUNTIF(C$4:C59,""Factory"")-COUNTIF(C$4:C59,""Sell_Factory""))*(260*2^COUNTI"&amp;"F(C$4:C59,""Factory_up""))))"),295.0)</f>
        <v>295</v>
      </c>
      <c r="F59" s="73">
        <f>IFERROR(__xludf.DUMMYFUNCTION("IF(COUNTA(C59:C147)=0,"""",IF(REGEXMATCH(INDEX(FILTER(C$4:C59,C$4:C59&lt;&gt;""""),ROWS(FILTER(C$4:C59,C$4:C59&lt;&gt;""""))),""^Sell_""),INDEX(FILTER(F$4:F58,C$4:C58&lt;&gt;""""),ROWS(FILTER(C$4:C58,C$4:C58&lt;&gt;""""))),$AC$5*(2^SWITCH(COUNTIF(C$4:C59,""Cursor_up""),0,0,1,1,2"&amp;",2,3)+SWITCH(COUNTIF(C$4:C59,""Cursor_up""),4,0.1,0)*(ROW(C59)-4-COUNTIF(C$4:C59,""Cursor"")-COUNTIF(C$4:C59,""*""&amp;""_up"")-2*COUNTIF(C$4:C59,""Sell_""&amp;""*"")+COUNTIF(C$4:C59,""Sell_Cursor"")-COUNTIF(C$4:C59,""""))+0.01*E59*COUNTIF(C$4:C59,""Plastic_up"")"&amp;")+E59))"),415.0)</f>
        <v>415</v>
      </c>
      <c r="G59" s="14">
        <f>IFERROR(__xludf.DUMMYFUNCTION("IF(COUNTA(C59:C147)=0,"""",IF(REGEXMATCH(C59,""_up""),VLOOKUP(C59,Upgrades!$F$3:$J$8,1+COUNTIF(C$4:C59,C59),FALSE),IF(C59="""",0,IF(REGEXMATCH(C59,""^Sell_""),-ROUNDDOWN(ROUNDUP(INDEX(Upgrades!$C$3:$C$8,MATCH(SUBSTITUTE(C59,""Sell_"",""""),Upgrades!$B$3:$"&amp;"B$8,0))*1.15^(COUNTIF(C$4:C58,SUBSTITUTE(C59,""Sell_"",""""))-COUNTIF(C$4:C58,""Sell_""&amp;SUBSTITUTE(C59,""Sell_"",""""))))/4),ROUNDUP(INDEX(Upgrades!$C$3:$C$7,MATCH(C59,Upgrades!$B$3:$B$7,0))*1.15^(COUNTIF(C$4:C58,C59)-COUNTIF(C$4:C58,""Sell_""&amp;C59)))))))"),12000.0)</f>
        <v>12000</v>
      </c>
      <c r="H59" s="14">
        <f t="shared" si="3"/>
        <v>12000</v>
      </c>
      <c r="I59" s="75">
        <f t="shared" si="4"/>
        <v>772158.4282</v>
      </c>
      <c r="J59" s="76">
        <f t="shared" si="5"/>
        <v>401.4366614</v>
      </c>
      <c r="K59" s="71" t="str">
        <f t="shared" si="6"/>
        <v>6m 41s</v>
      </c>
      <c r="L59" s="77">
        <f t="shared" si="7"/>
        <v>71076</v>
      </c>
      <c r="M59" s="51">
        <f t="shared" si="8"/>
        <v>0</v>
      </c>
      <c r="N59" s="52">
        <f>IFERROR(__xludf.DUMMYFUNCTION("IFS(AND(COUNTA(C59:C147)=0,COUNTA(P59:P147)=0),"""",OR(AND(L59&gt;=1000000,OR(Y59&gt;=1000000,COUNTA(P59:P147)=0)),AND(Y59&gt;=1000000,COUNTA(C59:C147)=0),AND(COUNTA(P59:P147)=0,O$3=TRUE)),
ROUNDDOWN((AB$1-AC$1)*MAX(INDEX(S$4:S147,MATCH(LARGE(FILTER(Y$4:Y147,Y$4:Y"&amp;"147&lt;1000000),1),Y$4:Y147)),INDEX(F$4:F147,MATCH(LARGE(FILTER(L$4:L147,L$4:L147&lt;1000000),1),L$4:L147)))),AND(L59&lt;1000000,COUNTA(C59:C147)&gt;0,O$3=FALSE),
ROUNDDOWN(INDEX(Y$4:Y147,MATCH(LARGE(FILTER(W$4:W147,W$4:W147&lt;=J59),1),W$4:W147))+(J59-LARGE(FILTER(W$4:"&amp;"W147,W$4:W147&lt;=J59),1))*INDEX(S$4:S147,MATCH(LARGE(FILTER(W$4:W147,W$4:W147&lt;=J59),1),W$4:W147))-L59),1,
ROUNDDOWN(Y59-INDEX(L$4:L147,MATCH(LARGE(FILTER(J$4:J147,J$4:J147&lt;=W59),1),J$4:J147))-(W59-LARGE(FILTER(J$4:J147,J$4:J147&lt;=W59),1))*INDEX(F$4:F147,MATC"&amp;"H(LARGE(FILTER(J$4:J147,J$4:J147&lt;=W59),1),J$4:J147))))"),0.0)</f>
        <v>0</v>
      </c>
      <c r="O59" s="65">
        <f t="shared" si="9"/>
        <v>1</v>
      </c>
      <c r="P59" s="66" t="s">
        <v>18</v>
      </c>
      <c r="Q59" s="14" t="b">
        <f>IFERROR(__xludf.DUMMYFUNCTION("IF(COUNTA(P59:P147)=0,"""",IFERROR(IF(ISBLANK(P59),FALSE,IF(ISBLANK(T59),1,IF(NOT(COUNTIF($AA$24:$AA$34,SUBSTITUTE(P59,""Sell_"",""""))),1,IF(P59=""Plastic_up"",IF(V59&lt;1000,1),IF(P59=""Super_Up"",IF(OR(COUNTIF(P$4:P59,""Grandma"")-COUNTIF(P$4:P59,""Sell_G"&amp;"randma"")&lt;1,COUNTIF(P$4:P59,VLOOKUP(P59,Upgrades!$F$8:$N$8,7+COUNTIF(P$4:P59,P59)))-COUNTIF(P$4:P59,""Sell_""&amp;VLOOKUP(P59,Upgrades!$F$8:$N$8,7+COUNTIF(P$4:P59,P59)))&lt;15),1),IF(REGEXMATCH(P59,""_up""),IF(COUNTIF(P$4:P59,SUBSTITUTE(P59,""_up"",""""))&lt;IFERRO"&amp;"R(VLOOKUP(P59,Upgrades!$L$3:$P$6,1+COUNTIF(P$4:P59,P59),0),999),1),IF(REGEXMATCH(P59,""Sell_""),IF(COUNTIF(P$4:P59,SUBSTITUTE(P59,""Sell_"",""""))-COUNTIF(P$4:P58,P59)&lt;1,1),FALSE)))))))))"),FALSE)</f>
        <v>0</v>
      </c>
      <c r="R59" s="71">
        <f>IFERROR(__xludf.DUMMYFUNCTION("IF(REGEXMATCH(P59,""^Sell_""),R58, IF(COUNTA(P59:P147)=0,"""",(COUNTIF(P$4:P59,""Cursor"")-COUNTIF(P$4:P59,""Sell_Cursor""))*(0.1*2^SWITCH(COUNTIF(P$4:P59,""Cursor_up""),0,0,1,1,2,2,3)+SWITCH(COUNTIF(P$4:P59,""Cursor_up""),4,0.1,0)*(ROW(P59)-4-COUNTIF(P$4"&amp;":P59,""Cursor"")-COUNTIF(P$4:P59,""*""&amp;""_up"")-2*COUNTIF(P$4:P59,""Sell_""&amp;""*"")+COUNTIF(P$4:P59,""Sell_Cursor"")-COUNTIF(P$4:P59,"""")))+(COUNTIF(P$4:P59,""Grandma"")-COUNTIF(P$4:P59,""Sell_Grandma""))*(1*2^(COUNTIF(P$4:P59,""Grandma_up"")+COUNTIF(P$4:"&amp;"P59,""Super_up"")))+(COUNTIF(P$4:P59,""Farm"")-COUNTIF(P$4:P59,""Sell_Farm""))*(8*2^COUNTIF(P$4:P59,""Farm_up""))*IF(COUNTIF(P$4:P59,""Super_up"")&gt;0,1+0.01*(COUNTIF(P$4:P59,""Grandma"")-COUNTIF(P$4:P59,""Sell_Grandma"")),1)+(COUNTIF(P$4:P59,""Mine"")-COUN"&amp;"TIF(P$4:P59,""Sell_Mine""))*((47*2^COUNTIF(P$4:P59,""Mine_up""))*IF(COUNTIF(P$4:P59,""Super_up"")&gt;1,1+0.005*(COUNTIF(P$4:P59,""Grandma"")-COUNTIF(P$4:P59,""Sell_Grandma"")),1))+(COUNTIF(P$4:P59,""Factory"")-COUNTIF(P$4:P59,""Sell_Factory""))*(260*2^COUNTI"&amp;"F(P$4:P59,""Factory_up""))))"),295.0)</f>
        <v>295</v>
      </c>
      <c r="S59" s="73">
        <f>IFERROR(__xludf.DUMMYFUNCTION("IF(COUNTA(P59:P147)=0,"""",IF(REGEXMATCH(INDEX(FILTER(P$4:P59,P$4:P59&lt;&gt;""""),ROWS(FILTER(P$4:P59,P$4:P59&lt;&gt;""""))),""^Sell_""),INDEX(FILTER(S$4:S58,P$4:P58&lt;&gt;""""),ROWS(FILTER(P$4:P58,P$4:P58&lt;&gt;""""))),$AD$5*(2^SWITCH(COUNTIF(P$4:P59,""Cursor_up""),0,0,1,1,2"&amp;",2,3)+SWITCH(COUNTIF(P$4:P59,""Cursor_up""),4,0.1,0)*(ROW(P59)-4-COUNTIF(P$4:P59,""Cursor"")-COUNTIF(P$4:P59,""*""&amp;""_up"")-2*COUNTIF(P$4:P59,""Sell_""&amp;""*"")+COUNTIF(P$4:P59,""Sell_Cursor"")-COUNTIF(P$4:P59,""""))+0.01*R59*COUNTIF(P$4:P59,""Plastic_up"")"&amp;")+R59))"),415.0)</f>
        <v>415</v>
      </c>
      <c r="T59" s="14">
        <f>IFERROR(__xludf.DUMMYFUNCTION("IF(COUNTA(P59:P147)=0,"""",IF(REGEXMATCH(P59,""_up""),VLOOKUP(P59,Upgrades!$F$3:$J$8,1+COUNTIF(P$4:P59,P59),FALSE),IF(P59="""",0,IF(REGEXMATCH(P59,""^Sell_""),-ROUNDDOWN(ROUNDUP(INDEX(Upgrades!$C$3:$C$8,MATCH(SUBSTITUTE(P59,""Sell_"",""""),Upgrades!$B$3:$"&amp;"B$8,0))*1.15^(COUNTIF(P$4:P58,SUBSTITUTE(P59,""Sell_"",""""))-COUNTIF(P$4:P58,""Sell_""&amp;SUBSTITUTE(P59,""Sell_"",""""))))/4),ROUNDUP(INDEX(Upgrades!$C$3:$C$7,MATCH(P59,Upgrades!$B$3:$B$7,0))*1.15^(COUNTIF(P$4:P58,P59)-COUNTIF(P$4:P58,""Sell_""&amp;P59)))))))"),12000.0)</f>
        <v>12000</v>
      </c>
      <c r="U59" s="14">
        <f t="shared" si="10"/>
        <v>12000</v>
      </c>
      <c r="V59" s="75">
        <f t="shared" si="11"/>
        <v>772158.4282</v>
      </c>
      <c r="W59" s="76">
        <f t="shared" si="12"/>
        <v>401.4366614</v>
      </c>
      <c r="X59" s="71" t="str">
        <f t="shared" si="13"/>
        <v>6m 41s</v>
      </c>
      <c r="Y59" s="77">
        <f t="shared" si="14"/>
        <v>71076</v>
      </c>
      <c r="Z59" s="17"/>
      <c r="AA59" s="13"/>
      <c r="AB59" s="13"/>
      <c r="AC59" s="13"/>
      <c r="AD59" s="13"/>
      <c r="AE59" s="13"/>
      <c r="AF59" s="13"/>
      <c r="AG59" s="13"/>
    </row>
    <row r="60">
      <c r="A60" s="12"/>
      <c r="B60" s="65">
        <f t="shared" si="2"/>
        <v>11</v>
      </c>
      <c r="C60" s="66" t="s">
        <v>16</v>
      </c>
      <c r="D60" s="14" t="b">
        <f>IFERROR(__xludf.DUMMYFUNCTION("IF(COUNTA(C60:C147)=0,"""",IFERROR(IF(ISBLANK(C60),FALSE,IF(ISBLANK(G60),1,IF(NOT(COUNTIF($AA$24:$AA$34,SUBSTITUTE(C60,""Sell_"",""""))),1,IF(C60=""Plastic_up"",IF(I60&lt;1000,1),IF(C60=""Super_Up"",IF(OR(COUNTIF(C$4:C60,""Grandma"")-COUNTIF(C$4:C60,""Sell_G"&amp;"randma"")&lt;1,COUNTIF(C$4:C60,VLOOKUP(C60,Upgrades!$F$8:$N$8,7+COUNTIF(C$4:C60,C60)))-COUNTIF(C$4:C60,""Sell_""&amp;VLOOKUP(C60,Upgrades!$F$8:$N$8,7+COUNTIF(C$4:C60,C60)))&lt;15),1),IF(REGEXMATCH(C60,""_up""),IF(COUNTIF(C$4:C60,SUBSTITUTE(C60,""_up"",""""))&lt;IFERRO"&amp;"R(VLOOKUP(C60,Upgrades!$L$3:$P$6,1+COUNTIF(C$4:C60,C60),0),999),1),IF(REGEXMATCH(C60,""Sell_""),IF(COUNTIF(C$4:C60,SUBSTITUTE(C60,""Sell_"",""""))-COUNTIF(C$4:C59,C60)&lt;1,1),FALSE)))))))))"),FALSE)</f>
        <v>0</v>
      </c>
      <c r="E60" s="71">
        <f>IFERROR(__xludf.DUMMYFUNCTION("IF(REGEXMATCH(C60,""^Sell_""),E59, IF(COUNTA(C60:C147)=0,"""",(COUNTIF(C$4:C60,""Cursor"")-COUNTIF(C$4:C60,""Sell_Cursor""))*(0.1*2^SWITCH(COUNTIF(C$4:C60,""Cursor_up""),0,0,1,1,2,2,3)+SWITCH(COUNTIF(C$4:C60,""Cursor_up""),4,0.1,0)*(ROW(C60)-4-COUNTIF(C$4"&amp;":C60,""Cursor"")-COUNTIF(C$4:C60,""*""&amp;""_up"")-2*COUNTIF(C$4:C60,""Sell_""&amp;""*"")+COUNTIF(C$4:C60,""Sell_Cursor"")-COUNTIF(C$4:C60,"""")))+(COUNTIF(C$4:C60,""Grandma"")-COUNTIF(C$4:C60,""Sell_Grandma""))*(1*2^(COUNTIF(C$4:C60,""Grandma_up"")+COUNTIF(C$4:"&amp;"C60,""Super_up"")))+(COUNTIF(C$4:C60,""Farm"")-COUNTIF(C$4:C60,""Sell_Farm""))*(8*2^COUNTIF(C$4:C60,""Farm_up""))*IF(COUNTIF(C$4:C60,""Super_up"")&gt;0,1+0.01*(COUNTIF(C$4:C60,""Grandma"")-COUNTIF(C$4:C60,""Sell_Grandma"")),1)+(COUNTIF(C$4:C60,""Mine"")-COUN"&amp;"TIF(C$4:C60,""Sell_Mine""))*((47*2^COUNTIF(C$4:C60,""Mine_up""))*IF(COUNTIF(C$4:C60,""Super_up"")&gt;1,1+0.005*(COUNTIF(C$4:C60,""Grandma"")-COUNTIF(C$4:C60,""Sell_Grandma"")),1))+(COUNTIF(C$4:C60,""Factory"")-COUNTIF(C$4:C60,""Sell_Factory""))*(260*2^COUNTI"&amp;"F(C$4:C60,""Factory_up""))))"),311.0)</f>
        <v>311</v>
      </c>
      <c r="F60" s="73">
        <f>IFERROR(__xludf.DUMMYFUNCTION("IF(COUNTA(C60:C147)=0,"""",IF(REGEXMATCH(INDEX(FILTER(C$4:C60,C$4:C60&lt;&gt;""""),ROWS(FILTER(C$4:C60,C$4:C60&lt;&gt;""""))),""^Sell_""),INDEX(FILTER(F$4:F59,C$4:C59&lt;&gt;""""),ROWS(FILTER(C$4:C59,C$4:C59&lt;&gt;""""))),$AC$5*(2^SWITCH(COUNTIF(C$4:C60,""Cursor_up""),0,0,1,1,2"&amp;",2,3)+SWITCH(COUNTIF(C$4:C60,""Cursor_up""),4,0.1,0)*(ROW(C60)-4-COUNTIF(C$4:C60,""Cursor"")-COUNTIF(C$4:C60,""*""&amp;""_up"")-2*COUNTIF(C$4:C60,""Sell_""&amp;""*"")+COUNTIF(C$4:C60,""Sell_Cursor"")-COUNTIF(C$4:C60,""""))+0.01*E60*COUNTIF(C$4:C60,""Plastic_up"")"&amp;")+E60))"),431.0)</f>
        <v>431</v>
      </c>
      <c r="G60" s="14">
        <f>IFERROR(__xludf.DUMMYFUNCTION("IF(COUNTA(C60:C147)=0,"""",IF(REGEXMATCH(C60,""_up""),VLOOKUP(C60,Upgrades!$F$3:$J$8,1+COUNTIF(C$4:C60,C60),FALSE),IF(C60="""",0,IF(REGEXMATCH(C60,""^Sell_""),-ROUNDDOWN(ROUNDUP(INDEX(Upgrades!$C$3:$C$8,MATCH(SUBSTITUTE(C60,""Sell_"",""""),Upgrades!$B$3:$"&amp;"B$8,0))*1.15^(COUNTIF(C$4:C59,SUBSTITUTE(C60,""Sell_"",""""))-COUNTIF(C$4:C59,""Sell_""&amp;SUBSTITUTE(C60,""Sell_"",""""))))/4),ROUNDUP(INDEX(Upgrades!$C$3:$C$7,MATCH(C60,Upgrades!$B$3:$B$7,0))*1.15^(COUNTIF(C$4:C59,C60)-COUNTIF(C$4:C59,""Sell_""&amp;C60)))))))"),4451.0)</f>
        <v>4451</v>
      </c>
      <c r="H60" s="14">
        <f t="shared" si="3"/>
        <v>4451</v>
      </c>
      <c r="I60" s="75">
        <f t="shared" si="4"/>
        <v>821617.8637</v>
      </c>
      <c r="J60" s="76">
        <f t="shared" si="5"/>
        <v>412.1619626</v>
      </c>
      <c r="K60" s="71" t="str">
        <f t="shared" si="6"/>
        <v>6m 52s</v>
      </c>
      <c r="L60" s="77">
        <f t="shared" si="7"/>
        <v>75527</v>
      </c>
      <c r="M60" s="51">
        <f t="shared" si="8"/>
        <v>0</v>
      </c>
      <c r="N60" s="52">
        <f>IFERROR(__xludf.DUMMYFUNCTION("IFS(AND(COUNTA(C60:C147)=0,COUNTA(P60:P147)=0),"""",OR(AND(L60&gt;=1000000,OR(Y60&gt;=1000000,COUNTA(P60:P147)=0)),AND(Y60&gt;=1000000,COUNTA(C60:C147)=0),AND(COUNTA(P60:P147)=0,O$3=TRUE)),
ROUNDDOWN((AB$1-AC$1)*MAX(INDEX(S$4:S147,MATCH(LARGE(FILTER(Y$4:Y147,Y$4:Y"&amp;"147&lt;1000000),1),Y$4:Y147)),INDEX(F$4:F147,MATCH(LARGE(FILTER(L$4:L147,L$4:L147&lt;1000000),1),L$4:L147)))),AND(L60&lt;1000000,COUNTA(C60:C147)&gt;0,O$3=FALSE),
ROUNDDOWN(INDEX(Y$4:Y147,MATCH(LARGE(FILTER(W$4:W147,W$4:W147&lt;=J60),1),W$4:W147))+(J60-LARGE(FILTER(W$4:"&amp;"W147,W$4:W147&lt;=J60),1))*INDEX(S$4:S147,MATCH(LARGE(FILTER(W$4:W147,W$4:W147&lt;=J60),1),W$4:W147))-L60),1,
ROUNDDOWN(Y60-INDEX(L$4:L147,MATCH(LARGE(FILTER(J$4:J147,J$4:J147&lt;=W60),1),J$4:J147))-(W60-LARGE(FILTER(J$4:J147,J$4:J147&lt;=W60),1))*INDEX(F$4:F147,MATC"&amp;"H(LARGE(FILTER(J$4:J147,J$4:J147&lt;=W60),1),J$4:J147))))"),0.0)</f>
        <v>0</v>
      </c>
      <c r="O60" s="65">
        <f t="shared" si="9"/>
        <v>11</v>
      </c>
      <c r="P60" s="66" t="s">
        <v>16</v>
      </c>
      <c r="Q60" s="14" t="b">
        <f>IFERROR(__xludf.DUMMYFUNCTION("IF(COUNTA(P60:P147)=0,"""",IFERROR(IF(ISBLANK(P60),FALSE,IF(ISBLANK(T60),1,IF(NOT(COUNTIF($AA$24:$AA$34,SUBSTITUTE(P60,""Sell_"",""""))),1,IF(P60=""Plastic_up"",IF(V60&lt;1000,1),IF(P60=""Super_Up"",IF(OR(COUNTIF(P$4:P60,""Grandma"")-COUNTIF(P$4:P60,""Sell_G"&amp;"randma"")&lt;1,COUNTIF(P$4:P60,VLOOKUP(P60,Upgrades!$F$8:$N$8,7+COUNTIF(P$4:P60,P60)))-COUNTIF(P$4:P60,""Sell_""&amp;VLOOKUP(P60,Upgrades!$F$8:$N$8,7+COUNTIF(P$4:P60,P60)))&lt;15),1),IF(REGEXMATCH(P60,""_up""),IF(COUNTIF(P$4:P60,SUBSTITUTE(P60,""_up"",""""))&lt;IFERRO"&amp;"R(VLOOKUP(P60,Upgrades!$L$3:$P$6,1+COUNTIF(P$4:P60,P60),0),999),1),IF(REGEXMATCH(P60,""Sell_""),IF(COUNTIF(P$4:P60,SUBSTITUTE(P60,""Sell_"",""""))-COUNTIF(P$4:P59,P60)&lt;1,1),FALSE)))))))))"),FALSE)</f>
        <v>0</v>
      </c>
      <c r="R60" s="71">
        <f>IFERROR(__xludf.DUMMYFUNCTION("IF(REGEXMATCH(P60,""^Sell_""),R59, IF(COUNTA(P60:P147)=0,"""",(COUNTIF(P$4:P60,""Cursor"")-COUNTIF(P$4:P60,""Sell_Cursor""))*(0.1*2^SWITCH(COUNTIF(P$4:P60,""Cursor_up""),0,0,1,1,2,2,3)+SWITCH(COUNTIF(P$4:P60,""Cursor_up""),4,0.1,0)*(ROW(P60)-4-COUNTIF(P$4"&amp;":P60,""Cursor"")-COUNTIF(P$4:P60,""*""&amp;""_up"")-2*COUNTIF(P$4:P60,""Sell_""&amp;""*"")+COUNTIF(P$4:P60,""Sell_Cursor"")-COUNTIF(P$4:P60,"""")))+(COUNTIF(P$4:P60,""Grandma"")-COUNTIF(P$4:P60,""Sell_Grandma""))*(1*2^(COUNTIF(P$4:P60,""Grandma_up"")+COUNTIF(P$4:"&amp;"P60,""Super_up"")))+(COUNTIF(P$4:P60,""Farm"")-COUNTIF(P$4:P60,""Sell_Farm""))*(8*2^COUNTIF(P$4:P60,""Farm_up""))*IF(COUNTIF(P$4:P60,""Super_up"")&gt;0,1+0.01*(COUNTIF(P$4:P60,""Grandma"")-COUNTIF(P$4:P60,""Sell_Grandma"")),1)+(COUNTIF(P$4:P60,""Mine"")-COUN"&amp;"TIF(P$4:P60,""Sell_Mine""))*((47*2^COUNTIF(P$4:P60,""Mine_up""))*IF(COUNTIF(P$4:P60,""Super_up"")&gt;1,1+0.005*(COUNTIF(P$4:P60,""Grandma"")-COUNTIF(P$4:P60,""Sell_Grandma"")),1))+(COUNTIF(P$4:P60,""Factory"")-COUNTIF(P$4:P60,""Sell_Factory""))*(260*2^COUNTI"&amp;"F(P$4:P60,""Factory_up""))))"),311.0)</f>
        <v>311</v>
      </c>
      <c r="S60" s="73">
        <f>IFERROR(__xludf.DUMMYFUNCTION("IF(COUNTA(P60:P147)=0,"""",IF(REGEXMATCH(INDEX(FILTER(P$4:P60,P$4:P60&lt;&gt;""""),ROWS(FILTER(P$4:P60,P$4:P60&lt;&gt;""""))),""^Sell_""),INDEX(FILTER(S$4:S59,P$4:P59&lt;&gt;""""),ROWS(FILTER(P$4:P59,P$4:P59&lt;&gt;""""))),$AD$5*(2^SWITCH(COUNTIF(P$4:P60,""Cursor_up""),0,0,1,1,2"&amp;",2,3)+SWITCH(COUNTIF(P$4:P60,""Cursor_up""),4,0.1,0)*(ROW(P60)-4-COUNTIF(P$4:P60,""Cursor"")-COUNTIF(P$4:P60,""*""&amp;""_up"")-2*COUNTIF(P$4:P60,""Sell_""&amp;""*"")+COUNTIF(P$4:P60,""Sell_Cursor"")-COUNTIF(P$4:P60,""""))+0.01*R60*COUNTIF(P$4:P60,""Plastic_up"")"&amp;")+R60))"),431.0)</f>
        <v>431</v>
      </c>
      <c r="T60" s="14">
        <f>IFERROR(__xludf.DUMMYFUNCTION("IF(COUNTA(P60:P147)=0,"""",IF(REGEXMATCH(P60,""_up""),VLOOKUP(P60,Upgrades!$F$3:$J$8,1+COUNTIF(P$4:P60,P60),FALSE),IF(P60="""",0,IF(REGEXMATCH(P60,""^Sell_""),-ROUNDDOWN(ROUNDUP(INDEX(Upgrades!$C$3:$C$8,MATCH(SUBSTITUTE(P60,""Sell_"",""""),Upgrades!$B$3:$"&amp;"B$8,0))*1.15^(COUNTIF(P$4:P59,SUBSTITUTE(P60,""Sell_"",""""))-COUNTIF(P$4:P59,""Sell_""&amp;SUBSTITUTE(P60,""Sell_"",""""))))/4),ROUNDUP(INDEX(Upgrades!$C$3:$C$7,MATCH(P60,Upgrades!$B$3:$B$7,0))*1.15^(COUNTIF(P$4:P59,P60)-COUNTIF(P$4:P59,""Sell_""&amp;P60)))))))"),4451.0)</f>
        <v>4451</v>
      </c>
      <c r="U60" s="14">
        <f t="shared" si="10"/>
        <v>4451</v>
      </c>
      <c r="V60" s="75">
        <f t="shared" si="11"/>
        <v>821617.8637</v>
      </c>
      <c r="W60" s="76">
        <f t="shared" si="12"/>
        <v>412.1619626</v>
      </c>
      <c r="X60" s="71" t="str">
        <f t="shared" si="13"/>
        <v>6m 52s</v>
      </c>
      <c r="Y60" s="77">
        <f t="shared" si="14"/>
        <v>75527</v>
      </c>
      <c r="Z60" s="17"/>
      <c r="AA60" s="13"/>
      <c r="AB60" s="13"/>
      <c r="AC60" s="13"/>
      <c r="AD60" s="13"/>
      <c r="AE60" s="13"/>
      <c r="AF60" s="13"/>
      <c r="AG60" s="13"/>
    </row>
    <row r="61">
      <c r="A61" s="12"/>
      <c r="B61" s="65">
        <f t="shared" si="2"/>
        <v>21</v>
      </c>
      <c r="C61" s="66" t="s">
        <v>10</v>
      </c>
      <c r="D61" s="14" t="b">
        <f>IFERROR(__xludf.DUMMYFUNCTION("IF(COUNTA(C61:C147)=0,"""",IFERROR(IF(ISBLANK(C61),FALSE,IF(ISBLANK(G61),1,IF(NOT(COUNTIF($AA$24:$AA$34,SUBSTITUTE(C61,""Sell_"",""""))),1,IF(C61=""Plastic_up"",IF(I61&lt;1000,1),IF(C61=""Super_Up"",IF(OR(COUNTIF(C$4:C61,""Grandma"")-COUNTIF(C$4:C61,""Sell_G"&amp;"randma"")&lt;1,COUNTIF(C$4:C61,VLOOKUP(C61,Upgrades!$F$8:$N$8,7+COUNTIF(C$4:C61,C61)))-COUNTIF(C$4:C61,""Sell_""&amp;VLOOKUP(C61,Upgrades!$F$8:$N$8,7+COUNTIF(C$4:C61,C61)))&lt;15),1),IF(REGEXMATCH(C61,""_up""),IF(COUNTIF(C$4:C61,SUBSTITUTE(C61,""_up"",""""))&lt;IFERRO"&amp;"R(VLOOKUP(C61,Upgrades!$L$3:$P$6,1+COUNTIF(C$4:C61,C61),0),999),1),IF(REGEXMATCH(C61,""Sell_""),IF(COUNTIF(C$4:C61,SUBSTITUTE(C61,""Sell_"",""""))-COUNTIF(C$4:C60,C61)&lt;1,1),FALSE)))))))))"),FALSE)</f>
        <v>0</v>
      </c>
      <c r="E61" s="71">
        <f>IFERROR(__xludf.DUMMYFUNCTION("IF(REGEXMATCH(C61,""^Sell_""),E60, IF(COUNTA(C61:C147)=0,"""",(COUNTIF(C$4:C61,""Cursor"")-COUNTIF(C$4:C61,""Sell_Cursor""))*(0.1*2^SWITCH(COUNTIF(C$4:C61,""Cursor_up""),0,0,1,1,2,2,3)+SWITCH(COUNTIF(C$4:C61,""Cursor_up""),4,0.1,0)*(ROW(C61)-4-COUNTIF(C$4"&amp;":C61,""Cursor"")-COUNTIF(C$4:C61,""*""&amp;""_up"")-2*COUNTIF(C$4:C61,""Sell_""&amp;""*"")+COUNTIF(C$4:C61,""Sell_Cursor"")-COUNTIF(C$4:C61,"""")))+(COUNTIF(C$4:C61,""Grandma"")-COUNTIF(C$4:C61,""Sell_Grandma""))*(1*2^(COUNTIF(C$4:C61,""Grandma_up"")+COUNTIF(C$4:"&amp;"C61,""Super_up"")))+(COUNTIF(C$4:C61,""Farm"")-COUNTIF(C$4:C61,""Sell_Farm""))*(8*2^COUNTIF(C$4:C61,""Farm_up""))*IF(COUNTIF(C$4:C61,""Super_up"")&gt;0,1+0.01*(COUNTIF(C$4:C61,""Grandma"")-COUNTIF(C$4:C61,""Sell_Grandma"")),1)+(COUNTIF(C$4:C61,""Mine"")-COUN"&amp;"TIF(C$4:C61,""Sell_Mine""))*((47*2^COUNTIF(C$4:C61,""Mine_up""))*IF(COUNTIF(C$4:C61,""Super_up"")&gt;1,1+0.005*(COUNTIF(C$4:C61,""Grandma"")-COUNTIF(C$4:C61,""Sell_Grandma"")),1))+(COUNTIF(C$4:C61,""Factory"")-COUNTIF(C$4:C61,""Sell_Factory""))*(260*2^COUNTI"&amp;"F(C$4:C61,""Factory_up""))))"),311.8)</f>
        <v>311.8</v>
      </c>
      <c r="F61" s="73">
        <f>IFERROR(__xludf.DUMMYFUNCTION("IF(COUNTA(C61:C147)=0,"""",IF(REGEXMATCH(INDEX(FILTER(C$4:C61,C$4:C61&lt;&gt;""""),ROWS(FILTER(C$4:C61,C$4:C61&lt;&gt;""""))),""^Sell_""),INDEX(FILTER(F$4:F60,C$4:C60&lt;&gt;""""),ROWS(FILTER(C$4:C60,C$4:C60&lt;&gt;""""))),$AC$5*(2^SWITCH(COUNTIF(C$4:C61,""Cursor_up""),0,0,1,1,2"&amp;",2,3)+SWITCH(COUNTIF(C$4:C61,""Cursor_up""),4,0.1,0)*(ROW(C61)-4-COUNTIF(C$4:C61,""Cursor"")-COUNTIF(C$4:C61,""*""&amp;""_up"")-2*COUNTIF(C$4:C61,""Sell_""&amp;""*"")+COUNTIF(C$4:C61,""Sell_Cursor"")-COUNTIF(C$4:C61,""""))+0.01*E61*COUNTIF(C$4:C61,""Plastic_up"")"&amp;")+E61))"),431.8)</f>
        <v>431.8</v>
      </c>
      <c r="G61" s="14">
        <f>IFERROR(__xludf.DUMMYFUNCTION("IF(COUNTA(C61:C147)=0,"""",IF(REGEXMATCH(C61,""_up""),VLOOKUP(C61,Upgrades!$F$3:$J$8,1+COUNTIF(C$4:C61,C61),FALSE),IF(C61="""",0,IF(REGEXMATCH(C61,""^Sell_""),-ROUNDDOWN(ROUNDUP(INDEX(Upgrades!$C$3:$C$8,MATCH(SUBSTITUTE(C61,""Sell_"",""""),Upgrades!$B$3:$"&amp;"B$8,0))*1.15^(COUNTIF(C$4:C60,SUBSTITUTE(C61,""Sell_"",""""))-COUNTIF(C$4:C60,""Sell_""&amp;SUBSTITUTE(C61,""Sell_"",""""))))/4),ROUNDUP(INDEX(Upgrades!$C$3:$C$7,MATCH(C61,Upgrades!$B$3:$B$7,0))*1.15^(COUNTIF(C$4:C60,C61)-COUNTIF(C$4:C60,""Sell_""&amp;C61)))))))"),246.0)</f>
        <v>246</v>
      </c>
      <c r="H61" s="14">
        <f t="shared" si="3"/>
        <v>246</v>
      </c>
      <c r="I61" s="75">
        <f t="shared" si="4"/>
        <v>871145.7911</v>
      </c>
      <c r="J61" s="76">
        <f t="shared" si="5"/>
        <v>412.7327283</v>
      </c>
      <c r="K61" s="71" t="str">
        <f t="shared" si="6"/>
        <v>6m 52s</v>
      </c>
      <c r="L61" s="77">
        <f t="shared" si="7"/>
        <v>75773</v>
      </c>
      <c r="M61" s="51">
        <f t="shared" si="8"/>
        <v>0</v>
      </c>
      <c r="N61" s="52">
        <f>IFERROR(__xludf.DUMMYFUNCTION("IFS(AND(COUNTA(C61:C147)=0,COUNTA(P61:P147)=0),"""",OR(AND(L61&gt;=1000000,OR(Y61&gt;=1000000,COUNTA(P61:P147)=0)),AND(Y61&gt;=1000000,COUNTA(C61:C147)=0),AND(COUNTA(P61:P147)=0,O$3=TRUE)),
ROUNDDOWN((AB$1-AC$1)*MAX(INDEX(S$4:S147,MATCH(LARGE(FILTER(Y$4:Y147,Y$4:Y"&amp;"147&lt;1000000),1),Y$4:Y147)),INDEX(F$4:F147,MATCH(LARGE(FILTER(L$4:L147,L$4:L147&lt;1000000),1),L$4:L147)))),AND(L61&lt;1000000,COUNTA(C61:C147)&gt;0,O$3=FALSE),
ROUNDDOWN(INDEX(Y$4:Y147,MATCH(LARGE(FILTER(W$4:W147,W$4:W147&lt;=J61),1),W$4:W147))+(J61-LARGE(FILTER(W$4:"&amp;"W147,W$4:W147&lt;=J61),1))*INDEX(S$4:S147,MATCH(LARGE(FILTER(W$4:W147,W$4:W147&lt;=J61),1),W$4:W147))-L61),1,
ROUNDDOWN(Y61-INDEX(L$4:L147,MATCH(LARGE(FILTER(J$4:J147,J$4:J147&lt;=W61),1),J$4:J147))-(W61-LARGE(FILTER(J$4:J147,J$4:J147&lt;=W61),1))*INDEX(F$4:F147,MATC"&amp;"H(LARGE(FILTER(J$4:J147,J$4:J147&lt;=W61),1),J$4:J147))))"),0.0)</f>
        <v>0</v>
      </c>
      <c r="O61" s="65">
        <f t="shared" si="9"/>
        <v>21</v>
      </c>
      <c r="P61" s="66" t="s">
        <v>10</v>
      </c>
      <c r="Q61" s="14" t="b">
        <f>IFERROR(__xludf.DUMMYFUNCTION("IF(COUNTA(P61:P147)=0,"""",IFERROR(IF(ISBLANK(P61),FALSE,IF(ISBLANK(T61),1,IF(NOT(COUNTIF($AA$24:$AA$34,SUBSTITUTE(P61,""Sell_"",""""))),1,IF(P61=""Plastic_up"",IF(V61&lt;1000,1),IF(P61=""Super_Up"",IF(OR(COUNTIF(P$4:P61,""Grandma"")-COUNTIF(P$4:P61,""Sell_G"&amp;"randma"")&lt;1,COUNTIF(P$4:P61,VLOOKUP(P61,Upgrades!$F$8:$N$8,7+COUNTIF(P$4:P61,P61)))-COUNTIF(P$4:P61,""Sell_""&amp;VLOOKUP(P61,Upgrades!$F$8:$N$8,7+COUNTIF(P$4:P61,P61)))&lt;15),1),IF(REGEXMATCH(P61,""_up""),IF(COUNTIF(P$4:P61,SUBSTITUTE(P61,""_up"",""""))&lt;IFERRO"&amp;"R(VLOOKUP(P61,Upgrades!$L$3:$P$6,1+COUNTIF(P$4:P61,P61),0),999),1),IF(REGEXMATCH(P61,""Sell_""),IF(COUNTIF(P$4:P61,SUBSTITUTE(P61,""Sell_"",""""))-COUNTIF(P$4:P60,P61)&lt;1,1),FALSE)))))))))"),FALSE)</f>
        <v>0</v>
      </c>
      <c r="R61" s="71">
        <f>IFERROR(__xludf.DUMMYFUNCTION("IF(REGEXMATCH(P61,""^Sell_""),R60, IF(COUNTA(P61:P147)=0,"""",(COUNTIF(P$4:P61,""Cursor"")-COUNTIF(P$4:P61,""Sell_Cursor""))*(0.1*2^SWITCH(COUNTIF(P$4:P61,""Cursor_up""),0,0,1,1,2,2,3)+SWITCH(COUNTIF(P$4:P61,""Cursor_up""),4,0.1,0)*(ROW(P61)-4-COUNTIF(P$4"&amp;":P61,""Cursor"")-COUNTIF(P$4:P61,""*""&amp;""_up"")-2*COUNTIF(P$4:P61,""Sell_""&amp;""*"")+COUNTIF(P$4:P61,""Sell_Cursor"")-COUNTIF(P$4:P61,"""")))+(COUNTIF(P$4:P61,""Grandma"")-COUNTIF(P$4:P61,""Sell_Grandma""))*(1*2^(COUNTIF(P$4:P61,""Grandma_up"")+COUNTIF(P$4:"&amp;"P61,""Super_up"")))+(COUNTIF(P$4:P61,""Farm"")-COUNTIF(P$4:P61,""Sell_Farm""))*(8*2^COUNTIF(P$4:P61,""Farm_up""))*IF(COUNTIF(P$4:P61,""Super_up"")&gt;0,1+0.01*(COUNTIF(P$4:P61,""Grandma"")-COUNTIF(P$4:P61,""Sell_Grandma"")),1)+(COUNTIF(P$4:P61,""Mine"")-COUN"&amp;"TIF(P$4:P61,""Sell_Mine""))*((47*2^COUNTIF(P$4:P61,""Mine_up""))*IF(COUNTIF(P$4:P61,""Super_up"")&gt;1,1+0.005*(COUNTIF(P$4:P61,""Grandma"")-COUNTIF(P$4:P61,""Sell_Grandma"")),1))+(COUNTIF(P$4:P61,""Factory"")-COUNTIF(P$4:P61,""Sell_Factory""))*(260*2^COUNTI"&amp;"F(P$4:P61,""Factory_up""))))"),311.8)</f>
        <v>311.8</v>
      </c>
      <c r="S61" s="73">
        <f>IFERROR(__xludf.DUMMYFUNCTION("IF(COUNTA(P61:P147)=0,"""",IF(REGEXMATCH(INDEX(FILTER(P$4:P61,P$4:P61&lt;&gt;""""),ROWS(FILTER(P$4:P61,P$4:P61&lt;&gt;""""))),""^Sell_""),INDEX(FILTER(S$4:S60,P$4:P60&lt;&gt;""""),ROWS(FILTER(P$4:P60,P$4:P60&lt;&gt;""""))),$AD$5*(2^SWITCH(COUNTIF(P$4:P61,""Cursor_up""),0,0,1,1,2"&amp;",2,3)+SWITCH(COUNTIF(P$4:P61,""Cursor_up""),4,0.1,0)*(ROW(P61)-4-COUNTIF(P$4:P61,""Cursor"")-COUNTIF(P$4:P61,""*""&amp;""_up"")-2*COUNTIF(P$4:P61,""Sell_""&amp;""*"")+COUNTIF(P$4:P61,""Sell_Cursor"")-COUNTIF(P$4:P61,""""))+0.01*R61*COUNTIF(P$4:P61,""Plastic_up"")"&amp;")+R61))"),431.8)</f>
        <v>431.8</v>
      </c>
      <c r="T61" s="14">
        <f>IFERROR(__xludf.DUMMYFUNCTION("IF(COUNTA(P61:P147)=0,"""",IF(REGEXMATCH(P61,""_up""),VLOOKUP(P61,Upgrades!$F$3:$J$8,1+COUNTIF(P$4:P61,P61),FALSE),IF(P61="""",0,IF(REGEXMATCH(P61,""^Sell_""),-ROUNDDOWN(ROUNDUP(INDEX(Upgrades!$C$3:$C$8,MATCH(SUBSTITUTE(P61,""Sell_"",""""),Upgrades!$B$3:$"&amp;"B$8,0))*1.15^(COUNTIF(P$4:P60,SUBSTITUTE(P61,""Sell_"",""""))-COUNTIF(P$4:P60,""Sell_""&amp;SUBSTITUTE(P61,""Sell_"",""""))))/4),ROUNDUP(INDEX(Upgrades!$C$3:$C$7,MATCH(P61,Upgrades!$B$3:$B$7,0))*1.15^(COUNTIF(P$4:P60,P61)-COUNTIF(P$4:P60,""Sell_""&amp;P61)))))))"),246.0)</f>
        <v>246</v>
      </c>
      <c r="U61" s="14">
        <f t="shared" si="10"/>
        <v>246</v>
      </c>
      <c r="V61" s="75">
        <f t="shared" si="11"/>
        <v>871145.7911</v>
      </c>
      <c r="W61" s="76">
        <f t="shared" si="12"/>
        <v>412.7327283</v>
      </c>
      <c r="X61" s="71" t="str">
        <f t="shared" si="13"/>
        <v>6m 52s</v>
      </c>
      <c r="Y61" s="77">
        <f t="shared" si="14"/>
        <v>75773</v>
      </c>
      <c r="Z61" s="17"/>
      <c r="AA61" s="13"/>
      <c r="AB61" s="13"/>
      <c r="AC61" s="13"/>
      <c r="AD61" s="13"/>
      <c r="AE61" s="13"/>
      <c r="AF61" s="13"/>
      <c r="AG61" s="13"/>
    </row>
    <row r="62">
      <c r="A62" s="12"/>
      <c r="B62" s="65">
        <f t="shared" si="2"/>
        <v>19</v>
      </c>
      <c r="C62" s="66" t="s">
        <v>13</v>
      </c>
      <c r="D62" s="14" t="b">
        <f>IFERROR(__xludf.DUMMYFUNCTION("IF(COUNTA(C62:C147)=0,"""",IFERROR(IF(ISBLANK(C62),FALSE,IF(ISBLANK(G62),1,IF(NOT(COUNTIF($AA$24:$AA$34,SUBSTITUTE(C62,""Sell_"",""""))),1,IF(C62=""Plastic_up"",IF(I62&lt;1000,1),IF(C62=""Super_Up"",IF(OR(COUNTIF(C$4:C62,""Grandma"")-COUNTIF(C$4:C62,""Sell_G"&amp;"randma"")&lt;1,COUNTIF(C$4:C62,VLOOKUP(C62,Upgrades!$F$8:$N$8,7+COUNTIF(C$4:C62,C62)))-COUNTIF(C$4:C62,""Sell_""&amp;VLOOKUP(C62,Upgrades!$F$8:$N$8,7+COUNTIF(C$4:C62,C62)))&lt;15),1),IF(REGEXMATCH(C62,""_up""),IF(COUNTIF(C$4:C62,SUBSTITUTE(C62,""_up"",""""))&lt;IFERRO"&amp;"R(VLOOKUP(C62,Upgrades!$L$3:$P$6,1+COUNTIF(C$4:C62,C62),0),999),1),IF(REGEXMATCH(C62,""Sell_""),IF(COUNTIF(C$4:C62,SUBSTITUTE(C62,""Sell_"",""""))-COUNTIF(C$4:C61,C62)&lt;1,1),FALSE)))))))))"),FALSE)</f>
        <v>0</v>
      </c>
      <c r="E62" s="71">
        <f>IFERROR(__xludf.DUMMYFUNCTION("IF(REGEXMATCH(C62,""^Sell_""),E61, IF(COUNTA(C62:C147)=0,"""",(COUNTIF(C$4:C62,""Cursor"")-COUNTIF(C$4:C62,""Sell_Cursor""))*(0.1*2^SWITCH(COUNTIF(C$4:C62,""Cursor_up""),0,0,1,1,2,2,3)+SWITCH(COUNTIF(C$4:C62,""Cursor_up""),4,0.1,0)*(ROW(C62)-4-COUNTIF(C$4"&amp;":C62,""Cursor"")-COUNTIF(C$4:C62,""*""&amp;""_up"")-2*COUNTIF(C$4:C62,""Sell_""&amp;""*"")+COUNTIF(C$4:C62,""Sell_Cursor"")-COUNTIF(C$4:C62,"""")))+(COUNTIF(C$4:C62,""Grandma"")-COUNTIF(C$4:C62,""Sell_Grandma""))*(1*2^(COUNTIF(C$4:C62,""Grandma_up"")+COUNTIF(C$4:"&amp;"C62,""Super_up"")))+(COUNTIF(C$4:C62,""Farm"")-COUNTIF(C$4:C62,""Sell_Farm""))*(8*2^COUNTIF(C$4:C62,""Farm_up""))*IF(COUNTIF(C$4:C62,""Super_up"")&gt;0,1+0.01*(COUNTIF(C$4:C62,""Grandma"")-COUNTIF(C$4:C62,""Sell_Grandma"")),1)+(COUNTIF(C$4:C62,""Mine"")-COUN"&amp;"TIF(C$4:C62,""Sell_Mine""))*((47*2^COUNTIF(C$4:C62,""Mine_up""))*IF(COUNTIF(C$4:C62,""Super_up"")&gt;1,1+0.005*(COUNTIF(C$4:C62,""Grandma"")-COUNTIF(C$4:C62,""Sell_Grandma"")),1))+(COUNTIF(C$4:C62,""Factory"")-COUNTIF(C$4:C62,""Sell_Factory""))*(260*2^COUNTI"&amp;"F(C$4:C62,""Factory_up""))))"),315.8)</f>
        <v>315.8</v>
      </c>
      <c r="F62" s="73">
        <f>IFERROR(__xludf.DUMMYFUNCTION("IF(COUNTA(C62:C147)=0,"""",IF(REGEXMATCH(INDEX(FILTER(C$4:C62,C$4:C62&lt;&gt;""""),ROWS(FILTER(C$4:C62,C$4:C62&lt;&gt;""""))),""^Sell_""),INDEX(FILTER(F$4:F61,C$4:C61&lt;&gt;""""),ROWS(FILTER(C$4:C61,C$4:C61&lt;&gt;""""))),$AC$5*(2^SWITCH(COUNTIF(C$4:C62,""Cursor_up""),0,0,1,1,2"&amp;",2,3)+SWITCH(COUNTIF(C$4:C62,""Cursor_up""),4,0.1,0)*(ROW(C62)-4-COUNTIF(C$4:C62,""Cursor"")-COUNTIF(C$4:C62,""*""&amp;""_up"")-2*COUNTIF(C$4:C62,""Sell_""&amp;""*"")+COUNTIF(C$4:C62,""Sell_Cursor"")-COUNTIF(C$4:C62,""""))+0.01*E62*COUNTIF(C$4:C62,""Plastic_up"")"&amp;")+E62))"),435.8)</f>
        <v>435.8</v>
      </c>
      <c r="G62" s="14">
        <f>IFERROR(__xludf.DUMMYFUNCTION("IF(COUNTA(C62:C147)=0,"""",IF(REGEXMATCH(C62,""_up""),VLOOKUP(C62,Upgrades!$F$3:$J$8,1+COUNTIF(C$4:C62,C62),FALSE),IF(C62="""",0,IF(REGEXMATCH(C62,""^Sell_""),-ROUNDDOWN(ROUNDUP(INDEX(Upgrades!$C$3:$C$8,MATCH(SUBSTITUTE(C62,""Sell_"",""""),Upgrades!$B$3:$"&amp;"B$8,0))*1.15^(COUNTIF(C$4:C61,SUBSTITUTE(C62,""Sell_"",""""))-COUNTIF(C$4:C61,""Sell_""&amp;SUBSTITUTE(C62,""Sell_"",""""))))/4),ROUNDUP(INDEX(Upgrades!$C$3:$C$7,MATCH(C62,Upgrades!$B$3:$B$7,0))*1.15^(COUNTIF(C$4:C61,C62)-COUNTIF(C$4:C61,""Sell_""&amp;C62)))))))"),1238.0)</f>
        <v>1238</v>
      </c>
      <c r="H62" s="14">
        <f t="shared" si="3"/>
        <v>1238</v>
      </c>
      <c r="I62" s="75">
        <f t="shared" si="4"/>
        <v>921017.7667</v>
      </c>
      <c r="J62" s="76">
        <f t="shared" si="5"/>
        <v>415.5997963</v>
      </c>
      <c r="K62" s="71" t="str">
        <f t="shared" si="6"/>
        <v>6m 55s</v>
      </c>
      <c r="L62" s="77">
        <f t="shared" si="7"/>
        <v>77011</v>
      </c>
      <c r="M62" s="51">
        <f t="shared" si="8"/>
        <v>0</v>
      </c>
      <c r="N62" s="52">
        <f>IFERROR(__xludf.DUMMYFUNCTION("IFS(AND(COUNTA(C62:C147)=0,COUNTA(P62:P147)=0),"""",OR(AND(L62&gt;=1000000,OR(Y62&gt;=1000000,COUNTA(P62:P147)=0)),AND(Y62&gt;=1000000,COUNTA(C62:C147)=0),AND(COUNTA(P62:P147)=0,O$3=TRUE)),
ROUNDDOWN((AB$1-AC$1)*MAX(INDEX(S$4:S147,MATCH(LARGE(FILTER(Y$4:Y147,Y$4:Y"&amp;"147&lt;1000000),1),Y$4:Y147)),INDEX(F$4:F147,MATCH(LARGE(FILTER(L$4:L147,L$4:L147&lt;1000000),1),L$4:L147)))),AND(L62&lt;1000000,COUNTA(C62:C147)&gt;0,O$3=FALSE),
ROUNDDOWN(INDEX(Y$4:Y147,MATCH(LARGE(FILTER(W$4:W147,W$4:W147&lt;=J62),1),W$4:W147))+(J62-LARGE(FILTER(W$4:"&amp;"W147,W$4:W147&lt;=J62),1))*INDEX(S$4:S147,MATCH(LARGE(FILTER(W$4:W147,W$4:W147&lt;=J62),1),W$4:W147))-L62),1,
ROUNDDOWN(Y62-INDEX(L$4:L147,MATCH(LARGE(FILTER(J$4:J147,J$4:J147&lt;=W62),1),J$4:J147))-(W62-LARGE(FILTER(J$4:J147,J$4:J147&lt;=W62),1))*INDEX(F$4:F147,MATC"&amp;"H(LARGE(FILTER(J$4:J147,J$4:J147&lt;=W62),1),J$4:J147))))"),0.0)</f>
        <v>0</v>
      </c>
      <c r="O62" s="65">
        <f t="shared" si="9"/>
        <v>19</v>
      </c>
      <c r="P62" s="66" t="s">
        <v>13</v>
      </c>
      <c r="Q62" s="14" t="b">
        <f>IFERROR(__xludf.DUMMYFUNCTION("IF(COUNTA(P62:P147)=0,"""",IFERROR(IF(ISBLANK(P62),FALSE,IF(ISBLANK(T62),1,IF(NOT(COUNTIF($AA$24:$AA$34,SUBSTITUTE(P62,""Sell_"",""""))),1,IF(P62=""Plastic_up"",IF(V62&lt;1000,1),IF(P62=""Super_Up"",IF(OR(COUNTIF(P$4:P62,""Grandma"")-COUNTIF(P$4:P62,""Sell_G"&amp;"randma"")&lt;1,COUNTIF(P$4:P62,VLOOKUP(P62,Upgrades!$F$8:$N$8,7+COUNTIF(P$4:P62,P62)))-COUNTIF(P$4:P62,""Sell_""&amp;VLOOKUP(P62,Upgrades!$F$8:$N$8,7+COUNTIF(P$4:P62,P62)))&lt;15),1),IF(REGEXMATCH(P62,""_up""),IF(COUNTIF(P$4:P62,SUBSTITUTE(P62,""_up"",""""))&lt;IFERRO"&amp;"R(VLOOKUP(P62,Upgrades!$L$3:$P$6,1+COUNTIF(P$4:P62,P62),0),999),1),IF(REGEXMATCH(P62,""Sell_""),IF(COUNTIF(P$4:P62,SUBSTITUTE(P62,""Sell_"",""""))-COUNTIF(P$4:P61,P62)&lt;1,1),FALSE)))))))))"),FALSE)</f>
        <v>0</v>
      </c>
      <c r="R62" s="71">
        <f>IFERROR(__xludf.DUMMYFUNCTION("IF(REGEXMATCH(P62,""^Sell_""),R61, IF(COUNTA(P62:P147)=0,"""",(COUNTIF(P$4:P62,""Cursor"")-COUNTIF(P$4:P62,""Sell_Cursor""))*(0.1*2^SWITCH(COUNTIF(P$4:P62,""Cursor_up""),0,0,1,1,2,2,3)+SWITCH(COUNTIF(P$4:P62,""Cursor_up""),4,0.1,0)*(ROW(P62)-4-COUNTIF(P$4"&amp;":P62,""Cursor"")-COUNTIF(P$4:P62,""*""&amp;""_up"")-2*COUNTIF(P$4:P62,""Sell_""&amp;""*"")+COUNTIF(P$4:P62,""Sell_Cursor"")-COUNTIF(P$4:P62,"""")))+(COUNTIF(P$4:P62,""Grandma"")-COUNTIF(P$4:P62,""Sell_Grandma""))*(1*2^(COUNTIF(P$4:P62,""Grandma_up"")+COUNTIF(P$4:"&amp;"P62,""Super_up"")))+(COUNTIF(P$4:P62,""Farm"")-COUNTIF(P$4:P62,""Sell_Farm""))*(8*2^COUNTIF(P$4:P62,""Farm_up""))*IF(COUNTIF(P$4:P62,""Super_up"")&gt;0,1+0.01*(COUNTIF(P$4:P62,""Grandma"")-COUNTIF(P$4:P62,""Sell_Grandma"")),1)+(COUNTIF(P$4:P62,""Mine"")-COUN"&amp;"TIF(P$4:P62,""Sell_Mine""))*((47*2^COUNTIF(P$4:P62,""Mine_up""))*IF(COUNTIF(P$4:P62,""Super_up"")&gt;1,1+0.005*(COUNTIF(P$4:P62,""Grandma"")-COUNTIF(P$4:P62,""Sell_Grandma"")),1))+(COUNTIF(P$4:P62,""Factory"")-COUNTIF(P$4:P62,""Sell_Factory""))*(260*2^COUNTI"&amp;"F(P$4:P62,""Factory_up""))))"),315.8)</f>
        <v>315.8</v>
      </c>
      <c r="S62" s="73">
        <f>IFERROR(__xludf.DUMMYFUNCTION("IF(COUNTA(P62:P147)=0,"""",IF(REGEXMATCH(INDEX(FILTER(P$4:P62,P$4:P62&lt;&gt;""""),ROWS(FILTER(P$4:P62,P$4:P62&lt;&gt;""""))),""^Sell_""),INDEX(FILTER(S$4:S61,P$4:P61&lt;&gt;""""),ROWS(FILTER(P$4:P61,P$4:P61&lt;&gt;""""))),$AD$5*(2^SWITCH(COUNTIF(P$4:P62,""Cursor_up""),0,0,1,1,2"&amp;",2,3)+SWITCH(COUNTIF(P$4:P62,""Cursor_up""),4,0.1,0)*(ROW(P62)-4-COUNTIF(P$4:P62,""Cursor"")-COUNTIF(P$4:P62,""*""&amp;""_up"")-2*COUNTIF(P$4:P62,""Sell_""&amp;""*"")+COUNTIF(P$4:P62,""Sell_Cursor"")-COUNTIF(P$4:P62,""""))+0.01*R62*COUNTIF(P$4:P62,""Plastic_up"")"&amp;")+R62))"),435.8)</f>
        <v>435.8</v>
      </c>
      <c r="T62" s="14">
        <f>IFERROR(__xludf.DUMMYFUNCTION("IF(COUNTA(P62:P147)=0,"""",IF(REGEXMATCH(P62,""_up""),VLOOKUP(P62,Upgrades!$F$3:$J$8,1+COUNTIF(P$4:P62,P62),FALSE),IF(P62="""",0,IF(REGEXMATCH(P62,""^Sell_""),-ROUNDDOWN(ROUNDUP(INDEX(Upgrades!$C$3:$C$8,MATCH(SUBSTITUTE(P62,""Sell_"",""""),Upgrades!$B$3:$"&amp;"B$8,0))*1.15^(COUNTIF(P$4:P61,SUBSTITUTE(P62,""Sell_"",""""))-COUNTIF(P$4:P61,""Sell_""&amp;SUBSTITUTE(P62,""Sell_"",""""))))/4),ROUNDUP(INDEX(Upgrades!$C$3:$C$7,MATCH(P62,Upgrades!$B$3:$B$7,0))*1.15^(COUNTIF(P$4:P61,P62)-COUNTIF(P$4:P61,""Sell_""&amp;P62)))))))"),1238.0)</f>
        <v>1238</v>
      </c>
      <c r="U62" s="14">
        <f t="shared" si="10"/>
        <v>1238</v>
      </c>
      <c r="V62" s="75">
        <f t="shared" si="11"/>
        <v>921017.7667</v>
      </c>
      <c r="W62" s="76">
        <f t="shared" si="12"/>
        <v>415.5997963</v>
      </c>
      <c r="X62" s="71" t="str">
        <f t="shared" si="13"/>
        <v>6m 55s</v>
      </c>
      <c r="Y62" s="77">
        <f t="shared" si="14"/>
        <v>77011</v>
      </c>
      <c r="Z62" s="17"/>
      <c r="AA62" s="13"/>
      <c r="AB62" s="13"/>
      <c r="AC62" s="13"/>
      <c r="AD62" s="13"/>
      <c r="AE62" s="13"/>
      <c r="AF62" s="13"/>
      <c r="AG62" s="13"/>
    </row>
    <row r="63">
      <c r="A63" s="12"/>
      <c r="B63" s="65">
        <f t="shared" si="2"/>
        <v>2</v>
      </c>
      <c r="C63" s="66" t="s">
        <v>18</v>
      </c>
      <c r="D63" s="14" t="b">
        <f>IFERROR(__xludf.DUMMYFUNCTION("IF(COUNTA(C63:C147)=0,"""",IFERROR(IF(ISBLANK(C63),FALSE,IF(ISBLANK(G63),1,IF(NOT(COUNTIF($AA$24:$AA$34,SUBSTITUTE(C63,""Sell_"",""""))),1,IF(C63=""Plastic_up"",IF(I63&lt;1000,1),IF(C63=""Super_Up"",IF(OR(COUNTIF(C$4:C63,""Grandma"")-COUNTIF(C$4:C63,""Sell_G"&amp;"randma"")&lt;1,COUNTIF(C$4:C63,VLOOKUP(C63,Upgrades!$F$8:$N$8,7+COUNTIF(C$4:C63,C63)))-COUNTIF(C$4:C63,""Sell_""&amp;VLOOKUP(C63,Upgrades!$F$8:$N$8,7+COUNTIF(C$4:C63,C63)))&lt;15),1),IF(REGEXMATCH(C63,""_up""),IF(COUNTIF(C$4:C63,SUBSTITUTE(C63,""_up"",""""))&lt;IFERRO"&amp;"R(VLOOKUP(C63,Upgrades!$L$3:$P$6,1+COUNTIF(C$4:C63,C63),0),999),1),IF(REGEXMATCH(C63,""Sell_""),IF(COUNTIF(C$4:C63,SUBSTITUTE(C63,""Sell_"",""""))-COUNTIF(C$4:C62,C63)&lt;1,1),FALSE)))))))))"),FALSE)</f>
        <v>0</v>
      </c>
      <c r="E63" s="71">
        <f>IFERROR(__xludf.DUMMYFUNCTION("IF(REGEXMATCH(C63,""^Sell_""),E62, IF(COUNTA(C63:C147)=0,"""",(COUNTIF(C$4:C63,""Cursor"")-COUNTIF(C$4:C63,""Sell_Cursor""))*(0.1*2^SWITCH(COUNTIF(C$4:C63,""Cursor_up""),0,0,1,1,2,2,3)+SWITCH(COUNTIF(C$4:C63,""Cursor_up""),4,0.1,0)*(ROW(C63)-4-COUNTIF(C$4"&amp;":C63,""Cursor"")-COUNTIF(C$4:C63,""*""&amp;""_up"")-2*COUNTIF(C$4:C63,""Sell_""&amp;""*"")+COUNTIF(C$4:C63,""Sell_Cursor"")-COUNTIF(C$4:C63,"""")))+(COUNTIF(C$4:C63,""Grandma"")-COUNTIF(C$4:C63,""Sell_Grandma""))*(1*2^(COUNTIF(C$4:C63,""Grandma_up"")+COUNTIF(C$4:"&amp;"C63,""Super_up"")))+(COUNTIF(C$4:C63,""Farm"")-COUNTIF(C$4:C63,""Sell_Farm""))*(8*2^COUNTIF(C$4:C63,""Farm_up""))*IF(COUNTIF(C$4:C63,""Super_up"")&gt;0,1+0.01*(COUNTIF(C$4:C63,""Grandma"")-COUNTIF(C$4:C63,""Sell_Grandma"")),1)+(COUNTIF(C$4:C63,""Mine"")-COUN"&amp;"TIF(C$4:C63,""Sell_Mine""))*((47*2^COUNTIF(C$4:C63,""Mine_up""))*IF(COUNTIF(C$4:C63,""Super_up"")&gt;1,1+0.005*(COUNTIF(C$4:C63,""Grandma"")-COUNTIF(C$4:C63,""Sell_Grandma"")),1))+(COUNTIF(C$4:C63,""Factory"")-COUNTIF(C$4:C63,""Sell_Factory""))*(260*2^COUNTI"&amp;"F(C$4:C63,""Factory_up""))))"),362.8)</f>
        <v>362.8</v>
      </c>
      <c r="F63" s="73">
        <f>IFERROR(__xludf.DUMMYFUNCTION("IF(COUNTA(C63:C147)=0,"""",IF(REGEXMATCH(INDEX(FILTER(C$4:C63,C$4:C63&lt;&gt;""""),ROWS(FILTER(C$4:C63,C$4:C63&lt;&gt;""""))),""^Sell_""),INDEX(FILTER(F$4:F62,C$4:C62&lt;&gt;""""),ROWS(FILTER(C$4:C62,C$4:C62&lt;&gt;""""))),$AC$5*(2^SWITCH(COUNTIF(C$4:C63,""Cursor_up""),0,0,1,1,2"&amp;",2,3)+SWITCH(COUNTIF(C$4:C63,""Cursor_up""),4,0.1,0)*(ROW(C63)-4-COUNTIF(C$4:C63,""Cursor"")-COUNTIF(C$4:C63,""*""&amp;""_up"")-2*COUNTIF(C$4:C63,""Sell_""&amp;""*"")+COUNTIF(C$4:C63,""Sell_Cursor"")-COUNTIF(C$4:C63,""""))+0.01*E63*COUNTIF(C$4:C63,""Plastic_up"")"&amp;")+E63))"),482.8)</f>
        <v>482.8</v>
      </c>
      <c r="G63" s="14">
        <f>IFERROR(__xludf.DUMMYFUNCTION("IF(COUNTA(C63:C147)=0,"""",IF(REGEXMATCH(C63,""_up""),VLOOKUP(C63,Upgrades!$F$3:$J$8,1+COUNTIF(C$4:C63,C63),FALSE),IF(C63="""",0,IF(REGEXMATCH(C63,""^Sell_""),-ROUNDDOWN(ROUNDUP(INDEX(Upgrades!$C$3:$C$8,MATCH(SUBSTITUTE(C63,""Sell_"",""""),Upgrades!$B$3:$"&amp;"B$8,0))*1.15^(COUNTIF(C$4:C62,SUBSTITUTE(C63,""Sell_"",""""))-COUNTIF(C$4:C62,""Sell_""&amp;SUBSTITUTE(C63,""Sell_"",""""))))/4),ROUNDUP(INDEX(Upgrades!$C$3:$C$7,MATCH(C63,Upgrades!$B$3:$B$7,0))*1.15^(COUNTIF(C$4:C62,C63)-COUNTIF(C$4:C62,""Sell_""&amp;C63)))))))"),13800.0)</f>
        <v>13800</v>
      </c>
      <c r="H63" s="14">
        <f t="shared" si="3"/>
        <v>13800</v>
      </c>
      <c r="I63" s="75">
        <f t="shared" si="4"/>
        <v>974689.6505</v>
      </c>
      <c r="J63" s="76">
        <f t="shared" si="5"/>
        <v>447.2656981</v>
      </c>
      <c r="K63" s="71" t="str">
        <f t="shared" si="6"/>
        <v>7m 27s</v>
      </c>
      <c r="L63" s="77">
        <f t="shared" si="7"/>
        <v>90811</v>
      </c>
      <c r="M63" s="51">
        <f t="shared" si="8"/>
        <v>0</v>
      </c>
      <c r="N63" s="52">
        <f>IFERROR(__xludf.DUMMYFUNCTION("IFS(AND(COUNTA(C63:C147)=0,COUNTA(P63:P147)=0),"""",OR(AND(L63&gt;=1000000,OR(Y63&gt;=1000000,COUNTA(P63:P147)=0)),AND(Y63&gt;=1000000,COUNTA(C63:C147)=0),AND(COUNTA(P63:P147)=0,O$3=TRUE)),
ROUNDDOWN((AB$1-AC$1)*MAX(INDEX(S$4:S147,MATCH(LARGE(FILTER(Y$4:Y147,Y$4:Y"&amp;"147&lt;1000000),1),Y$4:Y147)),INDEX(F$4:F147,MATCH(LARGE(FILTER(L$4:L147,L$4:L147&lt;1000000),1),L$4:L147)))),AND(L63&lt;1000000,COUNTA(C63:C147)&gt;0,O$3=FALSE),
ROUNDDOWN(INDEX(Y$4:Y147,MATCH(LARGE(FILTER(W$4:W147,W$4:W147&lt;=J63),1),W$4:W147))+(J63-LARGE(FILTER(W$4:"&amp;"W147,W$4:W147&lt;=J63),1))*INDEX(S$4:S147,MATCH(LARGE(FILTER(W$4:W147,W$4:W147&lt;=J63),1),W$4:W147))-L63),1,
ROUNDDOWN(Y63-INDEX(L$4:L147,MATCH(LARGE(FILTER(J$4:J147,J$4:J147&lt;=W63),1),J$4:J147))-(W63-LARGE(FILTER(J$4:J147,J$4:J147&lt;=W63),1))*INDEX(F$4:F147,MATC"&amp;"H(LARGE(FILTER(J$4:J147,J$4:J147&lt;=W63),1),J$4:J147))))"),0.0)</f>
        <v>0</v>
      </c>
      <c r="O63" s="65">
        <f t="shared" si="9"/>
        <v>2</v>
      </c>
      <c r="P63" s="66" t="s">
        <v>18</v>
      </c>
      <c r="Q63" s="14" t="b">
        <f>IFERROR(__xludf.DUMMYFUNCTION("IF(COUNTA(P63:P147)=0,"""",IFERROR(IF(ISBLANK(P63),FALSE,IF(ISBLANK(T63),1,IF(NOT(COUNTIF($AA$24:$AA$34,SUBSTITUTE(P63,""Sell_"",""""))),1,IF(P63=""Plastic_up"",IF(V63&lt;1000,1),IF(P63=""Super_Up"",IF(OR(COUNTIF(P$4:P63,""Grandma"")-COUNTIF(P$4:P63,""Sell_G"&amp;"randma"")&lt;1,COUNTIF(P$4:P63,VLOOKUP(P63,Upgrades!$F$8:$N$8,7+COUNTIF(P$4:P63,P63)))-COUNTIF(P$4:P63,""Sell_""&amp;VLOOKUP(P63,Upgrades!$F$8:$N$8,7+COUNTIF(P$4:P63,P63)))&lt;15),1),IF(REGEXMATCH(P63,""_up""),IF(COUNTIF(P$4:P63,SUBSTITUTE(P63,""_up"",""""))&lt;IFERRO"&amp;"R(VLOOKUP(P63,Upgrades!$L$3:$P$6,1+COUNTIF(P$4:P63,P63),0),999),1),IF(REGEXMATCH(P63,""Sell_""),IF(COUNTIF(P$4:P63,SUBSTITUTE(P63,""Sell_"",""""))-COUNTIF(P$4:P62,P63)&lt;1,1),FALSE)))))))))"),FALSE)</f>
        <v>0</v>
      </c>
      <c r="R63" s="71">
        <f>IFERROR(__xludf.DUMMYFUNCTION("IF(REGEXMATCH(P63,""^Sell_""),R62, IF(COUNTA(P63:P147)=0,"""",(COUNTIF(P$4:P63,""Cursor"")-COUNTIF(P$4:P63,""Sell_Cursor""))*(0.1*2^SWITCH(COUNTIF(P$4:P63,""Cursor_up""),0,0,1,1,2,2,3)+SWITCH(COUNTIF(P$4:P63,""Cursor_up""),4,0.1,0)*(ROW(P63)-4-COUNTIF(P$4"&amp;":P63,""Cursor"")-COUNTIF(P$4:P63,""*""&amp;""_up"")-2*COUNTIF(P$4:P63,""Sell_""&amp;""*"")+COUNTIF(P$4:P63,""Sell_Cursor"")-COUNTIF(P$4:P63,"""")))+(COUNTIF(P$4:P63,""Grandma"")-COUNTIF(P$4:P63,""Sell_Grandma""))*(1*2^(COUNTIF(P$4:P63,""Grandma_up"")+COUNTIF(P$4:"&amp;"P63,""Super_up"")))+(COUNTIF(P$4:P63,""Farm"")-COUNTIF(P$4:P63,""Sell_Farm""))*(8*2^COUNTIF(P$4:P63,""Farm_up""))*IF(COUNTIF(P$4:P63,""Super_up"")&gt;0,1+0.01*(COUNTIF(P$4:P63,""Grandma"")-COUNTIF(P$4:P63,""Sell_Grandma"")),1)+(COUNTIF(P$4:P63,""Mine"")-COUN"&amp;"TIF(P$4:P63,""Sell_Mine""))*((47*2^COUNTIF(P$4:P63,""Mine_up""))*IF(COUNTIF(P$4:P63,""Super_up"")&gt;1,1+0.005*(COUNTIF(P$4:P63,""Grandma"")-COUNTIF(P$4:P63,""Sell_Grandma"")),1))+(COUNTIF(P$4:P63,""Factory"")-COUNTIF(P$4:P63,""Sell_Factory""))*(260*2^COUNTI"&amp;"F(P$4:P63,""Factory_up""))))"),362.8)</f>
        <v>362.8</v>
      </c>
      <c r="S63" s="73">
        <f>IFERROR(__xludf.DUMMYFUNCTION("IF(COUNTA(P63:P147)=0,"""",IF(REGEXMATCH(INDEX(FILTER(P$4:P63,P$4:P63&lt;&gt;""""),ROWS(FILTER(P$4:P63,P$4:P63&lt;&gt;""""))),""^Sell_""),INDEX(FILTER(S$4:S62,P$4:P62&lt;&gt;""""),ROWS(FILTER(P$4:P62,P$4:P62&lt;&gt;""""))),$AD$5*(2^SWITCH(COUNTIF(P$4:P63,""Cursor_up""),0,0,1,1,2"&amp;",2,3)+SWITCH(COUNTIF(P$4:P63,""Cursor_up""),4,0.1,0)*(ROW(P63)-4-COUNTIF(P$4:P63,""Cursor"")-COUNTIF(P$4:P63,""*""&amp;""_up"")-2*COUNTIF(P$4:P63,""Sell_""&amp;""*"")+COUNTIF(P$4:P63,""Sell_Cursor"")-COUNTIF(P$4:P63,""""))+0.01*R63*COUNTIF(P$4:P63,""Plastic_up"")"&amp;")+R63))"),482.8)</f>
        <v>482.8</v>
      </c>
      <c r="T63" s="14">
        <f>IFERROR(__xludf.DUMMYFUNCTION("IF(COUNTA(P63:P147)=0,"""",IF(REGEXMATCH(P63,""_up""),VLOOKUP(P63,Upgrades!$F$3:$J$8,1+COUNTIF(P$4:P63,P63),FALSE),IF(P63="""",0,IF(REGEXMATCH(P63,""^Sell_""),-ROUNDDOWN(ROUNDUP(INDEX(Upgrades!$C$3:$C$8,MATCH(SUBSTITUTE(P63,""Sell_"",""""),Upgrades!$B$3:$"&amp;"B$8,0))*1.15^(COUNTIF(P$4:P62,SUBSTITUTE(P63,""Sell_"",""""))-COUNTIF(P$4:P62,""Sell_""&amp;SUBSTITUTE(P63,""Sell_"",""""))))/4),ROUNDUP(INDEX(Upgrades!$C$3:$C$7,MATCH(P63,Upgrades!$B$3:$B$7,0))*1.15^(COUNTIF(P$4:P62,P63)-COUNTIF(P$4:P62,""Sell_""&amp;P63)))))))"),13800.0)</f>
        <v>13800</v>
      </c>
      <c r="U63" s="14">
        <f t="shared" si="10"/>
        <v>13800</v>
      </c>
      <c r="V63" s="75">
        <f t="shared" si="11"/>
        <v>974689.6505</v>
      </c>
      <c r="W63" s="76">
        <f t="shared" si="12"/>
        <v>447.2656981</v>
      </c>
      <c r="X63" s="71" t="str">
        <f t="shared" si="13"/>
        <v>7m 27s</v>
      </c>
      <c r="Y63" s="77">
        <f t="shared" si="14"/>
        <v>90811</v>
      </c>
      <c r="Z63" s="17"/>
      <c r="AA63" s="13"/>
      <c r="AB63" s="13"/>
      <c r="AC63" s="13"/>
      <c r="AD63" s="13"/>
      <c r="AE63" s="13"/>
      <c r="AF63" s="13"/>
      <c r="AG63" s="13"/>
    </row>
    <row r="64">
      <c r="A64" s="12"/>
      <c r="B64" s="65">
        <f t="shared" si="2"/>
        <v>12</v>
      </c>
      <c r="C64" s="66" t="s">
        <v>16</v>
      </c>
      <c r="D64" s="14" t="b">
        <f>IFERROR(__xludf.DUMMYFUNCTION("IF(COUNTA(C64:C147)=0,"""",IFERROR(IF(ISBLANK(C64),FALSE,IF(ISBLANK(G64),1,IF(NOT(COUNTIF($AA$24:$AA$34,SUBSTITUTE(C64,""Sell_"",""""))),1,IF(C64=""Plastic_up"",IF(I64&lt;1000,1),IF(C64=""Super_Up"",IF(OR(COUNTIF(C$4:C64,""Grandma"")-COUNTIF(C$4:C64,""Sell_G"&amp;"randma"")&lt;1,COUNTIF(C$4:C64,VLOOKUP(C64,Upgrades!$F$8:$N$8,7+COUNTIF(C$4:C64,C64)))-COUNTIF(C$4:C64,""Sell_""&amp;VLOOKUP(C64,Upgrades!$F$8:$N$8,7+COUNTIF(C$4:C64,C64)))&lt;15),1),IF(REGEXMATCH(C64,""_up""),IF(COUNTIF(C$4:C64,SUBSTITUTE(C64,""_up"",""""))&lt;IFERRO"&amp;"R(VLOOKUP(C64,Upgrades!$L$3:$P$6,1+COUNTIF(C$4:C64,C64),0),999),1),IF(REGEXMATCH(C64,""Sell_""),IF(COUNTIF(C$4:C64,SUBSTITUTE(C64,""Sell_"",""""))-COUNTIF(C$4:C63,C64)&lt;1,1),FALSE)))))))))"),FALSE)</f>
        <v>0</v>
      </c>
      <c r="E64" s="71">
        <f>IFERROR(__xludf.DUMMYFUNCTION("IF(REGEXMATCH(C64,""^Sell_""),E63, IF(COUNTA(C64:C147)=0,"""",(COUNTIF(C$4:C64,""Cursor"")-COUNTIF(C$4:C64,""Sell_Cursor""))*(0.1*2^SWITCH(COUNTIF(C$4:C64,""Cursor_up""),0,0,1,1,2,2,3)+SWITCH(COUNTIF(C$4:C64,""Cursor_up""),4,0.1,0)*(ROW(C64)-4-COUNTIF(C$4"&amp;":C64,""Cursor"")-COUNTIF(C$4:C64,""*""&amp;""_up"")-2*COUNTIF(C$4:C64,""Sell_""&amp;""*"")+COUNTIF(C$4:C64,""Sell_Cursor"")-COUNTIF(C$4:C64,"""")))+(COUNTIF(C$4:C64,""Grandma"")-COUNTIF(C$4:C64,""Sell_Grandma""))*(1*2^(COUNTIF(C$4:C64,""Grandma_up"")+COUNTIF(C$4:"&amp;"C64,""Super_up"")))+(COUNTIF(C$4:C64,""Farm"")-COUNTIF(C$4:C64,""Sell_Farm""))*(8*2^COUNTIF(C$4:C64,""Farm_up""))*IF(COUNTIF(C$4:C64,""Super_up"")&gt;0,1+0.01*(COUNTIF(C$4:C64,""Grandma"")-COUNTIF(C$4:C64,""Sell_Grandma"")),1)+(COUNTIF(C$4:C64,""Mine"")-COUN"&amp;"TIF(C$4:C64,""Sell_Mine""))*((47*2^COUNTIF(C$4:C64,""Mine_up""))*IF(COUNTIF(C$4:C64,""Super_up"")&gt;1,1+0.005*(COUNTIF(C$4:C64,""Grandma"")-COUNTIF(C$4:C64,""Sell_Grandma"")),1))+(COUNTIF(C$4:C64,""Factory"")-COUNTIF(C$4:C64,""Sell_Factory""))*(260*2^COUNTI"&amp;"F(C$4:C64,""Factory_up""))))"),378.8)</f>
        <v>378.8</v>
      </c>
      <c r="F64" s="73">
        <f>IFERROR(__xludf.DUMMYFUNCTION("IF(COUNTA(C64:C147)=0,"""",IF(REGEXMATCH(INDEX(FILTER(C$4:C64,C$4:C64&lt;&gt;""""),ROWS(FILTER(C$4:C64,C$4:C64&lt;&gt;""""))),""^Sell_""),INDEX(FILTER(F$4:F63,C$4:C63&lt;&gt;""""),ROWS(FILTER(C$4:C63,C$4:C63&lt;&gt;""""))),$AC$5*(2^SWITCH(COUNTIF(C$4:C64,""Cursor_up""),0,0,1,1,2"&amp;",2,3)+SWITCH(COUNTIF(C$4:C64,""Cursor_up""),4,0.1,0)*(ROW(C64)-4-COUNTIF(C$4:C64,""Cursor"")-COUNTIF(C$4:C64,""*""&amp;""_up"")-2*COUNTIF(C$4:C64,""Sell_""&amp;""*"")+COUNTIF(C$4:C64,""Sell_Cursor"")-COUNTIF(C$4:C64,""""))+0.01*E64*COUNTIF(C$4:C64,""Plastic_up"")"&amp;")+E64))"),498.8)</f>
        <v>498.8</v>
      </c>
      <c r="G64" s="14">
        <f>IFERROR(__xludf.DUMMYFUNCTION("IF(COUNTA(C64:C147)=0,"""",IF(REGEXMATCH(C64,""_up""),VLOOKUP(C64,Upgrades!$F$3:$J$8,1+COUNTIF(C$4:C64,C64),FALSE),IF(C64="""",0,IF(REGEXMATCH(C64,""^Sell_""),-ROUNDDOWN(ROUNDUP(INDEX(Upgrades!$C$3:$C$8,MATCH(SUBSTITUTE(C64,""Sell_"",""""),Upgrades!$B$3:$"&amp;"B$8,0))*1.15^(COUNTIF(C$4:C63,SUBSTITUTE(C64,""Sell_"",""""))-COUNTIF(C$4:C63,""Sell_""&amp;SUBSTITUTE(C64,""Sell_"",""""))))/4),ROUNDUP(INDEX(Upgrades!$C$3:$C$7,MATCH(C64,Upgrades!$B$3:$B$7,0))*1.15^(COUNTIF(C$4:C63,C64)-COUNTIF(C$4:C63,""Sell_""&amp;C64)))))))"),5118.0)</f>
        <v>5118</v>
      </c>
      <c r="H64" s="14">
        <f t="shared" si="3"/>
        <v>5118</v>
      </c>
      <c r="I64" s="75">
        <f t="shared" si="4"/>
        <v>1029633.614</v>
      </c>
      <c r="J64" s="76">
        <f t="shared" si="5"/>
        <v>457.8663609</v>
      </c>
      <c r="K64" s="71" t="str">
        <f t="shared" si="6"/>
        <v>7m 37s</v>
      </c>
      <c r="L64" s="77">
        <f t="shared" si="7"/>
        <v>95929</v>
      </c>
      <c r="M64" s="51">
        <f t="shared" si="8"/>
        <v>0</v>
      </c>
      <c r="N64" s="52">
        <f>IFERROR(__xludf.DUMMYFUNCTION("IFS(AND(COUNTA(C64:C147)=0,COUNTA(P64:P147)=0),"""",OR(AND(L64&gt;=1000000,OR(Y64&gt;=1000000,COUNTA(P64:P147)=0)),AND(Y64&gt;=1000000,COUNTA(C64:C147)=0),AND(COUNTA(P64:P147)=0,O$3=TRUE)),
ROUNDDOWN((AB$1-AC$1)*MAX(INDEX(S$4:S147,MATCH(LARGE(FILTER(Y$4:Y147,Y$4:Y"&amp;"147&lt;1000000),1),Y$4:Y147)),INDEX(F$4:F147,MATCH(LARGE(FILTER(L$4:L147,L$4:L147&lt;1000000),1),L$4:L147)))),AND(L64&lt;1000000,COUNTA(C64:C147)&gt;0,O$3=FALSE),
ROUNDDOWN(INDEX(Y$4:Y147,MATCH(LARGE(FILTER(W$4:W147,W$4:W147&lt;=J64),1),W$4:W147))+(J64-LARGE(FILTER(W$4:"&amp;"W147,W$4:W147&lt;=J64),1))*INDEX(S$4:S147,MATCH(LARGE(FILTER(W$4:W147,W$4:W147&lt;=J64),1),W$4:W147))-L64),1,
ROUNDDOWN(Y64-INDEX(L$4:L147,MATCH(LARGE(FILTER(J$4:J147,J$4:J147&lt;=W64),1),J$4:J147))-(W64-LARGE(FILTER(J$4:J147,J$4:J147&lt;=W64),1))*INDEX(F$4:F147,MATC"&amp;"H(LARGE(FILTER(J$4:J147,J$4:J147&lt;=W64),1),J$4:J147))))"),0.0)</f>
        <v>0</v>
      </c>
      <c r="O64" s="65">
        <f t="shared" si="9"/>
        <v>12</v>
      </c>
      <c r="P64" s="66" t="s">
        <v>16</v>
      </c>
      <c r="Q64" s="14" t="b">
        <f>IFERROR(__xludf.DUMMYFUNCTION("IF(COUNTA(P64:P147)=0,"""",IFERROR(IF(ISBLANK(P64),FALSE,IF(ISBLANK(T64),1,IF(NOT(COUNTIF($AA$24:$AA$34,SUBSTITUTE(P64,""Sell_"",""""))),1,IF(P64=""Plastic_up"",IF(V64&lt;1000,1),IF(P64=""Super_Up"",IF(OR(COUNTIF(P$4:P64,""Grandma"")-COUNTIF(P$4:P64,""Sell_G"&amp;"randma"")&lt;1,COUNTIF(P$4:P64,VLOOKUP(P64,Upgrades!$F$8:$N$8,7+COUNTIF(P$4:P64,P64)))-COUNTIF(P$4:P64,""Sell_""&amp;VLOOKUP(P64,Upgrades!$F$8:$N$8,7+COUNTIF(P$4:P64,P64)))&lt;15),1),IF(REGEXMATCH(P64,""_up""),IF(COUNTIF(P$4:P64,SUBSTITUTE(P64,""_up"",""""))&lt;IFERRO"&amp;"R(VLOOKUP(P64,Upgrades!$L$3:$P$6,1+COUNTIF(P$4:P64,P64),0),999),1),IF(REGEXMATCH(P64,""Sell_""),IF(COUNTIF(P$4:P64,SUBSTITUTE(P64,""Sell_"",""""))-COUNTIF(P$4:P63,P64)&lt;1,1),FALSE)))))))))"),FALSE)</f>
        <v>0</v>
      </c>
      <c r="R64" s="71">
        <f>IFERROR(__xludf.DUMMYFUNCTION("IF(REGEXMATCH(P64,""^Sell_""),R63, IF(COUNTA(P64:P147)=0,"""",(COUNTIF(P$4:P64,""Cursor"")-COUNTIF(P$4:P64,""Sell_Cursor""))*(0.1*2^SWITCH(COUNTIF(P$4:P64,""Cursor_up""),0,0,1,1,2,2,3)+SWITCH(COUNTIF(P$4:P64,""Cursor_up""),4,0.1,0)*(ROW(P64)-4-COUNTIF(P$4"&amp;":P64,""Cursor"")-COUNTIF(P$4:P64,""*""&amp;""_up"")-2*COUNTIF(P$4:P64,""Sell_""&amp;""*"")+COUNTIF(P$4:P64,""Sell_Cursor"")-COUNTIF(P$4:P64,"""")))+(COUNTIF(P$4:P64,""Grandma"")-COUNTIF(P$4:P64,""Sell_Grandma""))*(1*2^(COUNTIF(P$4:P64,""Grandma_up"")+COUNTIF(P$4:"&amp;"P64,""Super_up"")))+(COUNTIF(P$4:P64,""Farm"")-COUNTIF(P$4:P64,""Sell_Farm""))*(8*2^COUNTIF(P$4:P64,""Farm_up""))*IF(COUNTIF(P$4:P64,""Super_up"")&gt;0,1+0.01*(COUNTIF(P$4:P64,""Grandma"")-COUNTIF(P$4:P64,""Sell_Grandma"")),1)+(COUNTIF(P$4:P64,""Mine"")-COUN"&amp;"TIF(P$4:P64,""Sell_Mine""))*((47*2^COUNTIF(P$4:P64,""Mine_up""))*IF(COUNTIF(P$4:P64,""Super_up"")&gt;1,1+0.005*(COUNTIF(P$4:P64,""Grandma"")-COUNTIF(P$4:P64,""Sell_Grandma"")),1))+(COUNTIF(P$4:P64,""Factory"")-COUNTIF(P$4:P64,""Sell_Factory""))*(260*2^COUNTI"&amp;"F(P$4:P64,""Factory_up""))))"),378.8)</f>
        <v>378.8</v>
      </c>
      <c r="S64" s="73">
        <f>IFERROR(__xludf.DUMMYFUNCTION("IF(COUNTA(P64:P147)=0,"""",IF(REGEXMATCH(INDEX(FILTER(P$4:P64,P$4:P64&lt;&gt;""""),ROWS(FILTER(P$4:P64,P$4:P64&lt;&gt;""""))),""^Sell_""),INDEX(FILTER(S$4:S63,P$4:P63&lt;&gt;""""),ROWS(FILTER(P$4:P63,P$4:P63&lt;&gt;""""))),$AD$5*(2^SWITCH(COUNTIF(P$4:P64,""Cursor_up""),0,0,1,1,2"&amp;",2,3)+SWITCH(COUNTIF(P$4:P64,""Cursor_up""),4,0.1,0)*(ROW(P64)-4-COUNTIF(P$4:P64,""Cursor"")-COUNTIF(P$4:P64,""*""&amp;""_up"")-2*COUNTIF(P$4:P64,""Sell_""&amp;""*"")+COUNTIF(P$4:P64,""Sell_Cursor"")-COUNTIF(P$4:P64,""""))+0.01*R64*COUNTIF(P$4:P64,""Plastic_up"")"&amp;")+R64))"),498.8)</f>
        <v>498.8</v>
      </c>
      <c r="T64" s="14">
        <f>IFERROR(__xludf.DUMMYFUNCTION("IF(COUNTA(P64:P147)=0,"""",IF(REGEXMATCH(P64,""_up""),VLOOKUP(P64,Upgrades!$F$3:$J$8,1+COUNTIF(P$4:P64,P64),FALSE),IF(P64="""",0,IF(REGEXMATCH(P64,""^Sell_""),-ROUNDDOWN(ROUNDUP(INDEX(Upgrades!$C$3:$C$8,MATCH(SUBSTITUTE(P64,""Sell_"",""""),Upgrades!$B$3:$"&amp;"B$8,0))*1.15^(COUNTIF(P$4:P63,SUBSTITUTE(P64,""Sell_"",""""))-COUNTIF(P$4:P63,""Sell_""&amp;SUBSTITUTE(P64,""Sell_"",""""))))/4),ROUNDUP(INDEX(Upgrades!$C$3:$C$7,MATCH(P64,Upgrades!$B$3:$B$7,0))*1.15^(COUNTIF(P$4:P63,P64)-COUNTIF(P$4:P63,""Sell_""&amp;P64)))))))"),5118.0)</f>
        <v>5118</v>
      </c>
      <c r="U64" s="14">
        <f t="shared" si="10"/>
        <v>5118</v>
      </c>
      <c r="V64" s="75">
        <f t="shared" si="11"/>
        <v>1029633.614</v>
      </c>
      <c r="W64" s="76">
        <f t="shared" si="12"/>
        <v>457.8663609</v>
      </c>
      <c r="X64" s="71" t="str">
        <f t="shared" si="13"/>
        <v>7m 37s</v>
      </c>
      <c r="Y64" s="77">
        <f t="shared" si="14"/>
        <v>95929</v>
      </c>
      <c r="Z64" s="17"/>
      <c r="AA64" s="13"/>
      <c r="AB64" s="13"/>
      <c r="AC64" s="13"/>
      <c r="AD64" s="13"/>
      <c r="AE64" s="13"/>
      <c r="AF64" s="13"/>
      <c r="AG64" s="13"/>
    </row>
    <row r="65">
      <c r="A65" s="12"/>
      <c r="B65" s="65">
        <f t="shared" si="2"/>
        <v>20</v>
      </c>
      <c r="C65" s="66" t="s">
        <v>13</v>
      </c>
      <c r="D65" s="14" t="b">
        <f>IFERROR(__xludf.DUMMYFUNCTION("IF(COUNTA(C65:C147)=0,"""",IFERROR(IF(ISBLANK(C65),FALSE,IF(ISBLANK(G65),1,IF(NOT(COUNTIF($AA$24:$AA$34,SUBSTITUTE(C65,""Sell_"",""""))),1,IF(C65=""Plastic_up"",IF(I65&lt;1000,1),IF(C65=""Super_Up"",IF(OR(COUNTIF(C$4:C65,""Grandma"")-COUNTIF(C$4:C65,""Sell_G"&amp;"randma"")&lt;1,COUNTIF(C$4:C65,VLOOKUP(C65,Upgrades!$F$8:$N$8,7+COUNTIF(C$4:C65,C65)))-COUNTIF(C$4:C65,""Sell_""&amp;VLOOKUP(C65,Upgrades!$F$8:$N$8,7+COUNTIF(C$4:C65,C65)))&lt;15),1),IF(REGEXMATCH(C65,""_up""),IF(COUNTIF(C$4:C65,SUBSTITUTE(C65,""_up"",""""))&lt;IFERRO"&amp;"R(VLOOKUP(C65,Upgrades!$L$3:$P$6,1+COUNTIF(C$4:C65,C65),0),999),1),IF(REGEXMATCH(C65,""Sell_""),IF(COUNTIF(C$4:C65,SUBSTITUTE(C65,""Sell_"",""""))-COUNTIF(C$4:C64,C65)&lt;1,1),FALSE)))))))))"),FALSE)</f>
        <v>0</v>
      </c>
      <c r="E65" s="71">
        <f>IFERROR(__xludf.DUMMYFUNCTION("IF(REGEXMATCH(C65,""^Sell_""),E64, IF(COUNTA(C65:C147)=0,"""",(COUNTIF(C$4:C65,""Cursor"")-COUNTIF(C$4:C65,""Sell_Cursor""))*(0.1*2^SWITCH(COUNTIF(C$4:C65,""Cursor_up""),0,0,1,1,2,2,3)+SWITCH(COUNTIF(C$4:C65,""Cursor_up""),4,0.1,0)*(ROW(C65)-4-COUNTIF(C$4"&amp;":C65,""Cursor"")-COUNTIF(C$4:C65,""*""&amp;""_up"")-2*COUNTIF(C$4:C65,""Sell_""&amp;""*"")+COUNTIF(C$4:C65,""Sell_Cursor"")-COUNTIF(C$4:C65,"""")))+(COUNTIF(C$4:C65,""Grandma"")-COUNTIF(C$4:C65,""Sell_Grandma""))*(1*2^(COUNTIF(C$4:C65,""Grandma_up"")+COUNTIF(C$4:"&amp;"C65,""Super_up"")))+(COUNTIF(C$4:C65,""Farm"")-COUNTIF(C$4:C65,""Sell_Farm""))*(8*2^COUNTIF(C$4:C65,""Farm_up""))*IF(COUNTIF(C$4:C65,""Super_up"")&gt;0,1+0.01*(COUNTIF(C$4:C65,""Grandma"")-COUNTIF(C$4:C65,""Sell_Grandma"")),1)+(COUNTIF(C$4:C65,""Mine"")-COUN"&amp;"TIF(C$4:C65,""Sell_Mine""))*((47*2^COUNTIF(C$4:C65,""Mine_up""))*IF(COUNTIF(C$4:C65,""Super_up"")&gt;1,1+0.005*(COUNTIF(C$4:C65,""Grandma"")-COUNTIF(C$4:C65,""Sell_Grandma"")),1))+(COUNTIF(C$4:C65,""Factory"")-COUNTIF(C$4:C65,""Sell_Factory""))*(260*2^COUNTI"&amp;"F(C$4:C65,""Factory_up""))))"),382.8)</f>
        <v>382.8</v>
      </c>
      <c r="F65" s="73">
        <f>IFERROR(__xludf.DUMMYFUNCTION("IF(COUNTA(C65:C147)=0,"""",IF(REGEXMATCH(INDEX(FILTER(C$4:C65,C$4:C65&lt;&gt;""""),ROWS(FILTER(C$4:C65,C$4:C65&lt;&gt;""""))),""^Sell_""),INDEX(FILTER(F$4:F64,C$4:C64&lt;&gt;""""),ROWS(FILTER(C$4:C64,C$4:C64&lt;&gt;""""))),$AC$5*(2^SWITCH(COUNTIF(C$4:C65,""Cursor_up""),0,0,1,1,2"&amp;",2,3)+SWITCH(COUNTIF(C$4:C65,""Cursor_up""),4,0.1,0)*(ROW(C65)-4-COUNTIF(C$4:C65,""Cursor"")-COUNTIF(C$4:C65,""*""&amp;""_up"")-2*COUNTIF(C$4:C65,""Sell_""&amp;""*"")+COUNTIF(C$4:C65,""Sell_Cursor"")-COUNTIF(C$4:C65,""""))+0.01*E65*COUNTIF(C$4:C65,""Plastic_up"")"&amp;")+E65))"),502.8)</f>
        <v>502.8</v>
      </c>
      <c r="G65" s="14">
        <f>IFERROR(__xludf.DUMMYFUNCTION("IF(COUNTA(C65:C147)=0,"""",IF(REGEXMATCH(C65,""_up""),VLOOKUP(C65,Upgrades!$F$3:$J$8,1+COUNTIF(C$4:C65,C65),FALSE),IF(C65="""",0,IF(REGEXMATCH(C65,""^Sell_""),-ROUNDDOWN(ROUNDUP(INDEX(Upgrades!$C$3:$C$8,MATCH(SUBSTITUTE(C65,""Sell_"",""""),Upgrades!$B$3:$"&amp;"B$8,0))*1.15^(COUNTIF(C$4:C64,SUBSTITUTE(C65,""Sell_"",""""))-COUNTIF(C$4:C64,""Sell_""&amp;SUBSTITUTE(C65,""Sell_"",""""))))/4),ROUNDUP(INDEX(Upgrades!$C$3:$C$7,MATCH(C65,Upgrades!$B$3:$B$7,0))*1.15^(COUNTIF(C$4:C64,C65)-COUNTIF(C$4:C64,""Sell_""&amp;C65)))))))"),1424.0)</f>
        <v>1424</v>
      </c>
      <c r="H65" s="14">
        <f t="shared" si="3"/>
        <v>1424</v>
      </c>
      <c r="I65" s="75">
        <f t="shared" si="4"/>
        <v>1084920.159</v>
      </c>
      <c r="J65" s="76">
        <f t="shared" si="5"/>
        <v>460.7212126</v>
      </c>
      <c r="K65" s="71" t="str">
        <f t="shared" si="6"/>
        <v>7m 40s</v>
      </c>
      <c r="L65" s="77">
        <f t="shared" si="7"/>
        <v>97353</v>
      </c>
      <c r="M65" s="51">
        <f t="shared" si="8"/>
        <v>0</v>
      </c>
      <c r="N65" s="52">
        <f>IFERROR(__xludf.DUMMYFUNCTION("IFS(AND(COUNTA(C65:C147)=0,COUNTA(P65:P147)=0),"""",OR(AND(L65&gt;=1000000,OR(Y65&gt;=1000000,COUNTA(P65:P147)=0)),AND(Y65&gt;=1000000,COUNTA(C65:C147)=0),AND(COUNTA(P65:P147)=0,O$3=TRUE)),
ROUNDDOWN((AB$1-AC$1)*MAX(INDEX(S$4:S147,MATCH(LARGE(FILTER(Y$4:Y147,Y$4:Y"&amp;"147&lt;1000000),1),Y$4:Y147)),INDEX(F$4:F147,MATCH(LARGE(FILTER(L$4:L147,L$4:L147&lt;1000000),1),L$4:L147)))),AND(L65&lt;1000000,COUNTA(C65:C147)&gt;0,O$3=FALSE),
ROUNDDOWN(INDEX(Y$4:Y147,MATCH(LARGE(FILTER(W$4:W147,W$4:W147&lt;=J65),1),W$4:W147))+(J65-LARGE(FILTER(W$4:"&amp;"W147,W$4:W147&lt;=J65),1))*INDEX(S$4:S147,MATCH(LARGE(FILTER(W$4:W147,W$4:W147&lt;=J65),1),W$4:W147))-L65),1,
ROUNDDOWN(Y65-INDEX(L$4:L147,MATCH(LARGE(FILTER(J$4:J147,J$4:J147&lt;=W65),1),J$4:J147))-(W65-LARGE(FILTER(J$4:J147,J$4:J147&lt;=W65),1))*INDEX(F$4:F147,MATC"&amp;"H(LARGE(FILTER(J$4:J147,J$4:J147&lt;=W65),1),J$4:J147))))"),0.0)</f>
        <v>0</v>
      </c>
      <c r="O65" s="65">
        <f t="shared" si="9"/>
        <v>20</v>
      </c>
      <c r="P65" s="66" t="s">
        <v>13</v>
      </c>
      <c r="Q65" s="14" t="b">
        <f>IFERROR(__xludf.DUMMYFUNCTION("IF(COUNTA(P65:P147)=0,"""",IFERROR(IF(ISBLANK(P65),FALSE,IF(ISBLANK(T65),1,IF(NOT(COUNTIF($AA$24:$AA$34,SUBSTITUTE(P65,""Sell_"",""""))),1,IF(P65=""Plastic_up"",IF(V65&lt;1000,1),IF(P65=""Super_Up"",IF(OR(COUNTIF(P$4:P65,""Grandma"")-COUNTIF(P$4:P65,""Sell_G"&amp;"randma"")&lt;1,COUNTIF(P$4:P65,VLOOKUP(P65,Upgrades!$F$8:$N$8,7+COUNTIF(P$4:P65,P65)))-COUNTIF(P$4:P65,""Sell_""&amp;VLOOKUP(P65,Upgrades!$F$8:$N$8,7+COUNTIF(P$4:P65,P65)))&lt;15),1),IF(REGEXMATCH(P65,""_up""),IF(COUNTIF(P$4:P65,SUBSTITUTE(P65,""_up"",""""))&lt;IFERRO"&amp;"R(VLOOKUP(P65,Upgrades!$L$3:$P$6,1+COUNTIF(P$4:P65,P65),0),999),1),IF(REGEXMATCH(P65,""Sell_""),IF(COUNTIF(P$4:P65,SUBSTITUTE(P65,""Sell_"",""""))-COUNTIF(P$4:P64,P65)&lt;1,1),FALSE)))))))))"),FALSE)</f>
        <v>0</v>
      </c>
      <c r="R65" s="71">
        <f>IFERROR(__xludf.DUMMYFUNCTION("IF(REGEXMATCH(P65,""^Sell_""),R64, IF(COUNTA(P65:P147)=0,"""",(COUNTIF(P$4:P65,""Cursor"")-COUNTIF(P$4:P65,""Sell_Cursor""))*(0.1*2^SWITCH(COUNTIF(P$4:P65,""Cursor_up""),0,0,1,1,2,2,3)+SWITCH(COUNTIF(P$4:P65,""Cursor_up""),4,0.1,0)*(ROW(P65)-4-COUNTIF(P$4"&amp;":P65,""Cursor"")-COUNTIF(P$4:P65,""*""&amp;""_up"")-2*COUNTIF(P$4:P65,""Sell_""&amp;""*"")+COUNTIF(P$4:P65,""Sell_Cursor"")-COUNTIF(P$4:P65,"""")))+(COUNTIF(P$4:P65,""Grandma"")-COUNTIF(P$4:P65,""Sell_Grandma""))*(1*2^(COUNTIF(P$4:P65,""Grandma_up"")+COUNTIF(P$4:"&amp;"P65,""Super_up"")))+(COUNTIF(P$4:P65,""Farm"")-COUNTIF(P$4:P65,""Sell_Farm""))*(8*2^COUNTIF(P$4:P65,""Farm_up""))*IF(COUNTIF(P$4:P65,""Super_up"")&gt;0,1+0.01*(COUNTIF(P$4:P65,""Grandma"")-COUNTIF(P$4:P65,""Sell_Grandma"")),1)+(COUNTIF(P$4:P65,""Mine"")-COUN"&amp;"TIF(P$4:P65,""Sell_Mine""))*((47*2^COUNTIF(P$4:P65,""Mine_up""))*IF(COUNTIF(P$4:P65,""Super_up"")&gt;1,1+0.005*(COUNTIF(P$4:P65,""Grandma"")-COUNTIF(P$4:P65,""Sell_Grandma"")),1))+(COUNTIF(P$4:P65,""Factory"")-COUNTIF(P$4:P65,""Sell_Factory""))*(260*2^COUNTI"&amp;"F(P$4:P65,""Factory_up""))))"),382.8)</f>
        <v>382.8</v>
      </c>
      <c r="S65" s="73">
        <f>IFERROR(__xludf.DUMMYFUNCTION("IF(COUNTA(P65:P147)=0,"""",IF(REGEXMATCH(INDEX(FILTER(P$4:P65,P$4:P65&lt;&gt;""""),ROWS(FILTER(P$4:P65,P$4:P65&lt;&gt;""""))),""^Sell_""),INDEX(FILTER(S$4:S64,P$4:P64&lt;&gt;""""),ROWS(FILTER(P$4:P64,P$4:P64&lt;&gt;""""))),$AD$5*(2^SWITCH(COUNTIF(P$4:P65,""Cursor_up""),0,0,1,1,2"&amp;",2,3)+SWITCH(COUNTIF(P$4:P65,""Cursor_up""),4,0.1,0)*(ROW(P65)-4-COUNTIF(P$4:P65,""Cursor"")-COUNTIF(P$4:P65,""*""&amp;""_up"")-2*COUNTIF(P$4:P65,""Sell_""&amp;""*"")+COUNTIF(P$4:P65,""Sell_Cursor"")-COUNTIF(P$4:P65,""""))+0.01*R65*COUNTIF(P$4:P65,""Plastic_up"")"&amp;")+R65))"),502.8)</f>
        <v>502.8</v>
      </c>
      <c r="T65" s="14">
        <f>IFERROR(__xludf.DUMMYFUNCTION("IF(COUNTA(P65:P147)=0,"""",IF(REGEXMATCH(P65,""_up""),VLOOKUP(P65,Upgrades!$F$3:$J$8,1+COUNTIF(P$4:P65,P65),FALSE),IF(P65="""",0,IF(REGEXMATCH(P65,""^Sell_""),-ROUNDDOWN(ROUNDUP(INDEX(Upgrades!$C$3:$C$8,MATCH(SUBSTITUTE(P65,""Sell_"",""""),Upgrades!$B$3:$"&amp;"B$8,0))*1.15^(COUNTIF(P$4:P64,SUBSTITUTE(P65,""Sell_"",""""))-COUNTIF(P$4:P64,""Sell_""&amp;SUBSTITUTE(P65,""Sell_"",""""))))/4),ROUNDUP(INDEX(Upgrades!$C$3:$C$7,MATCH(P65,Upgrades!$B$3:$B$7,0))*1.15^(COUNTIF(P$4:P64,P65)-COUNTIF(P$4:P64,""Sell_""&amp;P65)))))))"),1424.0)</f>
        <v>1424</v>
      </c>
      <c r="U65" s="14">
        <f t="shared" si="10"/>
        <v>1424</v>
      </c>
      <c r="V65" s="75">
        <f t="shared" si="11"/>
        <v>1084920.159</v>
      </c>
      <c r="W65" s="76">
        <f t="shared" si="12"/>
        <v>460.7212126</v>
      </c>
      <c r="X65" s="71" t="str">
        <f t="shared" si="13"/>
        <v>7m 40s</v>
      </c>
      <c r="Y65" s="77">
        <f t="shared" si="14"/>
        <v>97353</v>
      </c>
      <c r="Z65" s="17"/>
      <c r="AA65" s="13"/>
      <c r="AB65" s="13"/>
      <c r="AC65" s="13"/>
      <c r="AD65" s="13"/>
      <c r="AE65" s="13"/>
      <c r="AF65" s="13"/>
      <c r="AG65" s="13"/>
    </row>
    <row r="66">
      <c r="A66" s="12"/>
      <c r="B66" s="65">
        <f t="shared" si="2"/>
        <v>13</v>
      </c>
      <c r="C66" s="66" t="s">
        <v>16</v>
      </c>
      <c r="D66" s="14" t="b">
        <f>IFERROR(__xludf.DUMMYFUNCTION("IF(COUNTA(C66:C147)=0,"""",IFERROR(IF(ISBLANK(C66),FALSE,IF(ISBLANK(G66),1,IF(NOT(COUNTIF($AA$24:$AA$34,SUBSTITUTE(C66,""Sell_"",""""))),1,IF(C66=""Plastic_up"",IF(I66&lt;1000,1),IF(C66=""Super_Up"",IF(OR(COUNTIF(C$4:C66,""Grandma"")-COUNTIF(C$4:C66,""Sell_G"&amp;"randma"")&lt;1,COUNTIF(C$4:C66,VLOOKUP(C66,Upgrades!$F$8:$N$8,7+COUNTIF(C$4:C66,C66)))-COUNTIF(C$4:C66,""Sell_""&amp;VLOOKUP(C66,Upgrades!$F$8:$N$8,7+COUNTIF(C$4:C66,C66)))&lt;15),1),IF(REGEXMATCH(C66,""_up""),IF(COUNTIF(C$4:C66,SUBSTITUTE(C66,""_up"",""""))&lt;IFERRO"&amp;"R(VLOOKUP(C66,Upgrades!$L$3:$P$6,1+COUNTIF(C$4:C66,C66),0),999),1),IF(REGEXMATCH(C66,""Sell_""),IF(COUNTIF(C$4:C66,SUBSTITUTE(C66,""Sell_"",""""))-COUNTIF(C$4:C65,C66)&lt;1,1),FALSE)))))))))"),FALSE)</f>
        <v>0</v>
      </c>
      <c r="E66" s="71">
        <f>IFERROR(__xludf.DUMMYFUNCTION("IF(REGEXMATCH(C66,""^Sell_""),E65, IF(COUNTA(C66:C147)=0,"""",(COUNTIF(C$4:C66,""Cursor"")-COUNTIF(C$4:C66,""Sell_Cursor""))*(0.1*2^SWITCH(COUNTIF(C$4:C66,""Cursor_up""),0,0,1,1,2,2,3)+SWITCH(COUNTIF(C$4:C66,""Cursor_up""),4,0.1,0)*(ROW(C66)-4-COUNTIF(C$4"&amp;":C66,""Cursor"")-COUNTIF(C$4:C66,""*""&amp;""_up"")-2*COUNTIF(C$4:C66,""Sell_""&amp;""*"")+COUNTIF(C$4:C66,""Sell_Cursor"")-COUNTIF(C$4:C66,"""")))+(COUNTIF(C$4:C66,""Grandma"")-COUNTIF(C$4:C66,""Sell_Grandma""))*(1*2^(COUNTIF(C$4:C66,""Grandma_up"")+COUNTIF(C$4:"&amp;"C66,""Super_up"")))+(COUNTIF(C$4:C66,""Farm"")-COUNTIF(C$4:C66,""Sell_Farm""))*(8*2^COUNTIF(C$4:C66,""Farm_up""))*IF(COUNTIF(C$4:C66,""Super_up"")&gt;0,1+0.01*(COUNTIF(C$4:C66,""Grandma"")-COUNTIF(C$4:C66,""Sell_Grandma"")),1)+(COUNTIF(C$4:C66,""Mine"")-COUN"&amp;"TIF(C$4:C66,""Sell_Mine""))*((47*2^COUNTIF(C$4:C66,""Mine_up""))*IF(COUNTIF(C$4:C66,""Super_up"")&gt;1,1+0.005*(COUNTIF(C$4:C66,""Grandma"")-COUNTIF(C$4:C66,""Sell_Grandma"")),1))+(COUNTIF(C$4:C66,""Factory"")-COUNTIF(C$4:C66,""Sell_Factory""))*(260*2^COUNTI"&amp;"F(C$4:C66,""Factory_up""))))"),398.8)</f>
        <v>398.8</v>
      </c>
      <c r="F66" s="73">
        <f>IFERROR(__xludf.DUMMYFUNCTION("IF(COUNTA(C66:C147)=0,"""",IF(REGEXMATCH(INDEX(FILTER(C$4:C66,C$4:C66&lt;&gt;""""),ROWS(FILTER(C$4:C66,C$4:C66&lt;&gt;""""))),""^Sell_""),INDEX(FILTER(F$4:F65,C$4:C65&lt;&gt;""""),ROWS(FILTER(C$4:C65,C$4:C65&lt;&gt;""""))),$AC$5*(2^SWITCH(COUNTIF(C$4:C66,""Cursor_up""),0,0,1,1,2"&amp;",2,3)+SWITCH(COUNTIF(C$4:C66,""Cursor_up""),4,0.1,0)*(ROW(C66)-4-COUNTIF(C$4:C66,""Cursor"")-COUNTIF(C$4:C66,""*""&amp;""_up"")-2*COUNTIF(C$4:C66,""Sell_""&amp;""*"")+COUNTIF(C$4:C66,""Sell_Cursor"")-COUNTIF(C$4:C66,""""))+0.01*E66*COUNTIF(C$4:C66,""Plastic_up"")"&amp;")+E66))"),518.8)</f>
        <v>518.8</v>
      </c>
      <c r="G66" s="14">
        <f>IFERROR(__xludf.DUMMYFUNCTION("IF(COUNTA(C66:C147)=0,"""",IF(REGEXMATCH(C66,""_up""),VLOOKUP(C66,Upgrades!$F$3:$J$8,1+COUNTIF(C$4:C66,C66),FALSE),IF(C66="""",0,IF(REGEXMATCH(C66,""^Sell_""),-ROUNDDOWN(ROUNDUP(INDEX(Upgrades!$C$3:$C$8,MATCH(SUBSTITUTE(C66,""Sell_"",""""),Upgrades!$B$3:$"&amp;"B$8,0))*1.15^(COUNTIF(C$4:C65,SUBSTITUTE(C66,""Sell_"",""""))-COUNTIF(C$4:C65,""Sell_""&amp;SUBSTITUTE(C66,""Sell_"",""""))))/4),ROUNDUP(INDEX(Upgrades!$C$3:$C$7,MATCH(C66,Upgrades!$B$3:$B$7,0))*1.15^(COUNTIF(C$4:C65,C66)-COUNTIF(C$4:C65,""Sell_""&amp;C66)))))))"),5886.0)</f>
        <v>5886</v>
      </c>
      <c r="H66" s="14">
        <f t="shared" si="3"/>
        <v>5886</v>
      </c>
      <c r="I66" s="75">
        <f t="shared" si="4"/>
        <v>1141611.478</v>
      </c>
      <c r="J66" s="76">
        <f t="shared" si="5"/>
        <v>472.4276565</v>
      </c>
      <c r="K66" s="71" t="str">
        <f t="shared" si="6"/>
        <v>7m 52s</v>
      </c>
      <c r="L66" s="77">
        <f t="shared" si="7"/>
        <v>103239</v>
      </c>
      <c r="M66" s="51">
        <f t="shared" si="8"/>
        <v>0</v>
      </c>
      <c r="N66" s="52">
        <f>IFERROR(__xludf.DUMMYFUNCTION("IFS(AND(COUNTA(C66:C147)=0,COUNTA(P66:P147)=0),"""",OR(AND(L66&gt;=1000000,OR(Y66&gt;=1000000,COUNTA(P66:P147)=0)),AND(Y66&gt;=1000000,COUNTA(C66:C147)=0),AND(COUNTA(P66:P147)=0,O$3=TRUE)),
ROUNDDOWN((AB$1-AC$1)*MAX(INDEX(S$4:S147,MATCH(LARGE(FILTER(Y$4:Y147,Y$4:Y"&amp;"147&lt;1000000),1),Y$4:Y147)),INDEX(F$4:F147,MATCH(LARGE(FILTER(L$4:L147,L$4:L147&lt;1000000),1),L$4:L147)))),AND(L66&lt;1000000,COUNTA(C66:C147)&gt;0,O$3=FALSE),
ROUNDDOWN(INDEX(Y$4:Y147,MATCH(LARGE(FILTER(W$4:W147,W$4:W147&lt;=J66),1),W$4:W147))+(J66-LARGE(FILTER(W$4:"&amp;"W147,W$4:W147&lt;=J66),1))*INDEX(S$4:S147,MATCH(LARGE(FILTER(W$4:W147,W$4:W147&lt;=J66),1),W$4:W147))-L66),1,
ROUNDDOWN(Y66-INDEX(L$4:L147,MATCH(LARGE(FILTER(J$4:J147,J$4:J147&lt;=W66),1),J$4:J147))-(W66-LARGE(FILTER(J$4:J147,J$4:J147&lt;=W66),1))*INDEX(F$4:F147,MATC"&amp;"H(LARGE(FILTER(J$4:J147,J$4:J147&lt;=W66),1),J$4:J147))))"),0.0)</f>
        <v>0</v>
      </c>
      <c r="O66" s="65">
        <f t="shared" si="9"/>
        <v>13</v>
      </c>
      <c r="P66" s="66" t="s">
        <v>16</v>
      </c>
      <c r="Q66" s="14" t="b">
        <f>IFERROR(__xludf.DUMMYFUNCTION("IF(COUNTA(P66:P147)=0,"""",IFERROR(IF(ISBLANK(P66),FALSE,IF(ISBLANK(T66),1,IF(NOT(COUNTIF($AA$24:$AA$34,SUBSTITUTE(P66,""Sell_"",""""))),1,IF(P66=""Plastic_up"",IF(V66&lt;1000,1),IF(P66=""Super_Up"",IF(OR(COUNTIF(P$4:P66,""Grandma"")-COUNTIF(P$4:P66,""Sell_G"&amp;"randma"")&lt;1,COUNTIF(P$4:P66,VLOOKUP(P66,Upgrades!$F$8:$N$8,7+COUNTIF(P$4:P66,P66)))-COUNTIF(P$4:P66,""Sell_""&amp;VLOOKUP(P66,Upgrades!$F$8:$N$8,7+COUNTIF(P$4:P66,P66)))&lt;15),1),IF(REGEXMATCH(P66,""_up""),IF(COUNTIF(P$4:P66,SUBSTITUTE(P66,""_up"",""""))&lt;IFERRO"&amp;"R(VLOOKUP(P66,Upgrades!$L$3:$P$6,1+COUNTIF(P$4:P66,P66),0),999),1),IF(REGEXMATCH(P66,""Sell_""),IF(COUNTIF(P$4:P66,SUBSTITUTE(P66,""Sell_"",""""))-COUNTIF(P$4:P65,P66)&lt;1,1),FALSE)))))))))"),FALSE)</f>
        <v>0</v>
      </c>
      <c r="R66" s="71">
        <f>IFERROR(__xludf.DUMMYFUNCTION("IF(REGEXMATCH(P66,""^Sell_""),R65, IF(COUNTA(P66:P147)=0,"""",(COUNTIF(P$4:P66,""Cursor"")-COUNTIF(P$4:P66,""Sell_Cursor""))*(0.1*2^SWITCH(COUNTIF(P$4:P66,""Cursor_up""),0,0,1,1,2,2,3)+SWITCH(COUNTIF(P$4:P66,""Cursor_up""),4,0.1,0)*(ROW(P66)-4-COUNTIF(P$4"&amp;":P66,""Cursor"")-COUNTIF(P$4:P66,""*""&amp;""_up"")-2*COUNTIF(P$4:P66,""Sell_""&amp;""*"")+COUNTIF(P$4:P66,""Sell_Cursor"")-COUNTIF(P$4:P66,"""")))+(COUNTIF(P$4:P66,""Grandma"")-COUNTIF(P$4:P66,""Sell_Grandma""))*(1*2^(COUNTIF(P$4:P66,""Grandma_up"")+COUNTIF(P$4:"&amp;"P66,""Super_up"")))+(COUNTIF(P$4:P66,""Farm"")-COUNTIF(P$4:P66,""Sell_Farm""))*(8*2^COUNTIF(P$4:P66,""Farm_up""))*IF(COUNTIF(P$4:P66,""Super_up"")&gt;0,1+0.01*(COUNTIF(P$4:P66,""Grandma"")-COUNTIF(P$4:P66,""Sell_Grandma"")),1)+(COUNTIF(P$4:P66,""Mine"")-COUN"&amp;"TIF(P$4:P66,""Sell_Mine""))*((47*2^COUNTIF(P$4:P66,""Mine_up""))*IF(COUNTIF(P$4:P66,""Super_up"")&gt;1,1+0.005*(COUNTIF(P$4:P66,""Grandma"")-COUNTIF(P$4:P66,""Sell_Grandma"")),1))+(COUNTIF(P$4:P66,""Factory"")-COUNTIF(P$4:P66,""Sell_Factory""))*(260*2^COUNTI"&amp;"F(P$4:P66,""Factory_up""))))"),398.8)</f>
        <v>398.8</v>
      </c>
      <c r="S66" s="73">
        <f>IFERROR(__xludf.DUMMYFUNCTION("IF(COUNTA(P66:P147)=0,"""",IF(REGEXMATCH(INDEX(FILTER(P$4:P66,P$4:P66&lt;&gt;""""),ROWS(FILTER(P$4:P66,P$4:P66&lt;&gt;""""))),""^Sell_""),INDEX(FILTER(S$4:S65,P$4:P65&lt;&gt;""""),ROWS(FILTER(P$4:P65,P$4:P65&lt;&gt;""""))),$AD$5*(2^SWITCH(COUNTIF(P$4:P66,""Cursor_up""),0,0,1,1,2"&amp;",2,3)+SWITCH(COUNTIF(P$4:P66,""Cursor_up""),4,0.1,0)*(ROW(P66)-4-COUNTIF(P$4:P66,""Cursor"")-COUNTIF(P$4:P66,""*""&amp;""_up"")-2*COUNTIF(P$4:P66,""Sell_""&amp;""*"")+COUNTIF(P$4:P66,""Sell_Cursor"")-COUNTIF(P$4:P66,""""))+0.01*R66*COUNTIF(P$4:P66,""Plastic_up"")"&amp;")+R66))"),518.8)</f>
        <v>518.8</v>
      </c>
      <c r="T66" s="14">
        <f>IFERROR(__xludf.DUMMYFUNCTION("IF(COUNTA(P66:P147)=0,"""",IF(REGEXMATCH(P66,""_up""),VLOOKUP(P66,Upgrades!$F$3:$J$8,1+COUNTIF(P$4:P66,P66),FALSE),IF(P66="""",0,IF(REGEXMATCH(P66,""^Sell_""),-ROUNDDOWN(ROUNDUP(INDEX(Upgrades!$C$3:$C$8,MATCH(SUBSTITUTE(P66,""Sell_"",""""),Upgrades!$B$3:$"&amp;"B$8,0))*1.15^(COUNTIF(P$4:P65,SUBSTITUTE(P66,""Sell_"",""""))-COUNTIF(P$4:P65,""Sell_""&amp;SUBSTITUTE(P66,""Sell_"",""""))))/4),ROUNDUP(INDEX(Upgrades!$C$3:$C$7,MATCH(P66,Upgrades!$B$3:$B$7,0))*1.15^(COUNTIF(P$4:P65,P66)-COUNTIF(P$4:P65,""Sell_""&amp;P66)))))))"),5886.0)</f>
        <v>5886</v>
      </c>
      <c r="U66" s="14">
        <f t="shared" si="10"/>
        <v>5886</v>
      </c>
      <c r="V66" s="75">
        <f t="shared" si="11"/>
        <v>1141611.478</v>
      </c>
      <c r="W66" s="76">
        <f t="shared" si="12"/>
        <v>472.4276565</v>
      </c>
      <c r="X66" s="71" t="str">
        <f t="shared" si="13"/>
        <v>7m 52s</v>
      </c>
      <c r="Y66" s="77">
        <f t="shared" si="14"/>
        <v>103239</v>
      </c>
      <c r="Z66" s="17"/>
      <c r="AA66" s="13"/>
      <c r="AB66" s="13"/>
      <c r="AC66" s="13"/>
      <c r="AD66" s="13"/>
      <c r="AE66" s="13"/>
      <c r="AF66" s="13"/>
      <c r="AG66" s="13"/>
    </row>
    <row r="67">
      <c r="A67" s="12"/>
      <c r="B67" s="65">
        <f t="shared" si="2"/>
        <v>2</v>
      </c>
      <c r="C67" s="66" t="s">
        <v>17</v>
      </c>
      <c r="D67" s="14" t="b">
        <f>IFERROR(__xludf.DUMMYFUNCTION("IF(COUNTA(C67:C147)=0,"""",IFERROR(IF(ISBLANK(C67),FALSE,IF(ISBLANK(G67),1,IF(NOT(COUNTIF($AA$24:$AA$34,SUBSTITUTE(C67,""Sell_"",""""))),1,IF(C67=""Plastic_up"",IF(I67&lt;1000,1),IF(C67=""Super_Up"",IF(OR(COUNTIF(C$4:C67,""Grandma"")-COUNTIF(C$4:C67,""Sell_G"&amp;"randma"")&lt;1,COUNTIF(C$4:C67,VLOOKUP(C67,Upgrades!$F$8:$N$8,7+COUNTIF(C$4:C67,C67)))-COUNTIF(C$4:C67,""Sell_""&amp;VLOOKUP(C67,Upgrades!$F$8:$N$8,7+COUNTIF(C$4:C67,C67)))&lt;15),1),IF(REGEXMATCH(C67,""_up""),IF(COUNTIF(C$4:C67,SUBSTITUTE(C67,""_up"",""""))&lt;IFERRO"&amp;"R(VLOOKUP(C67,Upgrades!$L$3:$P$6,1+COUNTIF(C$4:C67,C67),0),999),1),IF(REGEXMATCH(C67,""Sell_""),IF(COUNTIF(C$4:C67,SUBSTITUTE(C67,""Sell_"",""""))-COUNTIF(C$4:C66,C67)&lt;1,1),FALSE)))))))))"),FALSE)</f>
        <v>0</v>
      </c>
      <c r="E67" s="71">
        <f>IFERROR(__xludf.DUMMYFUNCTION("IF(REGEXMATCH(C67,""^Sell_""),E66, IF(COUNTA(C67:C147)=0,"""",(COUNTIF(C$4:C67,""Cursor"")-COUNTIF(C$4:C67,""Sell_Cursor""))*(0.1*2^SWITCH(COUNTIF(C$4:C67,""Cursor_up""),0,0,1,1,2,2,3)+SWITCH(COUNTIF(C$4:C67,""Cursor_up""),4,0.1,0)*(ROW(C67)-4-COUNTIF(C$4"&amp;":C67,""Cursor"")-COUNTIF(C$4:C67,""*""&amp;""_up"")-2*COUNTIF(C$4:C67,""Sell_""&amp;""*"")+COUNTIF(C$4:C67,""Sell_Cursor"")-COUNTIF(C$4:C67,"""")))+(COUNTIF(C$4:C67,""Grandma"")-COUNTIF(C$4:C67,""Sell_Grandma""))*(1*2^(COUNTIF(C$4:C67,""Grandma_up"")+COUNTIF(C$4:"&amp;"C67,""Super_up"")))+(COUNTIF(C$4:C67,""Farm"")-COUNTIF(C$4:C67,""Sell_Farm""))*(8*2^COUNTIF(C$4:C67,""Farm_up""))*IF(COUNTIF(C$4:C67,""Super_up"")&gt;0,1+0.01*(COUNTIF(C$4:C67,""Grandma"")-COUNTIF(C$4:C67,""Sell_Grandma"")),1)+(COUNTIF(C$4:C67,""Mine"")-COUN"&amp;"TIF(C$4:C67,""Sell_Mine""))*((47*2^COUNTIF(C$4:C67,""Mine_up""))*IF(COUNTIF(C$4:C67,""Super_up"")&gt;1,1+0.005*(COUNTIF(C$4:C67,""Grandma"")-COUNTIF(C$4:C67,""Sell_Grandma"")),1))+(COUNTIF(C$4:C67,""Factory"")-COUNTIF(C$4:C67,""Sell_Factory""))*(260*2^COUNTI"&amp;"F(C$4:C67,""Factory_up""))))"),606.8)</f>
        <v>606.8</v>
      </c>
      <c r="F67" s="73">
        <f>IFERROR(__xludf.DUMMYFUNCTION("IF(COUNTA(C67:C147)=0,"""",IF(REGEXMATCH(INDEX(FILTER(C$4:C67,C$4:C67&lt;&gt;""""),ROWS(FILTER(C$4:C67,C$4:C67&lt;&gt;""""))),""^Sell_""),INDEX(FILTER(F$4:F66,C$4:C66&lt;&gt;""""),ROWS(FILTER(C$4:C66,C$4:C66&lt;&gt;""""))),$AC$5*(2^SWITCH(COUNTIF(C$4:C67,""Cursor_up""),0,0,1,1,2"&amp;",2,3)+SWITCH(COUNTIF(C$4:C67,""Cursor_up""),4,0.1,0)*(ROW(C67)-4-COUNTIF(C$4:C67,""Cursor"")-COUNTIF(C$4:C67,""*""&amp;""_up"")-2*COUNTIF(C$4:C67,""Sell_""&amp;""*"")+COUNTIF(C$4:C67,""Sell_Cursor"")-COUNTIF(C$4:C67,""""))+0.01*E67*COUNTIF(C$4:C67,""Plastic_up"")"&amp;")+E67))"),726.8)</f>
        <v>726.8</v>
      </c>
      <c r="G67" s="14">
        <f>IFERROR(__xludf.DUMMYFUNCTION("IF(COUNTA(C67:C147)=0,"""",IF(REGEXMATCH(C67,""_up""),VLOOKUP(C67,Upgrades!$F$3:$J$8,1+COUNTIF(C$4:C67,C67),FALSE),IF(C67="""",0,IF(REGEXMATCH(C67,""^Sell_""),-ROUNDDOWN(ROUNDUP(INDEX(Upgrades!$C$3:$C$8,MATCH(SUBSTITUTE(C67,""Sell_"",""""),Upgrades!$B$3:$"&amp;"B$8,0))*1.15^(COUNTIF(C$4:C66,SUBSTITUTE(C67,""Sell_"",""""))-COUNTIF(C$4:C66,""Sell_""&amp;SUBSTITUTE(C67,""Sell_"",""""))))/4),ROUNDUP(INDEX(Upgrades!$C$3:$C$7,MATCH(C67,Upgrades!$B$3:$B$7,0))*1.15^(COUNTIF(C$4:C66,C67)-COUNTIF(C$4:C66,""Sell_""&amp;C67)))))))"),55000.0)</f>
        <v>55000</v>
      </c>
      <c r="H67" s="14">
        <f t="shared" si="3"/>
        <v>55000</v>
      </c>
      <c r="I67" s="75">
        <f t="shared" si="4"/>
        <v>1211024.462</v>
      </c>
      <c r="J67" s="76">
        <f t="shared" si="5"/>
        <v>578.4415347</v>
      </c>
      <c r="K67" s="71" t="str">
        <f t="shared" si="6"/>
        <v>9m 38s</v>
      </c>
      <c r="L67" s="77">
        <f t="shared" si="7"/>
        <v>158239</v>
      </c>
      <c r="M67" s="51">
        <f t="shared" si="8"/>
        <v>0</v>
      </c>
      <c r="N67" s="52">
        <f>IFERROR(__xludf.DUMMYFUNCTION("IFS(AND(COUNTA(C67:C147)=0,COUNTA(P67:P147)=0),"""",OR(AND(L67&gt;=1000000,OR(Y67&gt;=1000000,COUNTA(P67:P147)=0)),AND(Y67&gt;=1000000,COUNTA(C67:C147)=0),AND(COUNTA(P67:P147)=0,O$3=TRUE)),
ROUNDDOWN((AB$1-AC$1)*MAX(INDEX(S$4:S147,MATCH(LARGE(FILTER(Y$4:Y147,Y$4:Y"&amp;"147&lt;1000000),1),Y$4:Y147)),INDEX(F$4:F147,MATCH(LARGE(FILTER(L$4:L147,L$4:L147&lt;1000000),1),L$4:L147)))),AND(L67&lt;1000000,COUNTA(C67:C147)&gt;0,O$3=FALSE),
ROUNDDOWN(INDEX(Y$4:Y147,MATCH(LARGE(FILTER(W$4:W147,W$4:W147&lt;=J67),1),W$4:W147))+(J67-LARGE(FILTER(W$4:"&amp;"W147,W$4:W147&lt;=J67),1))*INDEX(S$4:S147,MATCH(LARGE(FILTER(W$4:W147,W$4:W147&lt;=J67),1),W$4:W147))-L67),1,
ROUNDDOWN(Y67-INDEX(L$4:L147,MATCH(LARGE(FILTER(J$4:J147,J$4:J147&lt;=W67),1),J$4:J147))-(W67-LARGE(FILTER(J$4:J147,J$4:J147&lt;=W67),1))*INDEX(F$4:F147,MATC"&amp;"H(LARGE(FILTER(J$4:J147,J$4:J147&lt;=W67),1),J$4:J147))))"),0.0)</f>
        <v>0</v>
      </c>
      <c r="O67" s="65">
        <f t="shared" si="9"/>
        <v>2</v>
      </c>
      <c r="P67" s="66" t="s">
        <v>17</v>
      </c>
      <c r="Q67" s="14" t="b">
        <f>IFERROR(__xludf.DUMMYFUNCTION("IF(COUNTA(P67:P147)=0,"""",IFERROR(IF(ISBLANK(P67),FALSE,IF(ISBLANK(T67),1,IF(NOT(COUNTIF($AA$24:$AA$34,SUBSTITUTE(P67,""Sell_"",""""))),1,IF(P67=""Plastic_up"",IF(V67&lt;1000,1),IF(P67=""Super_Up"",IF(OR(COUNTIF(P$4:P67,""Grandma"")-COUNTIF(P$4:P67,""Sell_G"&amp;"randma"")&lt;1,COUNTIF(P$4:P67,VLOOKUP(P67,Upgrades!$F$8:$N$8,7+COUNTIF(P$4:P67,P67)))-COUNTIF(P$4:P67,""Sell_""&amp;VLOOKUP(P67,Upgrades!$F$8:$N$8,7+COUNTIF(P$4:P67,P67)))&lt;15),1),IF(REGEXMATCH(P67,""_up""),IF(COUNTIF(P$4:P67,SUBSTITUTE(P67,""_up"",""""))&lt;IFERRO"&amp;"R(VLOOKUP(P67,Upgrades!$L$3:$P$6,1+COUNTIF(P$4:P67,P67),0),999),1),IF(REGEXMATCH(P67,""Sell_""),IF(COUNTIF(P$4:P67,SUBSTITUTE(P67,""Sell_"",""""))-COUNTIF(P$4:P66,P67)&lt;1,1),FALSE)))))))))"),FALSE)</f>
        <v>0</v>
      </c>
      <c r="R67" s="71">
        <f>IFERROR(__xludf.DUMMYFUNCTION("IF(REGEXMATCH(P67,""^Sell_""),R66, IF(COUNTA(P67:P147)=0,"""",(COUNTIF(P$4:P67,""Cursor"")-COUNTIF(P$4:P67,""Sell_Cursor""))*(0.1*2^SWITCH(COUNTIF(P$4:P67,""Cursor_up""),0,0,1,1,2,2,3)+SWITCH(COUNTIF(P$4:P67,""Cursor_up""),4,0.1,0)*(ROW(P67)-4-COUNTIF(P$4"&amp;":P67,""Cursor"")-COUNTIF(P$4:P67,""*""&amp;""_up"")-2*COUNTIF(P$4:P67,""Sell_""&amp;""*"")+COUNTIF(P$4:P67,""Sell_Cursor"")-COUNTIF(P$4:P67,"""")))+(COUNTIF(P$4:P67,""Grandma"")-COUNTIF(P$4:P67,""Sell_Grandma""))*(1*2^(COUNTIF(P$4:P67,""Grandma_up"")+COUNTIF(P$4:"&amp;"P67,""Super_up"")))+(COUNTIF(P$4:P67,""Farm"")-COUNTIF(P$4:P67,""Sell_Farm""))*(8*2^COUNTIF(P$4:P67,""Farm_up""))*IF(COUNTIF(P$4:P67,""Super_up"")&gt;0,1+0.01*(COUNTIF(P$4:P67,""Grandma"")-COUNTIF(P$4:P67,""Sell_Grandma"")),1)+(COUNTIF(P$4:P67,""Mine"")-COUN"&amp;"TIF(P$4:P67,""Sell_Mine""))*((47*2^COUNTIF(P$4:P67,""Mine_up""))*IF(COUNTIF(P$4:P67,""Super_up"")&gt;1,1+0.005*(COUNTIF(P$4:P67,""Grandma"")-COUNTIF(P$4:P67,""Sell_Grandma"")),1))+(COUNTIF(P$4:P67,""Factory"")-COUNTIF(P$4:P67,""Sell_Factory""))*(260*2^COUNTI"&amp;"F(P$4:P67,""Factory_up""))))"),606.8)</f>
        <v>606.8</v>
      </c>
      <c r="S67" s="73">
        <f>IFERROR(__xludf.DUMMYFUNCTION("IF(COUNTA(P67:P147)=0,"""",IF(REGEXMATCH(INDEX(FILTER(P$4:P67,P$4:P67&lt;&gt;""""),ROWS(FILTER(P$4:P67,P$4:P67&lt;&gt;""""))),""^Sell_""),INDEX(FILTER(S$4:S66,P$4:P66&lt;&gt;""""),ROWS(FILTER(P$4:P66,P$4:P66&lt;&gt;""""))),$AD$5*(2^SWITCH(COUNTIF(P$4:P67,""Cursor_up""),0,0,1,1,2"&amp;",2,3)+SWITCH(COUNTIF(P$4:P67,""Cursor_up""),4,0.1,0)*(ROW(P67)-4-COUNTIF(P$4:P67,""Cursor"")-COUNTIF(P$4:P67,""*""&amp;""_up"")-2*COUNTIF(P$4:P67,""Sell_""&amp;""*"")+COUNTIF(P$4:P67,""Sell_Cursor"")-COUNTIF(P$4:P67,""""))+0.01*R67*COUNTIF(P$4:P67,""Plastic_up"")"&amp;")+R67))"),726.8)</f>
        <v>726.8</v>
      </c>
      <c r="T67" s="14">
        <f>IFERROR(__xludf.DUMMYFUNCTION("IF(COUNTA(P67:P147)=0,"""",IF(REGEXMATCH(P67,""_up""),VLOOKUP(P67,Upgrades!$F$3:$J$8,1+COUNTIF(P$4:P67,P67),FALSE),IF(P67="""",0,IF(REGEXMATCH(P67,""^Sell_""),-ROUNDDOWN(ROUNDUP(INDEX(Upgrades!$C$3:$C$8,MATCH(SUBSTITUTE(P67,""Sell_"",""""),Upgrades!$B$3:$"&amp;"B$8,0))*1.15^(COUNTIF(P$4:P66,SUBSTITUTE(P67,""Sell_"",""""))-COUNTIF(P$4:P66,""Sell_""&amp;SUBSTITUTE(P67,""Sell_"",""""))))/4),ROUNDUP(INDEX(Upgrades!$C$3:$C$7,MATCH(P67,Upgrades!$B$3:$B$7,0))*1.15^(COUNTIF(P$4:P66,P67)-COUNTIF(P$4:P66,""Sell_""&amp;P67)))))))"),55000.0)</f>
        <v>55000</v>
      </c>
      <c r="U67" s="14">
        <f t="shared" si="10"/>
        <v>55000</v>
      </c>
      <c r="V67" s="75">
        <f t="shared" si="11"/>
        <v>1211024.462</v>
      </c>
      <c r="W67" s="76">
        <f t="shared" si="12"/>
        <v>578.4415347</v>
      </c>
      <c r="X67" s="71" t="str">
        <f t="shared" si="13"/>
        <v>9m 38s</v>
      </c>
      <c r="Y67" s="77">
        <f t="shared" si="14"/>
        <v>158239</v>
      </c>
      <c r="Z67" s="17"/>
      <c r="AA67" s="13"/>
      <c r="AB67" s="13"/>
      <c r="AC67" s="13"/>
      <c r="AD67" s="13"/>
      <c r="AE67" s="13"/>
      <c r="AF67" s="13"/>
      <c r="AG67" s="13"/>
    </row>
    <row r="68">
      <c r="A68" s="12"/>
      <c r="B68" s="65">
        <f t="shared" si="2"/>
        <v>14</v>
      </c>
      <c r="C68" s="66" t="s">
        <v>16</v>
      </c>
      <c r="D68" s="14" t="b">
        <f>IFERROR(__xludf.DUMMYFUNCTION("IF(COUNTA(C68:C147)=0,"""",IFERROR(IF(ISBLANK(C68),FALSE,IF(ISBLANK(G68),1,IF(NOT(COUNTIF($AA$24:$AA$34,SUBSTITUTE(C68,""Sell_"",""""))),1,IF(C68=""Plastic_up"",IF(I68&lt;1000,1),IF(C68=""Super_Up"",IF(OR(COUNTIF(C$4:C68,""Grandma"")-COUNTIF(C$4:C68,""Sell_G"&amp;"randma"")&lt;1,COUNTIF(C$4:C68,VLOOKUP(C68,Upgrades!$F$8:$N$8,7+COUNTIF(C$4:C68,C68)))-COUNTIF(C$4:C68,""Sell_""&amp;VLOOKUP(C68,Upgrades!$F$8:$N$8,7+COUNTIF(C$4:C68,C68)))&lt;15),1),IF(REGEXMATCH(C68,""_up""),IF(COUNTIF(C$4:C68,SUBSTITUTE(C68,""_up"",""""))&lt;IFERRO"&amp;"R(VLOOKUP(C68,Upgrades!$L$3:$P$6,1+COUNTIF(C$4:C68,C68),0),999),1),IF(REGEXMATCH(C68,""Sell_""),IF(COUNTIF(C$4:C68,SUBSTITUTE(C68,""Sell_"",""""))-COUNTIF(C$4:C67,C68)&lt;1,1),FALSE)))))))))"),FALSE)</f>
        <v>0</v>
      </c>
      <c r="E68" s="71">
        <f>IFERROR(__xludf.DUMMYFUNCTION("IF(REGEXMATCH(C68,""^Sell_""),E67, IF(COUNTA(C68:C147)=0,"""",(COUNTIF(C$4:C68,""Cursor"")-COUNTIF(C$4:C68,""Sell_Cursor""))*(0.1*2^SWITCH(COUNTIF(C$4:C68,""Cursor_up""),0,0,1,1,2,2,3)+SWITCH(COUNTIF(C$4:C68,""Cursor_up""),4,0.1,0)*(ROW(C68)-4-COUNTIF(C$4"&amp;":C68,""Cursor"")-COUNTIF(C$4:C68,""*""&amp;""_up"")-2*COUNTIF(C$4:C68,""Sell_""&amp;""*"")+COUNTIF(C$4:C68,""Sell_Cursor"")-COUNTIF(C$4:C68,"""")))+(COUNTIF(C$4:C68,""Grandma"")-COUNTIF(C$4:C68,""Sell_Grandma""))*(1*2^(COUNTIF(C$4:C68,""Grandma_up"")+COUNTIF(C$4:"&amp;"C68,""Super_up"")))+(COUNTIF(C$4:C68,""Farm"")-COUNTIF(C$4:C68,""Sell_Farm""))*(8*2^COUNTIF(C$4:C68,""Farm_up""))*IF(COUNTIF(C$4:C68,""Super_up"")&gt;0,1+0.01*(COUNTIF(C$4:C68,""Grandma"")-COUNTIF(C$4:C68,""Sell_Grandma"")),1)+(COUNTIF(C$4:C68,""Mine"")-COUN"&amp;"TIF(C$4:C68,""Sell_Mine""))*((47*2^COUNTIF(C$4:C68,""Mine_up""))*IF(COUNTIF(C$4:C68,""Super_up"")&gt;1,1+0.005*(COUNTIF(C$4:C68,""Grandma"")-COUNTIF(C$4:C68,""Sell_Grandma"")),1))+(COUNTIF(C$4:C68,""Factory"")-COUNTIF(C$4:C68,""Sell_Factory""))*(260*2^COUNTI"&amp;"F(C$4:C68,""Factory_up""))))"),638.8)</f>
        <v>638.8</v>
      </c>
      <c r="F68" s="73">
        <f>IFERROR(__xludf.DUMMYFUNCTION("IF(COUNTA(C68:C147)=0,"""",IF(REGEXMATCH(INDEX(FILTER(C$4:C68,C$4:C68&lt;&gt;""""),ROWS(FILTER(C$4:C68,C$4:C68&lt;&gt;""""))),""^Sell_""),INDEX(FILTER(F$4:F67,C$4:C67&lt;&gt;""""),ROWS(FILTER(C$4:C67,C$4:C67&lt;&gt;""""))),$AC$5*(2^SWITCH(COUNTIF(C$4:C68,""Cursor_up""),0,0,1,1,2"&amp;",2,3)+SWITCH(COUNTIF(C$4:C68,""Cursor_up""),4,0.1,0)*(ROW(C68)-4-COUNTIF(C$4:C68,""Cursor"")-COUNTIF(C$4:C68,""*""&amp;""_up"")-2*COUNTIF(C$4:C68,""Sell_""&amp;""*"")+COUNTIF(C$4:C68,""Sell_Cursor"")-COUNTIF(C$4:C68,""""))+0.01*E68*COUNTIF(C$4:C68,""Plastic_up"")"&amp;")+E68))"),758.8)</f>
        <v>758.8</v>
      </c>
      <c r="G68" s="14">
        <f>IFERROR(__xludf.DUMMYFUNCTION("IF(COUNTA(C68:C147)=0,"""",IF(REGEXMATCH(C68,""_up""),VLOOKUP(C68,Upgrades!$F$3:$J$8,1+COUNTIF(C$4:C68,C68),FALSE),IF(C68="""",0,IF(REGEXMATCH(C68,""^Sell_""),-ROUNDDOWN(ROUNDUP(INDEX(Upgrades!$C$3:$C$8,MATCH(SUBSTITUTE(C68,""Sell_"",""""),Upgrades!$B$3:$"&amp;"B$8,0))*1.15^(COUNTIF(C$4:C67,SUBSTITUTE(C68,""Sell_"",""""))-COUNTIF(C$4:C67,""Sell_""&amp;SUBSTITUTE(C68,""Sell_"",""""))))/4),ROUNDUP(INDEX(Upgrades!$C$3:$C$7,MATCH(C68,Upgrades!$B$3:$B$7,0))*1.15^(COUNTIF(C$4:C67,C68)-COUNTIF(C$4:C67,""Sell_""&amp;C68)))))))"),6769.0)</f>
        <v>6769</v>
      </c>
      <c r="H68" s="14">
        <f t="shared" si="3"/>
        <v>6769</v>
      </c>
      <c r="I68" s="75">
        <f t="shared" si="4"/>
        <v>1281555.058</v>
      </c>
      <c r="J68" s="76">
        <f t="shared" si="5"/>
        <v>587.7549634</v>
      </c>
      <c r="K68" s="71" t="str">
        <f t="shared" si="6"/>
        <v>9m 47s</v>
      </c>
      <c r="L68" s="77">
        <f t="shared" si="7"/>
        <v>165008</v>
      </c>
      <c r="M68" s="51">
        <f t="shared" si="8"/>
        <v>0</v>
      </c>
      <c r="N68" s="52">
        <f>IFERROR(__xludf.DUMMYFUNCTION("IFS(AND(COUNTA(C68:C147)=0,COUNTA(P68:P147)=0),"""",OR(AND(L68&gt;=1000000,OR(Y68&gt;=1000000,COUNTA(P68:P147)=0)),AND(Y68&gt;=1000000,COUNTA(C68:C147)=0),AND(COUNTA(P68:P147)=0,O$3=TRUE)),
ROUNDDOWN((AB$1-AC$1)*MAX(INDEX(S$4:S147,MATCH(LARGE(FILTER(Y$4:Y147,Y$4:Y"&amp;"147&lt;1000000),1),Y$4:Y147)),INDEX(F$4:F147,MATCH(LARGE(FILTER(L$4:L147,L$4:L147&lt;1000000),1),L$4:L147)))),AND(L68&lt;1000000,COUNTA(C68:C147)&gt;0,O$3=FALSE),
ROUNDDOWN(INDEX(Y$4:Y147,MATCH(LARGE(FILTER(W$4:W147,W$4:W147&lt;=J68),1),W$4:W147))+(J68-LARGE(FILTER(W$4:"&amp;"W147,W$4:W147&lt;=J68),1))*INDEX(S$4:S147,MATCH(LARGE(FILTER(W$4:W147,W$4:W147&lt;=J68),1),W$4:W147))-L68),1,
ROUNDDOWN(Y68-INDEX(L$4:L147,MATCH(LARGE(FILTER(J$4:J147,J$4:J147&lt;=W68),1),J$4:J147))-(W68-LARGE(FILTER(J$4:J147,J$4:J147&lt;=W68),1))*INDEX(F$4:F147,MATC"&amp;"H(LARGE(FILTER(J$4:J147,J$4:J147&lt;=W68),1),J$4:J147))))"),0.0)</f>
        <v>0</v>
      </c>
      <c r="O68" s="65">
        <f t="shared" si="9"/>
        <v>14</v>
      </c>
      <c r="P68" s="66" t="s">
        <v>16</v>
      </c>
      <c r="Q68" s="14" t="b">
        <f>IFERROR(__xludf.DUMMYFUNCTION("IF(COUNTA(P68:P147)=0,"""",IFERROR(IF(ISBLANK(P68),FALSE,IF(ISBLANK(T68),1,IF(NOT(COUNTIF($AA$24:$AA$34,SUBSTITUTE(P68,""Sell_"",""""))),1,IF(P68=""Plastic_up"",IF(V68&lt;1000,1),IF(P68=""Super_Up"",IF(OR(COUNTIF(P$4:P68,""Grandma"")-COUNTIF(P$4:P68,""Sell_G"&amp;"randma"")&lt;1,COUNTIF(P$4:P68,VLOOKUP(P68,Upgrades!$F$8:$N$8,7+COUNTIF(P$4:P68,P68)))-COUNTIF(P$4:P68,""Sell_""&amp;VLOOKUP(P68,Upgrades!$F$8:$N$8,7+COUNTIF(P$4:P68,P68)))&lt;15),1),IF(REGEXMATCH(P68,""_up""),IF(COUNTIF(P$4:P68,SUBSTITUTE(P68,""_up"",""""))&lt;IFERRO"&amp;"R(VLOOKUP(P68,Upgrades!$L$3:$P$6,1+COUNTIF(P$4:P68,P68),0),999),1),IF(REGEXMATCH(P68,""Sell_""),IF(COUNTIF(P$4:P68,SUBSTITUTE(P68,""Sell_"",""""))-COUNTIF(P$4:P67,P68)&lt;1,1),FALSE)))))))))"),FALSE)</f>
        <v>0</v>
      </c>
      <c r="R68" s="71">
        <f>IFERROR(__xludf.DUMMYFUNCTION("IF(REGEXMATCH(P68,""^Sell_""),R67, IF(COUNTA(P68:P147)=0,"""",(COUNTIF(P$4:P68,""Cursor"")-COUNTIF(P$4:P68,""Sell_Cursor""))*(0.1*2^SWITCH(COUNTIF(P$4:P68,""Cursor_up""),0,0,1,1,2,2,3)+SWITCH(COUNTIF(P$4:P68,""Cursor_up""),4,0.1,0)*(ROW(P68)-4-COUNTIF(P$4"&amp;":P68,""Cursor"")-COUNTIF(P$4:P68,""*""&amp;""_up"")-2*COUNTIF(P$4:P68,""Sell_""&amp;""*"")+COUNTIF(P$4:P68,""Sell_Cursor"")-COUNTIF(P$4:P68,"""")))+(COUNTIF(P$4:P68,""Grandma"")-COUNTIF(P$4:P68,""Sell_Grandma""))*(1*2^(COUNTIF(P$4:P68,""Grandma_up"")+COUNTIF(P$4:"&amp;"P68,""Super_up"")))+(COUNTIF(P$4:P68,""Farm"")-COUNTIF(P$4:P68,""Sell_Farm""))*(8*2^COUNTIF(P$4:P68,""Farm_up""))*IF(COUNTIF(P$4:P68,""Super_up"")&gt;0,1+0.01*(COUNTIF(P$4:P68,""Grandma"")-COUNTIF(P$4:P68,""Sell_Grandma"")),1)+(COUNTIF(P$4:P68,""Mine"")-COUN"&amp;"TIF(P$4:P68,""Sell_Mine""))*((47*2^COUNTIF(P$4:P68,""Mine_up""))*IF(COUNTIF(P$4:P68,""Super_up"")&gt;1,1+0.005*(COUNTIF(P$4:P68,""Grandma"")-COUNTIF(P$4:P68,""Sell_Grandma"")),1))+(COUNTIF(P$4:P68,""Factory"")-COUNTIF(P$4:P68,""Sell_Factory""))*(260*2^COUNTI"&amp;"F(P$4:P68,""Factory_up""))))"),638.8)</f>
        <v>638.8</v>
      </c>
      <c r="S68" s="73">
        <f>IFERROR(__xludf.DUMMYFUNCTION("IF(COUNTA(P68:P147)=0,"""",IF(REGEXMATCH(INDEX(FILTER(P$4:P68,P$4:P68&lt;&gt;""""),ROWS(FILTER(P$4:P68,P$4:P68&lt;&gt;""""))),""^Sell_""),INDEX(FILTER(S$4:S67,P$4:P67&lt;&gt;""""),ROWS(FILTER(P$4:P67,P$4:P67&lt;&gt;""""))),$AD$5*(2^SWITCH(COUNTIF(P$4:P68,""Cursor_up""),0,0,1,1,2"&amp;",2,3)+SWITCH(COUNTIF(P$4:P68,""Cursor_up""),4,0.1,0)*(ROW(P68)-4-COUNTIF(P$4:P68,""Cursor"")-COUNTIF(P$4:P68,""*""&amp;""_up"")-2*COUNTIF(P$4:P68,""Sell_""&amp;""*"")+COUNTIF(P$4:P68,""Sell_Cursor"")-COUNTIF(P$4:P68,""""))+0.01*R68*COUNTIF(P$4:P68,""Plastic_up"")"&amp;")+R68))"),758.8)</f>
        <v>758.8</v>
      </c>
      <c r="T68" s="14">
        <f>IFERROR(__xludf.DUMMYFUNCTION("IF(COUNTA(P68:P147)=0,"""",IF(REGEXMATCH(P68,""_up""),VLOOKUP(P68,Upgrades!$F$3:$J$8,1+COUNTIF(P$4:P68,P68),FALSE),IF(P68="""",0,IF(REGEXMATCH(P68,""^Sell_""),-ROUNDDOWN(ROUNDUP(INDEX(Upgrades!$C$3:$C$8,MATCH(SUBSTITUTE(P68,""Sell_"",""""),Upgrades!$B$3:$"&amp;"B$8,0))*1.15^(COUNTIF(P$4:P67,SUBSTITUTE(P68,""Sell_"",""""))-COUNTIF(P$4:P67,""Sell_""&amp;SUBSTITUTE(P68,""Sell_"",""""))))/4),ROUNDUP(INDEX(Upgrades!$C$3:$C$7,MATCH(P68,Upgrades!$B$3:$B$7,0))*1.15^(COUNTIF(P$4:P67,P68)-COUNTIF(P$4:P67,""Sell_""&amp;P68)))))))"),6769.0)</f>
        <v>6769</v>
      </c>
      <c r="U68" s="14">
        <f t="shared" si="10"/>
        <v>6769</v>
      </c>
      <c r="V68" s="75">
        <f t="shared" si="11"/>
        <v>1281555.058</v>
      </c>
      <c r="W68" s="76">
        <f t="shared" si="12"/>
        <v>587.7549634</v>
      </c>
      <c r="X68" s="71" t="str">
        <f t="shared" si="13"/>
        <v>9m 47s</v>
      </c>
      <c r="Y68" s="77">
        <f t="shared" si="14"/>
        <v>165008</v>
      </c>
      <c r="Z68" s="17"/>
      <c r="AA68" s="13"/>
      <c r="AB68" s="13"/>
      <c r="AC68" s="13"/>
      <c r="AD68" s="13"/>
      <c r="AE68" s="13"/>
      <c r="AF68" s="13"/>
      <c r="AG68" s="13"/>
    </row>
    <row r="69">
      <c r="A69" s="12"/>
      <c r="B69" s="65">
        <f t="shared" si="2"/>
        <v>15</v>
      </c>
      <c r="C69" s="66" t="s">
        <v>16</v>
      </c>
      <c r="D69" s="14" t="b">
        <f>IFERROR(__xludf.DUMMYFUNCTION("IF(COUNTA(C69:C147)=0,"""",IFERROR(IF(ISBLANK(C69),FALSE,IF(ISBLANK(G69),1,IF(NOT(COUNTIF($AA$24:$AA$34,SUBSTITUTE(C69,""Sell_"",""""))),1,IF(C69=""Plastic_up"",IF(I69&lt;1000,1),IF(C69=""Super_Up"",IF(OR(COUNTIF(C$4:C69,""Grandma"")-COUNTIF(C$4:C69,""Sell_G"&amp;"randma"")&lt;1,COUNTIF(C$4:C69,VLOOKUP(C69,Upgrades!$F$8:$N$8,7+COUNTIF(C$4:C69,C69)))-COUNTIF(C$4:C69,""Sell_""&amp;VLOOKUP(C69,Upgrades!$F$8:$N$8,7+COUNTIF(C$4:C69,C69)))&lt;15),1),IF(REGEXMATCH(C69,""_up""),IF(COUNTIF(C$4:C69,SUBSTITUTE(C69,""_up"",""""))&lt;IFERRO"&amp;"R(VLOOKUP(C69,Upgrades!$L$3:$P$6,1+COUNTIF(C$4:C69,C69),0),999),1),IF(REGEXMATCH(C69,""Sell_""),IF(COUNTIF(C$4:C69,SUBSTITUTE(C69,""Sell_"",""""))-COUNTIF(C$4:C68,C69)&lt;1,1),FALSE)))))))))"),FALSE)</f>
        <v>0</v>
      </c>
      <c r="E69" s="71">
        <f>IFERROR(__xludf.DUMMYFUNCTION("IF(REGEXMATCH(C69,""^Sell_""),E68, IF(COUNTA(C69:C147)=0,"""",(COUNTIF(C$4:C69,""Cursor"")-COUNTIF(C$4:C69,""Sell_Cursor""))*(0.1*2^SWITCH(COUNTIF(C$4:C69,""Cursor_up""),0,0,1,1,2,2,3)+SWITCH(COUNTIF(C$4:C69,""Cursor_up""),4,0.1,0)*(ROW(C69)-4-COUNTIF(C$4"&amp;":C69,""Cursor"")-COUNTIF(C$4:C69,""*""&amp;""_up"")-2*COUNTIF(C$4:C69,""Sell_""&amp;""*"")+COUNTIF(C$4:C69,""Sell_Cursor"")-COUNTIF(C$4:C69,"""")))+(COUNTIF(C$4:C69,""Grandma"")-COUNTIF(C$4:C69,""Sell_Grandma""))*(1*2^(COUNTIF(C$4:C69,""Grandma_up"")+COUNTIF(C$4:"&amp;"C69,""Super_up"")))+(COUNTIF(C$4:C69,""Farm"")-COUNTIF(C$4:C69,""Sell_Farm""))*(8*2^COUNTIF(C$4:C69,""Farm_up""))*IF(COUNTIF(C$4:C69,""Super_up"")&gt;0,1+0.01*(COUNTIF(C$4:C69,""Grandma"")-COUNTIF(C$4:C69,""Sell_Grandma"")),1)+(COUNTIF(C$4:C69,""Mine"")-COUN"&amp;"TIF(C$4:C69,""Sell_Mine""))*((47*2^COUNTIF(C$4:C69,""Mine_up""))*IF(COUNTIF(C$4:C69,""Super_up"")&gt;1,1+0.005*(COUNTIF(C$4:C69,""Grandma"")-COUNTIF(C$4:C69,""Sell_Grandma"")),1))+(COUNTIF(C$4:C69,""Factory"")-COUNTIF(C$4:C69,""Sell_Factory""))*(260*2^COUNTI"&amp;"F(C$4:C69,""Factory_up""))))"),670.8)</f>
        <v>670.8</v>
      </c>
      <c r="F69" s="73">
        <f>IFERROR(__xludf.DUMMYFUNCTION("IF(COUNTA(C69:C147)=0,"""",IF(REGEXMATCH(INDEX(FILTER(C$4:C69,C$4:C69&lt;&gt;""""),ROWS(FILTER(C$4:C69,C$4:C69&lt;&gt;""""))),""^Sell_""),INDEX(FILTER(F$4:F68,C$4:C68&lt;&gt;""""),ROWS(FILTER(C$4:C68,C$4:C68&lt;&gt;""""))),$AC$5*(2^SWITCH(COUNTIF(C$4:C69,""Cursor_up""),0,0,1,1,2"&amp;",2,3)+SWITCH(COUNTIF(C$4:C69,""Cursor_up""),4,0.1,0)*(ROW(C69)-4-COUNTIF(C$4:C69,""Cursor"")-COUNTIF(C$4:C69,""*""&amp;""_up"")-2*COUNTIF(C$4:C69,""Sell_""&amp;""*"")+COUNTIF(C$4:C69,""Sell_Cursor"")-COUNTIF(C$4:C69,""""))+0.01*E69*COUNTIF(C$4:C69,""Plastic_up"")"&amp;")+E69))"),790.8)</f>
        <v>790.8</v>
      </c>
      <c r="G69" s="14">
        <f>IFERROR(__xludf.DUMMYFUNCTION("IF(COUNTA(C69:C147)=0,"""",IF(REGEXMATCH(C69,""_up""),VLOOKUP(C69,Upgrades!$F$3:$J$8,1+COUNTIF(C$4:C69,C69),FALSE),IF(C69="""",0,IF(REGEXMATCH(C69,""^Sell_""),-ROUNDDOWN(ROUNDUP(INDEX(Upgrades!$C$3:$C$8,MATCH(SUBSTITUTE(C69,""Sell_"",""""),Upgrades!$B$3:$"&amp;"B$8,0))*1.15^(COUNTIF(C$4:C68,SUBSTITUTE(C69,""Sell_"",""""))-COUNTIF(C$4:C68,""Sell_""&amp;SUBSTITUTE(C69,""Sell_"",""""))))/4),ROUNDUP(INDEX(Upgrades!$C$3:$C$7,MATCH(C69,Upgrades!$B$3:$B$7,0))*1.15^(COUNTIF(C$4:C68,C69)-COUNTIF(C$4:C68,""Sell_""&amp;C69)))))))"),7784.0)</f>
        <v>7784</v>
      </c>
      <c r="H69" s="14">
        <f t="shared" si="3"/>
        <v>7784</v>
      </c>
      <c r="I69" s="75">
        <f t="shared" si="4"/>
        <v>1353316.65</v>
      </c>
      <c r="J69" s="76">
        <f t="shared" si="5"/>
        <v>598.013266</v>
      </c>
      <c r="K69" s="71" t="str">
        <f t="shared" si="6"/>
        <v>9m 58s</v>
      </c>
      <c r="L69" s="77">
        <f t="shared" si="7"/>
        <v>172792</v>
      </c>
      <c r="M69" s="51">
        <f t="shared" si="8"/>
        <v>0</v>
      </c>
      <c r="N69" s="52">
        <f>IFERROR(__xludf.DUMMYFUNCTION("IFS(AND(COUNTA(C69:C147)=0,COUNTA(P69:P147)=0),"""",OR(AND(L69&gt;=1000000,OR(Y69&gt;=1000000,COUNTA(P69:P147)=0)),AND(Y69&gt;=1000000,COUNTA(C69:C147)=0),AND(COUNTA(P69:P147)=0,O$3=TRUE)),
ROUNDDOWN((AB$1-AC$1)*MAX(INDEX(S$4:S147,MATCH(LARGE(FILTER(Y$4:Y147,Y$4:Y"&amp;"147&lt;1000000),1),Y$4:Y147)),INDEX(F$4:F147,MATCH(LARGE(FILTER(L$4:L147,L$4:L147&lt;1000000),1),L$4:L147)))),AND(L69&lt;1000000,COUNTA(C69:C147)&gt;0,O$3=FALSE),
ROUNDDOWN(INDEX(Y$4:Y147,MATCH(LARGE(FILTER(W$4:W147,W$4:W147&lt;=J69),1),W$4:W147))+(J69-LARGE(FILTER(W$4:"&amp;"W147,W$4:W147&lt;=J69),1))*INDEX(S$4:S147,MATCH(LARGE(FILTER(W$4:W147,W$4:W147&lt;=J69),1),W$4:W147))-L69),1,
ROUNDDOWN(Y69-INDEX(L$4:L147,MATCH(LARGE(FILTER(J$4:J147,J$4:J147&lt;=W69),1),J$4:J147))-(W69-LARGE(FILTER(J$4:J147,J$4:J147&lt;=W69),1))*INDEX(F$4:F147,MATC"&amp;"H(LARGE(FILTER(J$4:J147,J$4:J147&lt;=W69),1),J$4:J147))))"),0.0)</f>
        <v>0</v>
      </c>
      <c r="O69" s="65">
        <f t="shared" si="9"/>
        <v>15</v>
      </c>
      <c r="P69" s="66" t="s">
        <v>16</v>
      </c>
      <c r="Q69" s="14" t="b">
        <f>IFERROR(__xludf.DUMMYFUNCTION("IF(COUNTA(P69:P147)=0,"""",IFERROR(IF(ISBLANK(P69),FALSE,IF(ISBLANK(T69),1,IF(NOT(COUNTIF($AA$24:$AA$34,SUBSTITUTE(P69,""Sell_"",""""))),1,IF(P69=""Plastic_up"",IF(V69&lt;1000,1),IF(P69=""Super_Up"",IF(OR(COUNTIF(P$4:P69,""Grandma"")-COUNTIF(P$4:P69,""Sell_G"&amp;"randma"")&lt;1,COUNTIF(P$4:P69,VLOOKUP(P69,Upgrades!$F$8:$N$8,7+COUNTIF(P$4:P69,P69)))-COUNTIF(P$4:P69,""Sell_""&amp;VLOOKUP(P69,Upgrades!$F$8:$N$8,7+COUNTIF(P$4:P69,P69)))&lt;15),1),IF(REGEXMATCH(P69,""_up""),IF(COUNTIF(P$4:P69,SUBSTITUTE(P69,""_up"",""""))&lt;IFERRO"&amp;"R(VLOOKUP(P69,Upgrades!$L$3:$P$6,1+COUNTIF(P$4:P69,P69),0),999),1),IF(REGEXMATCH(P69,""Sell_""),IF(COUNTIF(P$4:P69,SUBSTITUTE(P69,""Sell_"",""""))-COUNTIF(P$4:P68,P69)&lt;1,1),FALSE)))))))))"),FALSE)</f>
        <v>0</v>
      </c>
      <c r="R69" s="71">
        <f>IFERROR(__xludf.DUMMYFUNCTION("IF(REGEXMATCH(P69,""^Sell_""),R68, IF(COUNTA(P69:P147)=0,"""",(COUNTIF(P$4:P69,""Cursor"")-COUNTIF(P$4:P69,""Sell_Cursor""))*(0.1*2^SWITCH(COUNTIF(P$4:P69,""Cursor_up""),0,0,1,1,2,2,3)+SWITCH(COUNTIF(P$4:P69,""Cursor_up""),4,0.1,0)*(ROW(P69)-4-COUNTIF(P$4"&amp;":P69,""Cursor"")-COUNTIF(P$4:P69,""*""&amp;""_up"")-2*COUNTIF(P$4:P69,""Sell_""&amp;""*"")+COUNTIF(P$4:P69,""Sell_Cursor"")-COUNTIF(P$4:P69,"""")))+(COUNTIF(P$4:P69,""Grandma"")-COUNTIF(P$4:P69,""Sell_Grandma""))*(1*2^(COUNTIF(P$4:P69,""Grandma_up"")+COUNTIF(P$4:"&amp;"P69,""Super_up"")))+(COUNTIF(P$4:P69,""Farm"")-COUNTIF(P$4:P69,""Sell_Farm""))*(8*2^COUNTIF(P$4:P69,""Farm_up""))*IF(COUNTIF(P$4:P69,""Super_up"")&gt;0,1+0.01*(COUNTIF(P$4:P69,""Grandma"")-COUNTIF(P$4:P69,""Sell_Grandma"")),1)+(COUNTIF(P$4:P69,""Mine"")-COUN"&amp;"TIF(P$4:P69,""Sell_Mine""))*((47*2^COUNTIF(P$4:P69,""Mine_up""))*IF(COUNTIF(P$4:P69,""Super_up"")&gt;1,1+0.005*(COUNTIF(P$4:P69,""Grandma"")-COUNTIF(P$4:P69,""Sell_Grandma"")),1))+(COUNTIF(P$4:P69,""Factory"")-COUNTIF(P$4:P69,""Sell_Factory""))*(260*2^COUNTI"&amp;"F(P$4:P69,""Factory_up""))))"),670.8)</f>
        <v>670.8</v>
      </c>
      <c r="S69" s="73">
        <f>IFERROR(__xludf.DUMMYFUNCTION("IF(COUNTA(P69:P147)=0,"""",IF(REGEXMATCH(INDEX(FILTER(P$4:P69,P$4:P69&lt;&gt;""""),ROWS(FILTER(P$4:P69,P$4:P69&lt;&gt;""""))),""^Sell_""),INDEX(FILTER(S$4:S68,P$4:P68&lt;&gt;""""),ROWS(FILTER(P$4:P68,P$4:P68&lt;&gt;""""))),$AD$5*(2^SWITCH(COUNTIF(P$4:P69,""Cursor_up""),0,0,1,1,2"&amp;",2,3)+SWITCH(COUNTIF(P$4:P69,""Cursor_up""),4,0.1,0)*(ROW(P69)-4-COUNTIF(P$4:P69,""Cursor"")-COUNTIF(P$4:P69,""*""&amp;""_up"")-2*COUNTIF(P$4:P69,""Sell_""&amp;""*"")+COUNTIF(P$4:P69,""Sell_Cursor"")-COUNTIF(P$4:P69,""""))+0.01*R69*COUNTIF(P$4:P69,""Plastic_up"")"&amp;")+R69))"),790.8)</f>
        <v>790.8</v>
      </c>
      <c r="T69" s="14">
        <f>IFERROR(__xludf.DUMMYFUNCTION("IF(COUNTA(P69:P147)=0,"""",IF(REGEXMATCH(P69,""_up""),VLOOKUP(P69,Upgrades!$F$3:$J$8,1+COUNTIF(P$4:P69,P69),FALSE),IF(P69="""",0,IF(REGEXMATCH(P69,""^Sell_""),-ROUNDDOWN(ROUNDUP(INDEX(Upgrades!$C$3:$C$8,MATCH(SUBSTITUTE(P69,""Sell_"",""""),Upgrades!$B$3:$"&amp;"B$8,0))*1.15^(COUNTIF(P$4:P68,SUBSTITUTE(P69,""Sell_"",""""))-COUNTIF(P$4:P68,""Sell_""&amp;SUBSTITUTE(P69,""Sell_"",""""))))/4),ROUNDUP(INDEX(Upgrades!$C$3:$C$7,MATCH(P69,Upgrades!$B$3:$B$7,0))*1.15^(COUNTIF(P$4:P68,P69)-COUNTIF(P$4:P68,""Sell_""&amp;P69)))))))"),7784.0)</f>
        <v>7784</v>
      </c>
      <c r="U69" s="14">
        <f t="shared" si="10"/>
        <v>7784</v>
      </c>
      <c r="V69" s="75">
        <f t="shared" si="11"/>
        <v>1353316.65</v>
      </c>
      <c r="W69" s="76">
        <f t="shared" si="12"/>
        <v>598.013266</v>
      </c>
      <c r="X69" s="71" t="str">
        <f t="shared" si="13"/>
        <v>9m 58s</v>
      </c>
      <c r="Y69" s="77">
        <f t="shared" si="14"/>
        <v>172792</v>
      </c>
      <c r="Z69" s="17"/>
      <c r="AA69" s="13"/>
      <c r="AB69" s="13"/>
      <c r="AC69" s="13"/>
      <c r="AD69" s="13"/>
      <c r="AE69" s="13"/>
      <c r="AF69" s="13"/>
      <c r="AG69" s="13"/>
    </row>
    <row r="70">
      <c r="A70" s="12"/>
      <c r="B70" s="65">
        <f t="shared" si="2"/>
        <v>16</v>
      </c>
      <c r="C70" s="66" t="s">
        <v>16</v>
      </c>
      <c r="D70" s="14" t="b">
        <f>IFERROR(__xludf.DUMMYFUNCTION("IF(COUNTA(C70:C147)=0,"""",IFERROR(IF(ISBLANK(C70),FALSE,IF(ISBLANK(G70),1,IF(NOT(COUNTIF($AA$24:$AA$34,SUBSTITUTE(C70,""Sell_"",""""))),1,IF(C70=""Plastic_up"",IF(I70&lt;1000,1),IF(C70=""Super_Up"",IF(OR(COUNTIF(C$4:C70,""Grandma"")-COUNTIF(C$4:C70,""Sell_G"&amp;"randma"")&lt;1,COUNTIF(C$4:C70,VLOOKUP(C70,Upgrades!$F$8:$N$8,7+COUNTIF(C$4:C70,C70)))-COUNTIF(C$4:C70,""Sell_""&amp;VLOOKUP(C70,Upgrades!$F$8:$N$8,7+COUNTIF(C$4:C70,C70)))&lt;15),1),IF(REGEXMATCH(C70,""_up""),IF(COUNTIF(C$4:C70,SUBSTITUTE(C70,""_up"",""""))&lt;IFERRO"&amp;"R(VLOOKUP(C70,Upgrades!$L$3:$P$6,1+COUNTIF(C$4:C70,C70),0),999),1),IF(REGEXMATCH(C70,""Sell_""),IF(COUNTIF(C$4:C70,SUBSTITUTE(C70,""Sell_"",""""))-COUNTIF(C$4:C69,C70)&lt;1,1),FALSE)))))))))"),FALSE)</f>
        <v>0</v>
      </c>
      <c r="E70" s="71">
        <f>IFERROR(__xludf.DUMMYFUNCTION("IF(REGEXMATCH(C70,""^Sell_""),E69, IF(COUNTA(C70:C147)=0,"""",(COUNTIF(C$4:C70,""Cursor"")-COUNTIF(C$4:C70,""Sell_Cursor""))*(0.1*2^SWITCH(COUNTIF(C$4:C70,""Cursor_up""),0,0,1,1,2,2,3)+SWITCH(COUNTIF(C$4:C70,""Cursor_up""),4,0.1,0)*(ROW(C70)-4-COUNTIF(C$4"&amp;":C70,""Cursor"")-COUNTIF(C$4:C70,""*""&amp;""_up"")-2*COUNTIF(C$4:C70,""Sell_""&amp;""*"")+COUNTIF(C$4:C70,""Sell_Cursor"")-COUNTIF(C$4:C70,"""")))+(COUNTIF(C$4:C70,""Grandma"")-COUNTIF(C$4:C70,""Sell_Grandma""))*(1*2^(COUNTIF(C$4:C70,""Grandma_up"")+COUNTIF(C$4:"&amp;"C70,""Super_up"")))+(COUNTIF(C$4:C70,""Farm"")-COUNTIF(C$4:C70,""Sell_Farm""))*(8*2^COUNTIF(C$4:C70,""Farm_up""))*IF(COUNTIF(C$4:C70,""Super_up"")&gt;0,1+0.01*(COUNTIF(C$4:C70,""Grandma"")-COUNTIF(C$4:C70,""Sell_Grandma"")),1)+(COUNTIF(C$4:C70,""Mine"")-COUN"&amp;"TIF(C$4:C70,""Sell_Mine""))*((47*2^COUNTIF(C$4:C70,""Mine_up""))*IF(COUNTIF(C$4:C70,""Super_up"")&gt;1,1+0.005*(COUNTIF(C$4:C70,""Grandma"")-COUNTIF(C$4:C70,""Sell_Grandma"")),1))+(COUNTIF(C$4:C70,""Factory"")-COUNTIF(C$4:C70,""Sell_Factory""))*(260*2^COUNTI"&amp;"F(C$4:C70,""Factory_up""))))"),702.8)</f>
        <v>702.8</v>
      </c>
      <c r="F70" s="73">
        <f>IFERROR(__xludf.DUMMYFUNCTION("IF(COUNTA(C70:C147)=0,"""",IF(REGEXMATCH(INDEX(FILTER(C$4:C70,C$4:C70&lt;&gt;""""),ROWS(FILTER(C$4:C70,C$4:C70&lt;&gt;""""))),""^Sell_""),INDEX(FILTER(F$4:F69,C$4:C69&lt;&gt;""""),ROWS(FILTER(C$4:C69,C$4:C69&lt;&gt;""""))),$AC$5*(2^SWITCH(COUNTIF(C$4:C70,""Cursor_up""),0,0,1,1,2"&amp;",2,3)+SWITCH(COUNTIF(C$4:C70,""Cursor_up""),4,0.1,0)*(ROW(C70)-4-COUNTIF(C$4:C70,""Cursor"")-COUNTIF(C$4:C70,""*""&amp;""_up"")-2*COUNTIF(C$4:C70,""Sell_""&amp;""*"")+COUNTIF(C$4:C70,""Sell_Cursor"")-COUNTIF(C$4:C70,""""))+0.01*E70*COUNTIF(C$4:C70,""Plastic_up"")"&amp;")+E70))"),822.8)</f>
        <v>822.8</v>
      </c>
      <c r="G70" s="14">
        <f>IFERROR(__xludf.DUMMYFUNCTION("IF(COUNTA(C70:C147)=0,"""",IF(REGEXMATCH(C70,""_up""),VLOOKUP(C70,Upgrades!$F$3:$J$8,1+COUNTIF(C$4:C70,C70),FALSE),IF(C70="""",0,IF(REGEXMATCH(C70,""^Sell_""),-ROUNDDOWN(ROUNDUP(INDEX(Upgrades!$C$3:$C$8,MATCH(SUBSTITUTE(C70,""Sell_"",""""),Upgrades!$B$3:$"&amp;"B$8,0))*1.15^(COUNTIF(C$4:C69,SUBSTITUTE(C70,""Sell_"",""""))-COUNTIF(C$4:C69,""Sell_""&amp;SUBSTITUTE(C70,""Sell_"",""""))))/4),ROUNDUP(INDEX(Upgrades!$C$3:$C$7,MATCH(C70,Upgrades!$B$3:$B$7,0))*1.15^(COUNTIF(C$4:C69,C70)-COUNTIF(C$4:C69,""Sell_""&amp;C70)))))))"),8951.0)</f>
        <v>8951</v>
      </c>
      <c r="H70" s="14">
        <f t="shared" si="3"/>
        <v>8951</v>
      </c>
      <c r="I70" s="75">
        <f t="shared" si="4"/>
        <v>1426436.512</v>
      </c>
      <c r="J70" s="76">
        <f t="shared" si="5"/>
        <v>609.3321835</v>
      </c>
      <c r="K70" s="71" t="str">
        <f t="shared" si="6"/>
        <v>10m 09s</v>
      </c>
      <c r="L70" s="77">
        <f t="shared" si="7"/>
        <v>181743</v>
      </c>
      <c r="M70" s="51">
        <f t="shared" si="8"/>
        <v>0</v>
      </c>
      <c r="N70" s="52">
        <f>IFERROR(__xludf.DUMMYFUNCTION("IFS(AND(COUNTA(C70:C147)=0,COUNTA(P70:P147)=0),"""",OR(AND(L70&gt;=1000000,OR(Y70&gt;=1000000,COUNTA(P70:P147)=0)),AND(Y70&gt;=1000000,COUNTA(C70:C147)=0),AND(COUNTA(P70:P147)=0,O$3=TRUE)),
ROUNDDOWN((AB$1-AC$1)*MAX(INDEX(S$4:S147,MATCH(LARGE(FILTER(Y$4:Y147,Y$4:Y"&amp;"147&lt;1000000),1),Y$4:Y147)),INDEX(F$4:F147,MATCH(LARGE(FILTER(L$4:L147,L$4:L147&lt;1000000),1),L$4:L147)))),AND(L70&lt;1000000,COUNTA(C70:C147)&gt;0,O$3=FALSE),
ROUNDDOWN(INDEX(Y$4:Y147,MATCH(LARGE(FILTER(W$4:W147,W$4:W147&lt;=J70),1),W$4:W147))+(J70-LARGE(FILTER(W$4:"&amp;"W147,W$4:W147&lt;=J70),1))*INDEX(S$4:S147,MATCH(LARGE(FILTER(W$4:W147,W$4:W147&lt;=J70),1),W$4:W147))-L70),1,
ROUNDDOWN(Y70-INDEX(L$4:L147,MATCH(LARGE(FILTER(J$4:J147,J$4:J147&lt;=W70),1),J$4:J147))-(W70-LARGE(FILTER(J$4:J147,J$4:J147&lt;=W70),1))*INDEX(F$4:F147,MATC"&amp;"H(LARGE(FILTER(J$4:J147,J$4:J147&lt;=W70),1),J$4:J147))))"),0.0)</f>
        <v>0</v>
      </c>
      <c r="O70" s="65">
        <f t="shared" si="9"/>
        <v>16</v>
      </c>
      <c r="P70" s="66" t="s">
        <v>16</v>
      </c>
      <c r="Q70" s="14" t="b">
        <f>IFERROR(__xludf.DUMMYFUNCTION("IF(COUNTA(P70:P147)=0,"""",IFERROR(IF(ISBLANK(P70),FALSE,IF(ISBLANK(T70),1,IF(NOT(COUNTIF($AA$24:$AA$34,SUBSTITUTE(P70,""Sell_"",""""))),1,IF(P70=""Plastic_up"",IF(V70&lt;1000,1),IF(P70=""Super_Up"",IF(OR(COUNTIF(P$4:P70,""Grandma"")-COUNTIF(P$4:P70,""Sell_G"&amp;"randma"")&lt;1,COUNTIF(P$4:P70,VLOOKUP(P70,Upgrades!$F$8:$N$8,7+COUNTIF(P$4:P70,P70)))-COUNTIF(P$4:P70,""Sell_""&amp;VLOOKUP(P70,Upgrades!$F$8:$N$8,7+COUNTIF(P$4:P70,P70)))&lt;15),1),IF(REGEXMATCH(P70,""_up""),IF(COUNTIF(P$4:P70,SUBSTITUTE(P70,""_up"",""""))&lt;IFERRO"&amp;"R(VLOOKUP(P70,Upgrades!$L$3:$P$6,1+COUNTIF(P$4:P70,P70),0),999),1),IF(REGEXMATCH(P70,""Sell_""),IF(COUNTIF(P$4:P70,SUBSTITUTE(P70,""Sell_"",""""))-COUNTIF(P$4:P69,P70)&lt;1,1),FALSE)))))))))"),FALSE)</f>
        <v>0</v>
      </c>
      <c r="R70" s="71">
        <f>IFERROR(__xludf.DUMMYFUNCTION("IF(REGEXMATCH(P70,""^Sell_""),R69, IF(COUNTA(P70:P147)=0,"""",(COUNTIF(P$4:P70,""Cursor"")-COUNTIF(P$4:P70,""Sell_Cursor""))*(0.1*2^SWITCH(COUNTIF(P$4:P70,""Cursor_up""),0,0,1,1,2,2,3)+SWITCH(COUNTIF(P$4:P70,""Cursor_up""),4,0.1,0)*(ROW(P70)-4-COUNTIF(P$4"&amp;":P70,""Cursor"")-COUNTIF(P$4:P70,""*""&amp;""_up"")-2*COUNTIF(P$4:P70,""Sell_""&amp;""*"")+COUNTIF(P$4:P70,""Sell_Cursor"")-COUNTIF(P$4:P70,"""")))+(COUNTIF(P$4:P70,""Grandma"")-COUNTIF(P$4:P70,""Sell_Grandma""))*(1*2^(COUNTIF(P$4:P70,""Grandma_up"")+COUNTIF(P$4:"&amp;"P70,""Super_up"")))+(COUNTIF(P$4:P70,""Farm"")-COUNTIF(P$4:P70,""Sell_Farm""))*(8*2^COUNTIF(P$4:P70,""Farm_up""))*IF(COUNTIF(P$4:P70,""Super_up"")&gt;0,1+0.01*(COUNTIF(P$4:P70,""Grandma"")-COUNTIF(P$4:P70,""Sell_Grandma"")),1)+(COUNTIF(P$4:P70,""Mine"")-COUN"&amp;"TIF(P$4:P70,""Sell_Mine""))*((47*2^COUNTIF(P$4:P70,""Mine_up""))*IF(COUNTIF(P$4:P70,""Super_up"")&gt;1,1+0.005*(COUNTIF(P$4:P70,""Grandma"")-COUNTIF(P$4:P70,""Sell_Grandma"")),1))+(COUNTIF(P$4:P70,""Factory"")-COUNTIF(P$4:P70,""Sell_Factory""))*(260*2^COUNTI"&amp;"F(P$4:P70,""Factory_up""))))"),702.8)</f>
        <v>702.8</v>
      </c>
      <c r="S70" s="73">
        <f>IFERROR(__xludf.DUMMYFUNCTION("IF(COUNTA(P70:P147)=0,"""",IF(REGEXMATCH(INDEX(FILTER(P$4:P70,P$4:P70&lt;&gt;""""),ROWS(FILTER(P$4:P70,P$4:P70&lt;&gt;""""))),""^Sell_""),INDEX(FILTER(S$4:S69,P$4:P69&lt;&gt;""""),ROWS(FILTER(P$4:P69,P$4:P69&lt;&gt;""""))),$AD$5*(2^SWITCH(COUNTIF(P$4:P70,""Cursor_up""),0,0,1,1,2"&amp;",2,3)+SWITCH(COUNTIF(P$4:P70,""Cursor_up""),4,0.1,0)*(ROW(P70)-4-COUNTIF(P$4:P70,""Cursor"")-COUNTIF(P$4:P70,""*""&amp;""_up"")-2*COUNTIF(P$4:P70,""Sell_""&amp;""*"")+COUNTIF(P$4:P70,""Sell_Cursor"")-COUNTIF(P$4:P70,""""))+0.01*R70*COUNTIF(P$4:P70,""Plastic_up"")"&amp;")+R70))"),822.8)</f>
        <v>822.8</v>
      </c>
      <c r="T70" s="14">
        <f>IFERROR(__xludf.DUMMYFUNCTION("IF(COUNTA(P70:P147)=0,"""",IF(REGEXMATCH(P70,""_up""),VLOOKUP(P70,Upgrades!$F$3:$J$8,1+COUNTIF(P$4:P70,P70),FALSE),IF(P70="""",0,IF(REGEXMATCH(P70,""^Sell_""),-ROUNDDOWN(ROUNDUP(INDEX(Upgrades!$C$3:$C$8,MATCH(SUBSTITUTE(P70,""Sell_"",""""),Upgrades!$B$3:$"&amp;"B$8,0))*1.15^(COUNTIF(P$4:P69,SUBSTITUTE(P70,""Sell_"",""""))-COUNTIF(P$4:P69,""Sell_""&amp;SUBSTITUTE(P70,""Sell_"",""""))))/4),ROUNDUP(INDEX(Upgrades!$C$3:$C$7,MATCH(P70,Upgrades!$B$3:$B$7,0))*1.15^(COUNTIF(P$4:P69,P70)-COUNTIF(P$4:P69,""Sell_""&amp;P70)))))))"),8951.0)</f>
        <v>8951</v>
      </c>
      <c r="U70" s="14">
        <f t="shared" si="10"/>
        <v>8951</v>
      </c>
      <c r="V70" s="75">
        <f t="shared" si="11"/>
        <v>1426436.512</v>
      </c>
      <c r="W70" s="76">
        <f t="shared" si="12"/>
        <v>609.3321835</v>
      </c>
      <c r="X70" s="71" t="str">
        <f t="shared" si="13"/>
        <v>10m 09s</v>
      </c>
      <c r="Y70" s="77">
        <f t="shared" si="14"/>
        <v>181743</v>
      </c>
      <c r="Z70" s="17"/>
      <c r="AA70" s="13"/>
      <c r="AB70" s="13"/>
      <c r="AC70" s="13"/>
      <c r="AD70" s="13"/>
      <c r="AE70" s="13"/>
      <c r="AF70" s="13"/>
      <c r="AG70" s="13"/>
    </row>
    <row r="71">
      <c r="A71" s="12"/>
      <c r="B71" s="65">
        <f t="shared" si="2"/>
        <v>17</v>
      </c>
      <c r="C71" s="66" t="s">
        <v>16</v>
      </c>
      <c r="D71" s="14" t="b">
        <f>IFERROR(__xludf.DUMMYFUNCTION("IF(COUNTA(C71:C147)=0,"""",IFERROR(IF(ISBLANK(C71),FALSE,IF(ISBLANK(G71),1,IF(NOT(COUNTIF($AA$24:$AA$34,SUBSTITUTE(C71,""Sell_"",""""))),1,IF(C71=""Plastic_up"",IF(I71&lt;1000,1),IF(C71=""Super_Up"",IF(OR(COUNTIF(C$4:C71,""Grandma"")-COUNTIF(C$4:C71,""Sell_G"&amp;"randma"")&lt;1,COUNTIF(C$4:C71,VLOOKUP(C71,Upgrades!$F$8:$N$8,7+COUNTIF(C$4:C71,C71)))-COUNTIF(C$4:C71,""Sell_""&amp;VLOOKUP(C71,Upgrades!$F$8:$N$8,7+COUNTIF(C$4:C71,C71)))&lt;15),1),IF(REGEXMATCH(C71,""_up""),IF(COUNTIF(C$4:C71,SUBSTITUTE(C71,""_up"",""""))&lt;IFERRO"&amp;"R(VLOOKUP(C71,Upgrades!$L$3:$P$6,1+COUNTIF(C$4:C71,C71),0),999),1),IF(REGEXMATCH(C71,""Sell_""),IF(COUNTIF(C$4:C71,SUBSTITUTE(C71,""Sell_"",""""))-COUNTIF(C$4:C70,C71)&lt;1,1),FALSE)))))))))"),FALSE)</f>
        <v>0</v>
      </c>
      <c r="E71" s="71">
        <f>IFERROR(__xludf.DUMMYFUNCTION("IF(REGEXMATCH(C71,""^Sell_""),E70, IF(COUNTA(C71:C147)=0,"""",(COUNTIF(C$4:C71,""Cursor"")-COUNTIF(C$4:C71,""Sell_Cursor""))*(0.1*2^SWITCH(COUNTIF(C$4:C71,""Cursor_up""),0,0,1,1,2,2,3)+SWITCH(COUNTIF(C$4:C71,""Cursor_up""),4,0.1,0)*(ROW(C71)-4-COUNTIF(C$4"&amp;":C71,""Cursor"")-COUNTIF(C$4:C71,""*""&amp;""_up"")-2*COUNTIF(C$4:C71,""Sell_""&amp;""*"")+COUNTIF(C$4:C71,""Sell_Cursor"")-COUNTIF(C$4:C71,"""")))+(COUNTIF(C$4:C71,""Grandma"")-COUNTIF(C$4:C71,""Sell_Grandma""))*(1*2^(COUNTIF(C$4:C71,""Grandma_up"")+COUNTIF(C$4:"&amp;"C71,""Super_up"")))+(COUNTIF(C$4:C71,""Farm"")-COUNTIF(C$4:C71,""Sell_Farm""))*(8*2^COUNTIF(C$4:C71,""Farm_up""))*IF(COUNTIF(C$4:C71,""Super_up"")&gt;0,1+0.01*(COUNTIF(C$4:C71,""Grandma"")-COUNTIF(C$4:C71,""Sell_Grandma"")),1)+(COUNTIF(C$4:C71,""Mine"")-COUN"&amp;"TIF(C$4:C71,""Sell_Mine""))*((47*2^COUNTIF(C$4:C71,""Mine_up""))*IF(COUNTIF(C$4:C71,""Super_up"")&gt;1,1+0.005*(COUNTIF(C$4:C71,""Grandma"")-COUNTIF(C$4:C71,""Sell_Grandma"")),1))+(COUNTIF(C$4:C71,""Factory"")-COUNTIF(C$4:C71,""Sell_Factory""))*(260*2^COUNTI"&amp;"F(C$4:C71,""Factory_up""))))"),734.8)</f>
        <v>734.8</v>
      </c>
      <c r="F71" s="73">
        <f>IFERROR(__xludf.DUMMYFUNCTION("IF(COUNTA(C71:C147)=0,"""",IF(REGEXMATCH(INDEX(FILTER(C$4:C71,C$4:C71&lt;&gt;""""),ROWS(FILTER(C$4:C71,C$4:C71&lt;&gt;""""))),""^Sell_""),INDEX(FILTER(F$4:F70,C$4:C70&lt;&gt;""""),ROWS(FILTER(C$4:C70,C$4:C70&lt;&gt;""""))),$AC$5*(2^SWITCH(COUNTIF(C$4:C71,""Cursor_up""),0,0,1,1,2"&amp;",2,3)+SWITCH(COUNTIF(C$4:C71,""Cursor_up""),4,0.1,0)*(ROW(C71)-4-COUNTIF(C$4:C71,""Cursor"")-COUNTIF(C$4:C71,""*""&amp;""_up"")-2*COUNTIF(C$4:C71,""Sell_""&amp;""*"")+COUNTIF(C$4:C71,""Sell_Cursor"")-COUNTIF(C$4:C71,""""))+0.01*E71*COUNTIF(C$4:C71,""Plastic_up"")"&amp;")+E71))"),854.8)</f>
        <v>854.8</v>
      </c>
      <c r="G71" s="14">
        <f>IFERROR(__xludf.DUMMYFUNCTION("IF(COUNTA(C71:C147)=0,"""",IF(REGEXMATCH(C71,""_up""),VLOOKUP(C71,Upgrades!$F$3:$J$8,1+COUNTIF(C$4:C71,C71),FALSE),IF(C71="""",0,IF(REGEXMATCH(C71,""^Sell_""),-ROUNDDOWN(ROUNDUP(INDEX(Upgrades!$C$3:$C$8,MATCH(SUBSTITUTE(C71,""Sell_"",""""),Upgrades!$B$3:$"&amp;"B$8,0))*1.15^(COUNTIF(C$4:C70,SUBSTITUTE(C71,""Sell_"",""""))-COUNTIF(C$4:C70,""Sell_""&amp;SUBSTITUTE(C71,""Sell_"",""""))))/4),ROUNDUP(INDEX(Upgrades!$C$3:$C$7,MATCH(C71,Upgrades!$B$3:$B$7,0))*1.15^(COUNTIF(C$4:C70,C71)-COUNTIF(C$4:C70,""Sell_""&amp;C71)))))))"),10294.0)</f>
        <v>10294</v>
      </c>
      <c r="H71" s="14">
        <f t="shared" si="3"/>
        <v>10294</v>
      </c>
      <c r="I71" s="75">
        <f t="shared" si="4"/>
        <v>1501057.686</v>
      </c>
      <c r="J71" s="76">
        <f t="shared" si="5"/>
        <v>621.8431218</v>
      </c>
      <c r="K71" s="71" t="str">
        <f t="shared" si="6"/>
        <v>10m 21s</v>
      </c>
      <c r="L71" s="77">
        <f t="shared" si="7"/>
        <v>192037</v>
      </c>
      <c r="M71" s="51">
        <f t="shared" si="8"/>
        <v>0</v>
      </c>
      <c r="N71" s="52">
        <f>IFERROR(__xludf.DUMMYFUNCTION("IFS(AND(COUNTA(C71:C147)=0,COUNTA(P71:P147)=0),"""",OR(AND(L71&gt;=1000000,OR(Y71&gt;=1000000,COUNTA(P71:P147)=0)),AND(Y71&gt;=1000000,COUNTA(C71:C147)=0),AND(COUNTA(P71:P147)=0,O$3=TRUE)),
ROUNDDOWN((AB$1-AC$1)*MAX(INDEX(S$4:S147,MATCH(LARGE(FILTER(Y$4:Y147,Y$4:Y"&amp;"147&lt;1000000),1),Y$4:Y147)),INDEX(F$4:F147,MATCH(LARGE(FILTER(L$4:L147,L$4:L147&lt;1000000),1),L$4:L147)))),AND(L71&lt;1000000,COUNTA(C71:C147)&gt;0,O$3=FALSE),
ROUNDDOWN(INDEX(Y$4:Y147,MATCH(LARGE(FILTER(W$4:W147,W$4:W147&lt;=J71),1),W$4:W147))+(J71-LARGE(FILTER(W$4:"&amp;"W147,W$4:W147&lt;=J71),1))*INDEX(S$4:S147,MATCH(LARGE(FILTER(W$4:W147,W$4:W147&lt;=J71),1),W$4:W147))-L71),1,
ROUNDDOWN(Y71-INDEX(L$4:L147,MATCH(LARGE(FILTER(J$4:J147,J$4:J147&lt;=W71),1),J$4:J147))-(W71-LARGE(FILTER(J$4:J147,J$4:J147&lt;=W71),1))*INDEX(F$4:F147,MATC"&amp;"H(LARGE(FILTER(J$4:J147,J$4:J147&lt;=W71),1),J$4:J147))))"),0.0)</f>
        <v>0</v>
      </c>
      <c r="O71" s="65">
        <f t="shared" si="9"/>
        <v>17</v>
      </c>
      <c r="P71" s="66" t="s">
        <v>16</v>
      </c>
      <c r="Q71" s="14" t="b">
        <f>IFERROR(__xludf.DUMMYFUNCTION("IF(COUNTA(P71:P147)=0,"""",IFERROR(IF(ISBLANK(P71),FALSE,IF(ISBLANK(T71),1,IF(NOT(COUNTIF($AA$24:$AA$34,SUBSTITUTE(P71,""Sell_"",""""))),1,IF(P71=""Plastic_up"",IF(V71&lt;1000,1),IF(P71=""Super_Up"",IF(OR(COUNTIF(P$4:P71,""Grandma"")-COUNTIF(P$4:P71,""Sell_G"&amp;"randma"")&lt;1,COUNTIF(P$4:P71,VLOOKUP(P71,Upgrades!$F$8:$N$8,7+COUNTIF(P$4:P71,P71)))-COUNTIF(P$4:P71,""Sell_""&amp;VLOOKUP(P71,Upgrades!$F$8:$N$8,7+COUNTIF(P$4:P71,P71)))&lt;15),1),IF(REGEXMATCH(P71,""_up""),IF(COUNTIF(P$4:P71,SUBSTITUTE(P71,""_up"",""""))&lt;IFERRO"&amp;"R(VLOOKUP(P71,Upgrades!$L$3:$P$6,1+COUNTIF(P$4:P71,P71),0),999),1),IF(REGEXMATCH(P71,""Sell_""),IF(COUNTIF(P$4:P71,SUBSTITUTE(P71,""Sell_"",""""))-COUNTIF(P$4:P70,P71)&lt;1,1),FALSE)))))))))"),FALSE)</f>
        <v>0</v>
      </c>
      <c r="R71" s="71">
        <f>IFERROR(__xludf.DUMMYFUNCTION("IF(REGEXMATCH(P71,""^Sell_""),R70, IF(COUNTA(P71:P147)=0,"""",(COUNTIF(P$4:P71,""Cursor"")-COUNTIF(P$4:P71,""Sell_Cursor""))*(0.1*2^SWITCH(COUNTIF(P$4:P71,""Cursor_up""),0,0,1,1,2,2,3)+SWITCH(COUNTIF(P$4:P71,""Cursor_up""),4,0.1,0)*(ROW(P71)-4-COUNTIF(P$4"&amp;":P71,""Cursor"")-COUNTIF(P$4:P71,""*""&amp;""_up"")-2*COUNTIF(P$4:P71,""Sell_""&amp;""*"")+COUNTIF(P$4:P71,""Sell_Cursor"")-COUNTIF(P$4:P71,"""")))+(COUNTIF(P$4:P71,""Grandma"")-COUNTIF(P$4:P71,""Sell_Grandma""))*(1*2^(COUNTIF(P$4:P71,""Grandma_up"")+COUNTIF(P$4:"&amp;"P71,""Super_up"")))+(COUNTIF(P$4:P71,""Farm"")-COUNTIF(P$4:P71,""Sell_Farm""))*(8*2^COUNTIF(P$4:P71,""Farm_up""))*IF(COUNTIF(P$4:P71,""Super_up"")&gt;0,1+0.01*(COUNTIF(P$4:P71,""Grandma"")-COUNTIF(P$4:P71,""Sell_Grandma"")),1)+(COUNTIF(P$4:P71,""Mine"")-COUN"&amp;"TIF(P$4:P71,""Sell_Mine""))*((47*2^COUNTIF(P$4:P71,""Mine_up""))*IF(COUNTIF(P$4:P71,""Super_up"")&gt;1,1+0.005*(COUNTIF(P$4:P71,""Grandma"")-COUNTIF(P$4:P71,""Sell_Grandma"")),1))+(COUNTIF(P$4:P71,""Factory"")-COUNTIF(P$4:P71,""Sell_Factory""))*(260*2^COUNTI"&amp;"F(P$4:P71,""Factory_up""))))"),734.8)</f>
        <v>734.8</v>
      </c>
      <c r="S71" s="73">
        <f>IFERROR(__xludf.DUMMYFUNCTION("IF(COUNTA(P71:P147)=0,"""",IF(REGEXMATCH(INDEX(FILTER(P$4:P71,P$4:P71&lt;&gt;""""),ROWS(FILTER(P$4:P71,P$4:P71&lt;&gt;""""))),""^Sell_""),INDEX(FILTER(S$4:S70,P$4:P70&lt;&gt;""""),ROWS(FILTER(P$4:P70,P$4:P70&lt;&gt;""""))),$AD$5*(2^SWITCH(COUNTIF(P$4:P71,""Cursor_up""),0,0,1,1,2"&amp;",2,3)+SWITCH(COUNTIF(P$4:P71,""Cursor_up""),4,0.1,0)*(ROW(P71)-4-COUNTIF(P$4:P71,""Cursor"")-COUNTIF(P$4:P71,""*""&amp;""_up"")-2*COUNTIF(P$4:P71,""Sell_""&amp;""*"")+COUNTIF(P$4:P71,""Sell_Cursor"")-COUNTIF(P$4:P71,""""))+0.01*R71*COUNTIF(P$4:P71,""Plastic_up"")"&amp;")+R71))"),854.8)</f>
        <v>854.8</v>
      </c>
      <c r="T71" s="14">
        <f>IFERROR(__xludf.DUMMYFUNCTION("IF(COUNTA(P71:P147)=0,"""",IF(REGEXMATCH(P71,""_up""),VLOOKUP(P71,Upgrades!$F$3:$J$8,1+COUNTIF(P$4:P71,P71),FALSE),IF(P71="""",0,IF(REGEXMATCH(P71,""^Sell_""),-ROUNDDOWN(ROUNDUP(INDEX(Upgrades!$C$3:$C$8,MATCH(SUBSTITUTE(P71,""Sell_"",""""),Upgrades!$B$3:$"&amp;"B$8,0))*1.15^(COUNTIF(P$4:P70,SUBSTITUTE(P71,""Sell_"",""""))-COUNTIF(P$4:P70,""Sell_""&amp;SUBSTITUTE(P71,""Sell_"",""""))))/4),ROUNDUP(INDEX(Upgrades!$C$3:$C$7,MATCH(P71,Upgrades!$B$3:$B$7,0))*1.15^(COUNTIF(P$4:P70,P71)-COUNTIF(P$4:P70,""Sell_""&amp;P71)))))))"),10294.0)</f>
        <v>10294</v>
      </c>
      <c r="U71" s="14">
        <f t="shared" si="10"/>
        <v>10294</v>
      </c>
      <c r="V71" s="75">
        <f t="shared" si="11"/>
        <v>1501057.686</v>
      </c>
      <c r="W71" s="76">
        <f t="shared" si="12"/>
        <v>621.8431218</v>
      </c>
      <c r="X71" s="71" t="str">
        <f t="shared" si="13"/>
        <v>10m 21s</v>
      </c>
      <c r="Y71" s="77">
        <f t="shared" si="14"/>
        <v>192037</v>
      </c>
      <c r="Z71" s="17"/>
      <c r="AA71" s="13"/>
      <c r="AB71" s="13"/>
      <c r="AC71" s="13"/>
      <c r="AD71" s="13"/>
      <c r="AE71" s="13"/>
      <c r="AF71" s="13"/>
      <c r="AG71" s="13"/>
    </row>
    <row r="72">
      <c r="A72" s="12"/>
      <c r="B72" s="65">
        <f t="shared" si="2"/>
        <v>1</v>
      </c>
      <c r="C72" s="15" t="s">
        <v>24</v>
      </c>
      <c r="D72" s="14" t="b">
        <f>IFERROR(__xludf.DUMMYFUNCTION("IF(COUNTA(C72:C147)=0,"""",IFERROR(IF(ISBLANK(C72),FALSE,IF(ISBLANK(G72),1,IF(NOT(COUNTIF($AA$24:$AA$34,SUBSTITUTE(C72,""Sell_"",""""))),1,IF(C72=""Plastic_up"",IF(I72&lt;1000,1),IF(C72=""Super_Up"",IF(OR(COUNTIF(C$4:C72,""Grandma"")-COUNTIF(C$4:C72,""Sell_G"&amp;"randma"")&lt;1,COUNTIF(C$4:C72,VLOOKUP(C72,Upgrades!$F$8:$N$8,7+COUNTIF(C$4:C72,C72)))-COUNTIF(C$4:C72,""Sell_""&amp;VLOOKUP(C72,Upgrades!$F$8:$N$8,7+COUNTIF(C$4:C72,C72)))&lt;15),1),IF(REGEXMATCH(C72,""_up""),IF(COUNTIF(C$4:C72,SUBSTITUTE(C72,""_up"",""""))&lt;IFERRO"&amp;"R(VLOOKUP(C72,Upgrades!$L$3:$P$6,1+COUNTIF(C$4:C72,C72),0),999),1),IF(REGEXMATCH(C72,""Sell_""),IF(COUNTIF(C$4:C72,SUBSTITUTE(C72,""Sell_"",""""))-COUNTIF(C$4:C71,C72)&lt;1,1),FALSE)))))))))"),FALSE)</f>
        <v>0</v>
      </c>
      <c r="E72" s="71">
        <f>IFERROR(__xludf.DUMMYFUNCTION("IF(REGEXMATCH(C72,""^Sell_""),E71, IF(COUNTA(C72:C147)=0,"""",(COUNTIF(C$4:C72,""Cursor"")-COUNTIF(C$4:C72,""Sell_Cursor""))*(0.1*2^SWITCH(COUNTIF(C$4:C72,""Cursor_up""),0,0,1,1,2,2,3)+SWITCH(COUNTIF(C$4:C72,""Cursor_up""),4,0.1,0)*(ROW(C72)-4-COUNTIF(C$4"&amp;":C72,""Cursor"")-COUNTIF(C$4:C72,""*""&amp;""_up"")-2*COUNTIF(C$4:C72,""Sell_""&amp;""*"")+COUNTIF(C$4:C72,""Sell_Cursor"")-COUNTIF(C$4:C72,"""")))+(COUNTIF(C$4:C72,""Grandma"")-COUNTIF(C$4:C72,""Sell_Grandma""))*(1*2^(COUNTIF(C$4:C72,""Grandma_up"")+COUNTIF(C$4:"&amp;"C72,""Super_up"")))+(COUNTIF(C$4:C72,""Farm"")-COUNTIF(C$4:C72,""Sell_Farm""))*(8*2^COUNTIF(C$4:C72,""Farm_up""))*IF(COUNTIF(C$4:C72,""Super_up"")&gt;0,1+0.01*(COUNTIF(C$4:C72,""Grandma"")-COUNTIF(C$4:C72,""Sell_Grandma"")),1)+(COUNTIF(C$4:C72,""Mine"")-COUN"&amp;"TIF(C$4:C72,""Sell_Mine""))*((47*2^COUNTIF(C$4:C72,""Mine_up""))*IF(COUNTIF(C$4:C72,""Super_up"")&gt;1,1+0.005*(COUNTIF(C$4:C72,""Grandma"")-COUNTIF(C$4:C72,""Sell_Grandma"")),1))+(COUNTIF(C$4:C72,""Factory"")-COUNTIF(C$4:C72,""Sell_Factory""))*(260*2^COUNTI"&amp;"F(C$4:C72,""Factory_up""))))"),923.5999999999999)</f>
        <v>923.6</v>
      </c>
      <c r="F72" s="73">
        <f>IFERROR(__xludf.DUMMYFUNCTION("IF(COUNTA(C72:C147)=0,"""",IF(REGEXMATCH(INDEX(FILTER(C$4:C72,C$4:C72&lt;&gt;""""),ROWS(FILTER(C$4:C72,C$4:C72&lt;&gt;""""))),""^Sell_""),INDEX(FILTER(F$4:F71,C$4:C71&lt;&gt;""""),ROWS(FILTER(C$4:C71,C$4:C71&lt;&gt;""""))),$AC$5*(2^SWITCH(COUNTIF(C$4:C72,""Cursor_up""),0,0,1,1,2"&amp;",2,3)+SWITCH(COUNTIF(C$4:C72,""Cursor_up""),4,0.1,0)*(ROW(C72)-4-COUNTIF(C$4:C72,""Cursor"")-COUNTIF(C$4:C72,""*""&amp;""_up"")-2*COUNTIF(C$4:C72,""Sell_""&amp;""*"")+COUNTIF(C$4:C72,""Sell_Cursor"")-COUNTIF(C$4:C72,""""))+0.01*E72*COUNTIF(C$4:C72,""Plastic_up"")"&amp;")+E72))"),1043.6)</f>
        <v>1043.6</v>
      </c>
      <c r="G72" s="14">
        <f>IFERROR(__xludf.DUMMYFUNCTION("IF(COUNTA(C72:C147)=0,"""",IF(REGEXMATCH(C72,""_up""),VLOOKUP(C72,Upgrades!$F$3:$J$8,1+COUNTIF(C$4:C72,C72),FALSE),IF(C72="""",0,IF(REGEXMATCH(C72,""^Sell_""),-ROUNDDOWN(ROUNDUP(INDEX(Upgrades!$C$3:$C$8,MATCH(SUBSTITUTE(C72,""Sell_"",""""),Upgrades!$B$3:$"&amp;"B$8,0))*1.15^(COUNTIF(C$4:C71,SUBSTITUTE(C72,""Sell_"",""""))-COUNTIF(C$4:C71,""Sell_""&amp;SUBSTITUTE(C72,""Sell_"",""""))))/4),ROUNDUP(INDEX(Upgrades!$C$3:$C$7,MATCH(C72,Upgrades!$B$3:$B$7,0))*1.15^(COUNTIF(C$4:C71,C72)-COUNTIF(C$4:C71,""Sell_""&amp;C72)))))))"),55000.0)</f>
        <v>55000</v>
      </c>
      <c r="H72" s="14">
        <f t="shared" si="3"/>
        <v>55000</v>
      </c>
      <c r="I72" s="75">
        <f t="shared" si="4"/>
        <v>1583399.965</v>
      </c>
      <c r="J72" s="76">
        <f t="shared" si="5"/>
        <v>686.1856581</v>
      </c>
      <c r="K72" s="71" t="str">
        <f t="shared" si="6"/>
        <v>11m 26s</v>
      </c>
      <c r="L72" s="77">
        <f t="shared" si="7"/>
        <v>247037</v>
      </c>
      <c r="M72" s="51">
        <f t="shared" si="8"/>
        <v>0</v>
      </c>
      <c r="N72" s="52">
        <f>IFERROR(__xludf.DUMMYFUNCTION("IFS(AND(COUNTA(C72:C147)=0,COUNTA(P72:P147)=0),"""",OR(AND(L72&gt;=1000000,OR(Y72&gt;=1000000,COUNTA(P72:P147)=0)),AND(Y72&gt;=1000000,COUNTA(C72:C147)=0),AND(COUNTA(P72:P147)=0,O$3=TRUE)),
ROUNDDOWN((AB$1-AC$1)*MAX(INDEX(S$4:S147,MATCH(LARGE(FILTER(Y$4:Y147,Y$4:Y"&amp;"147&lt;1000000),1),Y$4:Y147)),INDEX(F$4:F147,MATCH(LARGE(FILTER(L$4:L147,L$4:L147&lt;1000000),1),L$4:L147)))),AND(L72&lt;1000000,COUNTA(C72:C147)&gt;0,O$3=FALSE),
ROUNDDOWN(INDEX(Y$4:Y147,MATCH(LARGE(FILTER(W$4:W147,W$4:W147&lt;=J72),1),W$4:W147))+(J72-LARGE(FILTER(W$4:"&amp;"W147,W$4:W147&lt;=J72),1))*INDEX(S$4:S147,MATCH(LARGE(FILTER(W$4:W147,W$4:W147&lt;=J72),1),W$4:W147))-L72),1,
ROUNDDOWN(Y72-INDEX(L$4:L147,MATCH(LARGE(FILTER(J$4:J147,J$4:J147&lt;=W72),1),J$4:J147))-(W72-LARGE(FILTER(J$4:J147,J$4:J147&lt;=W72),1))*INDEX(F$4:F147,MATC"&amp;"H(LARGE(FILTER(J$4:J147,J$4:J147&lt;=W72),1),J$4:J147))))"),0.0)</f>
        <v>0</v>
      </c>
      <c r="O72" s="65">
        <f t="shared" si="9"/>
        <v>1</v>
      </c>
      <c r="P72" s="15" t="s">
        <v>24</v>
      </c>
      <c r="Q72" s="14" t="b">
        <f>IFERROR(__xludf.DUMMYFUNCTION("IF(COUNTA(P72:P147)=0,"""",IFERROR(IF(ISBLANK(P72),FALSE,IF(ISBLANK(T72),1,IF(NOT(COUNTIF($AA$24:$AA$34,SUBSTITUTE(P72,""Sell_"",""""))),1,IF(P72=""Plastic_up"",IF(V72&lt;1000,1),IF(P72=""Super_Up"",IF(OR(COUNTIF(P$4:P72,""Grandma"")-COUNTIF(P$4:P72,""Sell_G"&amp;"randma"")&lt;1,COUNTIF(P$4:P72,VLOOKUP(P72,Upgrades!$F$8:$N$8,7+COUNTIF(P$4:P72,P72)))-COUNTIF(P$4:P72,""Sell_""&amp;VLOOKUP(P72,Upgrades!$F$8:$N$8,7+COUNTIF(P$4:P72,P72)))&lt;15),1),IF(REGEXMATCH(P72,""_up""),IF(COUNTIF(P$4:P72,SUBSTITUTE(P72,""_up"",""""))&lt;IFERRO"&amp;"R(VLOOKUP(P72,Upgrades!$L$3:$P$6,1+COUNTIF(P$4:P72,P72),0),999),1),IF(REGEXMATCH(P72,""Sell_""),IF(COUNTIF(P$4:P72,SUBSTITUTE(P72,""Sell_"",""""))-COUNTIF(P$4:P71,P72)&lt;1,1),FALSE)))))))))"),FALSE)</f>
        <v>0</v>
      </c>
      <c r="R72" s="71">
        <f>IFERROR(__xludf.DUMMYFUNCTION("IF(REGEXMATCH(P72,""^Sell_""),R71, IF(COUNTA(P72:P147)=0,"""",(COUNTIF(P$4:P72,""Cursor"")-COUNTIF(P$4:P72,""Sell_Cursor""))*(0.1*2^SWITCH(COUNTIF(P$4:P72,""Cursor_up""),0,0,1,1,2,2,3)+SWITCH(COUNTIF(P$4:P72,""Cursor_up""),4,0.1,0)*(ROW(P72)-4-COUNTIF(P$4"&amp;":P72,""Cursor"")-COUNTIF(P$4:P72,""*""&amp;""_up"")-2*COUNTIF(P$4:P72,""Sell_""&amp;""*"")+COUNTIF(P$4:P72,""Sell_Cursor"")-COUNTIF(P$4:P72,"""")))+(COUNTIF(P$4:P72,""Grandma"")-COUNTIF(P$4:P72,""Sell_Grandma""))*(1*2^(COUNTIF(P$4:P72,""Grandma_up"")+COUNTIF(P$4:"&amp;"P72,""Super_up"")))+(COUNTIF(P$4:P72,""Farm"")-COUNTIF(P$4:P72,""Sell_Farm""))*(8*2^COUNTIF(P$4:P72,""Farm_up""))*IF(COUNTIF(P$4:P72,""Super_up"")&gt;0,1+0.01*(COUNTIF(P$4:P72,""Grandma"")-COUNTIF(P$4:P72,""Sell_Grandma"")),1)+(COUNTIF(P$4:P72,""Mine"")-COUN"&amp;"TIF(P$4:P72,""Sell_Mine""))*((47*2^COUNTIF(P$4:P72,""Mine_up""))*IF(COUNTIF(P$4:P72,""Super_up"")&gt;1,1+0.005*(COUNTIF(P$4:P72,""Grandma"")-COUNTIF(P$4:P72,""Sell_Grandma"")),1))+(COUNTIF(P$4:P72,""Factory"")-COUNTIF(P$4:P72,""Sell_Factory""))*(260*2^COUNTI"&amp;"F(P$4:P72,""Factory_up""))))"),923.5999999999999)</f>
        <v>923.6</v>
      </c>
      <c r="S72" s="73">
        <f>IFERROR(__xludf.DUMMYFUNCTION("IF(COUNTA(P72:P147)=0,"""",IF(REGEXMATCH(INDEX(FILTER(P$4:P72,P$4:P72&lt;&gt;""""),ROWS(FILTER(P$4:P72,P$4:P72&lt;&gt;""""))),""^Sell_""),INDEX(FILTER(S$4:S71,P$4:P71&lt;&gt;""""),ROWS(FILTER(P$4:P71,P$4:P71&lt;&gt;""""))),$AD$5*(2^SWITCH(COUNTIF(P$4:P72,""Cursor_up""),0,0,1,1,2"&amp;",2,3)+SWITCH(COUNTIF(P$4:P72,""Cursor_up""),4,0.1,0)*(ROW(P72)-4-COUNTIF(P$4:P72,""Cursor"")-COUNTIF(P$4:P72,""*""&amp;""_up"")-2*COUNTIF(P$4:P72,""Sell_""&amp;""*"")+COUNTIF(P$4:P72,""Sell_Cursor"")-COUNTIF(P$4:P72,""""))+0.01*R72*COUNTIF(P$4:P72,""Plastic_up"")"&amp;")+R72))"),1043.6)</f>
        <v>1043.6</v>
      </c>
      <c r="T72" s="14">
        <f>IFERROR(__xludf.DUMMYFUNCTION("IF(COUNTA(P72:P147)=0,"""",IF(REGEXMATCH(P72,""_up""),VLOOKUP(P72,Upgrades!$F$3:$J$8,1+COUNTIF(P$4:P72,P72),FALSE),IF(P72="""",0,IF(REGEXMATCH(P72,""^Sell_""),-ROUNDDOWN(ROUNDUP(INDEX(Upgrades!$C$3:$C$8,MATCH(SUBSTITUTE(P72,""Sell_"",""""),Upgrades!$B$3:$"&amp;"B$8,0))*1.15^(COUNTIF(P$4:P71,SUBSTITUTE(P72,""Sell_"",""""))-COUNTIF(P$4:P71,""Sell_""&amp;SUBSTITUTE(P72,""Sell_"",""""))))/4),ROUNDUP(INDEX(Upgrades!$C$3:$C$7,MATCH(P72,Upgrades!$B$3:$B$7,0))*1.15^(COUNTIF(P$4:P71,P72)-COUNTIF(P$4:P71,""Sell_""&amp;P72)))))))"),55000.0)</f>
        <v>55000</v>
      </c>
      <c r="U72" s="14">
        <f t="shared" si="10"/>
        <v>55000</v>
      </c>
      <c r="V72" s="75">
        <f t="shared" si="11"/>
        <v>1583399.965</v>
      </c>
      <c r="W72" s="76">
        <f t="shared" si="12"/>
        <v>686.1856581</v>
      </c>
      <c r="X72" s="71" t="str">
        <f t="shared" si="13"/>
        <v>11m 26s</v>
      </c>
      <c r="Y72" s="77">
        <f t="shared" si="14"/>
        <v>247037</v>
      </c>
      <c r="Z72" s="17"/>
      <c r="AA72" s="13"/>
      <c r="AB72" s="13"/>
      <c r="AC72" s="13"/>
      <c r="AD72" s="13"/>
      <c r="AE72" s="13"/>
      <c r="AF72" s="13"/>
      <c r="AG72" s="13"/>
    </row>
    <row r="73">
      <c r="A73" s="12"/>
      <c r="B73" s="65">
        <f t="shared" si="2"/>
        <v>21</v>
      </c>
      <c r="C73" s="66" t="s">
        <v>13</v>
      </c>
      <c r="D73" s="14" t="b">
        <f>IFERROR(__xludf.DUMMYFUNCTION("IF(COUNTA(C73:C147)=0,"""",IFERROR(IF(ISBLANK(C73),FALSE,IF(ISBLANK(G73),1,IF(NOT(COUNTIF($AA$24:$AA$34,SUBSTITUTE(C73,""Sell_"",""""))),1,IF(C73=""Plastic_up"",IF(I73&lt;1000,1),IF(C73=""Super_Up"",IF(OR(COUNTIF(C$4:C73,""Grandma"")-COUNTIF(C$4:C73,""Sell_G"&amp;"randma"")&lt;1,COUNTIF(C$4:C73,VLOOKUP(C73,Upgrades!$F$8:$N$8,7+COUNTIF(C$4:C73,C73)))-COUNTIF(C$4:C73,""Sell_""&amp;VLOOKUP(C73,Upgrades!$F$8:$N$8,7+COUNTIF(C$4:C73,C73)))&lt;15),1),IF(REGEXMATCH(C73,""_up""),IF(COUNTIF(C$4:C73,SUBSTITUTE(C73,""_up"",""""))&lt;IFERRO"&amp;"R(VLOOKUP(C73,Upgrades!$L$3:$P$6,1+COUNTIF(C$4:C73,C73),0),999),1),IF(REGEXMATCH(C73,""Sell_""),IF(COUNTIF(C$4:C73,SUBSTITUTE(C73,""Sell_"",""""))-COUNTIF(C$4:C72,C73)&lt;1,1),FALSE)))))))))"),FALSE)</f>
        <v>0</v>
      </c>
      <c r="E73" s="71">
        <f>IFERROR(__xludf.DUMMYFUNCTION("IF(REGEXMATCH(C73,""^Sell_""),E72, IF(COUNTA(C73:C147)=0,"""",(COUNTIF(C$4:C73,""Cursor"")-COUNTIF(C$4:C73,""Sell_Cursor""))*(0.1*2^SWITCH(COUNTIF(C$4:C73,""Cursor_up""),0,0,1,1,2,2,3)+SWITCH(COUNTIF(C$4:C73,""Cursor_up""),4,0.1,0)*(ROW(C73)-4-COUNTIF(C$4"&amp;":C73,""Cursor"")-COUNTIF(C$4:C73,""*""&amp;""_up"")-2*COUNTIF(C$4:C73,""Sell_""&amp;""*"")+COUNTIF(C$4:C73,""Sell_Cursor"")-COUNTIF(C$4:C73,"""")))+(COUNTIF(C$4:C73,""Grandma"")-COUNTIF(C$4:C73,""Sell_Grandma""))*(1*2^(COUNTIF(C$4:C73,""Grandma_up"")+COUNTIF(C$4:"&amp;"C73,""Super_up"")))+(COUNTIF(C$4:C73,""Farm"")-COUNTIF(C$4:C73,""Sell_Farm""))*(8*2^COUNTIF(C$4:C73,""Farm_up""))*IF(COUNTIF(C$4:C73,""Super_up"")&gt;0,1+0.01*(COUNTIF(C$4:C73,""Grandma"")-COUNTIF(C$4:C73,""Sell_Grandma"")),1)+(COUNTIF(C$4:C73,""Mine"")-COUN"&amp;"TIF(C$4:C73,""Sell_Mine""))*((47*2^COUNTIF(C$4:C73,""Mine_up""))*IF(COUNTIF(C$4:C73,""Super_up"")&gt;1,1+0.005*(COUNTIF(C$4:C73,""Grandma"")-COUNTIF(C$4:C73,""Sell_Grandma"")),1))+(COUNTIF(C$4:C73,""Factory"")-COUNTIF(C$4:C73,""Sell_Factory""))*(260*2^COUNTI"&amp;"F(C$4:C73,""Factory_up""))))"),937.04)</f>
        <v>937.04</v>
      </c>
      <c r="F73" s="73">
        <f>IFERROR(__xludf.DUMMYFUNCTION("IF(COUNTA(C73:C147)=0,"""",IF(REGEXMATCH(INDEX(FILTER(C$4:C73,C$4:C73&lt;&gt;""""),ROWS(FILTER(C$4:C73,C$4:C73&lt;&gt;""""))),""^Sell_""),INDEX(FILTER(F$4:F72,C$4:C72&lt;&gt;""""),ROWS(FILTER(C$4:C72,C$4:C72&lt;&gt;""""))),$AC$5*(2^SWITCH(COUNTIF(C$4:C73,""Cursor_up""),0,0,1,1,2"&amp;",2,3)+SWITCH(COUNTIF(C$4:C73,""Cursor_up""),4,0.1,0)*(ROW(C73)-4-COUNTIF(C$4:C73,""Cursor"")-COUNTIF(C$4:C73,""*""&amp;""_up"")-2*COUNTIF(C$4:C73,""Sell_""&amp;""*"")+COUNTIF(C$4:C73,""Sell_Cursor"")-COUNTIF(C$4:C73,""""))+0.01*E73*COUNTIF(C$4:C73,""Plastic_up"")"&amp;")+E73))"),1057.04)</f>
        <v>1057.04</v>
      </c>
      <c r="G73" s="14">
        <f>IFERROR(__xludf.DUMMYFUNCTION("IF(COUNTA(C73:C147)=0,"""",IF(REGEXMATCH(C73,""_up""),VLOOKUP(C73,Upgrades!$F$3:$J$8,1+COUNTIF(C$4:C73,C73),FALSE),IF(C73="""",0,IF(REGEXMATCH(C73,""^Sell_""),-ROUNDDOWN(ROUNDUP(INDEX(Upgrades!$C$3:$C$8,MATCH(SUBSTITUTE(C73,""Sell_"",""""),Upgrades!$B$3:$"&amp;"B$8,0))*1.15^(COUNTIF(C$4:C72,SUBSTITUTE(C73,""Sell_"",""""))-COUNTIF(C$4:C72,""Sell_""&amp;SUBSTITUTE(C73,""Sell_"",""""))))/4),ROUNDUP(INDEX(Upgrades!$C$3:$C$7,MATCH(C73,Upgrades!$B$3:$B$7,0))*1.15^(COUNTIF(C$4:C72,C73)-COUNTIF(C$4:C72,""Sell_""&amp;C73)))))))"),1637.0)</f>
        <v>1637</v>
      </c>
      <c r="H73" s="14">
        <f t="shared" si="3"/>
        <v>1637</v>
      </c>
      <c r="I73" s="75">
        <f t="shared" si="4"/>
        <v>1665930.477</v>
      </c>
      <c r="J73" s="76">
        <f t="shared" si="5"/>
        <v>687.7542667</v>
      </c>
      <c r="K73" s="71" t="str">
        <f t="shared" si="6"/>
        <v>11m 27s</v>
      </c>
      <c r="L73" s="77">
        <f t="shared" si="7"/>
        <v>248674</v>
      </c>
      <c r="M73" s="51">
        <f t="shared" si="8"/>
        <v>0</v>
      </c>
      <c r="N73" s="52">
        <f>IFERROR(__xludf.DUMMYFUNCTION("IFS(AND(COUNTA(C73:C147)=0,COUNTA(P73:P147)=0),"""",OR(AND(L73&gt;=1000000,OR(Y73&gt;=1000000,COUNTA(P73:P147)=0)),AND(Y73&gt;=1000000,COUNTA(C73:C147)=0),AND(COUNTA(P73:P147)=0,O$3=TRUE)),
ROUNDDOWN((AB$1-AC$1)*MAX(INDEX(S$4:S147,MATCH(LARGE(FILTER(Y$4:Y147,Y$4:Y"&amp;"147&lt;1000000),1),Y$4:Y147)),INDEX(F$4:F147,MATCH(LARGE(FILTER(L$4:L147,L$4:L147&lt;1000000),1),L$4:L147)))),AND(L73&lt;1000000,COUNTA(C73:C147)&gt;0,O$3=FALSE),
ROUNDDOWN(INDEX(Y$4:Y147,MATCH(LARGE(FILTER(W$4:W147,W$4:W147&lt;=J73),1),W$4:W147))+(J73-LARGE(FILTER(W$4:"&amp;"W147,W$4:W147&lt;=J73),1))*INDEX(S$4:S147,MATCH(LARGE(FILTER(W$4:W147,W$4:W147&lt;=J73),1),W$4:W147))-L73),1,
ROUNDDOWN(Y73-INDEX(L$4:L147,MATCH(LARGE(FILTER(J$4:J147,J$4:J147&lt;=W73),1),J$4:J147))-(W73-LARGE(FILTER(J$4:J147,J$4:J147&lt;=W73),1))*INDEX(F$4:F147,MATC"&amp;"H(LARGE(FILTER(J$4:J147,J$4:J147&lt;=W73),1),J$4:J147))))"),0.0)</f>
        <v>0</v>
      </c>
      <c r="O73" s="65">
        <f t="shared" si="9"/>
        <v>21</v>
      </c>
      <c r="P73" s="66" t="s">
        <v>13</v>
      </c>
      <c r="Q73" s="14" t="b">
        <f>IFERROR(__xludf.DUMMYFUNCTION("IF(COUNTA(P73:P147)=0,"""",IFERROR(IF(ISBLANK(P73),FALSE,IF(ISBLANK(T73),1,IF(NOT(COUNTIF($AA$24:$AA$34,SUBSTITUTE(P73,""Sell_"",""""))),1,IF(P73=""Plastic_up"",IF(V73&lt;1000,1),IF(P73=""Super_Up"",IF(OR(COUNTIF(P$4:P73,""Grandma"")-COUNTIF(P$4:P73,""Sell_G"&amp;"randma"")&lt;1,COUNTIF(P$4:P73,VLOOKUP(P73,Upgrades!$F$8:$N$8,7+COUNTIF(P$4:P73,P73)))-COUNTIF(P$4:P73,""Sell_""&amp;VLOOKUP(P73,Upgrades!$F$8:$N$8,7+COUNTIF(P$4:P73,P73)))&lt;15),1),IF(REGEXMATCH(P73,""_up""),IF(COUNTIF(P$4:P73,SUBSTITUTE(P73,""_up"",""""))&lt;IFERRO"&amp;"R(VLOOKUP(P73,Upgrades!$L$3:$P$6,1+COUNTIF(P$4:P73,P73),0),999),1),IF(REGEXMATCH(P73,""Sell_""),IF(COUNTIF(P$4:P73,SUBSTITUTE(P73,""Sell_"",""""))-COUNTIF(P$4:P72,P73)&lt;1,1),FALSE)))))))))"),FALSE)</f>
        <v>0</v>
      </c>
      <c r="R73" s="71">
        <f>IFERROR(__xludf.DUMMYFUNCTION("IF(REGEXMATCH(P73,""^Sell_""),R72, IF(COUNTA(P73:P147)=0,"""",(COUNTIF(P$4:P73,""Cursor"")-COUNTIF(P$4:P73,""Sell_Cursor""))*(0.1*2^SWITCH(COUNTIF(P$4:P73,""Cursor_up""),0,0,1,1,2,2,3)+SWITCH(COUNTIF(P$4:P73,""Cursor_up""),4,0.1,0)*(ROW(P73)-4-COUNTIF(P$4"&amp;":P73,""Cursor"")-COUNTIF(P$4:P73,""*""&amp;""_up"")-2*COUNTIF(P$4:P73,""Sell_""&amp;""*"")+COUNTIF(P$4:P73,""Sell_Cursor"")-COUNTIF(P$4:P73,"""")))+(COUNTIF(P$4:P73,""Grandma"")-COUNTIF(P$4:P73,""Sell_Grandma""))*(1*2^(COUNTIF(P$4:P73,""Grandma_up"")+COUNTIF(P$4:"&amp;"P73,""Super_up"")))+(COUNTIF(P$4:P73,""Farm"")-COUNTIF(P$4:P73,""Sell_Farm""))*(8*2^COUNTIF(P$4:P73,""Farm_up""))*IF(COUNTIF(P$4:P73,""Super_up"")&gt;0,1+0.01*(COUNTIF(P$4:P73,""Grandma"")-COUNTIF(P$4:P73,""Sell_Grandma"")),1)+(COUNTIF(P$4:P73,""Mine"")-COUN"&amp;"TIF(P$4:P73,""Sell_Mine""))*((47*2^COUNTIF(P$4:P73,""Mine_up""))*IF(COUNTIF(P$4:P73,""Super_up"")&gt;1,1+0.005*(COUNTIF(P$4:P73,""Grandma"")-COUNTIF(P$4:P73,""Sell_Grandma"")),1))+(COUNTIF(P$4:P73,""Factory"")-COUNTIF(P$4:P73,""Sell_Factory""))*(260*2^COUNTI"&amp;"F(P$4:P73,""Factory_up""))))"),937.04)</f>
        <v>937.04</v>
      </c>
      <c r="S73" s="73">
        <f>IFERROR(__xludf.DUMMYFUNCTION("IF(COUNTA(P73:P147)=0,"""",IF(REGEXMATCH(INDEX(FILTER(P$4:P73,P$4:P73&lt;&gt;""""),ROWS(FILTER(P$4:P73,P$4:P73&lt;&gt;""""))),""^Sell_""),INDEX(FILTER(S$4:S72,P$4:P72&lt;&gt;""""),ROWS(FILTER(P$4:P72,P$4:P72&lt;&gt;""""))),$AD$5*(2^SWITCH(COUNTIF(P$4:P73,""Cursor_up""),0,0,1,1,2"&amp;",2,3)+SWITCH(COUNTIF(P$4:P73,""Cursor_up""),4,0.1,0)*(ROW(P73)-4-COUNTIF(P$4:P73,""Cursor"")-COUNTIF(P$4:P73,""*""&amp;""_up"")-2*COUNTIF(P$4:P73,""Sell_""&amp;""*"")+COUNTIF(P$4:P73,""Sell_Cursor"")-COUNTIF(P$4:P73,""""))+0.01*R73*COUNTIF(P$4:P73,""Plastic_up"")"&amp;")+R73))"),1057.04)</f>
        <v>1057.04</v>
      </c>
      <c r="T73" s="14">
        <f>IFERROR(__xludf.DUMMYFUNCTION("IF(COUNTA(P73:P147)=0,"""",IF(REGEXMATCH(P73,""_up""),VLOOKUP(P73,Upgrades!$F$3:$J$8,1+COUNTIF(P$4:P73,P73),FALSE),IF(P73="""",0,IF(REGEXMATCH(P73,""^Sell_""),-ROUNDDOWN(ROUNDUP(INDEX(Upgrades!$C$3:$C$8,MATCH(SUBSTITUTE(P73,""Sell_"",""""),Upgrades!$B$3:$"&amp;"B$8,0))*1.15^(COUNTIF(P$4:P72,SUBSTITUTE(P73,""Sell_"",""""))-COUNTIF(P$4:P72,""Sell_""&amp;SUBSTITUTE(P73,""Sell_"",""""))))/4),ROUNDUP(INDEX(Upgrades!$C$3:$C$7,MATCH(P73,Upgrades!$B$3:$B$7,0))*1.15^(COUNTIF(P$4:P72,P73)-COUNTIF(P$4:P72,""Sell_""&amp;P73)))))))"),1637.0)</f>
        <v>1637</v>
      </c>
      <c r="U73" s="14">
        <f t="shared" si="10"/>
        <v>1637</v>
      </c>
      <c r="V73" s="75">
        <f t="shared" si="11"/>
        <v>1665930.477</v>
      </c>
      <c r="W73" s="76">
        <f t="shared" si="12"/>
        <v>687.7542667</v>
      </c>
      <c r="X73" s="71" t="str">
        <f t="shared" si="13"/>
        <v>11m 27s</v>
      </c>
      <c r="Y73" s="77">
        <f t="shared" si="14"/>
        <v>248674</v>
      </c>
      <c r="Z73" s="17"/>
      <c r="AA73" s="13"/>
      <c r="AB73" s="13"/>
      <c r="AC73" s="13"/>
      <c r="AD73" s="13"/>
      <c r="AE73" s="13"/>
      <c r="AF73" s="13"/>
      <c r="AG73" s="13"/>
    </row>
    <row r="74">
      <c r="A74" s="12"/>
      <c r="B74" s="65">
        <f t="shared" si="2"/>
        <v>22</v>
      </c>
      <c r="C74" s="66" t="s">
        <v>13</v>
      </c>
      <c r="D74" s="14" t="b">
        <f>IFERROR(__xludf.DUMMYFUNCTION("IF(COUNTA(C74:C147)=0,"""",IFERROR(IF(ISBLANK(C74),FALSE,IF(ISBLANK(G74),1,IF(NOT(COUNTIF($AA$24:$AA$34,SUBSTITUTE(C74,""Sell_"",""""))),1,IF(C74=""Plastic_up"",IF(I74&lt;1000,1),IF(C74=""Super_Up"",IF(OR(COUNTIF(C$4:C74,""Grandma"")-COUNTIF(C$4:C74,""Sell_G"&amp;"randma"")&lt;1,COUNTIF(C$4:C74,VLOOKUP(C74,Upgrades!$F$8:$N$8,7+COUNTIF(C$4:C74,C74)))-COUNTIF(C$4:C74,""Sell_""&amp;VLOOKUP(C74,Upgrades!$F$8:$N$8,7+COUNTIF(C$4:C74,C74)))&lt;15),1),IF(REGEXMATCH(C74,""_up""),IF(COUNTIF(C$4:C74,SUBSTITUTE(C74,""_up"",""""))&lt;IFERRO"&amp;"R(VLOOKUP(C74,Upgrades!$L$3:$P$6,1+COUNTIF(C$4:C74,C74),0),999),1),IF(REGEXMATCH(C74,""Sell_""),IF(COUNTIF(C$4:C74,SUBSTITUTE(C74,""Sell_"",""""))-COUNTIF(C$4:C73,C74)&lt;1,1),FALSE)))))))))"),FALSE)</f>
        <v>0</v>
      </c>
      <c r="E74" s="71">
        <f>IFERROR(__xludf.DUMMYFUNCTION("IF(REGEXMATCH(C74,""^Sell_""),E73, IF(COUNTA(C74:C147)=0,"""",(COUNTIF(C$4:C74,""Cursor"")-COUNTIF(C$4:C74,""Sell_Cursor""))*(0.1*2^SWITCH(COUNTIF(C$4:C74,""Cursor_up""),0,0,1,1,2,2,3)+SWITCH(COUNTIF(C$4:C74,""Cursor_up""),4,0.1,0)*(ROW(C74)-4-COUNTIF(C$4"&amp;":C74,""Cursor"")-COUNTIF(C$4:C74,""*""&amp;""_up"")-2*COUNTIF(C$4:C74,""Sell_""&amp;""*"")+COUNTIF(C$4:C74,""Sell_Cursor"")-COUNTIF(C$4:C74,"""")))+(COUNTIF(C$4:C74,""Grandma"")-COUNTIF(C$4:C74,""Sell_Grandma""))*(1*2^(COUNTIF(C$4:C74,""Grandma_up"")+COUNTIF(C$4:"&amp;"C74,""Super_up"")))+(COUNTIF(C$4:C74,""Farm"")-COUNTIF(C$4:C74,""Sell_Farm""))*(8*2^COUNTIF(C$4:C74,""Farm_up""))*IF(COUNTIF(C$4:C74,""Super_up"")&gt;0,1+0.01*(COUNTIF(C$4:C74,""Grandma"")-COUNTIF(C$4:C74,""Sell_Grandma"")),1)+(COUNTIF(C$4:C74,""Mine"")-COUN"&amp;"TIF(C$4:C74,""Sell_Mine""))*((47*2^COUNTIF(C$4:C74,""Mine_up""))*IF(COUNTIF(C$4:C74,""Super_up"")&gt;1,1+0.005*(COUNTIF(C$4:C74,""Grandma"")-COUNTIF(C$4:C74,""Sell_Grandma"")),1))+(COUNTIF(C$4:C74,""Factory"")-COUNTIF(C$4:C74,""Sell_Factory""))*(260*2^COUNTI"&amp;"F(C$4:C74,""Factory_up""))))"),950.48)</f>
        <v>950.48</v>
      </c>
      <c r="F74" s="73">
        <f>IFERROR(__xludf.DUMMYFUNCTION("IF(COUNTA(C74:C147)=0,"""",IF(REGEXMATCH(INDEX(FILTER(C$4:C74,C$4:C74&lt;&gt;""""),ROWS(FILTER(C$4:C74,C$4:C74&lt;&gt;""""))),""^Sell_""),INDEX(FILTER(F$4:F73,C$4:C73&lt;&gt;""""),ROWS(FILTER(C$4:C73,C$4:C73&lt;&gt;""""))),$AC$5*(2^SWITCH(COUNTIF(C$4:C74,""Cursor_up""),0,0,1,1,2"&amp;",2,3)+SWITCH(COUNTIF(C$4:C74,""Cursor_up""),4,0.1,0)*(ROW(C74)-4-COUNTIF(C$4:C74,""Cursor"")-COUNTIF(C$4:C74,""*""&amp;""_up"")-2*COUNTIF(C$4:C74,""Sell_""&amp;""*"")+COUNTIF(C$4:C74,""Sell_Cursor"")-COUNTIF(C$4:C74,""""))+0.01*E74*COUNTIF(C$4:C74,""Plastic_up"")"&amp;")+E74))"),1070.48)</f>
        <v>1070.48</v>
      </c>
      <c r="G74" s="14">
        <f>IFERROR(__xludf.DUMMYFUNCTION("IF(COUNTA(C74:C147)=0,"""",IF(REGEXMATCH(C74,""_up""),VLOOKUP(C74,Upgrades!$F$3:$J$8,1+COUNTIF(C$4:C74,C74),FALSE),IF(C74="""",0,IF(REGEXMATCH(C74,""^Sell_""),-ROUNDDOWN(ROUNDUP(INDEX(Upgrades!$C$3:$C$8,MATCH(SUBSTITUTE(C74,""Sell_"",""""),Upgrades!$B$3:$"&amp;"B$8,0))*1.15^(COUNTIF(C$4:C73,SUBSTITUTE(C74,""Sell_"",""""))-COUNTIF(C$4:C73,""Sell_""&amp;SUBSTITUTE(C74,""Sell_"",""""))))/4),ROUNDUP(INDEX(Upgrades!$C$3:$C$7,MATCH(C74,Upgrades!$B$3:$B$7,0))*1.15^(COUNTIF(C$4:C73,C74)-COUNTIF(C$4:C73,""Sell_""&amp;C74)))))))"),1883.0)</f>
        <v>1883</v>
      </c>
      <c r="H74" s="14">
        <f t="shared" si="3"/>
        <v>1883</v>
      </c>
      <c r="I74" s="75">
        <f t="shared" si="4"/>
        <v>1748674.756</v>
      </c>
      <c r="J74" s="76">
        <f t="shared" si="5"/>
        <v>689.5356563</v>
      </c>
      <c r="K74" s="71" t="str">
        <f t="shared" si="6"/>
        <v>11m 29s</v>
      </c>
      <c r="L74" s="77">
        <f t="shared" si="7"/>
        <v>250557</v>
      </c>
      <c r="M74" s="51">
        <f t="shared" si="8"/>
        <v>0</v>
      </c>
      <c r="N74" s="52">
        <f>IFERROR(__xludf.DUMMYFUNCTION("IFS(AND(COUNTA(C74:C147)=0,COUNTA(P74:P147)=0),"""",OR(AND(L74&gt;=1000000,OR(Y74&gt;=1000000,COUNTA(P74:P147)=0)),AND(Y74&gt;=1000000,COUNTA(C74:C147)=0),AND(COUNTA(P74:P147)=0,O$3=TRUE)),
ROUNDDOWN((AB$1-AC$1)*MAX(INDEX(S$4:S147,MATCH(LARGE(FILTER(Y$4:Y147,Y$4:Y"&amp;"147&lt;1000000),1),Y$4:Y147)),INDEX(F$4:F147,MATCH(LARGE(FILTER(L$4:L147,L$4:L147&lt;1000000),1),L$4:L147)))),AND(L74&lt;1000000,COUNTA(C74:C147)&gt;0,O$3=FALSE),
ROUNDDOWN(INDEX(Y$4:Y147,MATCH(LARGE(FILTER(W$4:W147,W$4:W147&lt;=J74),1),W$4:W147))+(J74-LARGE(FILTER(W$4:"&amp;"W147,W$4:W147&lt;=J74),1))*INDEX(S$4:S147,MATCH(LARGE(FILTER(W$4:W147,W$4:W147&lt;=J74),1),W$4:W147))-L74),1,
ROUNDDOWN(Y74-INDEX(L$4:L147,MATCH(LARGE(FILTER(J$4:J147,J$4:J147&lt;=W74),1),J$4:J147))-(W74-LARGE(FILTER(J$4:J147,J$4:J147&lt;=W74),1))*INDEX(F$4:F147,MATC"&amp;"H(LARGE(FILTER(J$4:J147,J$4:J147&lt;=W74),1),J$4:J147))))"),0.0)</f>
        <v>0</v>
      </c>
      <c r="O74" s="65">
        <f t="shared" si="9"/>
        <v>22</v>
      </c>
      <c r="P74" s="66" t="s">
        <v>13</v>
      </c>
      <c r="Q74" s="14" t="b">
        <f>IFERROR(__xludf.DUMMYFUNCTION("IF(COUNTA(P74:P147)=0,"""",IFERROR(IF(ISBLANK(P74),FALSE,IF(ISBLANK(T74),1,IF(NOT(COUNTIF($AA$24:$AA$34,SUBSTITUTE(P74,""Sell_"",""""))),1,IF(P74=""Plastic_up"",IF(V74&lt;1000,1),IF(P74=""Super_Up"",IF(OR(COUNTIF(P$4:P74,""Grandma"")-COUNTIF(P$4:P74,""Sell_G"&amp;"randma"")&lt;1,COUNTIF(P$4:P74,VLOOKUP(P74,Upgrades!$F$8:$N$8,7+COUNTIF(P$4:P74,P74)))-COUNTIF(P$4:P74,""Sell_""&amp;VLOOKUP(P74,Upgrades!$F$8:$N$8,7+COUNTIF(P$4:P74,P74)))&lt;15),1),IF(REGEXMATCH(P74,""_up""),IF(COUNTIF(P$4:P74,SUBSTITUTE(P74,""_up"",""""))&lt;IFERRO"&amp;"R(VLOOKUP(P74,Upgrades!$L$3:$P$6,1+COUNTIF(P$4:P74,P74),0),999),1),IF(REGEXMATCH(P74,""Sell_""),IF(COUNTIF(P$4:P74,SUBSTITUTE(P74,""Sell_"",""""))-COUNTIF(P$4:P73,P74)&lt;1,1),FALSE)))))))))"),FALSE)</f>
        <v>0</v>
      </c>
      <c r="R74" s="71">
        <f>IFERROR(__xludf.DUMMYFUNCTION("IF(REGEXMATCH(P74,""^Sell_""),R73, IF(COUNTA(P74:P147)=0,"""",(COUNTIF(P$4:P74,""Cursor"")-COUNTIF(P$4:P74,""Sell_Cursor""))*(0.1*2^SWITCH(COUNTIF(P$4:P74,""Cursor_up""),0,0,1,1,2,2,3)+SWITCH(COUNTIF(P$4:P74,""Cursor_up""),4,0.1,0)*(ROW(P74)-4-COUNTIF(P$4"&amp;":P74,""Cursor"")-COUNTIF(P$4:P74,""*""&amp;""_up"")-2*COUNTIF(P$4:P74,""Sell_""&amp;""*"")+COUNTIF(P$4:P74,""Sell_Cursor"")-COUNTIF(P$4:P74,"""")))+(COUNTIF(P$4:P74,""Grandma"")-COUNTIF(P$4:P74,""Sell_Grandma""))*(1*2^(COUNTIF(P$4:P74,""Grandma_up"")+COUNTIF(P$4:"&amp;"P74,""Super_up"")))+(COUNTIF(P$4:P74,""Farm"")-COUNTIF(P$4:P74,""Sell_Farm""))*(8*2^COUNTIF(P$4:P74,""Farm_up""))*IF(COUNTIF(P$4:P74,""Super_up"")&gt;0,1+0.01*(COUNTIF(P$4:P74,""Grandma"")-COUNTIF(P$4:P74,""Sell_Grandma"")),1)+(COUNTIF(P$4:P74,""Mine"")-COUN"&amp;"TIF(P$4:P74,""Sell_Mine""))*((47*2^COUNTIF(P$4:P74,""Mine_up""))*IF(COUNTIF(P$4:P74,""Super_up"")&gt;1,1+0.005*(COUNTIF(P$4:P74,""Grandma"")-COUNTIF(P$4:P74,""Sell_Grandma"")),1))+(COUNTIF(P$4:P74,""Factory"")-COUNTIF(P$4:P74,""Sell_Factory""))*(260*2^COUNTI"&amp;"F(P$4:P74,""Factory_up""))))"),950.48)</f>
        <v>950.48</v>
      </c>
      <c r="S74" s="73">
        <f>IFERROR(__xludf.DUMMYFUNCTION("IF(COUNTA(P74:P147)=0,"""",IF(REGEXMATCH(INDEX(FILTER(P$4:P74,P$4:P74&lt;&gt;""""),ROWS(FILTER(P$4:P74,P$4:P74&lt;&gt;""""))),""^Sell_""),INDEX(FILTER(S$4:S73,P$4:P73&lt;&gt;""""),ROWS(FILTER(P$4:P73,P$4:P73&lt;&gt;""""))),$AD$5*(2^SWITCH(COUNTIF(P$4:P74,""Cursor_up""),0,0,1,1,2"&amp;",2,3)+SWITCH(COUNTIF(P$4:P74,""Cursor_up""),4,0.1,0)*(ROW(P74)-4-COUNTIF(P$4:P74,""Cursor"")-COUNTIF(P$4:P74,""*""&amp;""_up"")-2*COUNTIF(P$4:P74,""Sell_""&amp;""*"")+COUNTIF(P$4:P74,""Sell_Cursor"")-COUNTIF(P$4:P74,""""))+0.01*R74*COUNTIF(P$4:P74,""Plastic_up"")"&amp;")+R74))"),1070.48)</f>
        <v>1070.48</v>
      </c>
      <c r="T74" s="14">
        <f>IFERROR(__xludf.DUMMYFUNCTION("IF(COUNTA(P74:P147)=0,"""",IF(REGEXMATCH(P74,""_up""),VLOOKUP(P74,Upgrades!$F$3:$J$8,1+COUNTIF(P$4:P74,P74),FALSE),IF(P74="""",0,IF(REGEXMATCH(P74,""^Sell_""),-ROUNDDOWN(ROUNDUP(INDEX(Upgrades!$C$3:$C$8,MATCH(SUBSTITUTE(P74,""Sell_"",""""),Upgrades!$B$3:$"&amp;"B$8,0))*1.15^(COUNTIF(P$4:P73,SUBSTITUTE(P74,""Sell_"",""""))-COUNTIF(P$4:P73,""Sell_""&amp;SUBSTITUTE(P74,""Sell_"",""""))))/4),ROUNDUP(INDEX(Upgrades!$C$3:$C$7,MATCH(P74,Upgrades!$B$3:$B$7,0))*1.15^(COUNTIF(P$4:P73,P74)-COUNTIF(P$4:P73,""Sell_""&amp;P74)))))))"),1883.0)</f>
        <v>1883</v>
      </c>
      <c r="U74" s="14">
        <f t="shared" si="10"/>
        <v>1883</v>
      </c>
      <c r="V74" s="75">
        <f t="shared" si="11"/>
        <v>1748674.756</v>
      </c>
      <c r="W74" s="76">
        <f t="shared" si="12"/>
        <v>689.5356563</v>
      </c>
      <c r="X74" s="71" t="str">
        <f t="shared" si="13"/>
        <v>11m 29s</v>
      </c>
      <c r="Y74" s="77">
        <f t="shared" si="14"/>
        <v>250557</v>
      </c>
      <c r="Z74" s="17"/>
      <c r="AA74" s="13"/>
      <c r="AB74" s="13"/>
      <c r="AC74" s="13"/>
      <c r="AD74" s="13"/>
      <c r="AE74" s="13"/>
      <c r="AF74" s="13"/>
      <c r="AG74" s="13"/>
    </row>
    <row r="75">
      <c r="A75" s="12"/>
      <c r="B75" s="65">
        <f t="shared" si="2"/>
        <v>23</v>
      </c>
      <c r="C75" s="66" t="s">
        <v>13</v>
      </c>
      <c r="D75" s="14" t="b">
        <f>IFERROR(__xludf.DUMMYFUNCTION("IF(COUNTA(C75:C147)=0,"""",IFERROR(IF(ISBLANK(C75),FALSE,IF(ISBLANK(G75),1,IF(NOT(COUNTIF($AA$24:$AA$34,SUBSTITUTE(C75,""Sell_"",""""))),1,IF(C75=""Plastic_up"",IF(I75&lt;1000,1),IF(C75=""Super_Up"",IF(OR(COUNTIF(C$4:C75,""Grandma"")-COUNTIF(C$4:C75,""Sell_G"&amp;"randma"")&lt;1,COUNTIF(C$4:C75,VLOOKUP(C75,Upgrades!$F$8:$N$8,7+COUNTIF(C$4:C75,C75)))-COUNTIF(C$4:C75,""Sell_""&amp;VLOOKUP(C75,Upgrades!$F$8:$N$8,7+COUNTIF(C$4:C75,C75)))&lt;15),1),IF(REGEXMATCH(C75,""_up""),IF(COUNTIF(C$4:C75,SUBSTITUTE(C75,""_up"",""""))&lt;IFERRO"&amp;"R(VLOOKUP(C75,Upgrades!$L$3:$P$6,1+COUNTIF(C$4:C75,C75),0),999),1),IF(REGEXMATCH(C75,""Sell_""),IF(COUNTIF(C$4:C75,SUBSTITUTE(C75,""Sell_"",""""))-COUNTIF(C$4:C74,C75)&lt;1,1),FALSE)))))))))"),FALSE)</f>
        <v>0</v>
      </c>
      <c r="E75" s="71">
        <f>IFERROR(__xludf.DUMMYFUNCTION("IF(REGEXMATCH(C75,""^Sell_""),E74, IF(COUNTA(C75:C147)=0,"""",(COUNTIF(C$4:C75,""Cursor"")-COUNTIF(C$4:C75,""Sell_Cursor""))*(0.1*2^SWITCH(COUNTIF(C$4:C75,""Cursor_up""),0,0,1,1,2,2,3)+SWITCH(COUNTIF(C$4:C75,""Cursor_up""),4,0.1,0)*(ROW(C75)-4-COUNTIF(C$4"&amp;":C75,""Cursor"")-COUNTIF(C$4:C75,""*""&amp;""_up"")-2*COUNTIF(C$4:C75,""Sell_""&amp;""*"")+COUNTIF(C$4:C75,""Sell_Cursor"")-COUNTIF(C$4:C75,"""")))+(COUNTIF(C$4:C75,""Grandma"")-COUNTIF(C$4:C75,""Sell_Grandma""))*(1*2^(COUNTIF(C$4:C75,""Grandma_up"")+COUNTIF(C$4:"&amp;"C75,""Super_up"")))+(COUNTIF(C$4:C75,""Farm"")-COUNTIF(C$4:C75,""Sell_Farm""))*(8*2^COUNTIF(C$4:C75,""Farm_up""))*IF(COUNTIF(C$4:C75,""Super_up"")&gt;0,1+0.01*(COUNTIF(C$4:C75,""Grandma"")-COUNTIF(C$4:C75,""Sell_Grandma"")),1)+(COUNTIF(C$4:C75,""Mine"")-COUN"&amp;"TIF(C$4:C75,""Sell_Mine""))*((47*2^COUNTIF(C$4:C75,""Mine_up""))*IF(COUNTIF(C$4:C75,""Super_up"")&gt;1,1+0.005*(COUNTIF(C$4:C75,""Grandma"")-COUNTIF(C$4:C75,""Sell_Grandma"")),1))+(COUNTIF(C$4:C75,""Factory"")-COUNTIF(C$4:C75,""Sell_Factory""))*(260*2^COUNTI"&amp;"F(C$4:C75,""Factory_up""))))"),963.9200000000001)</f>
        <v>963.92</v>
      </c>
      <c r="F75" s="73">
        <f>IFERROR(__xludf.DUMMYFUNCTION("IF(COUNTA(C75:C147)=0,"""",IF(REGEXMATCH(INDEX(FILTER(C$4:C75,C$4:C75&lt;&gt;""""),ROWS(FILTER(C$4:C75,C$4:C75&lt;&gt;""""))),""^Sell_""),INDEX(FILTER(F$4:F74,C$4:C74&lt;&gt;""""),ROWS(FILTER(C$4:C74,C$4:C74&lt;&gt;""""))),$AC$5*(2^SWITCH(COUNTIF(C$4:C75,""Cursor_up""),0,0,1,1,2"&amp;",2,3)+SWITCH(COUNTIF(C$4:C75,""Cursor_up""),4,0.1,0)*(ROW(C75)-4-COUNTIF(C$4:C75,""Cursor"")-COUNTIF(C$4:C75,""*""&amp;""_up"")-2*COUNTIF(C$4:C75,""Sell_""&amp;""*"")+COUNTIF(C$4:C75,""Sell_Cursor"")-COUNTIF(C$4:C75,""""))+0.01*E75*COUNTIF(C$4:C75,""Plastic_up"")"&amp;")+E75))"),1083.92)</f>
        <v>1083.92</v>
      </c>
      <c r="G75" s="14">
        <f>IFERROR(__xludf.DUMMYFUNCTION("IF(COUNTA(C75:C147)=0,"""",IF(REGEXMATCH(C75,""_up""),VLOOKUP(C75,Upgrades!$F$3:$J$8,1+COUNTIF(C$4:C75,C75),FALSE),IF(C75="""",0,IF(REGEXMATCH(C75,""^Sell_""),-ROUNDDOWN(ROUNDUP(INDEX(Upgrades!$C$3:$C$8,MATCH(SUBSTITUTE(C75,""Sell_"",""""),Upgrades!$B$3:$"&amp;"B$8,0))*1.15^(COUNTIF(C$4:C74,SUBSTITUTE(C75,""Sell_"",""""))-COUNTIF(C$4:C74,""Sell_""&amp;SUBSTITUTE(C75,""Sell_"",""""))))/4),ROUNDUP(INDEX(Upgrades!$C$3:$C$7,MATCH(C75,Upgrades!$B$3:$B$7,0))*1.15^(COUNTIF(C$4:C74,C75)-COUNTIF(C$4:C74,""Sell_""&amp;C75)))))))"),2165.0)</f>
        <v>2165</v>
      </c>
      <c r="H75" s="14">
        <f t="shared" si="3"/>
        <v>2165</v>
      </c>
      <c r="I75" s="75">
        <f t="shared" si="4"/>
        <v>1831661.73</v>
      </c>
      <c r="J75" s="76">
        <f t="shared" si="5"/>
        <v>691.5581135</v>
      </c>
      <c r="K75" s="71" t="str">
        <f t="shared" si="6"/>
        <v>11m 31s</v>
      </c>
      <c r="L75" s="77">
        <f t="shared" si="7"/>
        <v>252722</v>
      </c>
      <c r="M75" s="51">
        <f t="shared" si="8"/>
        <v>0</v>
      </c>
      <c r="N75" s="52">
        <f>IFERROR(__xludf.DUMMYFUNCTION("IFS(AND(COUNTA(C75:C147)=0,COUNTA(P75:P147)=0),"""",OR(AND(L75&gt;=1000000,OR(Y75&gt;=1000000,COUNTA(P75:P147)=0)),AND(Y75&gt;=1000000,COUNTA(C75:C147)=0),AND(COUNTA(P75:P147)=0,O$3=TRUE)),
ROUNDDOWN((AB$1-AC$1)*MAX(INDEX(S$4:S147,MATCH(LARGE(FILTER(Y$4:Y147,Y$4:Y"&amp;"147&lt;1000000),1),Y$4:Y147)),INDEX(F$4:F147,MATCH(LARGE(FILTER(L$4:L147,L$4:L147&lt;1000000),1),L$4:L147)))),AND(L75&lt;1000000,COUNTA(C75:C147)&gt;0,O$3=FALSE),
ROUNDDOWN(INDEX(Y$4:Y147,MATCH(LARGE(FILTER(W$4:W147,W$4:W147&lt;=J75),1),W$4:W147))+(J75-LARGE(FILTER(W$4:"&amp;"W147,W$4:W147&lt;=J75),1))*INDEX(S$4:S147,MATCH(LARGE(FILTER(W$4:W147,W$4:W147&lt;=J75),1),W$4:W147))-L75),1,
ROUNDDOWN(Y75-INDEX(L$4:L147,MATCH(LARGE(FILTER(J$4:J147,J$4:J147&lt;=W75),1),J$4:J147))-(W75-LARGE(FILTER(J$4:J147,J$4:J147&lt;=W75),1))*INDEX(F$4:F147,MATC"&amp;"H(LARGE(FILTER(J$4:J147,J$4:J147&lt;=W75),1),J$4:J147))))"),0.0)</f>
        <v>0</v>
      </c>
      <c r="O75" s="65">
        <f t="shared" si="9"/>
        <v>23</v>
      </c>
      <c r="P75" s="66" t="s">
        <v>13</v>
      </c>
      <c r="Q75" s="14" t="b">
        <f>IFERROR(__xludf.DUMMYFUNCTION("IF(COUNTA(P75:P147)=0,"""",IFERROR(IF(ISBLANK(P75),FALSE,IF(ISBLANK(T75),1,IF(NOT(COUNTIF($AA$24:$AA$34,SUBSTITUTE(P75,""Sell_"",""""))),1,IF(P75=""Plastic_up"",IF(V75&lt;1000,1),IF(P75=""Super_Up"",IF(OR(COUNTIF(P$4:P75,""Grandma"")-COUNTIF(P$4:P75,""Sell_G"&amp;"randma"")&lt;1,COUNTIF(P$4:P75,VLOOKUP(P75,Upgrades!$F$8:$N$8,7+COUNTIF(P$4:P75,P75)))-COUNTIF(P$4:P75,""Sell_""&amp;VLOOKUP(P75,Upgrades!$F$8:$N$8,7+COUNTIF(P$4:P75,P75)))&lt;15),1),IF(REGEXMATCH(P75,""_up""),IF(COUNTIF(P$4:P75,SUBSTITUTE(P75,""_up"",""""))&lt;IFERRO"&amp;"R(VLOOKUP(P75,Upgrades!$L$3:$P$6,1+COUNTIF(P$4:P75,P75),0),999),1),IF(REGEXMATCH(P75,""Sell_""),IF(COUNTIF(P$4:P75,SUBSTITUTE(P75,""Sell_"",""""))-COUNTIF(P$4:P74,P75)&lt;1,1),FALSE)))))))))"),FALSE)</f>
        <v>0</v>
      </c>
      <c r="R75" s="71">
        <f>IFERROR(__xludf.DUMMYFUNCTION("IF(REGEXMATCH(P75,""^Sell_""),R74, IF(COUNTA(P75:P147)=0,"""",(COUNTIF(P$4:P75,""Cursor"")-COUNTIF(P$4:P75,""Sell_Cursor""))*(0.1*2^SWITCH(COUNTIF(P$4:P75,""Cursor_up""),0,0,1,1,2,2,3)+SWITCH(COUNTIF(P$4:P75,""Cursor_up""),4,0.1,0)*(ROW(P75)-4-COUNTIF(P$4"&amp;":P75,""Cursor"")-COUNTIF(P$4:P75,""*""&amp;""_up"")-2*COUNTIF(P$4:P75,""Sell_""&amp;""*"")+COUNTIF(P$4:P75,""Sell_Cursor"")-COUNTIF(P$4:P75,"""")))+(COUNTIF(P$4:P75,""Grandma"")-COUNTIF(P$4:P75,""Sell_Grandma""))*(1*2^(COUNTIF(P$4:P75,""Grandma_up"")+COUNTIF(P$4:"&amp;"P75,""Super_up"")))+(COUNTIF(P$4:P75,""Farm"")-COUNTIF(P$4:P75,""Sell_Farm""))*(8*2^COUNTIF(P$4:P75,""Farm_up""))*IF(COUNTIF(P$4:P75,""Super_up"")&gt;0,1+0.01*(COUNTIF(P$4:P75,""Grandma"")-COUNTIF(P$4:P75,""Sell_Grandma"")),1)+(COUNTIF(P$4:P75,""Mine"")-COUN"&amp;"TIF(P$4:P75,""Sell_Mine""))*((47*2^COUNTIF(P$4:P75,""Mine_up""))*IF(COUNTIF(P$4:P75,""Super_up"")&gt;1,1+0.005*(COUNTIF(P$4:P75,""Grandma"")-COUNTIF(P$4:P75,""Sell_Grandma"")),1))+(COUNTIF(P$4:P75,""Factory"")-COUNTIF(P$4:P75,""Sell_Factory""))*(260*2^COUNTI"&amp;"F(P$4:P75,""Factory_up""))))"),963.9200000000001)</f>
        <v>963.92</v>
      </c>
      <c r="S75" s="73">
        <f>IFERROR(__xludf.DUMMYFUNCTION("IF(COUNTA(P75:P147)=0,"""",IF(REGEXMATCH(INDEX(FILTER(P$4:P75,P$4:P75&lt;&gt;""""),ROWS(FILTER(P$4:P75,P$4:P75&lt;&gt;""""))),""^Sell_""),INDEX(FILTER(S$4:S74,P$4:P74&lt;&gt;""""),ROWS(FILTER(P$4:P74,P$4:P74&lt;&gt;""""))),$AD$5*(2^SWITCH(COUNTIF(P$4:P75,""Cursor_up""),0,0,1,1,2"&amp;",2,3)+SWITCH(COUNTIF(P$4:P75,""Cursor_up""),4,0.1,0)*(ROW(P75)-4-COUNTIF(P$4:P75,""Cursor"")-COUNTIF(P$4:P75,""*""&amp;""_up"")-2*COUNTIF(P$4:P75,""Sell_""&amp;""*"")+COUNTIF(P$4:P75,""Sell_Cursor"")-COUNTIF(P$4:P75,""""))+0.01*R75*COUNTIF(P$4:P75,""Plastic_up"")"&amp;")+R75))"),1083.92)</f>
        <v>1083.92</v>
      </c>
      <c r="T75" s="14">
        <f>IFERROR(__xludf.DUMMYFUNCTION("IF(COUNTA(P75:P147)=0,"""",IF(REGEXMATCH(P75,""_up""),VLOOKUP(P75,Upgrades!$F$3:$J$8,1+COUNTIF(P$4:P75,P75),FALSE),IF(P75="""",0,IF(REGEXMATCH(P75,""^Sell_""),-ROUNDDOWN(ROUNDUP(INDEX(Upgrades!$C$3:$C$8,MATCH(SUBSTITUTE(P75,""Sell_"",""""),Upgrades!$B$3:$"&amp;"B$8,0))*1.15^(COUNTIF(P$4:P74,SUBSTITUTE(P75,""Sell_"",""""))-COUNTIF(P$4:P74,""Sell_""&amp;SUBSTITUTE(P75,""Sell_"",""""))))/4),ROUNDUP(INDEX(Upgrades!$C$3:$C$7,MATCH(P75,Upgrades!$B$3:$B$7,0))*1.15^(COUNTIF(P$4:P74,P75)-COUNTIF(P$4:P74,""Sell_""&amp;P75)))))))"),2165.0)</f>
        <v>2165</v>
      </c>
      <c r="U75" s="14">
        <f t="shared" si="10"/>
        <v>2165</v>
      </c>
      <c r="V75" s="75">
        <f t="shared" si="11"/>
        <v>1831661.73</v>
      </c>
      <c r="W75" s="76">
        <f t="shared" si="12"/>
        <v>691.5581135</v>
      </c>
      <c r="X75" s="71" t="str">
        <f t="shared" si="13"/>
        <v>11m 31s</v>
      </c>
      <c r="Y75" s="77">
        <f t="shared" si="14"/>
        <v>252722</v>
      </c>
      <c r="Z75" s="17"/>
      <c r="AA75" s="13"/>
      <c r="AB75" s="13"/>
      <c r="AC75" s="13"/>
      <c r="AD75" s="13"/>
      <c r="AE75" s="13"/>
      <c r="AF75" s="13"/>
      <c r="AG75" s="13"/>
    </row>
    <row r="76">
      <c r="A76" s="12"/>
      <c r="B76" s="65">
        <f t="shared" si="2"/>
        <v>24</v>
      </c>
      <c r="C76" s="66" t="s">
        <v>13</v>
      </c>
      <c r="D76" s="14" t="b">
        <f>IFERROR(__xludf.DUMMYFUNCTION("IF(COUNTA(C76:C147)=0,"""",IFERROR(IF(ISBLANK(C76),FALSE,IF(ISBLANK(G76),1,IF(NOT(COUNTIF($AA$24:$AA$34,SUBSTITUTE(C76,""Sell_"",""""))),1,IF(C76=""Plastic_up"",IF(I76&lt;1000,1),IF(C76=""Super_Up"",IF(OR(COUNTIF(C$4:C76,""Grandma"")-COUNTIF(C$4:C76,""Sell_G"&amp;"randma"")&lt;1,COUNTIF(C$4:C76,VLOOKUP(C76,Upgrades!$F$8:$N$8,7+COUNTIF(C$4:C76,C76)))-COUNTIF(C$4:C76,""Sell_""&amp;VLOOKUP(C76,Upgrades!$F$8:$N$8,7+COUNTIF(C$4:C76,C76)))&lt;15),1),IF(REGEXMATCH(C76,""_up""),IF(COUNTIF(C$4:C76,SUBSTITUTE(C76,""_up"",""""))&lt;IFERRO"&amp;"R(VLOOKUP(C76,Upgrades!$L$3:$P$6,1+COUNTIF(C$4:C76,C76),0),999),1),IF(REGEXMATCH(C76,""Sell_""),IF(COUNTIF(C$4:C76,SUBSTITUTE(C76,""Sell_"",""""))-COUNTIF(C$4:C75,C76)&lt;1,1),FALSE)))))))))"),FALSE)</f>
        <v>0</v>
      </c>
      <c r="E76" s="71">
        <f>IFERROR(__xludf.DUMMYFUNCTION("IF(REGEXMATCH(C76,""^Sell_""),E75, IF(COUNTA(C76:C147)=0,"""",(COUNTIF(C$4:C76,""Cursor"")-COUNTIF(C$4:C76,""Sell_Cursor""))*(0.1*2^SWITCH(COUNTIF(C$4:C76,""Cursor_up""),0,0,1,1,2,2,3)+SWITCH(COUNTIF(C$4:C76,""Cursor_up""),4,0.1,0)*(ROW(C76)-4-COUNTIF(C$4"&amp;":C76,""Cursor"")-COUNTIF(C$4:C76,""*""&amp;""_up"")-2*COUNTIF(C$4:C76,""Sell_""&amp;""*"")+COUNTIF(C$4:C76,""Sell_Cursor"")-COUNTIF(C$4:C76,"""")))+(COUNTIF(C$4:C76,""Grandma"")-COUNTIF(C$4:C76,""Sell_Grandma""))*(1*2^(COUNTIF(C$4:C76,""Grandma_up"")+COUNTIF(C$4:"&amp;"C76,""Super_up"")))+(COUNTIF(C$4:C76,""Farm"")-COUNTIF(C$4:C76,""Sell_Farm""))*(8*2^COUNTIF(C$4:C76,""Farm_up""))*IF(COUNTIF(C$4:C76,""Super_up"")&gt;0,1+0.01*(COUNTIF(C$4:C76,""Grandma"")-COUNTIF(C$4:C76,""Sell_Grandma"")),1)+(COUNTIF(C$4:C76,""Mine"")-COUN"&amp;"TIF(C$4:C76,""Sell_Mine""))*((47*2^COUNTIF(C$4:C76,""Mine_up""))*IF(COUNTIF(C$4:C76,""Super_up"")&gt;1,1+0.005*(COUNTIF(C$4:C76,""Grandma"")-COUNTIF(C$4:C76,""Sell_Grandma"")),1))+(COUNTIF(C$4:C76,""Factory"")-COUNTIF(C$4:C76,""Sell_Factory""))*(260*2^COUNTI"&amp;"F(C$4:C76,""Factory_up""))))"),977.3599999999999)</f>
        <v>977.36</v>
      </c>
      <c r="F76" s="73">
        <f>IFERROR(__xludf.DUMMYFUNCTION("IF(COUNTA(C76:C147)=0,"""",IF(REGEXMATCH(INDEX(FILTER(C$4:C76,C$4:C76&lt;&gt;""""),ROWS(FILTER(C$4:C76,C$4:C76&lt;&gt;""""))),""^Sell_""),INDEX(FILTER(F$4:F75,C$4:C75&lt;&gt;""""),ROWS(FILTER(C$4:C75,C$4:C75&lt;&gt;""""))),$AC$5*(2^SWITCH(COUNTIF(C$4:C76,""Cursor_up""),0,0,1,1,2"&amp;",2,3)+SWITCH(COUNTIF(C$4:C76,""Cursor_up""),4,0.1,0)*(ROW(C76)-4-COUNTIF(C$4:C76,""Cursor"")-COUNTIF(C$4:C76,""*""&amp;""_up"")-2*COUNTIF(C$4:C76,""Sell_""&amp;""*"")+COUNTIF(C$4:C76,""Sell_Cursor"")-COUNTIF(C$4:C76,""""))+0.01*E76*COUNTIF(C$4:C76,""Plastic_up"")"&amp;")+E76))"),1097.36)</f>
        <v>1097.36</v>
      </c>
      <c r="G76" s="14">
        <f>IFERROR(__xludf.DUMMYFUNCTION("IF(COUNTA(C76:C147)=0,"""",IF(REGEXMATCH(C76,""_up""),VLOOKUP(C76,Upgrades!$F$3:$J$8,1+COUNTIF(C$4:C76,C76),FALSE),IF(C76="""",0,IF(REGEXMATCH(C76,""^Sell_""),-ROUNDDOWN(ROUNDUP(INDEX(Upgrades!$C$3:$C$8,MATCH(SUBSTITUTE(C76,""Sell_"",""""),Upgrades!$B$3:$"&amp;"B$8,0))*1.15^(COUNTIF(C$4:C75,SUBSTITUTE(C76,""Sell_"",""""))-COUNTIF(C$4:C75,""Sell_""&amp;SUBSTITUTE(C76,""Sell_"",""""))))/4),ROUNDUP(INDEX(Upgrades!$C$3:$C$7,MATCH(C76,Upgrades!$B$3:$B$7,0))*1.15^(COUNTIF(C$4:C75,C76)-COUNTIF(C$4:C75,""Sell_""&amp;C76)))))))"),2490.0)</f>
        <v>2490</v>
      </c>
      <c r="H76" s="14">
        <f t="shared" si="3"/>
        <v>2490</v>
      </c>
      <c r="I76" s="75">
        <f t="shared" si="4"/>
        <v>1914924.369</v>
      </c>
      <c r="J76" s="76">
        <f t="shared" si="5"/>
        <v>693.855331</v>
      </c>
      <c r="K76" s="71" t="str">
        <f t="shared" si="6"/>
        <v>11m 33s</v>
      </c>
      <c r="L76" s="77">
        <f t="shared" si="7"/>
        <v>255212</v>
      </c>
      <c r="M76" s="51">
        <f t="shared" si="8"/>
        <v>0</v>
      </c>
      <c r="N76" s="52">
        <f>IFERROR(__xludf.DUMMYFUNCTION("IFS(AND(COUNTA(C76:C147)=0,COUNTA(P76:P147)=0),"""",OR(AND(L76&gt;=1000000,OR(Y76&gt;=1000000,COUNTA(P76:P147)=0)),AND(Y76&gt;=1000000,COUNTA(C76:C147)=0),AND(COUNTA(P76:P147)=0,O$3=TRUE)),
ROUNDDOWN((AB$1-AC$1)*MAX(INDEX(S$4:S147,MATCH(LARGE(FILTER(Y$4:Y147,Y$4:Y"&amp;"147&lt;1000000),1),Y$4:Y147)),INDEX(F$4:F147,MATCH(LARGE(FILTER(L$4:L147,L$4:L147&lt;1000000),1),L$4:L147)))),AND(L76&lt;1000000,COUNTA(C76:C147)&gt;0,O$3=FALSE),
ROUNDDOWN(INDEX(Y$4:Y147,MATCH(LARGE(FILTER(W$4:W147,W$4:W147&lt;=J76),1),W$4:W147))+(J76-LARGE(FILTER(W$4:"&amp;"W147,W$4:W147&lt;=J76),1))*INDEX(S$4:S147,MATCH(LARGE(FILTER(W$4:W147,W$4:W147&lt;=J76),1),W$4:W147))-L76),1,
ROUNDDOWN(Y76-INDEX(L$4:L147,MATCH(LARGE(FILTER(J$4:J147,J$4:J147&lt;=W76),1),J$4:J147))-(W76-LARGE(FILTER(J$4:J147,J$4:J147&lt;=W76),1))*INDEX(F$4:F147,MATC"&amp;"H(LARGE(FILTER(J$4:J147,J$4:J147&lt;=W76),1),J$4:J147))))"),0.0)</f>
        <v>0</v>
      </c>
      <c r="O76" s="65">
        <f t="shared" si="9"/>
        <v>24</v>
      </c>
      <c r="P76" s="66" t="s">
        <v>13</v>
      </c>
      <c r="Q76" s="14" t="b">
        <f>IFERROR(__xludf.DUMMYFUNCTION("IF(COUNTA(P76:P147)=0,"""",IFERROR(IF(ISBLANK(P76),FALSE,IF(ISBLANK(T76),1,IF(NOT(COUNTIF($AA$24:$AA$34,SUBSTITUTE(P76,""Sell_"",""""))),1,IF(P76=""Plastic_up"",IF(V76&lt;1000,1),IF(P76=""Super_Up"",IF(OR(COUNTIF(P$4:P76,""Grandma"")-COUNTIF(P$4:P76,""Sell_G"&amp;"randma"")&lt;1,COUNTIF(P$4:P76,VLOOKUP(P76,Upgrades!$F$8:$N$8,7+COUNTIF(P$4:P76,P76)))-COUNTIF(P$4:P76,""Sell_""&amp;VLOOKUP(P76,Upgrades!$F$8:$N$8,7+COUNTIF(P$4:P76,P76)))&lt;15),1),IF(REGEXMATCH(P76,""_up""),IF(COUNTIF(P$4:P76,SUBSTITUTE(P76,""_up"",""""))&lt;IFERRO"&amp;"R(VLOOKUP(P76,Upgrades!$L$3:$P$6,1+COUNTIF(P$4:P76,P76),0),999),1),IF(REGEXMATCH(P76,""Sell_""),IF(COUNTIF(P$4:P76,SUBSTITUTE(P76,""Sell_"",""""))-COUNTIF(P$4:P75,P76)&lt;1,1),FALSE)))))))))"),FALSE)</f>
        <v>0</v>
      </c>
      <c r="R76" s="71">
        <f>IFERROR(__xludf.DUMMYFUNCTION("IF(REGEXMATCH(P76,""^Sell_""),R75, IF(COUNTA(P76:P147)=0,"""",(COUNTIF(P$4:P76,""Cursor"")-COUNTIF(P$4:P76,""Sell_Cursor""))*(0.1*2^SWITCH(COUNTIF(P$4:P76,""Cursor_up""),0,0,1,1,2,2,3)+SWITCH(COUNTIF(P$4:P76,""Cursor_up""),4,0.1,0)*(ROW(P76)-4-COUNTIF(P$4"&amp;":P76,""Cursor"")-COUNTIF(P$4:P76,""*""&amp;""_up"")-2*COUNTIF(P$4:P76,""Sell_""&amp;""*"")+COUNTIF(P$4:P76,""Sell_Cursor"")-COUNTIF(P$4:P76,"""")))+(COUNTIF(P$4:P76,""Grandma"")-COUNTIF(P$4:P76,""Sell_Grandma""))*(1*2^(COUNTIF(P$4:P76,""Grandma_up"")+COUNTIF(P$4:"&amp;"P76,""Super_up"")))+(COUNTIF(P$4:P76,""Farm"")-COUNTIF(P$4:P76,""Sell_Farm""))*(8*2^COUNTIF(P$4:P76,""Farm_up""))*IF(COUNTIF(P$4:P76,""Super_up"")&gt;0,1+0.01*(COUNTIF(P$4:P76,""Grandma"")-COUNTIF(P$4:P76,""Sell_Grandma"")),1)+(COUNTIF(P$4:P76,""Mine"")-COUN"&amp;"TIF(P$4:P76,""Sell_Mine""))*((47*2^COUNTIF(P$4:P76,""Mine_up""))*IF(COUNTIF(P$4:P76,""Super_up"")&gt;1,1+0.005*(COUNTIF(P$4:P76,""Grandma"")-COUNTIF(P$4:P76,""Sell_Grandma"")),1))+(COUNTIF(P$4:P76,""Factory"")-COUNTIF(P$4:P76,""Sell_Factory""))*(260*2^COUNTI"&amp;"F(P$4:P76,""Factory_up""))))"),977.3599999999999)</f>
        <v>977.36</v>
      </c>
      <c r="S76" s="73">
        <f>IFERROR(__xludf.DUMMYFUNCTION("IF(COUNTA(P76:P147)=0,"""",IF(REGEXMATCH(INDEX(FILTER(P$4:P76,P$4:P76&lt;&gt;""""),ROWS(FILTER(P$4:P76,P$4:P76&lt;&gt;""""))),""^Sell_""),INDEX(FILTER(S$4:S75,P$4:P75&lt;&gt;""""),ROWS(FILTER(P$4:P75,P$4:P75&lt;&gt;""""))),$AD$5*(2^SWITCH(COUNTIF(P$4:P76,""Cursor_up""),0,0,1,1,2"&amp;",2,3)+SWITCH(COUNTIF(P$4:P76,""Cursor_up""),4,0.1,0)*(ROW(P76)-4-COUNTIF(P$4:P76,""Cursor"")-COUNTIF(P$4:P76,""*""&amp;""_up"")-2*COUNTIF(P$4:P76,""Sell_""&amp;""*"")+COUNTIF(P$4:P76,""Sell_Cursor"")-COUNTIF(P$4:P76,""""))+0.01*R76*COUNTIF(P$4:P76,""Plastic_up"")"&amp;")+R76))"),1097.36)</f>
        <v>1097.36</v>
      </c>
      <c r="T76" s="14">
        <f>IFERROR(__xludf.DUMMYFUNCTION("IF(COUNTA(P76:P147)=0,"""",IF(REGEXMATCH(P76,""_up""),VLOOKUP(P76,Upgrades!$F$3:$J$8,1+COUNTIF(P$4:P76,P76),FALSE),IF(P76="""",0,IF(REGEXMATCH(P76,""^Sell_""),-ROUNDDOWN(ROUNDUP(INDEX(Upgrades!$C$3:$C$8,MATCH(SUBSTITUTE(P76,""Sell_"",""""),Upgrades!$B$3:$"&amp;"B$8,0))*1.15^(COUNTIF(P$4:P75,SUBSTITUTE(P76,""Sell_"",""""))-COUNTIF(P$4:P75,""Sell_""&amp;SUBSTITUTE(P76,""Sell_"",""""))))/4),ROUNDUP(INDEX(Upgrades!$C$3:$C$7,MATCH(P76,Upgrades!$B$3:$B$7,0))*1.15^(COUNTIF(P$4:P75,P76)-COUNTIF(P$4:P75,""Sell_""&amp;P76)))))))"),2490.0)</f>
        <v>2490</v>
      </c>
      <c r="U76" s="14">
        <f t="shared" si="10"/>
        <v>2490</v>
      </c>
      <c r="V76" s="75">
        <f t="shared" si="11"/>
        <v>1914924.369</v>
      </c>
      <c r="W76" s="76">
        <f t="shared" si="12"/>
        <v>693.855331</v>
      </c>
      <c r="X76" s="71" t="str">
        <f t="shared" si="13"/>
        <v>11m 33s</v>
      </c>
      <c r="Y76" s="77">
        <f t="shared" si="14"/>
        <v>255212</v>
      </c>
      <c r="Z76" s="17"/>
      <c r="AA76" s="13"/>
      <c r="AB76" s="13"/>
      <c r="AC76" s="13"/>
      <c r="AD76" s="13"/>
      <c r="AE76" s="13"/>
      <c r="AF76" s="13"/>
      <c r="AG76" s="13"/>
    </row>
    <row r="77">
      <c r="A77" s="12"/>
      <c r="B77" s="65">
        <f t="shared" si="2"/>
        <v>25</v>
      </c>
      <c r="C77" s="66" t="s">
        <v>13</v>
      </c>
      <c r="D77" s="14" t="b">
        <f>IFERROR(__xludf.DUMMYFUNCTION("IF(COUNTA(C77:C147)=0,"""",IFERROR(IF(ISBLANK(C77),FALSE,IF(ISBLANK(G77),1,IF(NOT(COUNTIF($AA$24:$AA$34,SUBSTITUTE(C77,""Sell_"",""""))),1,IF(C77=""Plastic_up"",IF(I77&lt;1000,1),IF(C77=""Super_Up"",IF(OR(COUNTIF(C$4:C77,""Grandma"")-COUNTIF(C$4:C77,""Sell_G"&amp;"randma"")&lt;1,COUNTIF(C$4:C77,VLOOKUP(C77,Upgrades!$F$8:$N$8,7+COUNTIF(C$4:C77,C77)))-COUNTIF(C$4:C77,""Sell_""&amp;VLOOKUP(C77,Upgrades!$F$8:$N$8,7+COUNTIF(C$4:C77,C77)))&lt;15),1),IF(REGEXMATCH(C77,""_up""),IF(COUNTIF(C$4:C77,SUBSTITUTE(C77,""_up"",""""))&lt;IFERRO"&amp;"R(VLOOKUP(C77,Upgrades!$L$3:$P$6,1+COUNTIF(C$4:C77,C77),0),999),1),IF(REGEXMATCH(C77,""Sell_""),IF(COUNTIF(C$4:C77,SUBSTITUTE(C77,""Sell_"",""""))-COUNTIF(C$4:C76,C77)&lt;1,1),FALSE)))))))))"),FALSE)</f>
        <v>0</v>
      </c>
      <c r="E77" s="71">
        <f>IFERROR(__xludf.DUMMYFUNCTION("IF(REGEXMATCH(C77,""^Sell_""),E76, IF(COUNTA(C77:C147)=0,"""",(COUNTIF(C$4:C77,""Cursor"")-COUNTIF(C$4:C77,""Sell_Cursor""))*(0.1*2^SWITCH(COUNTIF(C$4:C77,""Cursor_up""),0,0,1,1,2,2,3)+SWITCH(COUNTIF(C$4:C77,""Cursor_up""),4,0.1,0)*(ROW(C77)-4-COUNTIF(C$4"&amp;":C77,""Cursor"")-COUNTIF(C$4:C77,""*""&amp;""_up"")-2*COUNTIF(C$4:C77,""Sell_""&amp;""*"")+COUNTIF(C$4:C77,""Sell_Cursor"")-COUNTIF(C$4:C77,"""")))+(COUNTIF(C$4:C77,""Grandma"")-COUNTIF(C$4:C77,""Sell_Grandma""))*(1*2^(COUNTIF(C$4:C77,""Grandma_up"")+COUNTIF(C$4:"&amp;"C77,""Super_up"")))+(COUNTIF(C$4:C77,""Farm"")-COUNTIF(C$4:C77,""Sell_Farm""))*(8*2^COUNTIF(C$4:C77,""Farm_up""))*IF(COUNTIF(C$4:C77,""Super_up"")&gt;0,1+0.01*(COUNTIF(C$4:C77,""Grandma"")-COUNTIF(C$4:C77,""Sell_Grandma"")),1)+(COUNTIF(C$4:C77,""Mine"")-COUN"&amp;"TIF(C$4:C77,""Sell_Mine""))*((47*2^COUNTIF(C$4:C77,""Mine_up""))*IF(COUNTIF(C$4:C77,""Super_up"")&gt;1,1+0.005*(COUNTIF(C$4:C77,""Grandma"")-COUNTIF(C$4:C77,""Sell_Grandma"")),1))+(COUNTIF(C$4:C77,""Factory"")-COUNTIF(C$4:C77,""Sell_Factory""))*(260*2^COUNTI"&amp;"F(C$4:C77,""Factory_up""))))"),990.8)</f>
        <v>990.8</v>
      </c>
      <c r="F77" s="73">
        <f>IFERROR(__xludf.DUMMYFUNCTION("IF(COUNTA(C77:C147)=0,"""",IF(REGEXMATCH(INDEX(FILTER(C$4:C77,C$4:C77&lt;&gt;""""),ROWS(FILTER(C$4:C77,C$4:C77&lt;&gt;""""))),""^Sell_""),INDEX(FILTER(F$4:F76,C$4:C76&lt;&gt;""""),ROWS(FILTER(C$4:C76,C$4:C76&lt;&gt;""""))),$AC$5*(2^SWITCH(COUNTIF(C$4:C77,""Cursor_up""),0,0,1,1,2"&amp;",2,3)+SWITCH(COUNTIF(C$4:C77,""Cursor_up""),4,0.1,0)*(ROW(C77)-4-COUNTIF(C$4:C77,""Cursor"")-COUNTIF(C$4:C77,""*""&amp;""_up"")-2*COUNTIF(C$4:C77,""Sell_""&amp;""*"")+COUNTIF(C$4:C77,""Sell_Cursor"")-COUNTIF(C$4:C77,""""))+0.01*E77*COUNTIF(C$4:C77,""Plastic_up"")"&amp;")+E77))"),1110.8)</f>
        <v>1110.8</v>
      </c>
      <c r="G77" s="14">
        <f>IFERROR(__xludf.DUMMYFUNCTION("IF(COUNTA(C77:C147)=0,"""",IF(REGEXMATCH(C77,""_up""),VLOOKUP(C77,Upgrades!$F$3:$J$8,1+COUNTIF(C$4:C77,C77),FALSE),IF(C77="""",0,IF(REGEXMATCH(C77,""^Sell_""),-ROUNDDOWN(ROUNDUP(INDEX(Upgrades!$C$3:$C$8,MATCH(SUBSTITUTE(C77,""Sell_"",""""),Upgrades!$B$3:$"&amp;"B$8,0))*1.15^(COUNTIF(C$4:C76,SUBSTITUTE(C77,""Sell_"",""""))-COUNTIF(C$4:C76,""Sell_""&amp;SUBSTITUTE(C77,""Sell_"",""""))))/4),ROUNDUP(INDEX(Upgrades!$C$3:$C$7,MATCH(C77,Upgrades!$B$3:$B$7,0))*1.15^(COUNTIF(C$4:C76,C77)-COUNTIF(C$4:C76,""Sell_""&amp;C77)))))))"),2863.0)</f>
        <v>2863</v>
      </c>
      <c r="H77" s="14">
        <f t="shared" si="3"/>
        <v>2863</v>
      </c>
      <c r="I77" s="75">
        <f t="shared" si="4"/>
        <v>1998500.088</v>
      </c>
      <c r="J77" s="76">
        <f t="shared" si="5"/>
        <v>696.4643198</v>
      </c>
      <c r="K77" s="71" t="str">
        <f t="shared" si="6"/>
        <v>11m 36s</v>
      </c>
      <c r="L77" s="77">
        <f t="shared" si="7"/>
        <v>258075</v>
      </c>
      <c r="M77" s="51">
        <f t="shared" si="8"/>
        <v>0</v>
      </c>
      <c r="N77" s="52">
        <f>IFERROR(__xludf.DUMMYFUNCTION("IFS(AND(COUNTA(C77:C147)=0,COUNTA(P77:P147)=0),"""",OR(AND(L77&gt;=1000000,OR(Y77&gt;=1000000,COUNTA(P77:P147)=0)),AND(Y77&gt;=1000000,COUNTA(C77:C147)=0),AND(COUNTA(P77:P147)=0,O$3=TRUE)),
ROUNDDOWN((AB$1-AC$1)*MAX(INDEX(S$4:S147,MATCH(LARGE(FILTER(Y$4:Y147,Y$4:Y"&amp;"147&lt;1000000),1),Y$4:Y147)),INDEX(F$4:F147,MATCH(LARGE(FILTER(L$4:L147,L$4:L147&lt;1000000),1),L$4:L147)))),AND(L77&lt;1000000,COUNTA(C77:C147)&gt;0,O$3=FALSE),
ROUNDDOWN(INDEX(Y$4:Y147,MATCH(LARGE(FILTER(W$4:W147,W$4:W147&lt;=J77),1),W$4:W147))+(J77-LARGE(FILTER(W$4:"&amp;"W147,W$4:W147&lt;=J77),1))*INDEX(S$4:S147,MATCH(LARGE(FILTER(W$4:W147,W$4:W147&lt;=J77),1),W$4:W147))-L77),1,
ROUNDDOWN(Y77-INDEX(L$4:L147,MATCH(LARGE(FILTER(J$4:J147,J$4:J147&lt;=W77),1),J$4:J147))-(W77-LARGE(FILTER(J$4:J147,J$4:J147&lt;=W77),1))*INDEX(F$4:F147,MATC"&amp;"H(LARGE(FILTER(J$4:J147,J$4:J147&lt;=W77),1),J$4:J147))))"),0.0)</f>
        <v>0</v>
      </c>
      <c r="O77" s="65">
        <f t="shared" si="9"/>
        <v>25</v>
      </c>
      <c r="P77" s="66" t="s">
        <v>13</v>
      </c>
      <c r="Q77" s="14" t="b">
        <f>IFERROR(__xludf.DUMMYFUNCTION("IF(COUNTA(P77:P147)=0,"""",IFERROR(IF(ISBLANK(P77),FALSE,IF(ISBLANK(T77),1,IF(NOT(COUNTIF($AA$24:$AA$34,SUBSTITUTE(P77,""Sell_"",""""))),1,IF(P77=""Plastic_up"",IF(V77&lt;1000,1),IF(P77=""Super_Up"",IF(OR(COUNTIF(P$4:P77,""Grandma"")-COUNTIF(P$4:P77,""Sell_G"&amp;"randma"")&lt;1,COUNTIF(P$4:P77,VLOOKUP(P77,Upgrades!$F$8:$N$8,7+COUNTIF(P$4:P77,P77)))-COUNTIF(P$4:P77,""Sell_""&amp;VLOOKUP(P77,Upgrades!$F$8:$N$8,7+COUNTIF(P$4:P77,P77)))&lt;15),1),IF(REGEXMATCH(P77,""_up""),IF(COUNTIF(P$4:P77,SUBSTITUTE(P77,""_up"",""""))&lt;IFERRO"&amp;"R(VLOOKUP(P77,Upgrades!$L$3:$P$6,1+COUNTIF(P$4:P77,P77),0),999),1),IF(REGEXMATCH(P77,""Sell_""),IF(COUNTIF(P$4:P77,SUBSTITUTE(P77,""Sell_"",""""))-COUNTIF(P$4:P76,P77)&lt;1,1),FALSE)))))))))"),FALSE)</f>
        <v>0</v>
      </c>
      <c r="R77" s="71">
        <f>IFERROR(__xludf.DUMMYFUNCTION("IF(REGEXMATCH(P77,""^Sell_""),R76, IF(COUNTA(P77:P147)=0,"""",(COUNTIF(P$4:P77,""Cursor"")-COUNTIF(P$4:P77,""Sell_Cursor""))*(0.1*2^SWITCH(COUNTIF(P$4:P77,""Cursor_up""),0,0,1,1,2,2,3)+SWITCH(COUNTIF(P$4:P77,""Cursor_up""),4,0.1,0)*(ROW(P77)-4-COUNTIF(P$4"&amp;":P77,""Cursor"")-COUNTIF(P$4:P77,""*""&amp;""_up"")-2*COUNTIF(P$4:P77,""Sell_""&amp;""*"")+COUNTIF(P$4:P77,""Sell_Cursor"")-COUNTIF(P$4:P77,"""")))+(COUNTIF(P$4:P77,""Grandma"")-COUNTIF(P$4:P77,""Sell_Grandma""))*(1*2^(COUNTIF(P$4:P77,""Grandma_up"")+COUNTIF(P$4:"&amp;"P77,""Super_up"")))+(COUNTIF(P$4:P77,""Farm"")-COUNTIF(P$4:P77,""Sell_Farm""))*(8*2^COUNTIF(P$4:P77,""Farm_up""))*IF(COUNTIF(P$4:P77,""Super_up"")&gt;0,1+0.01*(COUNTIF(P$4:P77,""Grandma"")-COUNTIF(P$4:P77,""Sell_Grandma"")),1)+(COUNTIF(P$4:P77,""Mine"")-COUN"&amp;"TIF(P$4:P77,""Sell_Mine""))*((47*2^COUNTIF(P$4:P77,""Mine_up""))*IF(COUNTIF(P$4:P77,""Super_up"")&gt;1,1+0.005*(COUNTIF(P$4:P77,""Grandma"")-COUNTIF(P$4:P77,""Sell_Grandma"")),1))+(COUNTIF(P$4:P77,""Factory"")-COUNTIF(P$4:P77,""Sell_Factory""))*(260*2^COUNTI"&amp;"F(P$4:P77,""Factory_up""))))"),990.8)</f>
        <v>990.8</v>
      </c>
      <c r="S77" s="73">
        <f>IFERROR(__xludf.DUMMYFUNCTION("IF(COUNTA(P77:P147)=0,"""",IF(REGEXMATCH(INDEX(FILTER(P$4:P77,P$4:P77&lt;&gt;""""),ROWS(FILTER(P$4:P77,P$4:P77&lt;&gt;""""))),""^Sell_""),INDEX(FILTER(S$4:S76,P$4:P76&lt;&gt;""""),ROWS(FILTER(P$4:P76,P$4:P76&lt;&gt;""""))),$AD$5*(2^SWITCH(COUNTIF(P$4:P77,""Cursor_up""),0,0,1,1,2"&amp;",2,3)+SWITCH(COUNTIF(P$4:P77,""Cursor_up""),4,0.1,0)*(ROW(P77)-4-COUNTIF(P$4:P77,""Cursor"")-COUNTIF(P$4:P77,""*""&amp;""_up"")-2*COUNTIF(P$4:P77,""Sell_""&amp;""*"")+COUNTIF(P$4:P77,""Sell_Cursor"")-COUNTIF(P$4:P77,""""))+0.01*R77*COUNTIF(P$4:P77,""Plastic_up"")"&amp;")+R77))"),1110.8)</f>
        <v>1110.8</v>
      </c>
      <c r="T77" s="14">
        <f>IFERROR(__xludf.DUMMYFUNCTION("IF(COUNTA(P77:P147)=0,"""",IF(REGEXMATCH(P77,""_up""),VLOOKUP(P77,Upgrades!$F$3:$J$8,1+COUNTIF(P$4:P77,P77),FALSE),IF(P77="""",0,IF(REGEXMATCH(P77,""^Sell_""),-ROUNDDOWN(ROUNDUP(INDEX(Upgrades!$C$3:$C$8,MATCH(SUBSTITUTE(P77,""Sell_"",""""),Upgrades!$B$3:$"&amp;"B$8,0))*1.15^(COUNTIF(P$4:P76,SUBSTITUTE(P77,""Sell_"",""""))-COUNTIF(P$4:P76,""Sell_""&amp;SUBSTITUTE(P77,""Sell_"",""""))))/4),ROUNDUP(INDEX(Upgrades!$C$3:$C$7,MATCH(P77,Upgrades!$B$3:$B$7,0))*1.15^(COUNTIF(P$4:P76,P77)-COUNTIF(P$4:P76,""Sell_""&amp;P77)))))))"),2863.0)</f>
        <v>2863</v>
      </c>
      <c r="U77" s="14">
        <f t="shared" si="10"/>
        <v>2863</v>
      </c>
      <c r="V77" s="75">
        <f t="shared" si="11"/>
        <v>1998500.088</v>
      </c>
      <c r="W77" s="76">
        <f t="shared" si="12"/>
        <v>696.4643198</v>
      </c>
      <c r="X77" s="71" t="str">
        <f t="shared" si="13"/>
        <v>11m 36s</v>
      </c>
      <c r="Y77" s="77">
        <f t="shared" si="14"/>
        <v>258075</v>
      </c>
      <c r="Z77" s="17"/>
      <c r="AA77" s="13"/>
      <c r="AB77" s="13"/>
      <c r="AC77" s="13"/>
      <c r="AD77" s="13"/>
      <c r="AE77" s="13"/>
      <c r="AF77" s="13"/>
      <c r="AG77" s="13"/>
    </row>
    <row r="78">
      <c r="A78" s="12"/>
      <c r="B78" s="65">
        <f t="shared" si="2"/>
        <v>26</v>
      </c>
      <c r="C78" s="66" t="s">
        <v>13</v>
      </c>
      <c r="D78" s="14" t="b">
        <f>IFERROR(__xludf.DUMMYFUNCTION("IF(COUNTA(C78:C147)=0,"""",IFERROR(IF(ISBLANK(C78),FALSE,IF(ISBLANK(G78),1,IF(NOT(COUNTIF($AA$24:$AA$34,SUBSTITUTE(C78,""Sell_"",""""))),1,IF(C78=""Plastic_up"",IF(I78&lt;1000,1),IF(C78=""Super_Up"",IF(OR(COUNTIF(C$4:C78,""Grandma"")-COUNTIF(C$4:C78,""Sell_G"&amp;"randma"")&lt;1,COUNTIF(C$4:C78,VLOOKUP(C78,Upgrades!$F$8:$N$8,7+COUNTIF(C$4:C78,C78)))-COUNTIF(C$4:C78,""Sell_""&amp;VLOOKUP(C78,Upgrades!$F$8:$N$8,7+COUNTIF(C$4:C78,C78)))&lt;15),1),IF(REGEXMATCH(C78,""_up""),IF(COUNTIF(C$4:C78,SUBSTITUTE(C78,""_up"",""""))&lt;IFERRO"&amp;"R(VLOOKUP(C78,Upgrades!$L$3:$P$6,1+COUNTIF(C$4:C78,C78),0),999),1),IF(REGEXMATCH(C78,""Sell_""),IF(COUNTIF(C$4:C78,SUBSTITUTE(C78,""Sell_"",""""))-COUNTIF(C$4:C77,C78)&lt;1,1),FALSE)))))))))"),FALSE)</f>
        <v>0</v>
      </c>
      <c r="E78" s="71">
        <f>IFERROR(__xludf.DUMMYFUNCTION("IF(REGEXMATCH(C78,""^Sell_""),E77, IF(COUNTA(C78:C147)=0,"""",(COUNTIF(C$4:C78,""Cursor"")-COUNTIF(C$4:C78,""Sell_Cursor""))*(0.1*2^SWITCH(COUNTIF(C$4:C78,""Cursor_up""),0,0,1,1,2,2,3)+SWITCH(COUNTIF(C$4:C78,""Cursor_up""),4,0.1,0)*(ROW(C78)-4-COUNTIF(C$4"&amp;":C78,""Cursor"")-COUNTIF(C$4:C78,""*""&amp;""_up"")-2*COUNTIF(C$4:C78,""Sell_""&amp;""*"")+COUNTIF(C$4:C78,""Sell_Cursor"")-COUNTIF(C$4:C78,"""")))+(COUNTIF(C$4:C78,""Grandma"")-COUNTIF(C$4:C78,""Sell_Grandma""))*(1*2^(COUNTIF(C$4:C78,""Grandma_up"")+COUNTIF(C$4:"&amp;"C78,""Super_up"")))+(COUNTIF(C$4:C78,""Farm"")-COUNTIF(C$4:C78,""Sell_Farm""))*(8*2^COUNTIF(C$4:C78,""Farm_up""))*IF(COUNTIF(C$4:C78,""Super_up"")&gt;0,1+0.01*(COUNTIF(C$4:C78,""Grandma"")-COUNTIF(C$4:C78,""Sell_Grandma"")),1)+(COUNTIF(C$4:C78,""Mine"")-COUN"&amp;"TIF(C$4:C78,""Sell_Mine""))*((47*2^COUNTIF(C$4:C78,""Mine_up""))*IF(COUNTIF(C$4:C78,""Super_up"")&gt;1,1+0.005*(COUNTIF(C$4:C78,""Grandma"")-COUNTIF(C$4:C78,""Sell_Grandma"")),1))+(COUNTIF(C$4:C78,""Factory"")-COUNTIF(C$4:C78,""Sell_Factory""))*(260*2^COUNTI"&amp;"F(C$4:C78,""Factory_up""))))"),1004.24)</f>
        <v>1004.24</v>
      </c>
      <c r="F78" s="73">
        <f>IFERROR(__xludf.DUMMYFUNCTION("IF(COUNTA(C78:C147)=0,"""",IF(REGEXMATCH(INDEX(FILTER(C$4:C78,C$4:C78&lt;&gt;""""),ROWS(FILTER(C$4:C78,C$4:C78&lt;&gt;""""))),""^Sell_""),INDEX(FILTER(F$4:F77,C$4:C77&lt;&gt;""""),ROWS(FILTER(C$4:C77,C$4:C77&lt;&gt;""""))),$AC$5*(2^SWITCH(COUNTIF(C$4:C78,""Cursor_up""),0,0,1,1,2"&amp;",2,3)+SWITCH(COUNTIF(C$4:C78,""Cursor_up""),4,0.1,0)*(ROW(C78)-4-COUNTIF(C$4:C78,""Cursor"")-COUNTIF(C$4:C78,""*""&amp;""_up"")-2*COUNTIF(C$4:C78,""Sell_""&amp;""*"")+COUNTIF(C$4:C78,""Sell_Cursor"")-COUNTIF(C$4:C78,""""))+0.01*E78*COUNTIF(C$4:C78,""Plastic_up"")"&amp;")+E78))"),1124.24)</f>
        <v>1124.24</v>
      </c>
      <c r="G78" s="14">
        <f>IFERROR(__xludf.DUMMYFUNCTION("IF(COUNTA(C78:C147)=0,"""",IF(REGEXMATCH(C78,""_up""),VLOOKUP(C78,Upgrades!$F$3:$J$8,1+COUNTIF(C$4:C78,C78),FALSE),IF(C78="""",0,IF(REGEXMATCH(C78,""^Sell_""),-ROUNDDOWN(ROUNDUP(INDEX(Upgrades!$C$3:$C$8,MATCH(SUBSTITUTE(C78,""Sell_"",""""),Upgrades!$B$3:$"&amp;"B$8,0))*1.15^(COUNTIF(C$4:C77,SUBSTITUTE(C78,""Sell_"",""""))-COUNTIF(C$4:C77,""Sell_""&amp;SUBSTITUTE(C78,""Sell_"",""""))))/4),ROUNDUP(INDEX(Upgrades!$C$3:$C$7,MATCH(C78,Upgrades!$B$3:$B$7,0))*1.15^(COUNTIF(C$4:C77,C78)-COUNTIF(C$4:C77,""Sell_""&amp;C78)))))))"),3292.0)</f>
        <v>3292</v>
      </c>
      <c r="H78" s="14">
        <f t="shared" si="3"/>
        <v>3292</v>
      </c>
      <c r="I78" s="75">
        <f t="shared" si="4"/>
        <v>2082431.442</v>
      </c>
      <c r="J78" s="76">
        <f t="shared" si="5"/>
        <v>699.4279497</v>
      </c>
      <c r="K78" s="71" t="str">
        <f t="shared" si="6"/>
        <v>11m 39s</v>
      </c>
      <c r="L78" s="77">
        <f t="shared" si="7"/>
        <v>261367</v>
      </c>
      <c r="M78" s="51">
        <f t="shared" si="8"/>
        <v>0</v>
      </c>
      <c r="N78" s="52">
        <f>IFERROR(__xludf.DUMMYFUNCTION("IFS(AND(COUNTA(C78:C147)=0,COUNTA(P78:P147)=0),"""",OR(AND(L78&gt;=1000000,OR(Y78&gt;=1000000,COUNTA(P78:P147)=0)),AND(Y78&gt;=1000000,COUNTA(C78:C147)=0),AND(COUNTA(P78:P147)=0,O$3=TRUE)),
ROUNDDOWN((AB$1-AC$1)*MAX(INDEX(S$4:S147,MATCH(LARGE(FILTER(Y$4:Y147,Y$4:Y"&amp;"147&lt;1000000),1),Y$4:Y147)),INDEX(F$4:F147,MATCH(LARGE(FILTER(L$4:L147,L$4:L147&lt;1000000),1),L$4:L147)))),AND(L78&lt;1000000,COUNTA(C78:C147)&gt;0,O$3=FALSE),
ROUNDDOWN(INDEX(Y$4:Y147,MATCH(LARGE(FILTER(W$4:W147,W$4:W147&lt;=J78),1),W$4:W147))+(J78-LARGE(FILTER(W$4:"&amp;"W147,W$4:W147&lt;=J78),1))*INDEX(S$4:S147,MATCH(LARGE(FILTER(W$4:W147,W$4:W147&lt;=J78),1),W$4:W147))-L78),1,
ROUNDDOWN(Y78-INDEX(L$4:L147,MATCH(LARGE(FILTER(J$4:J147,J$4:J147&lt;=W78),1),J$4:J147))-(W78-LARGE(FILTER(J$4:J147,J$4:J147&lt;=W78),1))*INDEX(F$4:F147,MATC"&amp;"H(LARGE(FILTER(J$4:J147,J$4:J147&lt;=W78),1),J$4:J147))))"),0.0)</f>
        <v>0</v>
      </c>
      <c r="O78" s="65">
        <f t="shared" si="9"/>
        <v>26</v>
      </c>
      <c r="P78" s="66" t="s">
        <v>13</v>
      </c>
      <c r="Q78" s="14" t="b">
        <f>IFERROR(__xludf.DUMMYFUNCTION("IF(COUNTA(P78:P147)=0,"""",IFERROR(IF(ISBLANK(P78),FALSE,IF(ISBLANK(T78),1,IF(NOT(COUNTIF($AA$24:$AA$34,SUBSTITUTE(P78,""Sell_"",""""))),1,IF(P78=""Plastic_up"",IF(V78&lt;1000,1),IF(P78=""Super_Up"",IF(OR(COUNTIF(P$4:P78,""Grandma"")-COUNTIF(P$4:P78,""Sell_G"&amp;"randma"")&lt;1,COUNTIF(P$4:P78,VLOOKUP(P78,Upgrades!$F$8:$N$8,7+COUNTIF(P$4:P78,P78)))-COUNTIF(P$4:P78,""Sell_""&amp;VLOOKUP(P78,Upgrades!$F$8:$N$8,7+COUNTIF(P$4:P78,P78)))&lt;15),1),IF(REGEXMATCH(P78,""_up""),IF(COUNTIF(P$4:P78,SUBSTITUTE(P78,""_up"",""""))&lt;IFERRO"&amp;"R(VLOOKUP(P78,Upgrades!$L$3:$P$6,1+COUNTIF(P$4:P78,P78),0),999),1),IF(REGEXMATCH(P78,""Sell_""),IF(COUNTIF(P$4:P78,SUBSTITUTE(P78,""Sell_"",""""))-COUNTIF(P$4:P77,P78)&lt;1,1),FALSE)))))))))"),FALSE)</f>
        <v>0</v>
      </c>
      <c r="R78" s="71">
        <f>IFERROR(__xludf.DUMMYFUNCTION("IF(REGEXMATCH(P78,""^Sell_""),R77, IF(COUNTA(P78:P147)=0,"""",(COUNTIF(P$4:P78,""Cursor"")-COUNTIF(P$4:P78,""Sell_Cursor""))*(0.1*2^SWITCH(COUNTIF(P$4:P78,""Cursor_up""),0,0,1,1,2,2,3)+SWITCH(COUNTIF(P$4:P78,""Cursor_up""),4,0.1,0)*(ROW(P78)-4-COUNTIF(P$4"&amp;":P78,""Cursor"")-COUNTIF(P$4:P78,""*""&amp;""_up"")-2*COUNTIF(P$4:P78,""Sell_""&amp;""*"")+COUNTIF(P$4:P78,""Sell_Cursor"")-COUNTIF(P$4:P78,"""")))+(COUNTIF(P$4:P78,""Grandma"")-COUNTIF(P$4:P78,""Sell_Grandma""))*(1*2^(COUNTIF(P$4:P78,""Grandma_up"")+COUNTIF(P$4:"&amp;"P78,""Super_up"")))+(COUNTIF(P$4:P78,""Farm"")-COUNTIF(P$4:P78,""Sell_Farm""))*(8*2^COUNTIF(P$4:P78,""Farm_up""))*IF(COUNTIF(P$4:P78,""Super_up"")&gt;0,1+0.01*(COUNTIF(P$4:P78,""Grandma"")-COUNTIF(P$4:P78,""Sell_Grandma"")),1)+(COUNTIF(P$4:P78,""Mine"")-COUN"&amp;"TIF(P$4:P78,""Sell_Mine""))*((47*2^COUNTIF(P$4:P78,""Mine_up""))*IF(COUNTIF(P$4:P78,""Super_up"")&gt;1,1+0.005*(COUNTIF(P$4:P78,""Grandma"")-COUNTIF(P$4:P78,""Sell_Grandma"")),1))+(COUNTIF(P$4:P78,""Factory"")-COUNTIF(P$4:P78,""Sell_Factory""))*(260*2^COUNTI"&amp;"F(P$4:P78,""Factory_up""))))"),1004.24)</f>
        <v>1004.24</v>
      </c>
      <c r="S78" s="73">
        <f>IFERROR(__xludf.DUMMYFUNCTION("IF(COUNTA(P78:P147)=0,"""",IF(REGEXMATCH(INDEX(FILTER(P$4:P78,P$4:P78&lt;&gt;""""),ROWS(FILTER(P$4:P78,P$4:P78&lt;&gt;""""))),""^Sell_""),INDEX(FILTER(S$4:S77,P$4:P77&lt;&gt;""""),ROWS(FILTER(P$4:P77,P$4:P77&lt;&gt;""""))),$AD$5*(2^SWITCH(COUNTIF(P$4:P78,""Cursor_up""),0,0,1,1,2"&amp;",2,3)+SWITCH(COUNTIF(P$4:P78,""Cursor_up""),4,0.1,0)*(ROW(P78)-4-COUNTIF(P$4:P78,""Cursor"")-COUNTIF(P$4:P78,""*""&amp;""_up"")-2*COUNTIF(P$4:P78,""Sell_""&amp;""*"")+COUNTIF(P$4:P78,""Sell_Cursor"")-COUNTIF(P$4:P78,""""))+0.01*R78*COUNTIF(P$4:P78,""Plastic_up"")"&amp;")+R78))"),1124.24)</f>
        <v>1124.24</v>
      </c>
      <c r="T78" s="14">
        <f>IFERROR(__xludf.DUMMYFUNCTION("IF(COUNTA(P78:P147)=0,"""",IF(REGEXMATCH(P78,""_up""),VLOOKUP(P78,Upgrades!$F$3:$J$8,1+COUNTIF(P$4:P78,P78),FALSE),IF(P78="""",0,IF(REGEXMATCH(P78,""^Sell_""),-ROUNDDOWN(ROUNDUP(INDEX(Upgrades!$C$3:$C$8,MATCH(SUBSTITUTE(P78,""Sell_"",""""),Upgrades!$B$3:$"&amp;"B$8,0))*1.15^(COUNTIF(P$4:P77,SUBSTITUTE(P78,""Sell_"",""""))-COUNTIF(P$4:P77,""Sell_""&amp;SUBSTITUTE(P78,""Sell_"",""""))))/4),ROUNDUP(INDEX(Upgrades!$C$3:$C$7,MATCH(P78,Upgrades!$B$3:$B$7,0))*1.15^(COUNTIF(P$4:P77,P78)-COUNTIF(P$4:P77,""Sell_""&amp;P78)))))))"),3292.0)</f>
        <v>3292</v>
      </c>
      <c r="U78" s="14">
        <f t="shared" si="10"/>
        <v>3292</v>
      </c>
      <c r="V78" s="75">
        <f t="shared" si="11"/>
        <v>2082431.442</v>
      </c>
      <c r="W78" s="76">
        <f t="shared" si="12"/>
        <v>699.4279497</v>
      </c>
      <c r="X78" s="71" t="str">
        <f t="shared" si="13"/>
        <v>11m 39s</v>
      </c>
      <c r="Y78" s="77">
        <f t="shared" si="14"/>
        <v>261367</v>
      </c>
      <c r="Z78" s="17"/>
      <c r="AA78" s="13"/>
      <c r="AB78" s="13"/>
      <c r="AC78" s="13"/>
      <c r="AD78" s="13"/>
      <c r="AE78" s="13"/>
      <c r="AF78" s="13"/>
      <c r="AG78" s="13"/>
    </row>
    <row r="79">
      <c r="A79" s="12"/>
      <c r="B79" s="65">
        <f t="shared" si="2"/>
        <v>27</v>
      </c>
      <c r="C79" s="66" t="s">
        <v>13</v>
      </c>
      <c r="D79" s="14" t="b">
        <f>IFERROR(__xludf.DUMMYFUNCTION("IF(COUNTA(C79:C147)=0,"""",IFERROR(IF(ISBLANK(C79),FALSE,IF(ISBLANK(G79),1,IF(NOT(COUNTIF($AA$24:$AA$34,SUBSTITUTE(C79,""Sell_"",""""))),1,IF(C79=""Plastic_up"",IF(I79&lt;1000,1),IF(C79=""Super_Up"",IF(OR(COUNTIF(C$4:C79,""Grandma"")-COUNTIF(C$4:C79,""Sell_G"&amp;"randma"")&lt;1,COUNTIF(C$4:C79,VLOOKUP(C79,Upgrades!$F$8:$N$8,7+COUNTIF(C$4:C79,C79)))-COUNTIF(C$4:C79,""Sell_""&amp;VLOOKUP(C79,Upgrades!$F$8:$N$8,7+COUNTIF(C$4:C79,C79)))&lt;15),1),IF(REGEXMATCH(C79,""_up""),IF(COUNTIF(C$4:C79,SUBSTITUTE(C79,""_up"",""""))&lt;IFERRO"&amp;"R(VLOOKUP(C79,Upgrades!$L$3:$P$6,1+COUNTIF(C$4:C79,C79),0),999),1),IF(REGEXMATCH(C79,""Sell_""),IF(COUNTIF(C$4:C79,SUBSTITUTE(C79,""Sell_"",""""))-COUNTIF(C$4:C78,C79)&lt;1,1),FALSE)))))))))"),FALSE)</f>
        <v>0</v>
      </c>
      <c r="E79" s="71">
        <f>IFERROR(__xludf.DUMMYFUNCTION("IF(REGEXMATCH(C79,""^Sell_""),E78, IF(COUNTA(C79:C147)=0,"""",(COUNTIF(C$4:C79,""Cursor"")-COUNTIF(C$4:C79,""Sell_Cursor""))*(0.1*2^SWITCH(COUNTIF(C$4:C79,""Cursor_up""),0,0,1,1,2,2,3)+SWITCH(COUNTIF(C$4:C79,""Cursor_up""),4,0.1,0)*(ROW(C79)-4-COUNTIF(C$4"&amp;":C79,""Cursor"")-COUNTIF(C$4:C79,""*""&amp;""_up"")-2*COUNTIF(C$4:C79,""Sell_""&amp;""*"")+COUNTIF(C$4:C79,""Sell_Cursor"")-COUNTIF(C$4:C79,"""")))+(COUNTIF(C$4:C79,""Grandma"")-COUNTIF(C$4:C79,""Sell_Grandma""))*(1*2^(COUNTIF(C$4:C79,""Grandma_up"")+COUNTIF(C$4:"&amp;"C79,""Super_up"")))+(COUNTIF(C$4:C79,""Farm"")-COUNTIF(C$4:C79,""Sell_Farm""))*(8*2^COUNTIF(C$4:C79,""Farm_up""))*IF(COUNTIF(C$4:C79,""Super_up"")&gt;0,1+0.01*(COUNTIF(C$4:C79,""Grandma"")-COUNTIF(C$4:C79,""Sell_Grandma"")),1)+(COUNTIF(C$4:C79,""Mine"")-COUN"&amp;"TIF(C$4:C79,""Sell_Mine""))*((47*2^COUNTIF(C$4:C79,""Mine_up""))*IF(COUNTIF(C$4:C79,""Super_up"")&gt;1,1+0.005*(COUNTIF(C$4:C79,""Grandma"")-COUNTIF(C$4:C79,""Sell_Grandma"")),1))+(COUNTIF(C$4:C79,""Factory"")-COUNTIF(C$4:C79,""Sell_Factory""))*(260*2^COUNTI"&amp;"F(C$4:C79,""Factory_up""))))"),1017.6800000000001)</f>
        <v>1017.68</v>
      </c>
      <c r="F79" s="73">
        <f>IFERROR(__xludf.DUMMYFUNCTION("IF(COUNTA(C79:C147)=0,"""",IF(REGEXMATCH(INDEX(FILTER(C$4:C79,C$4:C79&lt;&gt;""""),ROWS(FILTER(C$4:C79,C$4:C79&lt;&gt;""""))),""^Sell_""),INDEX(FILTER(F$4:F78,C$4:C78&lt;&gt;""""),ROWS(FILTER(C$4:C78,C$4:C78&lt;&gt;""""))),$AC$5*(2^SWITCH(COUNTIF(C$4:C79,""Cursor_up""),0,0,1,1,2"&amp;",2,3)+SWITCH(COUNTIF(C$4:C79,""Cursor_up""),4,0.1,0)*(ROW(C79)-4-COUNTIF(C$4:C79,""Cursor"")-COUNTIF(C$4:C79,""*""&amp;""_up"")-2*COUNTIF(C$4:C79,""Sell_""&amp;""*"")+COUNTIF(C$4:C79,""Sell_Cursor"")-COUNTIF(C$4:C79,""""))+0.01*E79*COUNTIF(C$4:C79,""Plastic_up"")"&amp;")+E79))"),1137.68)</f>
        <v>1137.68</v>
      </c>
      <c r="G79" s="14">
        <f>IFERROR(__xludf.DUMMYFUNCTION("IF(COUNTA(C79:C147)=0,"""",IF(REGEXMATCH(C79,""_up""),VLOOKUP(C79,Upgrades!$F$3:$J$8,1+COUNTIF(C$4:C79,C79),FALSE),IF(C79="""",0,IF(REGEXMATCH(C79,""^Sell_""),-ROUNDDOWN(ROUNDUP(INDEX(Upgrades!$C$3:$C$8,MATCH(SUBSTITUTE(C79,""Sell_"",""""),Upgrades!$B$3:$"&amp;"B$8,0))*1.15^(COUNTIF(C$4:C78,SUBSTITUTE(C79,""Sell_"",""""))-COUNTIF(C$4:C78,""Sell_""&amp;SUBSTITUTE(C79,""Sell_"",""""))))/4),ROUNDUP(INDEX(Upgrades!$C$3:$C$7,MATCH(C79,Upgrades!$B$3:$B$7,0))*1.15^(COUNTIF(C$4:C78,C79)-COUNTIF(C$4:C78,""Sell_""&amp;C79)))))))"),3786.0)</f>
        <v>3786</v>
      </c>
      <c r="H79" s="14">
        <f t="shared" si="3"/>
        <v>3786</v>
      </c>
      <c r="I79" s="75">
        <f t="shared" si="4"/>
        <v>2166766.909</v>
      </c>
      <c r="J79" s="76">
        <f t="shared" si="5"/>
        <v>702.795558</v>
      </c>
      <c r="K79" s="71" t="str">
        <f t="shared" si="6"/>
        <v>11m 42s</v>
      </c>
      <c r="L79" s="77">
        <f t="shared" si="7"/>
        <v>265153</v>
      </c>
      <c r="M79" s="51">
        <f t="shared" si="8"/>
        <v>0</v>
      </c>
      <c r="N79" s="52">
        <f>IFERROR(__xludf.DUMMYFUNCTION("IFS(AND(COUNTA(C79:C147)=0,COUNTA(P79:P147)=0),"""",OR(AND(L79&gt;=1000000,OR(Y79&gt;=1000000,COUNTA(P79:P147)=0)),AND(Y79&gt;=1000000,COUNTA(C79:C147)=0),AND(COUNTA(P79:P147)=0,O$3=TRUE)),
ROUNDDOWN((AB$1-AC$1)*MAX(INDEX(S$4:S147,MATCH(LARGE(FILTER(Y$4:Y147,Y$4:Y"&amp;"147&lt;1000000),1),Y$4:Y147)),INDEX(F$4:F147,MATCH(LARGE(FILTER(L$4:L147,L$4:L147&lt;1000000),1),L$4:L147)))),AND(L79&lt;1000000,COUNTA(C79:C147)&gt;0,O$3=FALSE),
ROUNDDOWN(INDEX(Y$4:Y147,MATCH(LARGE(FILTER(W$4:W147,W$4:W147&lt;=J79),1),W$4:W147))+(J79-LARGE(FILTER(W$4:"&amp;"W147,W$4:W147&lt;=J79),1))*INDEX(S$4:S147,MATCH(LARGE(FILTER(W$4:W147,W$4:W147&lt;=J79),1),W$4:W147))-L79),1,
ROUNDDOWN(Y79-INDEX(L$4:L147,MATCH(LARGE(FILTER(J$4:J147,J$4:J147&lt;=W79),1),J$4:J147))-(W79-LARGE(FILTER(J$4:J147,J$4:J147&lt;=W79),1))*INDEX(F$4:F147,MATC"&amp;"H(LARGE(FILTER(J$4:J147,J$4:J147&lt;=W79),1),J$4:J147))))"),0.0)</f>
        <v>0</v>
      </c>
      <c r="O79" s="65">
        <f t="shared" si="9"/>
        <v>27</v>
      </c>
      <c r="P79" s="66" t="s">
        <v>13</v>
      </c>
      <c r="Q79" s="14" t="b">
        <f>IFERROR(__xludf.DUMMYFUNCTION("IF(COUNTA(P79:P147)=0,"""",IFERROR(IF(ISBLANK(P79),FALSE,IF(ISBLANK(T79),1,IF(NOT(COUNTIF($AA$24:$AA$34,SUBSTITUTE(P79,""Sell_"",""""))),1,IF(P79=""Plastic_up"",IF(V79&lt;1000,1),IF(P79=""Super_Up"",IF(OR(COUNTIF(P$4:P79,""Grandma"")-COUNTIF(P$4:P79,""Sell_G"&amp;"randma"")&lt;1,COUNTIF(P$4:P79,VLOOKUP(P79,Upgrades!$F$8:$N$8,7+COUNTIF(P$4:P79,P79)))-COUNTIF(P$4:P79,""Sell_""&amp;VLOOKUP(P79,Upgrades!$F$8:$N$8,7+COUNTIF(P$4:P79,P79)))&lt;15),1),IF(REGEXMATCH(P79,""_up""),IF(COUNTIF(P$4:P79,SUBSTITUTE(P79,""_up"",""""))&lt;IFERRO"&amp;"R(VLOOKUP(P79,Upgrades!$L$3:$P$6,1+COUNTIF(P$4:P79,P79),0),999),1),IF(REGEXMATCH(P79,""Sell_""),IF(COUNTIF(P$4:P79,SUBSTITUTE(P79,""Sell_"",""""))-COUNTIF(P$4:P78,P79)&lt;1,1),FALSE)))))))))"),FALSE)</f>
        <v>0</v>
      </c>
      <c r="R79" s="71">
        <f>IFERROR(__xludf.DUMMYFUNCTION("IF(REGEXMATCH(P79,""^Sell_""),R78, IF(COUNTA(P79:P147)=0,"""",(COUNTIF(P$4:P79,""Cursor"")-COUNTIF(P$4:P79,""Sell_Cursor""))*(0.1*2^SWITCH(COUNTIF(P$4:P79,""Cursor_up""),0,0,1,1,2,2,3)+SWITCH(COUNTIF(P$4:P79,""Cursor_up""),4,0.1,0)*(ROW(P79)-4-COUNTIF(P$4"&amp;":P79,""Cursor"")-COUNTIF(P$4:P79,""*""&amp;""_up"")-2*COUNTIF(P$4:P79,""Sell_""&amp;""*"")+COUNTIF(P$4:P79,""Sell_Cursor"")-COUNTIF(P$4:P79,"""")))+(COUNTIF(P$4:P79,""Grandma"")-COUNTIF(P$4:P79,""Sell_Grandma""))*(1*2^(COUNTIF(P$4:P79,""Grandma_up"")+COUNTIF(P$4:"&amp;"P79,""Super_up"")))+(COUNTIF(P$4:P79,""Farm"")-COUNTIF(P$4:P79,""Sell_Farm""))*(8*2^COUNTIF(P$4:P79,""Farm_up""))*IF(COUNTIF(P$4:P79,""Super_up"")&gt;0,1+0.01*(COUNTIF(P$4:P79,""Grandma"")-COUNTIF(P$4:P79,""Sell_Grandma"")),1)+(COUNTIF(P$4:P79,""Mine"")-COUN"&amp;"TIF(P$4:P79,""Sell_Mine""))*((47*2^COUNTIF(P$4:P79,""Mine_up""))*IF(COUNTIF(P$4:P79,""Super_up"")&gt;1,1+0.005*(COUNTIF(P$4:P79,""Grandma"")-COUNTIF(P$4:P79,""Sell_Grandma"")),1))+(COUNTIF(P$4:P79,""Factory"")-COUNTIF(P$4:P79,""Sell_Factory""))*(260*2^COUNTI"&amp;"F(P$4:P79,""Factory_up""))))"),1017.6800000000001)</f>
        <v>1017.68</v>
      </c>
      <c r="S79" s="73">
        <f>IFERROR(__xludf.DUMMYFUNCTION("IF(COUNTA(P79:P147)=0,"""",IF(REGEXMATCH(INDEX(FILTER(P$4:P79,P$4:P79&lt;&gt;""""),ROWS(FILTER(P$4:P79,P$4:P79&lt;&gt;""""))),""^Sell_""),INDEX(FILTER(S$4:S78,P$4:P78&lt;&gt;""""),ROWS(FILTER(P$4:P78,P$4:P78&lt;&gt;""""))),$AD$5*(2^SWITCH(COUNTIF(P$4:P79,""Cursor_up""),0,0,1,1,2"&amp;",2,3)+SWITCH(COUNTIF(P$4:P79,""Cursor_up""),4,0.1,0)*(ROW(P79)-4-COUNTIF(P$4:P79,""Cursor"")-COUNTIF(P$4:P79,""*""&amp;""_up"")-2*COUNTIF(P$4:P79,""Sell_""&amp;""*"")+COUNTIF(P$4:P79,""Sell_Cursor"")-COUNTIF(P$4:P79,""""))+0.01*R79*COUNTIF(P$4:P79,""Plastic_up"")"&amp;")+R79))"),1137.68)</f>
        <v>1137.68</v>
      </c>
      <c r="T79" s="14">
        <f>IFERROR(__xludf.DUMMYFUNCTION("IF(COUNTA(P79:P147)=0,"""",IF(REGEXMATCH(P79,""_up""),VLOOKUP(P79,Upgrades!$F$3:$J$8,1+COUNTIF(P$4:P79,P79),FALSE),IF(P79="""",0,IF(REGEXMATCH(P79,""^Sell_""),-ROUNDDOWN(ROUNDUP(INDEX(Upgrades!$C$3:$C$8,MATCH(SUBSTITUTE(P79,""Sell_"",""""),Upgrades!$B$3:$"&amp;"B$8,0))*1.15^(COUNTIF(P$4:P78,SUBSTITUTE(P79,""Sell_"",""""))-COUNTIF(P$4:P78,""Sell_""&amp;SUBSTITUTE(P79,""Sell_"",""""))))/4),ROUNDUP(INDEX(Upgrades!$C$3:$C$7,MATCH(P79,Upgrades!$B$3:$B$7,0))*1.15^(COUNTIF(P$4:P78,P79)-COUNTIF(P$4:P78,""Sell_""&amp;P79)))))))"),3786.0)</f>
        <v>3786</v>
      </c>
      <c r="U79" s="14">
        <f t="shared" si="10"/>
        <v>3786</v>
      </c>
      <c r="V79" s="75">
        <f t="shared" si="11"/>
        <v>2166766.909</v>
      </c>
      <c r="W79" s="76">
        <f t="shared" si="12"/>
        <v>702.795558</v>
      </c>
      <c r="X79" s="71" t="str">
        <f t="shared" si="13"/>
        <v>11m 42s</v>
      </c>
      <c r="Y79" s="77">
        <f t="shared" si="14"/>
        <v>265153</v>
      </c>
      <c r="Z79" s="17"/>
      <c r="AA79" s="13"/>
      <c r="AB79" s="13"/>
      <c r="AC79" s="13"/>
      <c r="AD79" s="13"/>
      <c r="AE79" s="13"/>
      <c r="AF79" s="13"/>
      <c r="AG79" s="13"/>
    </row>
    <row r="80">
      <c r="A80" s="12"/>
      <c r="B80" s="65">
        <f t="shared" si="2"/>
        <v>3</v>
      </c>
      <c r="C80" s="66" t="s">
        <v>14</v>
      </c>
      <c r="D80" s="14" t="b">
        <f>IFERROR(__xludf.DUMMYFUNCTION("IF(COUNTA(C80:C147)=0,"""",IFERROR(IF(ISBLANK(C80),FALSE,IF(ISBLANK(G80),1,IF(NOT(COUNTIF($AA$24:$AA$34,SUBSTITUTE(C80,""Sell_"",""""))),1,IF(C80=""Plastic_up"",IF(I80&lt;1000,1),IF(C80=""Super_Up"",IF(OR(COUNTIF(C$4:C80,""Grandma"")-COUNTIF(C$4:C80,""Sell_G"&amp;"randma"")&lt;1,COUNTIF(C$4:C80,VLOOKUP(C80,Upgrades!$F$8:$N$8,7+COUNTIF(C$4:C80,C80)))-COUNTIF(C$4:C80,""Sell_""&amp;VLOOKUP(C80,Upgrades!$F$8:$N$8,7+COUNTIF(C$4:C80,C80)))&lt;15),1),IF(REGEXMATCH(C80,""_up""),IF(COUNTIF(C$4:C80,SUBSTITUTE(C80,""_up"",""""))&lt;IFERRO"&amp;"R(VLOOKUP(C80,Upgrades!$L$3:$P$6,1+COUNTIF(C$4:C80,C80),0),999),1),IF(REGEXMATCH(C80,""Sell_""),IF(COUNTIF(C$4:C80,SUBSTITUTE(C80,""Sell_"",""""))-COUNTIF(C$4:C79,C80)&lt;1,1),FALSE)))))))))"),FALSE)</f>
        <v>0</v>
      </c>
      <c r="E80" s="71">
        <f>IFERROR(__xludf.DUMMYFUNCTION("IF(REGEXMATCH(C80,""^Sell_""),E79, IF(COUNTA(C80:C147)=0,"""",(COUNTIF(C$4:C80,""Cursor"")-COUNTIF(C$4:C80,""Sell_Cursor""))*(0.1*2^SWITCH(COUNTIF(C$4:C80,""Cursor_up""),0,0,1,1,2,2,3)+SWITCH(COUNTIF(C$4:C80,""Cursor_up""),4,0.1,0)*(ROW(C80)-4-COUNTIF(C$4"&amp;":C80,""Cursor"")-COUNTIF(C$4:C80,""*""&amp;""_up"")-2*COUNTIF(C$4:C80,""Sell_""&amp;""*"")+COUNTIF(C$4:C80,""Sell_Cursor"")-COUNTIF(C$4:C80,"""")))+(COUNTIF(C$4:C80,""Grandma"")-COUNTIF(C$4:C80,""Sell_Grandma""))*(1*2^(COUNTIF(C$4:C80,""Grandma_up"")+COUNTIF(C$4:"&amp;"C80,""Super_up"")))+(COUNTIF(C$4:C80,""Farm"")-COUNTIF(C$4:C80,""Sell_Farm""))*(8*2^COUNTIF(C$4:C80,""Farm_up""))*IF(COUNTIF(C$4:C80,""Super_up"")&gt;0,1+0.01*(COUNTIF(C$4:C80,""Grandma"")-COUNTIF(C$4:C80,""Sell_Grandma"")),1)+(COUNTIF(C$4:C80,""Mine"")-COUN"&amp;"TIF(C$4:C80,""Sell_Mine""))*((47*2^COUNTIF(C$4:C80,""Mine_up""))*IF(COUNTIF(C$4:C80,""Super_up"")&gt;1,1+0.005*(COUNTIF(C$4:C80,""Grandma"")-COUNTIF(C$4:C80,""Sell_Grandma"")),1))+(COUNTIF(C$4:C80,""Factory"")-COUNTIF(C$4:C80,""Sell_Factory""))*(260*2^COUNTI"&amp;"F(C$4:C80,""Factory_up""))))"),1233.68)</f>
        <v>1233.68</v>
      </c>
      <c r="F80" s="73">
        <f>IFERROR(__xludf.DUMMYFUNCTION("IF(COUNTA(C80:C147)=0,"""",IF(REGEXMATCH(INDEX(FILTER(C$4:C80,C$4:C80&lt;&gt;""""),ROWS(FILTER(C$4:C80,C$4:C80&lt;&gt;""""))),""^Sell_""),INDEX(FILTER(F$4:F79,C$4:C79&lt;&gt;""""),ROWS(FILTER(C$4:C79,C$4:C79&lt;&gt;""""))),$AC$5*(2^SWITCH(COUNTIF(C$4:C80,""Cursor_up""),0,0,1,1,2"&amp;",2,3)+SWITCH(COUNTIF(C$4:C80,""Cursor_up""),4,0.1,0)*(ROW(C80)-4-COUNTIF(C$4:C80,""Cursor"")-COUNTIF(C$4:C80,""*""&amp;""_up"")-2*COUNTIF(C$4:C80,""Sell_""&amp;""*"")+COUNTIF(C$4:C80,""Sell_Cursor"")-COUNTIF(C$4:C80,""""))+0.01*E80*COUNTIF(C$4:C80,""Plastic_up"")"&amp;")+E80))"),1353.68)</f>
        <v>1353.68</v>
      </c>
      <c r="G80" s="14">
        <f>IFERROR(__xludf.DUMMYFUNCTION("IF(COUNTA(C80:C147)=0,"""",IF(REGEXMATCH(C80,""_up""),VLOOKUP(C80,Upgrades!$F$3:$J$8,1+COUNTIF(C$4:C80,C80),FALSE),IF(C80="""",0,IF(REGEXMATCH(C80,""^Sell_""),-ROUNDDOWN(ROUNDUP(INDEX(Upgrades!$C$3:$C$8,MATCH(SUBSTITUTE(C80,""Sell_"",""""),Upgrades!$B$3:$"&amp;"B$8,0))*1.15^(COUNTIF(C$4:C79,SUBSTITUTE(C80,""Sell_"",""""))-COUNTIF(C$4:C79,""Sell_""&amp;SUBSTITUTE(C80,""Sell_"",""""))))/4),ROUNDUP(INDEX(Upgrades!$C$3:$C$7,MATCH(C80,Upgrades!$B$3:$B$7,0))*1.15^(COUNTIF(C$4:C79,C80)-COUNTIF(C$4:C79,""Sell_""&amp;C80)))))))"),50000.0)</f>
        <v>50000</v>
      </c>
      <c r="H80" s="14">
        <f t="shared" si="3"/>
        <v>50000</v>
      </c>
      <c r="I80" s="75">
        <f t="shared" si="4"/>
        <v>2256376.266</v>
      </c>
      <c r="J80" s="76">
        <f t="shared" si="5"/>
        <v>746.7446474</v>
      </c>
      <c r="K80" s="71" t="str">
        <f t="shared" si="6"/>
        <v>12m 26s</v>
      </c>
      <c r="L80" s="77">
        <f t="shared" si="7"/>
        <v>315153</v>
      </c>
      <c r="M80" s="51">
        <f t="shared" si="8"/>
        <v>0</v>
      </c>
      <c r="N80" s="52">
        <f>IFERROR(__xludf.DUMMYFUNCTION("IFS(AND(COUNTA(C80:C147)=0,COUNTA(P80:P147)=0),"""",OR(AND(L80&gt;=1000000,OR(Y80&gt;=1000000,COUNTA(P80:P147)=0)),AND(Y80&gt;=1000000,COUNTA(C80:C147)=0),AND(COUNTA(P80:P147)=0,O$3=TRUE)),
ROUNDDOWN((AB$1-AC$1)*MAX(INDEX(S$4:S147,MATCH(LARGE(FILTER(Y$4:Y147,Y$4:Y"&amp;"147&lt;1000000),1),Y$4:Y147)),INDEX(F$4:F147,MATCH(LARGE(FILTER(L$4:L147,L$4:L147&lt;1000000),1),L$4:L147)))),AND(L80&lt;1000000,COUNTA(C80:C147)&gt;0,O$3=FALSE),
ROUNDDOWN(INDEX(Y$4:Y147,MATCH(LARGE(FILTER(W$4:W147,W$4:W147&lt;=J80),1),W$4:W147))+(J80-LARGE(FILTER(W$4:"&amp;"W147,W$4:W147&lt;=J80),1))*INDEX(S$4:S147,MATCH(LARGE(FILTER(W$4:W147,W$4:W147&lt;=J80),1),W$4:W147))-L80),1,
ROUNDDOWN(Y80-INDEX(L$4:L147,MATCH(LARGE(FILTER(J$4:J147,J$4:J147&lt;=W80),1),J$4:J147))-(W80-LARGE(FILTER(J$4:J147,J$4:J147&lt;=W80),1))*INDEX(F$4:F147,MATC"&amp;"H(LARGE(FILTER(J$4:J147,J$4:J147&lt;=W80),1),J$4:J147))))"),0.0)</f>
        <v>0</v>
      </c>
      <c r="O80" s="65">
        <f t="shared" si="9"/>
        <v>3</v>
      </c>
      <c r="P80" s="66" t="s">
        <v>14</v>
      </c>
      <c r="Q80" s="14" t="b">
        <f>IFERROR(__xludf.DUMMYFUNCTION("IF(COUNTA(P80:P147)=0,"""",IFERROR(IF(ISBLANK(P80),FALSE,IF(ISBLANK(T80),1,IF(NOT(COUNTIF($AA$24:$AA$34,SUBSTITUTE(P80,""Sell_"",""""))),1,IF(P80=""Plastic_up"",IF(V80&lt;1000,1),IF(P80=""Super_Up"",IF(OR(COUNTIF(P$4:P80,""Grandma"")-COUNTIF(P$4:P80,""Sell_G"&amp;"randma"")&lt;1,COUNTIF(P$4:P80,VLOOKUP(P80,Upgrades!$F$8:$N$8,7+COUNTIF(P$4:P80,P80)))-COUNTIF(P$4:P80,""Sell_""&amp;VLOOKUP(P80,Upgrades!$F$8:$N$8,7+COUNTIF(P$4:P80,P80)))&lt;15),1),IF(REGEXMATCH(P80,""_up""),IF(COUNTIF(P$4:P80,SUBSTITUTE(P80,""_up"",""""))&lt;IFERRO"&amp;"R(VLOOKUP(P80,Upgrades!$L$3:$P$6,1+COUNTIF(P$4:P80,P80),0),999),1),IF(REGEXMATCH(P80,""Sell_""),IF(COUNTIF(P$4:P80,SUBSTITUTE(P80,""Sell_"",""""))-COUNTIF(P$4:P79,P80)&lt;1,1),FALSE)))))))))"),FALSE)</f>
        <v>0</v>
      </c>
      <c r="R80" s="71">
        <f>IFERROR(__xludf.DUMMYFUNCTION("IF(REGEXMATCH(P80,""^Sell_""),R79, IF(COUNTA(P80:P147)=0,"""",(COUNTIF(P$4:P80,""Cursor"")-COUNTIF(P$4:P80,""Sell_Cursor""))*(0.1*2^SWITCH(COUNTIF(P$4:P80,""Cursor_up""),0,0,1,1,2,2,3)+SWITCH(COUNTIF(P$4:P80,""Cursor_up""),4,0.1,0)*(ROW(P80)-4-COUNTIF(P$4"&amp;":P80,""Cursor"")-COUNTIF(P$4:P80,""*""&amp;""_up"")-2*COUNTIF(P$4:P80,""Sell_""&amp;""*"")+COUNTIF(P$4:P80,""Sell_Cursor"")-COUNTIF(P$4:P80,"""")))+(COUNTIF(P$4:P80,""Grandma"")-COUNTIF(P$4:P80,""Sell_Grandma""))*(1*2^(COUNTIF(P$4:P80,""Grandma_up"")+COUNTIF(P$4:"&amp;"P80,""Super_up"")))+(COUNTIF(P$4:P80,""Farm"")-COUNTIF(P$4:P80,""Sell_Farm""))*(8*2^COUNTIF(P$4:P80,""Farm_up""))*IF(COUNTIF(P$4:P80,""Super_up"")&gt;0,1+0.01*(COUNTIF(P$4:P80,""Grandma"")-COUNTIF(P$4:P80,""Sell_Grandma"")),1)+(COUNTIF(P$4:P80,""Mine"")-COUN"&amp;"TIF(P$4:P80,""Sell_Mine""))*((47*2^COUNTIF(P$4:P80,""Mine_up""))*IF(COUNTIF(P$4:P80,""Super_up"")&gt;1,1+0.005*(COUNTIF(P$4:P80,""Grandma"")-COUNTIF(P$4:P80,""Sell_Grandma"")),1))+(COUNTIF(P$4:P80,""Factory"")-COUNTIF(P$4:P80,""Sell_Factory""))*(260*2^COUNTI"&amp;"F(P$4:P80,""Factory_up""))))"),1233.68)</f>
        <v>1233.68</v>
      </c>
      <c r="S80" s="73">
        <f>IFERROR(__xludf.DUMMYFUNCTION("IF(COUNTA(P80:P147)=0,"""",IF(REGEXMATCH(INDEX(FILTER(P$4:P80,P$4:P80&lt;&gt;""""),ROWS(FILTER(P$4:P80,P$4:P80&lt;&gt;""""))),""^Sell_""),INDEX(FILTER(S$4:S79,P$4:P79&lt;&gt;""""),ROWS(FILTER(P$4:P79,P$4:P79&lt;&gt;""""))),$AD$5*(2^SWITCH(COUNTIF(P$4:P80,""Cursor_up""),0,0,1,1,2"&amp;",2,3)+SWITCH(COUNTIF(P$4:P80,""Cursor_up""),4,0.1,0)*(ROW(P80)-4-COUNTIF(P$4:P80,""Cursor"")-COUNTIF(P$4:P80,""*""&amp;""_up"")-2*COUNTIF(P$4:P80,""Sell_""&amp;""*"")+COUNTIF(P$4:P80,""Sell_Cursor"")-COUNTIF(P$4:P80,""""))+0.01*R80*COUNTIF(P$4:P80,""Plastic_up"")"&amp;")+R80))"),1353.68)</f>
        <v>1353.68</v>
      </c>
      <c r="T80" s="14">
        <f>IFERROR(__xludf.DUMMYFUNCTION("IF(COUNTA(P80:P147)=0,"""",IF(REGEXMATCH(P80,""_up""),VLOOKUP(P80,Upgrades!$F$3:$J$8,1+COUNTIF(P$4:P80,P80),FALSE),IF(P80="""",0,IF(REGEXMATCH(P80,""^Sell_""),-ROUNDDOWN(ROUNDUP(INDEX(Upgrades!$C$3:$C$8,MATCH(SUBSTITUTE(P80,""Sell_"",""""),Upgrades!$B$3:$"&amp;"B$8,0))*1.15^(COUNTIF(P$4:P79,SUBSTITUTE(P80,""Sell_"",""""))-COUNTIF(P$4:P79,""Sell_""&amp;SUBSTITUTE(P80,""Sell_"",""""))))/4),ROUNDUP(INDEX(Upgrades!$C$3:$C$7,MATCH(P80,Upgrades!$B$3:$B$7,0))*1.15^(COUNTIF(P$4:P79,P80)-COUNTIF(P$4:P79,""Sell_""&amp;P80)))))))"),50000.0)</f>
        <v>50000</v>
      </c>
      <c r="U80" s="14">
        <f t="shared" si="10"/>
        <v>50000</v>
      </c>
      <c r="V80" s="75">
        <f t="shared" si="11"/>
        <v>2256376.266</v>
      </c>
      <c r="W80" s="76">
        <f t="shared" si="12"/>
        <v>746.7446474</v>
      </c>
      <c r="X80" s="71" t="str">
        <f t="shared" si="13"/>
        <v>12m 26s</v>
      </c>
      <c r="Y80" s="77">
        <f t="shared" si="14"/>
        <v>315153</v>
      </c>
      <c r="Z80" s="17"/>
      <c r="AA80" s="13"/>
      <c r="AB80" s="13"/>
      <c r="AC80" s="13"/>
      <c r="AD80" s="13"/>
      <c r="AE80" s="13"/>
      <c r="AF80" s="13"/>
      <c r="AG80" s="13"/>
    </row>
    <row r="81">
      <c r="A81" s="12"/>
      <c r="B81" s="65">
        <f t="shared" si="2"/>
        <v>28</v>
      </c>
      <c r="C81" s="66" t="s">
        <v>13</v>
      </c>
      <c r="D81" s="14" t="b">
        <f>IFERROR(__xludf.DUMMYFUNCTION("IF(COUNTA(C81:C147)=0,"""",IFERROR(IF(ISBLANK(C81),FALSE,IF(ISBLANK(G81),1,IF(NOT(COUNTIF($AA$24:$AA$34,SUBSTITUTE(C81,""Sell_"",""""))),1,IF(C81=""Plastic_up"",IF(I81&lt;1000,1),IF(C81=""Super_Up"",IF(OR(COUNTIF(C$4:C81,""Grandma"")-COUNTIF(C$4:C81,""Sell_G"&amp;"randma"")&lt;1,COUNTIF(C$4:C81,VLOOKUP(C81,Upgrades!$F$8:$N$8,7+COUNTIF(C$4:C81,C81)))-COUNTIF(C$4:C81,""Sell_""&amp;VLOOKUP(C81,Upgrades!$F$8:$N$8,7+COUNTIF(C$4:C81,C81)))&lt;15),1),IF(REGEXMATCH(C81,""_up""),IF(COUNTIF(C$4:C81,SUBSTITUTE(C81,""_up"",""""))&lt;IFERRO"&amp;"R(VLOOKUP(C81,Upgrades!$L$3:$P$6,1+COUNTIF(C$4:C81,C81),0),999),1),IF(REGEXMATCH(C81,""Sell_""),IF(COUNTIF(C$4:C81,SUBSTITUTE(C81,""Sell_"",""""))-COUNTIF(C$4:C80,C81)&lt;1,1),FALSE)))))))))"),FALSE)</f>
        <v>0</v>
      </c>
      <c r="E81" s="71">
        <f>IFERROR(__xludf.DUMMYFUNCTION("IF(REGEXMATCH(C81,""^Sell_""),E80, IF(COUNTA(C81:C147)=0,"""",(COUNTIF(C$4:C81,""Cursor"")-COUNTIF(C$4:C81,""Sell_Cursor""))*(0.1*2^SWITCH(COUNTIF(C$4:C81,""Cursor_up""),0,0,1,1,2,2,3)+SWITCH(COUNTIF(C$4:C81,""Cursor_up""),4,0.1,0)*(ROW(C81)-4-COUNTIF(C$4"&amp;":C81,""Cursor"")-COUNTIF(C$4:C81,""*""&amp;""_up"")-2*COUNTIF(C$4:C81,""Sell_""&amp;""*"")+COUNTIF(C$4:C81,""Sell_Cursor"")-COUNTIF(C$4:C81,"""")))+(COUNTIF(C$4:C81,""Grandma"")-COUNTIF(C$4:C81,""Sell_Grandma""))*(1*2^(COUNTIF(C$4:C81,""Grandma_up"")+COUNTIF(C$4:"&amp;"C81,""Super_up"")))+(COUNTIF(C$4:C81,""Farm"")-COUNTIF(C$4:C81,""Sell_Farm""))*(8*2^COUNTIF(C$4:C81,""Farm_up""))*IF(COUNTIF(C$4:C81,""Super_up"")&gt;0,1+0.01*(COUNTIF(C$4:C81,""Grandma"")-COUNTIF(C$4:C81,""Sell_Grandma"")),1)+(COUNTIF(C$4:C81,""Mine"")-COUN"&amp;"TIF(C$4:C81,""Sell_Mine""))*((47*2^COUNTIF(C$4:C81,""Mine_up""))*IF(COUNTIF(C$4:C81,""Super_up"")&gt;1,1+0.005*(COUNTIF(C$4:C81,""Grandma"")-COUNTIF(C$4:C81,""Sell_Grandma"")),1))+(COUNTIF(C$4:C81,""Factory"")-COUNTIF(C$4:C81,""Sell_Factory""))*(260*2^COUNTI"&amp;"F(C$4:C81,""Factory_up""))))"),1255.1200000000001)</f>
        <v>1255.12</v>
      </c>
      <c r="F81" s="73">
        <f>IFERROR(__xludf.DUMMYFUNCTION("IF(COUNTA(C81:C147)=0,"""",IF(REGEXMATCH(INDEX(FILTER(C$4:C81,C$4:C81&lt;&gt;""""),ROWS(FILTER(C$4:C81,C$4:C81&lt;&gt;""""))),""^Sell_""),INDEX(FILTER(F$4:F80,C$4:C80&lt;&gt;""""),ROWS(FILTER(C$4:C80,C$4:C80&lt;&gt;""""))),$AC$5*(2^SWITCH(COUNTIF(C$4:C81,""Cursor_up""),0,0,1,1,2"&amp;",2,3)+SWITCH(COUNTIF(C$4:C81,""Cursor_up""),4,0.1,0)*(ROW(C81)-4-COUNTIF(C$4:C81,""Cursor"")-COUNTIF(C$4:C81,""*""&amp;""_up"")-2*COUNTIF(C$4:C81,""Sell_""&amp;""*"")+COUNTIF(C$4:C81,""Sell_Cursor"")-COUNTIF(C$4:C81,""""))+0.01*E81*COUNTIF(C$4:C81,""Plastic_up"")"&amp;")+E81))"),1375.1200000000001)</f>
        <v>1375.12</v>
      </c>
      <c r="G81" s="14">
        <f>IFERROR(__xludf.DUMMYFUNCTION("IF(COUNTA(C81:C147)=0,"""",IF(REGEXMATCH(C81,""_up""),VLOOKUP(C81,Upgrades!$F$3:$J$8,1+COUNTIF(C$4:C81,C81),FALSE),IF(C81="""",0,IF(REGEXMATCH(C81,""^Sell_""),-ROUNDDOWN(ROUNDUP(INDEX(Upgrades!$C$3:$C$8,MATCH(SUBSTITUTE(C81,""Sell_"",""""),Upgrades!$B$3:$"&amp;"B$8,0))*1.15^(COUNTIF(C$4:C80,SUBSTITUTE(C81,""Sell_"",""""))-COUNTIF(C$4:C80,""Sell_""&amp;SUBSTITUTE(C81,""Sell_"",""""))))/4),ROUNDUP(INDEX(Upgrades!$C$3:$C$7,MATCH(C81,Upgrades!$B$3:$B$7,0))*1.15^(COUNTIF(C$4:C80,C81)-COUNTIF(C$4:C80,""Sell_""&amp;C81)))))))"),4354.0)</f>
        <v>4354</v>
      </c>
      <c r="H81" s="14">
        <f t="shared" si="3"/>
        <v>4354</v>
      </c>
      <c r="I81" s="75">
        <f t="shared" si="4"/>
        <v>2346371.594</v>
      </c>
      <c r="J81" s="76">
        <f t="shared" si="5"/>
        <v>749.9610648</v>
      </c>
      <c r="K81" s="71" t="str">
        <f t="shared" si="6"/>
        <v>12m 29s</v>
      </c>
      <c r="L81" s="77">
        <f t="shared" si="7"/>
        <v>319507</v>
      </c>
      <c r="M81" s="51">
        <f t="shared" si="8"/>
        <v>0</v>
      </c>
      <c r="N81" s="52">
        <f>IFERROR(__xludf.DUMMYFUNCTION("IFS(AND(COUNTA(C81:C147)=0,COUNTA(P81:P147)=0),"""",OR(AND(L81&gt;=1000000,OR(Y81&gt;=1000000,COUNTA(P81:P147)=0)),AND(Y81&gt;=1000000,COUNTA(C81:C147)=0),AND(COUNTA(P81:P147)=0,O$3=TRUE)),
ROUNDDOWN((AB$1-AC$1)*MAX(INDEX(S$4:S147,MATCH(LARGE(FILTER(Y$4:Y147,Y$4:Y"&amp;"147&lt;1000000),1),Y$4:Y147)),INDEX(F$4:F147,MATCH(LARGE(FILTER(L$4:L147,L$4:L147&lt;1000000),1),L$4:L147)))),AND(L81&lt;1000000,COUNTA(C81:C147)&gt;0,O$3=FALSE),
ROUNDDOWN(INDEX(Y$4:Y147,MATCH(LARGE(FILTER(W$4:W147,W$4:W147&lt;=J81),1),W$4:W147))+(J81-LARGE(FILTER(W$4:"&amp;"W147,W$4:W147&lt;=J81),1))*INDEX(S$4:S147,MATCH(LARGE(FILTER(W$4:W147,W$4:W147&lt;=J81),1),W$4:W147))-L81),1,
ROUNDDOWN(Y81-INDEX(L$4:L147,MATCH(LARGE(FILTER(J$4:J147,J$4:J147&lt;=W81),1),J$4:J147))-(W81-LARGE(FILTER(J$4:J147,J$4:J147&lt;=W81),1))*INDEX(F$4:F147,MATC"&amp;"H(LARGE(FILTER(J$4:J147,J$4:J147&lt;=W81),1),J$4:J147))))"),0.0)</f>
        <v>0</v>
      </c>
      <c r="O81" s="65">
        <f t="shared" si="9"/>
        <v>28</v>
      </c>
      <c r="P81" s="66" t="s">
        <v>13</v>
      </c>
      <c r="Q81" s="14" t="b">
        <f>IFERROR(__xludf.DUMMYFUNCTION("IF(COUNTA(P81:P147)=0,"""",IFERROR(IF(ISBLANK(P81),FALSE,IF(ISBLANK(T81),1,IF(NOT(COUNTIF($AA$24:$AA$34,SUBSTITUTE(P81,""Sell_"",""""))),1,IF(P81=""Plastic_up"",IF(V81&lt;1000,1),IF(P81=""Super_Up"",IF(OR(COUNTIF(P$4:P81,""Grandma"")-COUNTIF(P$4:P81,""Sell_G"&amp;"randma"")&lt;1,COUNTIF(P$4:P81,VLOOKUP(P81,Upgrades!$F$8:$N$8,7+COUNTIF(P$4:P81,P81)))-COUNTIF(P$4:P81,""Sell_""&amp;VLOOKUP(P81,Upgrades!$F$8:$N$8,7+COUNTIF(P$4:P81,P81)))&lt;15),1),IF(REGEXMATCH(P81,""_up""),IF(COUNTIF(P$4:P81,SUBSTITUTE(P81,""_up"",""""))&lt;IFERRO"&amp;"R(VLOOKUP(P81,Upgrades!$L$3:$P$6,1+COUNTIF(P$4:P81,P81),0),999),1),IF(REGEXMATCH(P81,""Sell_""),IF(COUNTIF(P$4:P81,SUBSTITUTE(P81,""Sell_"",""""))-COUNTIF(P$4:P80,P81)&lt;1,1),FALSE)))))))))"),FALSE)</f>
        <v>0</v>
      </c>
      <c r="R81" s="71">
        <f>IFERROR(__xludf.DUMMYFUNCTION("IF(REGEXMATCH(P81,""^Sell_""),R80, IF(COUNTA(P81:P147)=0,"""",(COUNTIF(P$4:P81,""Cursor"")-COUNTIF(P$4:P81,""Sell_Cursor""))*(0.1*2^SWITCH(COUNTIF(P$4:P81,""Cursor_up""),0,0,1,1,2,2,3)+SWITCH(COUNTIF(P$4:P81,""Cursor_up""),4,0.1,0)*(ROW(P81)-4-COUNTIF(P$4"&amp;":P81,""Cursor"")-COUNTIF(P$4:P81,""*""&amp;""_up"")-2*COUNTIF(P$4:P81,""Sell_""&amp;""*"")+COUNTIF(P$4:P81,""Sell_Cursor"")-COUNTIF(P$4:P81,"""")))+(COUNTIF(P$4:P81,""Grandma"")-COUNTIF(P$4:P81,""Sell_Grandma""))*(1*2^(COUNTIF(P$4:P81,""Grandma_up"")+COUNTIF(P$4:"&amp;"P81,""Super_up"")))+(COUNTIF(P$4:P81,""Farm"")-COUNTIF(P$4:P81,""Sell_Farm""))*(8*2^COUNTIF(P$4:P81,""Farm_up""))*IF(COUNTIF(P$4:P81,""Super_up"")&gt;0,1+0.01*(COUNTIF(P$4:P81,""Grandma"")-COUNTIF(P$4:P81,""Sell_Grandma"")),1)+(COUNTIF(P$4:P81,""Mine"")-COUN"&amp;"TIF(P$4:P81,""Sell_Mine""))*((47*2^COUNTIF(P$4:P81,""Mine_up""))*IF(COUNTIF(P$4:P81,""Super_up"")&gt;1,1+0.005*(COUNTIF(P$4:P81,""Grandma"")-COUNTIF(P$4:P81,""Sell_Grandma"")),1))+(COUNTIF(P$4:P81,""Factory"")-COUNTIF(P$4:P81,""Sell_Factory""))*(260*2^COUNTI"&amp;"F(P$4:P81,""Factory_up""))))"),1255.1200000000001)</f>
        <v>1255.12</v>
      </c>
      <c r="S81" s="73">
        <f>IFERROR(__xludf.DUMMYFUNCTION("IF(COUNTA(P81:P147)=0,"""",IF(REGEXMATCH(INDEX(FILTER(P$4:P81,P$4:P81&lt;&gt;""""),ROWS(FILTER(P$4:P81,P$4:P81&lt;&gt;""""))),""^Sell_""),INDEX(FILTER(S$4:S80,P$4:P80&lt;&gt;""""),ROWS(FILTER(P$4:P80,P$4:P80&lt;&gt;""""))),$AD$5*(2^SWITCH(COUNTIF(P$4:P81,""Cursor_up""),0,0,1,1,2"&amp;",2,3)+SWITCH(COUNTIF(P$4:P81,""Cursor_up""),4,0.1,0)*(ROW(P81)-4-COUNTIF(P$4:P81,""Cursor"")-COUNTIF(P$4:P81,""*""&amp;""_up"")-2*COUNTIF(P$4:P81,""Sell_""&amp;""*"")+COUNTIF(P$4:P81,""Sell_Cursor"")-COUNTIF(P$4:P81,""""))+0.01*R81*COUNTIF(P$4:P81,""Plastic_up"")"&amp;")+R81))"),1375.1200000000001)</f>
        <v>1375.12</v>
      </c>
      <c r="T81" s="14">
        <f>IFERROR(__xludf.DUMMYFUNCTION("IF(COUNTA(P81:P147)=0,"""",IF(REGEXMATCH(P81,""_up""),VLOOKUP(P81,Upgrades!$F$3:$J$8,1+COUNTIF(P$4:P81,P81),FALSE),IF(P81="""",0,IF(REGEXMATCH(P81,""^Sell_""),-ROUNDDOWN(ROUNDUP(INDEX(Upgrades!$C$3:$C$8,MATCH(SUBSTITUTE(P81,""Sell_"",""""),Upgrades!$B$3:$"&amp;"B$8,0))*1.15^(COUNTIF(P$4:P80,SUBSTITUTE(P81,""Sell_"",""""))-COUNTIF(P$4:P80,""Sell_""&amp;SUBSTITUTE(P81,""Sell_"",""""))))/4),ROUNDUP(INDEX(Upgrades!$C$3:$C$7,MATCH(P81,Upgrades!$B$3:$B$7,0))*1.15^(COUNTIF(P$4:P80,P81)-COUNTIF(P$4:P80,""Sell_""&amp;P81)))))))"),4354.0)</f>
        <v>4354</v>
      </c>
      <c r="U81" s="14">
        <f t="shared" si="10"/>
        <v>4354</v>
      </c>
      <c r="V81" s="75">
        <f t="shared" si="11"/>
        <v>2346371.594</v>
      </c>
      <c r="W81" s="76">
        <f t="shared" si="12"/>
        <v>749.9610648</v>
      </c>
      <c r="X81" s="71" t="str">
        <f t="shared" si="13"/>
        <v>12m 29s</v>
      </c>
      <c r="Y81" s="77">
        <f t="shared" si="14"/>
        <v>319507</v>
      </c>
      <c r="Z81" s="17"/>
      <c r="AA81" s="13"/>
      <c r="AB81" s="13"/>
      <c r="AC81" s="13"/>
      <c r="AD81" s="13"/>
      <c r="AE81" s="13"/>
      <c r="AF81" s="13"/>
      <c r="AG81" s="13"/>
    </row>
    <row r="82">
      <c r="A82" s="12"/>
      <c r="B82" s="65">
        <f t="shared" si="2"/>
        <v>29</v>
      </c>
      <c r="C82" s="66" t="s">
        <v>13</v>
      </c>
      <c r="D82" s="14" t="b">
        <f>IFERROR(__xludf.DUMMYFUNCTION("IF(COUNTA(C82:C147)=0,"""",IFERROR(IF(ISBLANK(C82),FALSE,IF(ISBLANK(G82),1,IF(NOT(COUNTIF($AA$24:$AA$34,SUBSTITUTE(C82,""Sell_"",""""))),1,IF(C82=""Plastic_up"",IF(I82&lt;1000,1),IF(C82=""Super_Up"",IF(OR(COUNTIF(C$4:C82,""Grandma"")-COUNTIF(C$4:C82,""Sell_G"&amp;"randma"")&lt;1,COUNTIF(C$4:C82,VLOOKUP(C82,Upgrades!$F$8:$N$8,7+COUNTIF(C$4:C82,C82)))-COUNTIF(C$4:C82,""Sell_""&amp;VLOOKUP(C82,Upgrades!$F$8:$N$8,7+COUNTIF(C$4:C82,C82)))&lt;15),1),IF(REGEXMATCH(C82,""_up""),IF(COUNTIF(C$4:C82,SUBSTITUTE(C82,""_up"",""""))&lt;IFERRO"&amp;"R(VLOOKUP(C82,Upgrades!$L$3:$P$6,1+COUNTIF(C$4:C82,C82),0),999),1),IF(REGEXMATCH(C82,""Sell_""),IF(COUNTIF(C$4:C82,SUBSTITUTE(C82,""Sell_"",""""))-COUNTIF(C$4:C81,C82)&lt;1,1),FALSE)))))))))"),FALSE)</f>
        <v>0</v>
      </c>
      <c r="E82" s="71">
        <f>IFERROR(__xludf.DUMMYFUNCTION("IF(REGEXMATCH(C82,""^Sell_""),E81, IF(COUNTA(C82:C147)=0,"""",(COUNTIF(C$4:C82,""Cursor"")-COUNTIF(C$4:C82,""Sell_Cursor""))*(0.1*2^SWITCH(COUNTIF(C$4:C82,""Cursor_up""),0,0,1,1,2,2,3)+SWITCH(COUNTIF(C$4:C82,""Cursor_up""),4,0.1,0)*(ROW(C82)-4-COUNTIF(C$4"&amp;":C82,""Cursor"")-COUNTIF(C$4:C82,""*""&amp;""_up"")-2*COUNTIF(C$4:C82,""Sell_""&amp;""*"")+COUNTIF(C$4:C82,""Sell_Cursor"")-COUNTIF(C$4:C82,"""")))+(COUNTIF(C$4:C82,""Grandma"")-COUNTIF(C$4:C82,""Sell_Grandma""))*(1*2^(COUNTIF(C$4:C82,""Grandma_up"")+COUNTIF(C$4:"&amp;"C82,""Super_up"")))+(COUNTIF(C$4:C82,""Farm"")-COUNTIF(C$4:C82,""Sell_Farm""))*(8*2^COUNTIF(C$4:C82,""Farm_up""))*IF(COUNTIF(C$4:C82,""Super_up"")&gt;0,1+0.01*(COUNTIF(C$4:C82,""Grandma"")-COUNTIF(C$4:C82,""Sell_Grandma"")),1)+(COUNTIF(C$4:C82,""Mine"")-COUN"&amp;"TIF(C$4:C82,""Sell_Mine""))*((47*2^COUNTIF(C$4:C82,""Mine_up""))*IF(COUNTIF(C$4:C82,""Super_up"")&gt;1,1+0.005*(COUNTIF(C$4:C82,""Grandma"")-COUNTIF(C$4:C82,""Sell_Grandma"")),1))+(COUNTIF(C$4:C82,""Factory"")-COUNTIF(C$4:C82,""Sell_Factory""))*(260*2^COUNTI"&amp;"F(C$4:C82,""Factory_up""))))"),1276.56)</f>
        <v>1276.56</v>
      </c>
      <c r="F82" s="73">
        <f>IFERROR(__xludf.DUMMYFUNCTION("IF(COUNTA(C82:C147)=0,"""",IF(REGEXMATCH(INDEX(FILTER(C$4:C82,C$4:C82&lt;&gt;""""),ROWS(FILTER(C$4:C82,C$4:C82&lt;&gt;""""))),""^Sell_""),INDEX(FILTER(F$4:F81,C$4:C81&lt;&gt;""""),ROWS(FILTER(C$4:C81,C$4:C81&lt;&gt;""""))),$AC$5*(2^SWITCH(COUNTIF(C$4:C82,""Cursor_up""),0,0,1,1,2"&amp;",2,3)+SWITCH(COUNTIF(C$4:C82,""Cursor_up""),4,0.1,0)*(ROW(C82)-4-COUNTIF(C$4:C82,""Cursor"")-COUNTIF(C$4:C82,""*""&amp;""_up"")-2*COUNTIF(C$4:C82,""Sell_""&amp;""*"")+COUNTIF(C$4:C82,""Sell_Cursor"")-COUNTIF(C$4:C82,""""))+0.01*E82*COUNTIF(C$4:C82,""Plastic_up"")"&amp;")+E82))"),1396.56)</f>
        <v>1396.56</v>
      </c>
      <c r="G82" s="14">
        <f>IFERROR(__xludf.DUMMYFUNCTION("IF(COUNTA(C82:C147)=0,"""",IF(REGEXMATCH(C82,""_up""),VLOOKUP(C82,Upgrades!$F$3:$J$8,1+COUNTIF(C$4:C82,C82),FALSE),IF(C82="""",0,IF(REGEXMATCH(C82,""^Sell_""),-ROUNDDOWN(ROUNDUP(INDEX(Upgrades!$C$3:$C$8,MATCH(SUBSTITUTE(C82,""Sell_"",""""),Upgrades!$B$3:$"&amp;"B$8,0))*1.15^(COUNTIF(C$4:C81,SUBSTITUTE(C82,""Sell_"",""""))-COUNTIF(C$4:C81,""Sell_""&amp;SUBSTITUTE(C82,""Sell_"",""""))))/4),ROUNDUP(INDEX(Upgrades!$C$3:$C$7,MATCH(C82,Upgrades!$B$3:$B$7,0))*1.15^(COUNTIF(C$4:C81,C82)-COUNTIF(C$4:C81,""Sell_""&amp;C82)))))))"),5007.0)</f>
        <v>5007</v>
      </c>
      <c r="H82" s="14">
        <f t="shared" si="3"/>
        <v>5007</v>
      </c>
      <c r="I82" s="75">
        <f t="shared" si="4"/>
        <v>2436803.858</v>
      </c>
      <c r="J82" s="76">
        <f t="shared" si="5"/>
        <v>753.6022016</v>
      </c>
      <c r="K82" s="71" t="str">
        <f t="shared" si="6"/>
        <v>12m 33s</v>
      </c>
      <c r="L82" s="77">
        <f t="shared" si="7"/>
        <v>324514</v>
      </c>
      <c r="M82" s="51">
        <f t="shared" si="8"/>
        <v>0</v>
      </c>
      <c r="N82" s="52">
        <f>IFERROR(__xludf.DUMMYFUNCTION("IFS(AND(COUNTA(C82:C147)=0,COUNTA(P82:P147)=0),"""",OR(AND(L82&gt;=1000000,OR(Y82&gt;=1000000,COUNTA(P82:P147)=0)),AND(Y82&gt;=1000000,COUNTA(C82:C147)=0),AND(COUNTA(P82:P147)=0,O$3=TRUE)),
ROUNDDOWN((AB$1-AC$1)*MAX(INDEX(S$4:S147,MATCH(LARGE(FILTER(Y$4:Y147,Y$4:Y"&amp;"147&lt;1000000),1),Y$4:Y147)),INDEX(F$4:F147,MATCH(LARGE(FILTER(L$4:L147,L$4:L147&lt;1000000),1),L$4:L147)))),AND(L82&lt;1000000,COUNTA(C82:C147)&gt;0,O$3=FALSE),
ROUNDDOWN(INDEX(Y$4:Y147,MATCH(LARGE(FILTER(W$4:W147,W$4:W147&lt;=J82),1),W$4:W147))+(J82-LARGE(FILTER(W$4:"&amp;"W147,W$4:W147&lt;=J82),1))*INDEX(S$4:S147,MATCH(LARGE(FILTER(W$4:W147,W$4:W147&lt;=J82),1),W$4:W147))-L82),1,
ROUNDDOWN(Y82-INDEX(L$4:L147,MATCH(LARGE(FILTER(J$4:J147,J$4:J147&lt;=W82),1),J$4:J147))-(W82-LARGE(FILTER(J$4:J147,J$4:J147&lt;=W82),1))*INDEX(F$4:F147,MATC"&amp;"H(LARGE(FILTER(J$4:J147,J$4:J147&lt;=W82),1),J$4:J147))))"),0.0)</f>
        <v>0</v>
      </c>
      <c r="O82" s="65">
        <f t="shared" si="9"/>
        <v>29</v>
      </c>
      <c r="P82" s="66" t="s">
        <v>13</v>
      </c>
      <c r="Q82" s="14" t="b">
        <f>IFERROR(__xludf.DUMMYFUNCTION("IF(COUNTA(P82:P147)=0,"""",IFERROR(IF(ISBLANK(P82),FALSE,IF(ISBLANK(T82),1,IF(NOT(COUNTIF($AA$24:$AA$34,SUBSTITUTE(P82,""Sell_"",""""))),1,IF(P82=""Plastic_up"",IF(V82&lt;1000,1),IF(P82=""Super_Up"",IF(OR(COUNTIF(P$4:P82,""Grandma"")-COUNTIF(P$4:P82,""Sell_G"&amp;"randma"")&lt;1,COUNTIF(P$4:P82,VLOOKUP(P82,Upgrades!$F$8:$N$8,7+COUNTIF(P$4:P82,P82)))-COUNTIF(P$4:P82,""Sell_""&amp;VLOOKUP(P82,Upgrades!$F$8:$N$8,7+COUNTIF(P$4:P82,P82)))&lt;15),1),IF(REGEXMATCH(P82,""_up""),IF(COUNTIF(P$4:P82,SUBSTITUTE(P82,""_up"",""""))&lt;IFERRO"&amp;"R(VLOOKUP(P82,Upgrades!$L$3:$P$6,1+COUNTIF(P$4:P82,P82),0),999),1),IF(REGEXMATCH(P82,""Sell_""),IF(COUNTIF(P$4:P82,SUBSTITUTE(P82,""Sell_"",""""))-COUNTIF(P$4:P81,P82)&lt;1,1),FALSE)))))))))"),FALSE)</f>
        <v>0</v>
      </c>
      <c r="R82" s="71">
        <f>IFERROR(__xludf.DUMMYFUNCTION("IF(REGEXMATCH(P82,""^Sell_""),R81, IF(COUNTA(P82:P147)=0,"""",(COUNTIF(P$4:P82,""Cursor"")-COUNTIF(P$4:P82,""Sell_Cursor""))*(0.1*2^SWITCH(COUNTIF(P$4:P82,""Cursor_up""),0,0,1,1,2,2,3)+SWITCH(COUNTIF(P$4:P82,""Cursor_up""),4,0.1,0)*(ROW(P82)-4-COUNTIF(P$4"&amp;":P82,""Cursor"")-COUNTIF(P$4:P82,""*""&amp;""_up"")-2*COUNTIF(P$4:P82,""Sell_""&amp;""*"")+COUNTIF(P$4:P82,""Sell_Cursor"")-COUNTIF(P$4:P82,"""")))+(COUNTIF(P$4:P82,""Grandma"")-COUNTIF(P$4:P82,""Sell_Grandma""))*(1*2^(COUNTIF(P$4:P82,""Grandma_up"")+COUNTIF(P$4:"&amp;"P82,""Super_up"")))+(COUNTIF(P$4:P82,""Farm"")-COUNTIF(P$4:P82,""Sell_Farm""))*(8*2^COUNTIF(P$4:P82,""Farm_up""))*IF(COUNTIF(P$4:P82,""Super_up"")&gt;0,1+0.01*(COUNTIF(P$4:P82,""Grandma"")-COUNTIF(P$4:P82,""Sell_Grandma"")),1)+(COUNTIF(P$4:P82,""Mine"")-COUN"&amp;"TIF(P$4:P82,""Sell_Mine""))*((47*2^COUNTIF(P$4:P82,""Mine_up""))*IF(COUNTIF(P$4:P82,""Super_up"")&gt;1,1+0.005*(COUNTIF(P$4:P82,""Grandma"")-COUNTIF(P$4:P82,""Sell_Grandma"")),1))+(COUNTIF(P$4:P82,""Factory"")-COUNTIF(P$4:P82,""Sell_Factory""))*(260*2^COUNTI"&amp;"F(P$4:P82,""Factory_up""))))"),1276.56)</f>
        <v>1276.56</v>
      </c>
      <c r="S82" s="73">
        <f>IFERROR(__xludf.DUMMYFUNCTION("IF(COUNTA(P82:P147)=0,"""",IF(REGEXMATCH(INDEX(FILTER(P$4:P82,P$4:P82&lt;&gt;""""),ROWS(FILTER(P$4:P82,P$4:P82&lt;&gt;""""))),""^Sell_""),INDEX(FILTER(S$4:S81,P$4:P81&lt;&gt;""""),ROWS(FILTER(P$4:P81,P$4:P81&lt;&gt;""""))),$AD$5*(2^SWITCH(COUNTIF(P$4:P82,""Cursor_up""),0,0,1,1,2"&amp;",2,3)+SWITCH(COUNTIF(P$4:P82,""Cursor_up""),4,0.1,0)*(ROW(P82)-4-COUNTIF(P$4:P82,""Cursor"")-COUNTIF(P$4:P82,""*""&amp;""_up"")-2*COUNTIF(P$4:P82,""Sell_""&amp;""*"")+COUNTIF(P$4:P82,""Sell_Cursor"")-COUNTIF(P$4:P82,""""))+0.01*R82*COUNTIF(P$4:P82,""Plastic_up"")"&amp;")+R82))"),1396.56)</f>
        <v>1396.56</v>
      </c>
      <c r="T82" s="14">
        <f>IFERROR(__xludf.DUMMYFUNCTION("IF(COUNTA(P82:P147)=0,"""",IF(REGEXMATCH(P82,""_up""),VLOOKUP(P82,Upgrades!$F$3:$J$8,1+COUNTIF(P$4:P82,P82),FALSE),IF(P82="""",0,IF(REGEXMATCH(P82,""^Sell_""),-ROUNDDOWN(ROUNDUP(INDEX(Upgrades!$C$3:$C$8,MATCH(SUBSTITUTE(P82,""Sell_"",""""),Upgrades!$B$3:$"&amp;"B$8,0))*1.15^(COUNTIF(P$4:P81,SUBSTITUTE(P82,""Sell_"",""""))-COUNTIF(P$4:P81,""Sell_""&amp;SUBSTITUTE(P82,""Sell_"",""""))))/4),ROUNDUP(INDEX(Upgrades!$C$3:$C$7,MATCH(P82,Upgrades!$B$3:$B$7,0))*1.15^(COUNTIF(P$4:P81,P82)-COUNTIF(P$4:P81,""Sell_""&amp;P82)))))))"),5007.0)</f>
        <v>5007</v>
      </c>
      <c r="U82" s="14">
        <f t="shared" si="10"/>
        <v>5007</v>
      </c>
      <c r="V82" s="75">
        <f t="shared" si="11"/>
        <v>2436803.858</v>
      </c>
      <c r="W82" s="76">
        <f t="shared" si="12"/>
        <v>753.6022016</v>
      </c>
      <c r="X82" s="71" t="str">
        <f t="shared" si="13"/>
        <v>12m 33s</v>
      </c>
      <c r="Y82" s="77">
        <f t="shared" si="14"/>
        <v>324514</v>
      </c>
      <c r="Z82" s="17"/>
      <c r="AA82" s="13"/>
      <c r="AB82" s="13"/>
      <c r="AC82" s="13"/>
      <c r="AD82" s="13"/>
      <c r="AE82" s="13"/>
      <c r="AF82" s="13"/>
      <c r="AG82" s="13"/>
    </row>
    <row r="83">
      <c r="A83" s="12"/>
      <c r="B83" s="65">
        <f t="shared" si="2"/>
        <v>30</v>
      </c>
      <c r="C83" s="66" t="s">
        <v>13</v>
      </c>
      <c r="D83" s="14" t="b">
        <f>IFERROR(__xludf.DUMMYFUNCTION("IF(COUNTA(C83:C147)=0,"""",IFERROR(IF(ISBLANK(C83),FALSE,IF(ISBLANK(G83),1,IF(NOT(COUNTIF($AA$24:$AA$34,SUBSTITUTE(C83,""Sell_"",""""))),1,IF(C83=""Plastic_up"",IF(I83&lt;1000,1),IF(C83=""Super_Up"",IF(OR(COUNTIF(C$4:C83,""Grandma"")-COUNTIF(C$4:C83,""Sell_G"&amp;"randma"")&lt;1,COUNTIF(C$4:C83,VLOOKUP(C83,Upgrades!$F$8:$N$8,7+COUNTIF(C$4:C83,C83)))-COUNTIF(C$4:C83,""Sell_""&amp;VLOOKUP(C83,Upgrades!$F$8:$N$8,7+COUNTIF(C$4:C83,C83)))&lt;15),1),IF(REGEXMATCH(C83,""_up""),IF(COUNTIF(C$4:C83,SUBSTITUTE(C83,""_up"",""""))&lt;IFERRO"&amp;"R(VLOOKUP(C83,Upgrades!$L$3:$P$6,1+COUNTIF(C$4:C83,C83),0),999),1),IF(REGEXMATCH(C83,""Sell_""),IF(COUNTIF(C$4:C83,SUBSTITUTE(C83,""Sell_"",""""))-COUNTIF(C$4:C82,C83)&lt;1,1),FALSE)))))))))"),FALSE)</f>
        <v>0</v>
      </c>
      <c r="E83" s="71">
        <f>IFERROR(__xludf.DUMMYFUNCTION("IF(REGEXMATCH(C83,""^Sell_""),E82, IF(COUNTA(C83:C147)=0,"""",(COUNTIF(C$4:C83,""Cursor"")-COUNTIF(C$4:C83,""Sell_Cursor""))*(0.1*2^SWITCH(COUNTIF(C$4:C83,""Cursor_up""),0,0,1,1,2,2,3)+SWITCH(COUNTIF(C$4:C83,""Cursor_up""),4,0.1,0)*(ROW(C83)-4-COUNTIF(C$4"&amp;":C83,""Cursor"")-COUNTIF(C$4:C83,""*""&amp;""_up"")-2*COUNTIF(C$4:C83,""Sell_""&amp;""*"")+COUNTIF(C$4:C83,""Sell_Cursor"")-COUNTIF(C$4:C83,"""")))+(COUNTIF(C$4:C83,""Grandma"")-COUNTIF(C$4:C83,""Sell_Grandma""))*(1*2^(COUNTIF(C$4:C83,""Grandma_up"")+COUNTIF(C$4:"&amp;"C83,""Super_up"")))+(COUNTIF(C$4:C83,""Farm"")-COUNTIF(C$4:C83,""Sell_Farm""))*(8*2^COUNTIF(C$4:C83,""Farm_up""))*IF(COUNTIF(C$4:C83,""Super_up"")&gt;0,1+0.01*(COUNTIF(C$4:C83,""Grandma"")-COUNTIF(C$4:C83,""Sell_Grandma"")),1)+(COUNTIF(C$4:C83,""Mine"")-COUN"&amp;"TIF(C$4:C83,""Sell_Mine""))*((47*2^COUNTIF(C$4:C83,""Mine_up""))*IF(COUNTIF(C$4:C83,""Super_up"")&gt;1,1+0.005*(COUNTIF(C$4:C83,""Grandma"")-COUNTIF(C$4:C83,""Sell_Grandma"")),1))+(COUNTIF(C$4:C83,""Factory"")-COUNTIF(C$4:C83,""Sell_Factory""))*(260*2^COUNTI"&amp;"F(C$4:C83,""Factory_up""))))"),1298.0)</f>
        <v>1298</v>
      </c>
      <c r="F83" s="73">
        <f>IFERROR(__xludf.DUMMYFUNCTION("IF(COUNTA(C83:C147)=0,"""",IF(REGEXMATCH(INDEX(FILTER(C$4:C83,C$4:C83&lt;&gt;""""),ROWS(FILTER(C$4:C83,C$4:C83&lt;&gt;""""))),""^Sell_""),INDEX(FILTER(F$4:F82,C$4:C82&lt;&gt;""""),ROWS(FILTER(C$4:C82,C$4:C82&lt;&gt;""""))),$AC$5*(2^SWITCH(COUNTIF(C$4:C83,""Cursor_up""),0,0,1,1,2"&amp;",2,3)+SWITCH(COUNTIF(C$4:C83,""Cursor_up""),4,0.1,0)*(ROW(C83)-4-COUNTIF(C$4:C83,""Cursor"")-COUNTIF(C$4:C83,""*""&amp;""_up"")-2*COUNTIF(C$4:C83,""Sell_""&amp;""*"")+COUNTIF(C$4:C83,""Sell_Cursor"")-COUNTIF(C$4:C83,""""))+0.01*E83*COUNTIF(C$4:C83,""Plastic_up"")"&amp;")+E83))"),1418.0)</f>
        <v>1418</v>
      </c>
      <c r="G83" s="14">
        <f>IFERROR(__xludf.DUMMYFUNCTION("IF(COUNTA(C83:C147)=0,"""",IF(REGEXMATCH(C83,""_up""),VLOOKUP(C83,Upgrades!$F$3:$J$8,1+COUNTIF(C$4:C83,C83),FALSE),IF(C83="""",0,IF(REGEXMATCH(C83,""^Sell_""),-ROUNDDOWN(ROUNDUP(INDEX(Upgrades!$C$3:$C$8,MATCH(SUBSTITUTE(C83,""Sell_"",""""),Upgrades!$B$3:$"&amp;"B$8,0))*1.15^(COUNTIF(C$4:C82,SUBSTITUTE(C83,""Sell_"",""""))-COUNTIF(C$4:C82,""Sell_""&amp;SUBSTITUTE(C83,""Sell_"",""""))))/4),ROUNDUP(INDEX(Upgrades!$C$3:$C$7,MATCH(C83,Upgrades!$B$3:$B$7,0))*1.15^(COUNTIF(C$4:C82,C83)-COUNTIF(C$4:C82,""Sell_""&amp;C83)))))))"),5758.0)</f>
        <v>5758</v>
      </c>
      <c r="H83" s="14">
        <f t="shared" si="3"/>
        <v>5758</v>
      </c>
      <c r="I83" s="75">
        <f t="shared" si="4"/>
        <v>2527730.881</v>
      </c>
      <c r="J83" s="76">
        <f t="shared" si="5"/>
        <v>757.7251895</v>
      </c>
      <c r="K83" s="71" t="str">
        <f t="shared" si="6"/>
        <v>12m 37s</v>
      </c>
      <c r="L83" s="77">
        <f t="shared" si="7"/>
        <v>330272</v>
      </c>
      <c r="M83" s="51">
        <f t="shared" si="8"/>
        <v>0</v>
      </c>
      <c r="N83" s="52">
        <f>IFERROR(__xludf.DUMMYFUNCTION("IFS(AND(COUNTA(C83:C147)=0,COUNTA(P83:P147)=0),"""",OR(AND(L83&gt;=1000000,OR(Y83&gt;=1000000,COUNTA(P83:P147)=0)),AND(Y83&gt;=1000000,COUNTA(C83:C147)=0),AND(COUNTA(P83:P147)=0,O$3=TRUE)),
ROUNDDOWN((AB$1-AC$1)*MAX(INDEX(S$4:S147,MATCH(LARGE(FILTER(Y$4:Y147,Y$4:Y"&amp;"147&lt;1000000),1),Y$4:Y147)),INDEX(F$4:F147,MATCH(LARGE(FILTER(L$4:L147,L$4:L147&lt;1000000),1),L$4:L147)))),AND(L83&lt;1000000,COUNTA(C83:C147)&gt;0,O$3=FALSE),
ROUNDDOWN(INDEX(Y$4:Y147,MATCH(LARGE(FILTER(W$4:W147,W$4:W147&lt;=J83),1),W$4:W147))+(J83-LARGE(FILTER(W$4:"&amp;"W147,W$4:W147&lt;=J83),1))*INDEX(S$4:S147,MATCH(LARGE(FILTER(W$4:W147,W$4:W147&lt;=J83),1),W$4:W147))-L83),1,
ROUNDDOWN(Y83-INDEX(L$4:L147,MATCH(LARGE(FILTER(J$4:J147,J$4:J147&lt;=W83),1),J$4:J147))-(W83-LARGE(FILTER(J$4:J147,J$4:J147&lt;=W83),1))*INDEX(F$4:F147,MATC"&amp;"H(LARGE(FILTER(J$4:J147,J$4:J147&lt;=W83),1),J$4:J147))))"),0.0)</f>
        <v>0</v>
      </c>
      <c r="O83" s="65">
        <f t="shared" si="9"/>
        <v>30</v>
      </c>
      <c r="P83" s="66" t="s">
        <v>13</v>
      </c>
      <c r="Q83" s="14" t="b">
        <f>IFERROR(__xludf.DUMMYFUNCTION("IF(COUNTA(P83:P147)=0,"""",IFERROR(IF(ISBLANK(P83),FALSE,IF(ISBLANK(T83),1,IF(NOT(COUNTIF($AA$24:$AA$34,SUBSTITUTE(P83,""Sell_"",""""))),1,IF(P83=""Plastic_up"",IF(V83&lt;1000,1),IF(P83=""Super_Up"",IF(OR(COUNTIF(P$4:P83,""Grandma"")-COUNTIF(P$4:P83,""Sell_G"&amp;"randma"")&lt;1,COUNTIF(P$4:P83,VLOOKUP(P83,Upgrades!$F$8:$N$8,7+COUNTIF(P$4:P83,P83)))-COUNTIF(P$4:P83,""Sell_""&amp;VLOOKUP(P83,Upgrades!$F$8:$N$8,7+COUNTIF(P$4:P83,P83)))&lt;15),1),IF(REGEXMATCH(P83,""_up""),IF(COUNTIF(P$4:P83,SUBSTITUTE(P83,""_up"",""""))&lt;IFERRO"&amp;"R(VLOOKUP(P83,Upgrades!$L$3:$P$6,1+COUNTIF(P$4:P83,P83),0),999),1),IF(REGEXMATCH(P83,""Sell_""),IF(COUNTIF(P$4:P83,SUBSTITUTE(P83,""Sell_"",""""))-COUNTIF(P$4:P82,P83)&lt;1,1),FALSE)))))))))"),FALSE)</f>
        <v>0</v>
      </c>
      <c r="R83" s="71">
        <f>IFERROR(__xludf.DUMMYFUNCTION("IF(REGEXMATCH(P83,""^Sell_""),R82, IF(COUNTA(P83:P147)=0,"""",(COUNTIF(P$4:P83,""Cursor"")-COUNTIF(P$4:P83,""Sell_Cursor""))*(0.1*2^SWITCH(COUNTIF(P$4:P83,""Cursor_up""),0,0,1,1,2,2,3)+SWITCH(COUNTIF(P$4:P83,""Cursor_up""),4,0.1,0)*(ROW(P83)-4-COUNTIF(P$4"&amp;":P83,""Cursor"")-COUNTIF(P$4:P83,""*""&amp;""_up"")-2*COUNTIF(P$4:P83,""Sell_""&amp;""*"")+COUNTIF(P$4:P83,""Sell_Cursor"")-COUNTIF(P$4:P83,"""")))+(COUNTIF(P$4:P83,""Grandma"")-COUNTIF(P$4:P83,""Sell_Grandma""))*(1*2^(COUNTIF(P$4:P83,""Grandma_up"")+COUNTIF(P$4:"&amp;"P83,""Super_up"")))+(COUNTIF(P$4:P83,""Farm"")-COUNTIF(P$4:P83,""Sell_Farm""))*(8*2^COUNTIF(P$4:P83,""Farm_up""))*IF(COUNTIF(P$4:P83,""Super_up"")&gt;0,1+0.01*(COUNTIF(P$4:P83,""Grandma"")-COUNTIF(P$4:P83,""Sell_Grandma"")),1)+(COUNTIF(P$4:P83,""Mine"")-COUN"&amp;"TIF(P$4:P83,""Sell_Mine""))*((47*2^COUNTIF(P$4:P83,""Mine_up""))*IF(COUNTIF(P$4:P83,""Super_up"")&gt;1,1+0.005*(COUNTIF(P$4:P83,""Grandma"")-COUNTIF(P$4:P83,""Sell_Grandma"")),1))+(COUNTIF(P$4:P83,""Factory"")-COUNTIF(P$4:P83,""Sell_Factory""))*(260*2^COUNTI"&amp;"F(P$4:P83,""Factory_up""))))"),1298.0)</f>
        <v>1298</v>
      </c>
      <c r="S83" s="73">
        <f>IFERROR(__xludf.DUMMYFUNCTION("IF(COUNTA(P83:P147)=0,"""",IF(REGEXMATCH(INDEX(FILTER(P$4:P83,P$4:P83&lt;&gt;""""),ROWS(FILTER(P$4:P83,P$4:P83&lt;&gt;""""))),""^Sell_""),INDEX(FILTER(S$4:S82,P$4:P82&lt;&gt;""""),ROWS(FILTER(P$4:P82,P$4:P82&lt;&gt;""""))),$AD$5*(2^SWITCH(COUNTIF(P$4:P83,""Cursor_up""),0,0,1,1,2"&amp;",2,3)+SWITCH(COUNTIF(P$4:P83,""Cursor_up""),4,0.1,0)*(ROW(P83)-4-COUNTIF(P$4:P83,""Cursor"")-COUNTIF(P$4:P83,""*""&amp;""_up"")-2*COUNTIF(P$4:P83,""Sell_""&amp;""*"")+COUNTIF(P$4:P83,""Sell_Cursor"")-COUNTIF(P$4:P83,""""))+0.01*R83*COUNTIF(P$4:P83,""Plastic_up"")"&amp;")+R83))"),1418.0)</f>
        <v>1418</v>
      </c>
      <c r="T83" s="14">
        <f>IFERROR(__xludf.DUMMYFUNCTION("IF(COUNTA(P83:P147)=0,"""",IF(REGEXMATCH(P83,""_up""),VLOOKUP(P83,Upgrades!$F$3:$J$8,1+COUNTIF(P$4:P83,P83),FALSE),IF(P83="""",0,IF(REGEXMATCH(P83,""^Sell_""),-ROUNDDOWN(ROUNDUP(INDEX(Upgrades!$C$3:$C$8,MATCH(SUBSTITUTE(P83,""Sell_"",""""),Upgrades!$B$3:$"&amp;"B$8,0))*1.15^(COUNTIF(P$4:P82,SUBSTITUTE(P83,""Sell_"",""""))-COUNTIF(P$4:P82,""Sell_""&amp;SUBSTITUTE(P83,""Sell_"",""""))))/4),ROUNDUP(INDEX(Upgrades!$C$3:$C$7,MATCH(P83,Upgrades!$B$3:$B$7,0))*1.15^(COUNTIF(P$4:P82,P83)-COUNTIF(P$4:P82,""Sell_""&amp;P83)))))))"),5758.0)</f>
        <v>5758</v>
      </c>
      <c r="U83" s="14">
        <f t="shared" si="10"/>
        <v>5758</v>
      </c>
      <c r="V83" s="75">
        <f t="shared" si="11"/>
        <v>2527730.881</v>
      </c>
      <c r="W83" s="76">
        <f t="shared" si="12"/>
        <v>757.7251895</v>
      </c>
      <c r="X83" s="71" t="str">
        <f t="shared" si="13"/>
        <v>12m 37s</v>
      </c>
      <c r="Y83" s="77">
        <f t="shared" si="14"/>
        <v>330272</v>
      </c>
      <c r="Z83" s="17"/>
      <c r="AA83" s="13"/>
      <c r="AB83" s="13"/>
      <c r="AC83" s="13"/>
      <c r="AD83" s="13"/>
      <c r="AE83" s="13"/>
      <c r="AF83" s="13"/>
      <c r="AG83" s="13"/>
    </row>
    <row r="84">
      <c r="A84" s="12"/>
      <c r="B84" s="65">
        <f t="shared" si="2"/>
        <v>18</v>
      </c>
      <c r="C84" s="66" t="s">
        <v>16</v>
      </c>
      <c r="D84" s="14" t="b">
        <f>IFERROR(__xludf.DUMMYFUNCTION("IF(COUNTA(C84:C147)=0,"""",IFERROR(IF(ISBLANK(C84),FALSE,IF(ISBLANK(G84),1,IF(NOT(COUNTIF($AA$24:$AA$34,SUBSTITUTE(C84,""Sell_"",""""))),1,IF(C84=""Plastic_up"",IF(I84&lt;1000,1),IF(C84=""Super_Up"",IF(OR(COUNTIF(C$4:C84,""Grandma"")-COUNTIF(C$4:C84,""Sell_G"&amp;"randma"")&lt;1,COUNTIF(C$4:C84,VLOOKUP(C84,Upgrades!$F$8:$N$8,7+COUNTIF(C$4:C84,C84)))-COUNTIF(C$4:C84,""Sell_""&amp;VLOOKUP(C84,Upgrades!$F$8:$N$8,7+COUNTIF(C$4:C84,C84)))&lt;15),1),IF(REGEXMATCH(C84,""_up""),IF(COUNTIF(C$4:C84,SUBSTITUTE(C84,""_up"",""""))&lt;IFERRO"&amp;"R(VLOOKUP(C84,Upgrades!$L$3:$P$6,1+COUNTIF(C$4:C84,C84),0),999),1),IF(REGEXMATCH(C84,""Sell_""),IF(COUNTIF(C$4:C84,SUBSTITUTE(C84,""Sell_"",""""))-COUNTIF(C$4:C83,C84)&lt;1,1),FALSE)))))))))"),FALSE)</f>
        <v>0</v>
      </c>
      <c r="E84" s="71">
        <f>IFERROR(__xludf.DUMMYFUNCTION("IF(REGEXMATCH(C84,""^Sell_""),E83, IF(COUNTA(C84:C147)=0,"""",(COUNTIF(C$4:C84,""Cursor"")-COUNTIF(C$4:C84,""Sell_Cursor""))*(0.1*2^SWITCH(COUNTIF(C$4:C84,""Cursor_up""),0,0,1,1,2,2,3)+SWITCH(COUNTIF(C$4:C84,""Cursor_up""),4,0.1,0)*(ROW(C84)-4-COUNTIF(C$4"&amp;":C84,""Cursor"")-COUNTIF(C$4:C84,""*""&amp;""_up"")-2*COUNTIF(C$4:C84,""Sell_""&amp;""*"")+COUNTIF(C$4:C84,""Sell_Cursor"")-COUNTIF(C$4:C84,"""")))+(COUNTIF(C$4:C84,""Grandma"")-COUNTIF(C$4:C84,""Sell_Grandma""))*(1*2^(COUNTIF(C$4:C84,""Grandma_up"")+COUNTIF(C$4:"&amp;"C84,""Super_up"")))+(COUNTIF(C$4:C84,""Farm"")-COUNTIF(C$4:C84,""Sell_Farm""))*(8*2^COUNTIF(C$4:C84,""Farm_up""))*IF(COUNTIF(C$4:C84,""Super_up"")&gt;0,1+0.01*(COUNTIF(C$4:C84,""Grandma"")-COUNTIF(C$4:C84,""Sell_Grandma"")),1)+(COUNTIF(C$4:C84,""Mine"")-COUN"&amp;"TIF(C$4:C84,""Sell_Mine""))*((47*2^COUNTIF(C$4:C84,""Mine_up""))*IF(COUNTIF(C$4:C84,""Super_up"")&gt;1,1+0.005*(COUNTIF(C$4:C84,""Grandma"")-COUNTIF(C$4:C84,""Sell_Grandma"")),1))+(COUNTIF(C$4:C84,""Factory"")-COUNTIF(C$4:C84,""Sell_Factory""))*(260*2^COUNTI"&amp;"F(C$4:C84,""Factory_up""))))"),1339.6000000000001)</f>
        <v>1339.6</v>
      </c>
      <c r="F84" s="73">
        <f>IFERROR(__xludf.DUMMYFUNCTION("IF(COUNTA(C84:C147)=0,"""",IF(REGEXMATCH(INDEX(FILTER(C$4:C84,C$4:C84&lt;&gt;""""),ROWS(FILTER(C$4:C84,C$4:C84&lt;&gt;""""))),""^Sell_""),INDEX(FILTER(F$4:F83,C$4:C83&lt;&gt;""""),ROWS(FILTER(C$4:C83,C$4:C83&lt;&gt;""""))),$AC$5*(2^SWITCH(COUNTIF(C$4:C84,""Cursor_up""),0,0,1,1,2"&amp;",2,3)+SWITCH(COUNTIF(C$4:C84,""Cursor_up""),4,0.1,0)*(ROW(C84)-4-COUNTIF(C$4:C84,""Cursor"")-COUNTIF(C$4:C84,""*""&amp;""_up"")-2*COUNTIF(C$4:C84,""Sell_""&amp;""*"")+COUNTIF(C$4:C84,""Sell_Cursor"")-COUNTIF(C$4:C84,""""))+0.01*E84*COUNTIF(C$4:C84,""Plastic_up"")"&amp;")+E84))"),1459.6000000000001)</f>
        <v>1459.6</v>
      </c>
      <c r="G84" s="14">
        <f>IFERROR(__xludf.DUMMYFUNCTION("IF(COUNTA(C84:C147)=0,"""",IF(REGEXMATCH(C84,""_up""),VLOOKUP(C84,Upgrades!$F$3:$J$8,1+COUNTIF(C$4:C84,C84),FALSE),IF(C84="""",0,IF(REGEXMATCH(C84,""^Sell_""),-ROUNDDOWN(ROUNDUP(INDEX(Upgrades!$C$3:$C$8,MATCH(SUBSTITUTE(C84,""Sell_"",""""),Upgrades!$B$3:$"&amp;"B$8,0))*1.15^(COUNTIF(C$4:C83,SUBSTITUTE(C84,""Sell_"",""""))-COUNTIF(C$4:C83,""Sell_""&amp;SUBSTITUTE(C84,""Sell_"",""""))))/4),ROUNDUP(INDEX(Upgrades!$C$3:$C$7,MATCH(C84,Upgrades!$B$3:$B$7,0))*1.15^(COUNTIF(C$4:C83,C84)-COUNTIF(C$4:C83,""Sell_""&amp;C84)))))))"),11838.0)</f>
        <v>11838</v>
      </c>
      <c r="H84" s="14">
        <f t="shared" si="3"/>
        <v>11838</v>
      </c>
      <c r="I84" s="75">
        <f t="shared" si="4"/>
        <v>2619659.709</v>
      </c>
      <c r="J84" s="76">
        <f t="shared" si="5"/>
        <v>766.0735675</v>
      </c>
      <c r="K84" s="71" t="str">
        <f t="shared" si="6"/>
        <v>12m 46s</v>
      </c>
      <c r="L84" s="77">
        <f t="shared" si="7"/>
        <v>342110</v>
      </c>
      <c r="M84" s="51">
        <f t="shared" si="8"/>
        <v>0</v>
      </c>
      <c r="N84" s="52">
        <f>IFERROR(__xludf.DUMMYFUNCTION("IFS(AND(COUNTA(C84:C147)=0,COUNTA(P84:P147)=0),"""",OR(AND(L84&gt;=1000000,OR(Y84&gt;=1000000,COUNTA(P84:P147)=0)),AND(Y84&gt;=1000000,COUNTA(C84:C147)=0),AND(COUNTA(P84:P147)=0,O$3=TRUE)),
ROUNDDOWN((AB$1-AC$1)*MAX(INDEX(S$4:S147,MATCH(LARGE(FILTER(Y$4:Y147,Y$4:Y"&amp;"147&lt;1000000),1),Y$4:Y147)),INDEX(F$4:F147,MATCH(LARGE(FILTER(L$4:L147,L$4:L147&lt;1000000),1),L$4:L147)))),AND(L84&lt;1000000,COUNTA(C84:C147)&gt;0,O$3=FALSE),
ROUNDDOWN(INDEX(Y$4:Y147,MATCH(LARGE(FILTER(W$4:W147,W$4:W147&lt;=J84),1),W$4:W147))+(J84-LARGE(FILTER(W$4:"&amp;"W147,W$4:W147&lt;=J84),1))*INDEX(S$4:S147,MATCH(LARGE(FILTER(W$4:W147,W$4:W147&lt;=J84),1),W$4:W147))-L84),1,
ROUNDDOWN(Y84-INDEX(L$4:L147,MATCH(LARGE(FILTER(J$4:J147,J$4:J147&lt;=W84),1),J$4:J147))-(W84-LARGE(FILTER(J$4:J147,J$4:J147&lt;=W84),1))*INDEX(F$4:F147,MATC"&amp;"H(LARGE(FILTER(J$4:J147,J$4:J147&lt;=W84),1),J$4:J147))))"),0.0)</f>
        <v>0</v>
      </c>
      <c r="O84" s="65">
        <f t="shared" si="9"/>
        <v>18</v>
      </c>
      <c r="P84" s="66" t="s">
        <v>16</v>
      </c>
      <c r="Q84" s="14" t="b">
        <f>IFERROR(__xludf.DUMMYFUNCTION("IF(COUNTA(P84:P147)=0,"""",IFERROR(IF(ISBLANK(P84),FALSE,IF(ISBLANK(T84),1,IF(NOT(COUNTIF($AA$24:$AA$34,SUBSTITUTE(P84,""Sell_"",""""))),1,IF(P84=""Plastic_up"",IF(V84&lt;1000,1),IF(P84=""Super_Up"",IF(OR(COUNTIF(P$4:P84,""Grandma"")-COUNTIF(P$4:P84,""Sell_G"&amp;"randma"")&lt;1,COUNTIF(P$4:P84,VLOOKUP(P84,Upgrades!$F$8:$N$8,7+COUNTIF(P$4:P84,P84)))-COUNTIF(P$4:P84,""Sell_""&amp;VLOOKUP(P84,Upgrades!$F$8:$N$8,7+COUNTIF(P$4:P84,P84)))&lt;15),1),IF(REGEXMATCH(P84,""_up""),IF(COUNTIF(P$4:P84,SUBSTITUTE(P84,""_up"",""""))&lt;IFERRO"&amp;"R(VLOOKUP(P84,Upgrades!$L$3:$P$6,1+COUNTIF(P$4:P84,P84),0),999),1),IF(REGEXMATCH(P84,""Sell_""),IF(COUNTIF(P$4:P84,SUBSTITUTE(P84,""Sell_"",""""))-COUNTIF(P$4:P83,P84)&lt;1,1),FALSE)))))))))"),FALSE)</f>
        <v>0</v>
      </c>
      <c r="R84" s="71">
        <f>IFERROR(__xludf.DUMMYFUNCTION("IF(REGEXMATCH(P84,""^Sell_""),R83, IF(COUNTA(P84:P147)=0,"""",(COUNTIF(P$4:P84,""Cursor"")-COUNTIF(P$4:P84,""Sell_Cursor""))*(0.1*2^SWITCH(COUNTIF(P$4:P84,""Cursor_up""),0,0,1,1,2,2,3)+SWITCH(COUNTIF(P$4:P84,""Cursor_up""),4,0.1,0)*(ROW(P84)-4-COUNTIF(P$4"&amp;":P84,""Cursor"")-COUNTIF(P$4:P84,""*""&amp;""_up"")-2*COUNTIF(P$4:P84,""Sell_""&amp;""*"")+COUNTIF(P$4:P84,""Sell_Cursor"")-COUNTIF(P$4:P84,"""")))+(COUNTIF(P$4:P84,""Grandma"")-COUNTIF(P$4:P84,""Sell_Grandma""))*(1*2^(COUNTIF(P$4:P84,""Grandma_up"")+COUNTIF(P$4:"&amp;"P84,""Super_up"")))+(COUNTIF(P$4:P84,""Farm"")-COUNTIF(P$4:P84,""Sell_Farm""))*(8*2^COUNTIF(P$4:P84,""Farm_up""))*IF(COUNTIF(P$4:P84,""Super_up"")&gt;0,1+0.01*(COUNTIF(P$4:P84,""Grandma"")-COUNTIF(P$4:P84,""Sell_Grandma"")),1)+(COUNTIF(P$4:P84,""Mine"")-COUN"&amp;"TIF(P$4:P84,""Sell_Mine""))*((47*2^COUNTIF(P$4:P84,""Mine_up""))*IF(COUNTIF(P$4:P84,""Super_up"")&gt;1,1+0.005*(COUNTIF(P$4:P84,""Grandma"")-COUNTIF(P$4:P84,""Sell_Grandma"")),1))+(COUNTIF(P$4:P84,""Factory"")-COUNTIF(P$4:P84,""Sell_Factory""))*(260*2^COUNTI"&amp;"F(P$4:P84,""Factory_up""))))"),1339.6000000000001)</f>
        <v>1339.6</v>
      </c>
      <c r="S84" s="73">
        <f>IFERROR(__xludf.DUMMYFUNCTION("IF(COUNTA(P84:P147)=0,"""",IF(REGEXMATCH(INDEX(FILTER(P$4:P84,P$4:P84&lt;&gt;""""),ROWS(FILTER(P$4:P84,P$4:P84&lt;&gt;""""))),""^Sell_""),INDEX(FILTER(S$4:S83,P$4:P83&lt;&gt;""""),ROWS(FILTER(P$4:P83,P$4:P83&lt;&gt;""""))),$AD$5*(2^SWITCH(COUNTIF(P$4:P84,""Cursor_up""),0,0,1,1,2"&amp;",2,3)+SWITCH(COUNTIF(P$4:P84,""Cursor_up""),4,0.1,0)*(ROW(P84)-4-COUNTIF(P$4:P84,""Cursor"")-COUNTIF(P$4:P84,""*""&amp;""_up"")-2*COUNTIF(P$4:P84,""Sell_""&amp;""*"")+COUNTIF(P$4:P84,""Sell_Cursor"")-COUNTIF(P$4:P84,""""))+0.01*R84*COUNTIF(P$4:P84,""Plastic_up"")"&amp;")+R84))"),1459.6000000000001)</f>
        <v>1459.6</v>
      </c>
      <c r="T84" s="14">
        <f>IFERROR(__xludf.DUMMYFUNCTION("IF(COUNTA(P84:P147)=0,"""",IF(REGEXMATCH(P84,""_up""),VLOOKUP(P84,Upgrades!$F$3:$J$8,1+COUNTIF(P$4:P84,P84),FALSE),IF(P84="""",0,IF(REGEXMATCH(P84,""^Sell_""),-ROUNDDOWN(ROUNDUP(INDEX(Upgrades!$C$3:$C$8,MATCH(SUBSTITUTE(P84,""Sell_"",""""),Upgrades!$B$3:$"&amp;"B$8,0))*1.15^(COUNTIF(P$4:P83,SUBSTITUTE(P84,""Sell_"",""""))-COUNTIF(P$4:P83,""Sell_""&amp;SUBSTITUTE(P84,""Sell_"",""""))))/4),ROUNDUP(INDEX(Upgrades!$C$3:$C$7,MATCH(P84,Upgrades!$B$3:$B$7,0))*1.15^(COUNTIF(P$4:P83,P84)-COUNTIF(P$4:P83,""Sell_""&amp;P84)))))))"),11838.0)</f>
        <v>11838</v>
      </c>
      <c r="U84" s="14">
        <f t="shared" si="10"/>
        <v>11838</v>
      </c>
      <c r="V84" s="75">
        <f t="shared" si="11"/>
        <v>2619659.709</v>
      </c>
      <c r="W84" s="76">
        <f t="shared" si="12"/>
        <v>766.0735675</v>
      </c>
      <c r="X84" s="71" t="str">
        <f t="shared" si="13"/>
        <v>12m 46s</v>
      </c>
      <c r="Y84" s="77">
        <f t="shared" si="14"/>
        <v>342110</v>
      </c>
      <c r="Z84" s="17"/>
      <c r="AA84" s="13"/>
      <c r="AB84" s="13"/>
      <c r="AC84" s="13"/>
      <c r="AD84" s="13"/>
      <c r="AE84" s="13"/>
      <c r="AF84" s="13"/>
      <c r="AG84" s="13"/>
    </row>
    <row r="85">
      <c r="A85" s="12"/>
      <c r="B85" s="65">
        <f t="shared" si="2"/>
        <v>1</v>
      </c>
      <c r="C85" s="66" t="s">
        <v>21</v>
      </c>
      <c r="D85" s="14" t="b">
        <f>IFERROR(__xludf.DUMMYFUNCTION("IF(COUNTA(C85:C147)=0,"""",IFERROR(IF(ISBLANK(C85),FALSE,IF(ISBLANK(G85),1,IF(NOT(COUNTIF($AA$24:$AA$34,SUBSTITUTE(C85,""Sell_"",""""))),1,IF(C85=""Plastic_up"",IF(I85&lt;1000,1),IF(C85=""Super_Up"",IF(OR(COUNTIF(C$4:C85,""Grandma"")-COUNTIF(C$4:C85,""Sell_G"&amp;"randma"")&lt;1,COUNTIF(C$4:C85,VLOOKUP(C85,Upgrades!$F$8:$N$8,7+COUNTIF(C$4:C85,C85)))-COUNTIF(C$4:C85,""Sell_""&amp;VLOOKUP(C85,Upgrades!$F$8:$N$8,7+COUNTIF(C$4:C85,C85)))&lt;15),1),IF(REGEXMATCH(C85,""_up""),IF(COUNTIF(C$4:C85,SUBSTITUTE(C85,""_up"",""""))&lt;IFERRO"&amp;"R(VLOOKUP(C85,Upgrades!$L$3:$P$6,1+COUNTIF(C$4:C85,C85),0),999),1),IF(REGEXMATCH(C85,""Sell_""),IF(COUNTIF(C$4:C85,SUBSTITUTE(C85,""Sell_"",""""))-COUNTIF(C$4:C84,C85)&lt;1,1),FALSE)))))))))"),FALSE)</f>
        <v>0</v>
      </c>
      <c r="E85" s="71">
        <f>IFERROR(__xludf.DUMMYFUNCTION("IF(REGEXMATCH(C85,""^Sell_""),E84, IF(COUNTA(C85:C147)=0,"""",(COUNTIF(C$4:C85,""Cursor"")-COUNTIF(C$4:C85,""Sell_Cursor""))*(0.1*2^SWITCH(COUNTIF(C$4:C85,""Cursor_up""),0,0,1,1,2,2,3)+SWITCH(COUNTIF(C$4:C85,""Cursor_up""),4,0.1,0)*(ROW(C85)-4-COUNTIF(C$4"&amp;":C85,""Cursor"")-COUNTIF(C$4:C85,""*""&amp;""_up"")-2*COUNTIF(C$4:C85,""Sell_""&amp;""*"")+COUNTIF(C$4:C85,""Sell_Cursor"")-COUNTIF(C$4:C85,"""")))+(COUNTIF(C$4:C85,""Grandma"")-COUNTIF(C$4:C85,""Sell_Grandma""))*(1*2^(COUNTIF(C$4:C85,""Grandma_up"")+COUNTIF(C$4:"&amp;"C85,""Super_up"")))+(COUNTIF(C$4:C85,""Farm"")-COUNTIF(C$4:C85,""Sell_Farm""))*(8*2^COUNTIF(C$4:C85,""Farm_up""))*IF(COUNTIF(C$4:C85,""Super_up"")&gt;0,1+0.01*(COUNTIF(C$4:C85,""Grandma"")-COUNTIF(C$4:C85,""Sell_Grandma"")),1)+(COUNTIF(C$4:C85,""Mine"")-COUN"&amp;"TIF(C$4:C85,""Sell_Mine""))*((47*2^COUNTIF(C$4:C85,""Mine_up""))*IF(COUNTIF(C$4:C85,""Super_up"")&gt;1,1+0.005*(COUNTIF(C$4:C85,""Grandma"")-COUNTIF(C$4:C85,""Sell_Grandma"")),1))+(COUNTIF(C$4:C85,""Factory"")-COUNTIF(C$4:C85,""Sell_Factory""))*(260*2^COUNTI"&amp;"F(C$4:C85,""Factory_up""))))"),1339.6000000000001)</f>
        <v>1339.6</v>
      </c>
      <c r="F85" s="73">
        <f>IFERROR(__xludf.DUMMYFUNCTION("IF(COUNTA(C85:C147)=0,"""",IF(REGEXMATCH(INDEX(FILTER(C$4:C85,C$4:C85&lt;&gt;""""),ROWS(FILTER(C$4:C85,C$4:C85&lt;&gt;""""))),""^Sell_""),INDEX(FILTER(F$4:F84,C$4:C84&lt;&gt;""""),ROWS(FILTER(C$4:C84,C$4:C84&lt;&gt;""""))),$AC$5*(2^SWITCH(COUNTIF(C$4:C85,""Cursor_up""),0,0,1,1,2"&amp;",2,3)+SWITCH(COUNTIF(C$4:C85,""Cursor_up""),4,0.1,0)*(ROW(C85)-4-COUNTIF(C$4:C85,""Cursor"")-COUNTIF(C$4:C85,""*""&amp;""_up"")-2*COUNTIF(C$4:C85,""Sell_""&amp;""*"")+COUNTIF(C$4:C85,""Sell_Cursor"")-COUNTIF(C$4:C85,""""))+0.01*E85*COUNTIF(C$4:C85,""Plastic_up"")"&amp;")+E85))"),1660.5400000000002)</f>
        <v>1660.54</v>
      </c>
      <c r="G85" s="14">
        <f>IFERROR(__xludf.DUMMYFUNCTION("IF(COUNTA(C85:C147)=0,"""",IF(REGEXMATCH(C85,""_up""),VLOOKUP(C85,Upgrades!$F$3:$J$8,1+COUNTIF(C$4:C85,C85),FALSE),IF(C85="""",0,IF(REGEXMATCH(C85,""^Sell_""),-ROUNDDOWN(ROUNDUP(INDEX(Upgrades!$C$3:$C$8,MATCH(SUBSTITUTE(C85,""Sell_"",""""),Upgrades!$B$3:$"&amp;"B$8,0))*1.15^(COUNTIF(C$4:C84,SUBSTITUTE(C85,""Sell_"",""""))-COUNTIF(C$4:C84,""Sell_""&amp;SUBSTITUTE(C85,""Sell_"",""""))))/4),ROUNDUP(INDEX(Upgrades!$C$3:$C$7,MATCH(C85,Upgrades!$B$3:$B$7,0))*1.15^(COUNTIF(C$4:C84,C85)-COUNTIF(C$4:C84,""Sell_""&amp;C85)))))))"),50000.0)</f>
        <v>50000</v>
      </c>
      <c r="H85" s="14">
        <f t="shared" si="3"/>
        <v>50000</v>
      </c>
      <c r="I85" s="75">
        <f t="shared" si="4"/>
        <v>2715699.253</v>
      </c>
      <c r="J85" s="76">
        <f t="shared" si="5"/>
        <v>800.3295281</v>
      </c>
      <c r="K85" s="71" t="str">
        <f t="shared" si="6"/>
        <v>13m 20s</v>
      </c>
      <c r="L85" s="77">
        <f t="shared" si="7"/>
        <v>392110</v>
      </c>
      <c r="M85" s="51">
        <f t="shared" si="8"/>
        <v>0</v>
      </c>
      <c r="N85" s="52">
        <f>IFERROR(__xludf.DUMMYFUNCTION("IFS(AND(COUNTA(C85:C147)=0,COUNTA(P85:P147)=0),"""",OR(AND(L85&gt;=1000000,OR(Y85&gt;=1000000,COUNTA(P85:P147)=0)),AND(Y85&gt;=1000000,COUNTA(C85:C147)=0),AND(COUNTA(P85:P147)=0,O$3=TRUE)),
ROUNDDOWN((AB$1-AC$1)*MAX(INDEX(S$4:S147,MATCH(LARGE(FILTER(Y$4:Y147,Y$4:Y"&amp;"147&lt;1000000),1),Y$4:Y147)),INDEX(F$4:F147,MATCH(LARGE(FILTER(L$4:L147,L$4:L147&lt;1000000),1),L$4:L147)))),AND(L85&lt;1000000,COUNTA(C85:C147)&gt;0,O$3=FALSE),
ROUNDDOWN(INDEX(Y$4:Y147,MATCH(LARGE(FILTER(W$4:W147,W$4:W147&lt;=J85),1),W$4:W147))+(J85-LARGE(FILTER(W$4:"&amp;"W147,W$4:W147&lt;=J85),1))*INDEX(S$4:S147,MATCH(LARGE(FILTER(W$4:W147,W$4:W147&lt;=J85),1),W$4:W147))-L85),1,
ROUNDDOWN(Y85-INDEX(L$4:L147,MATCH(LARGE(FILTER(J$4:J147,J$4:J147&lt;=W85),1),J$4:J147))-(W85-LARGE(FILTER(J$4:J147,J$4:J147&lt;=W85),1))*INDEX(F$4:F147,MATC"&amp;"H(LARGE(FILTER(J$4:J147,J$4:J147&lt;=W85),1),J$4:J147))))"),0.0)</f>
        <v>0</v>
      </c>
      <c r="O85" s="65">
        <f t="shared" si="9"/>
        <v>1</v>
      </c>
      <c r="P85" s="66" t="s">
        <v>21</v>
      </c>
      <c r="Q85" s="14" t="b">
        <f>IFERROR(__xludf.DUMMYFUNCTION("IF(COUNTA(P85:P147)=0,"""",IFERROR(IF(ISBLANK(P85),FALSE,IF(ISBLANK(T85),1,IF(NOT(COUNTIF($AA$24:$AA$34,SUBSTITUTE(P85,""Sell_"",""""))),1,IF(P85=""Plastic_up"",IF(V85&lt;1000,1),IF(P85=""Super_Up"",IF(OR(COUNTIF(P$4:P85,""Grandma"")-COUNTIF(P$4:P85,""Sell_G"&amp;"randma"")&lt;1,COUNTIF(P$4:P85,VLOOKUP(P85,Upgrades!$F$8:$N$8,7+COUNTIF(P$4:P85,P85)))-COUNTIF(P$4:P85,""Sell_""&amp;VLOOKUP(P85,Upgrades!$F$8:$N$8,7+COUNTIF(P$4:P85,P85)))&lt;15),1),IF(REGEXMATCH(P85,""_up""),IF(COUNTIF(P$4:P85,SUBSTITUTE(P85,""_up"",""""))&lt;IFERRO"&amp;"R(VLOOKUP(P85,Upgrades!$L$3:$P$6,1+COUNTIF(P$4:P85,P85),0),999),1),IF(REGEXMATCH(P85,""Sell_""),IF(COUNTIF(P$4:P85,SUBSTITUTE(P85,""Sell_"",""""))-COUNTIF(P$4:P84,P85)&lt;1,1),FALSE)))))))))"),FALSE)</f>
        <v>0</v>
      </c>
      <c r="R85" s="71">
        <f>IFERROR(__xludf.DUMMYFUNCTION("IF(REGEXMATCH(P85,""^Sell_""),R84, IF(COUNTA(P85:P147)=0,"""",(COUNTIF(P$4:P85,""Cursor"")-COUNTIF(P$4:P85,""Sell_Cursor""))*(0.1*2^SWITCH(COUNTIF(P$4:P85,""Cursor_up""),0,0,1,1,2,2,3)+SWITCH(COUNTIF(P$4:P85,""Cursor_up""),4,0.1,0)*(ROW(P85)-4-COUNTIF(P$4"&amp;":P85,""Cursor"")-COUNTIF(P$4:P85,""*""&amp;""_up"")-2*COUNTIF(P$4:P85,""Sell_""&amp;""*"")+COUNTIF(P$4:P85,""Sell_Cursor"")-COUNTIF(P$4:P85,"""")))+(COUNTIF(P$4:P85,""Grandma"")-COUNTIF(P$4:P85,""Sell_Grandma""))*(1*2^(COUNTIF(P$4:P85,""Grandma_up"")+COUNTIF(P$4:"&amp;"P85,""Super_up"")))+(COUNTIF(P$4:P85,""Farm"")-COUNTIF(P$4:P85,""Sell_Farm""))*(8*2^COUNTIF(P$4:P85,""Farm_up""))*IF(COUNTIF(P$4:P85,""Super_up"")&gt;0,1+0.01*(COUNTIF(P$4:P85,""Grandma"")-COUNTIF(P$4:P85,""Sell_Grandma"")),1)+(COUNTIF(P$4:P85,""Mine"")-COUN"&amp;"TIF(P$4:P85,""Sell_Mine""))*((47*2^COUNTIF(P$4:P85,""Mine_up""))*IF(COUNTIF(P$4:P85,""Super_up"")&gt;1,1+0.005*(COUNTIF(P$4:P85,""Grandma"")-COUNTIF(P$4:P85,""Sell_Grandma"")),1))+(COUNTIF(P$4:P85,""Factory"")-COUNTIF(P$4:P85,""Sell_Factory""))*(260*2^COUNTI"&amp;"F(P$4:P85,""Factory_up""))))"),1339.6000000000001)</f>
        <v>1339.6</v>
      </c>
      <c r="S85" s="73">
        <f>IFERROR(__xludf.DUMMYFUNCTION("IF(COUNTA(P85:P147)=0,"""",IF(REGEXMATCH(INDEX(FILTER(P$4:P85,P$4:P85&lt;&gt;""""),ROWS(FILTER(P$4:P85,P$4:P85&lt;&gt;""""))),""^Sell_""),INDEX(FILTER(S$4:S84,P$4:P84&lt;&gt;""""),ROWS(FILTER(P$4:P84,P$4:P84&lt;&gt;""""))),$AD$5*(2^SWITCH(COUNTIF(P$4:P85,""Cursor_up""),0,0,1,1,2"&amp;",2,3)+SWITCH(COUNTIF(P$4:P85,""Cursor_up""),4,0.1,0)*(ROW(P85)-4-COUNTIF(P$4:P85,""Cursor"")-COUNTIF(P$4:P85,""*""&amp;""_up"")-2*COUNTIF(P$4:P85,""Sell_""&amp;""*"")+COUNTIF(P$4:P85,""Sell_Cursor"")-COUNTIF(P$4:P85,""""))+0.01*R85*COUNTIF(P$4:P85,""Plastic_up"")"&amp;")+R85))"),1660.5400000000002)</f>
        <v>1660.54</v>
      </c>
      <c r="T85" s="14">
        <f>IFERROR(__xludf.DUMMYFUNCTION("IF(COUNTA(P85:P147)=0,"""",IF(REGEXMATCH(P85,""_up""),VLOOKUP(P85,Upgrades!$F$3:$J$8,1+COUNTIF(P$4:P85,P85),FALSE),IF(P85="""",0,IF(REGEXMATCH(P85,""^Sell_""),-ROUNDDOWN(ROUNDUP(INDEX(Upgrades!$C$3:$C$8,MATCH(SUBSTITUTE(P85,""Sell_"",""""),Upgrades!$B$3:$"&amp;"B$8,0))*1.15^(COUNTIF(P$4:P84,SUBSTITUTE(P85,""Sell_"",""""))-COUNTIF(P$4:P84,""Sell_""&amp;SUBSTITUTE(P85,""Sell_"",""""))))/4),ROUNDUP(INDEX(Upgrades!$C$3:$C$7,MATCH(P85,Upgrades!$B$3:$B$7,0))*1.15^(COUNTIF(P$4:P84,P85)-COUNTIF(P$4:P84,""Sell_""&amp;P85)))))))"),50000.0)</f>
        <v>50000</v>
      </c>
      <c r="U85" s="14">
        <f t="shared" si="10"/>
        <v>50000</v>
      </c>
      <c r="V85" s="75">
        <f t="shared" si="11"/>
        <v>2715699.253</v>
      </c>
      <c r="W85" s="76">
        <f t="shared" si="12"/>
        <v>800.3295281</v>
      </c>
      <c r="X85" s="71" t="str">
        <f t="shared" si="13"/>
        <v>13m 20s</v>
      </c>
      <c r="Y85" s="77">
        <f t="shared" si="14"/>
        <v>392110</v>
      </c>
      <c r="Z85" s="17"/>
      <c r="AA85" s="13"/>
      <c r="AB85" s="13"/>
      <c r="AC85" s="13"/>
      <c r="AD85" s="13"/>
      <c r="AE85" s="13"/>
      <c r="AF85" s="13"/>
      <c r="AG85" s="13"/>
    </row>
    <row r="86">
      <c r="A86" s="12"/>
      <c r="B86" s="65">
        <f t="shared" si="2"/>
        <v>31</v>
      </c>
      <c r="C86" s="66" t="s">
        <v>13</v>
      </c>
      <c r="D86" s="14" t="b">
        <f>IFERROR(__xludf.DUMMYFUNCTION("IF(COUNTA(C86:C147)=0,"""",IFERROR(IF(ISBLANK(C86),FALSE,IF(ISBLANK(G86),1,IF(NOT(COUNTIF($AA$24:$AA$34,SUBSTITUTE(C86,""Sell_"",""""))),1,IF(C86=""Plastic_up"",IF(I86&lt;1000,1),IF(C86=""Super_Up"",IF(OR(COUNTIF(C$4:C86,""Grandma"")-COUNTIF(C$4:C86,""Sell_G"&amp;"randma"")&lt;1,COUNTIF(C$4:C86,VLOOKUP(C86,Upgrades!$F$8:$N$8,7+COUNTIF(C$4:C86,C86)))-COUNTIF(C$4:C86,""Sell_""&amp;VLOOKUP(C86,Upgrades!$F$8:$N$8,7+COUNTIF(C$4:C86,C86)))&lt;15),1),IF(REGEXMATCH(C86,""_up""),IF(COUNTIF(C$4:C86,SUBSTITUTE(C86,""_up"",""""))&lt;IFERRO"&amp;"R(VLOOKUP(C86,Upgrades!$L$3:$P$6,1+COUNTIF(C$4:C86,C86),0),999),1),IF(REGEXMATCH(C86,""Sell_""),IF(COUNTIF(C$4:C86,SUBSTITUTE(C86,""Sell_"",""""))-COUNTIF(C$4:C85,C86)&lt;1,1),FALSE)))))))))"),FALSE)</f>
        <v>0</v>
      </c>
      <c r="E86" s="71">
        <f>IFERROR(__xludf.DUMMYFUNCTION("IF(REGEXMATCH(C86,""^Sell_""),E85, IF(COUNTA(C86:C147)=0,"""",(COUNTIF(C$4:C86,""Cursor"")-COUNTIF(C$4:C86,""Sell_Cursor""))*(0.1*2^SWITCH(COUNTIF(C$4:C86,""Cursor_up""),0,0,1,1,2,2,3)+SWITCH(COUNTIF(C$4:C86,""Cursor_up""),4,0.1,0)*(ROW(C86)-4-COUNTIF(C$4"&amp;":C86,""Cursor"")-COUNTIF(C$4:C86,""*""&amp;""_up"")-2*COUNTIF(C$4:C86,""Sell_""&amp;""*"")+COUNTIF(C$4:C86,""Sell_Cursor"")-COUNTIF(C$4:C86,"""")))+(COUNTIF(C$4:C86,""Grandma"")-COUNTIF(C$4:C86,""Sell_Grandma""))*(1*2^(COUNTIF(C$4:C86,""Grandma_up"")+COUNTIF(C$4:"&amp;"C86,""Super_up"")))+(COUNTIF(C$4:C86,""Farm"")-COUNTIF(C$4:C86,""Sell_Farm""))*(8*2^COUNTIF(C$4:C86,""Farm_up""))*IF(COUNTIF(C$4:C86,""Super_up"")&gt;0,1+0.01*(COUNTIF(C$4:C86,""Grandma"")-COUNTIF(C$4:C86,""Sell_Grandma"")),1)+(COUNTIF(C$4:C86,""Mine"")-COUN"&amp;"TIF(C$4:C86,""Sell_Mine""))*((47*2^COUNTIF(C$4:C86,""Mine_up""))*IF(COUNTIF(C$4:C86,""Super_up"")&gt;1,1+0.005*(COUNTIF(C$4:C86,""Grandma"")-COUNTIF(C$4:C86,""Sell_Grandma"")),1))+(COUNTIF(C$4:C86,""Factory"")-COUNTIF(C$4:C86,""Sell_Factory""))*(260*2^COUNTI"&amp;"F(C$4:C86,""Factory_up""))))"),1361.3600000000001)</f>
        <v>1361.36</v>
      </c>
      <c r="F86" s="73">
        <f>IFERROR(__xludf.DUMMYFUNCTION("IF(COUNTA(C86:C147)=0,"""",IF(REGEXMATCH(INDEX(FILTER(C$4:C86,C$4:C86&lt;&gt;""""),ROWS(FILTER(C$4:C86,C$4:C86&lt;&gt;""""))),""^Sell_""),INDEX(FILTER(F$4:F85,C$4:C85&lt;&gt;""""),ROWS(FILTER(C$4:C85,C$4:C85&lt;&gt;""""))),$AC$5*(2^SWITCH(COUNTIF(C$4:C86,""Cursor_up""),0,0,1,1,2"&amp;",2,3)+SWITCH(COUNTIF(C$4:C86,""Cursor_up""),4,0.1,0)*(ROW(C86)-4-COUNTIF(C$4:C86,""Cursor"")-COUNTIF(C$4:C86,""*""&amp;""_up"")-2*COUNTIF(C$4:C86,""Sell_""&amp;""*"")+COUNTIF(C$4:C86,""Sell_Cursor"")-COUNTIF(C$4:C86,""""))+0.01*E86*COUNTIF(C$4:C86,""Plastic_up"")"&amp;")+E86))"),1685.564)</f>
        <v>1685.564</v>
      </c>
      <c r="G86" s="14">
        <f>IFERROR(__xludf.DUMMYFUNCTION("IF(COUNTA(C86:C147)=0,"""",IF(REGEXMATCH(C86,""_up""),VLOOKUP(C86,Upgrades!$F$3:$J$8,1+COUNTIF(C$4:C86,C86),FALSE),IF(C86="""",0,IF(REGEXMATCH(C86,""^Sell_""),-ROUNDDOWN(ROUNDUP(INDEX(Upgrades!$C$3:$C$8,MATCH(SUBSTITUTE(C86,""Sell_"",""""),Upgrades!$B$3:$"&amp;"B$8,0))*1.15^(COUNTIF(C$4:C85,SUBSTITUTE(C86,""Sell_"",""""))-COUNTIF(C$4:C85,""Sell_""&amp;SUBSTITUTE(C86,""Sell_"",""""))))/4),ROUNDUP(INDEX(Upgrades!$C$3:$C$7,MATCH(C86,Upgrades!$B$3:$B$7,0))*1.15^(COUNTIF(C$4:C85,C86)-COUNTIF(C$4:C85,""Sell_""&amp;C86)))))))"),6622.0)</f>
        <v>6622</v>
      </c>
      <c r="H86" s="14">
        <f t="shared" si="3"/>
        <v>6622</v>
      </c>
      <c r="I86" s="75">
        <f t="shared" si="4"/>
        <v>2973836.875</v>
      </c>
      <c r="J86" s="76">
        <f t="shared" si="5"/>
        <v>804.3173874</v>
      </c>
      <c r="K86" s="71" t="str">
        <f t="shared" si="6"/>
        <v>13m 24s</v>
      </c>
      <c r="L86" s="77">
        <f t="shared" si="7"/>
        <v>398732</v>
      </c>
      <c r="M86" s="51">
        <f t="shared" si="8"/>
        <v>0</v>
      </c>
      <c r="N86" s="52">
        <f>IFERROR(__xludf.DUMMYFUNCTION("IFS(AND(COUNTA(C86:C147)=0,COUNTA(P86:P147)=0),"""",OR(AND(L86&gt;=1000000,OR(Y86&gt;=1000000,COUNTA(P86:P147)=0)),AND(Y86&gt;=1000000,COUNTA(C86:C147)=0),AND(COUNTA(P86:P147)=0,O$3=TRUE)),
ROUNDDOWN((AB$1-AC$1)*MAX(INDEX(S$4:S147,MATCH(LARGE(FILTER(Y$4:Y147,Y$4:Y"&amp;"147&lt;1000000),1),Y$4:Y147)),INDEX(F$4:F147,MATCH(LARGE(FILTER(L$4:L147,L$4:L147&lt;1000000),1),L$4:L147)))),AND(L86&lt;1000000,COUNTA(C86:C147)&gt;0,O$3=FALSE),
ROUNDDOWN(INDEX(Y$4:Y147,MATCH(LARGE(FILTER(W$4:W147,W$4:W147&lt;=J86),1),W$4:W147))+(J86-LARGE(FILTER(W$4:"&amp;"W147,W$4:W147&lt;=J86),1))*INDEX(S$4:S147,MATCH(LARGE(FILTER(W$4:W147,W$4:W147&lt;=J86),1),W$4:W147))-L86),1,
ROUNDDOWN(Y86-INDEX(L$4:L147,MATCH(LARGE(FILTER(J$4:J147,J$4:J147&lt;=W86),1),J$4:J147))-(W86-LARGE(FILTER(J$4:J147,J$4:J147&lt;=W86),1))*INDEX(F$4:F147,MATC"&amp;"H(LARGE(FILTER(J$4:J147,J$4:J147&lt;=W86),1),J$4:J147))))"),0.0)</f>
        <v>0</v>
      </c>
      <c r="O86" s="65">
        <f t="shared" si="9"/>
        <v>31</v>
      </c>
      <c r="P86" s="66" t="s">
        <v>13</v>
      </c>
      <c r="Q86" s="14" t="b">
        <f>IFERROR(__xludf.DUMMYFUNCTION("IF(COUNTA(P86:P147)=0,"""",IFERROR(IF(ISBLANK(P86),FALSE,IF(ISBLANK(T86),1,IF(NOT(COUNTIF($AA$24:$AA$34,SUBSTITUTE(P86,""Sell_"",""""))),1,IF(P86=""Plastic_up"",IF(V86&lt;1000,1),IF(P86=""Super_Up"",IF(OR(COUNTIF(P$4:P86,""Grandma"")-COUNTIF(P$4:P86,""Sell_G"&amp;"randma"")&lt;1,COUNTIF(P$4:P86,VLOOKUP(P86,Upgrades!$F$8:$N$8,7+COUNTIF(P$4:P86,P86)))-COUNTIF(P$4:P86,""Sell_""&amp;VLOOKUP(P86,Upgrades!$F$8:$N$8,7+COUNTIF(P$4:P86,P86)))&lt;15),1),IF(REGEXMATCH(P86,""_up""),IF(COUNTIF(P$4:P86,SUBSTITUTE(P86,""_up"",""""))&lt;IFERRO"&amp;"R(VLOOKUP(P86,Upgrades!$L$3:$P$6,1+COUNTIF(P$4:P86,P86),0),999),1),IF(REGEXMATCH(P86,""Sell_""),IF(COUNTIF(P$4:P86,SUBSTITUTE(P86,""Sell_"",""""))-COUNTIF(P$4:P85,P86)&lt;1,1),FALSE)))))))))"),FALSE)</f>
        <v>0</v>
      </c>
      <c r="R86" s="71">
        <f>IFERROR(__xludf.DUMMYFUNCTION("IF(REGEXMATCH(P86,""^Sell_""),R85, IF(COUNTA(P86:P147)=0,"""",(COUNTIF(P$4:P86,""Cursor"")-COUNTIF(P$4:P86,""Sell_Cursor""))*(0.1*2^SWITCH(COUNTIF(P$4:P86,""Cursor_up""),0,0,1,1,2,2,3)+SWITCH(COUNTIF(P$4:P86,""Cursor_up""),4,0.1,0)*(ROW(P86)-4-COUNTIF(P$4"&amp;":P86,""Cursor"")-COUNTIF(P$4:P86,""*""&amp;""_up"")-2*COUNTIF(P$4:P86,""Sell_""&amp;""*"")+COUNTIF(P$4:P86,""Sell_Cursor"")-COUNTIF(P$4:P86,"""")))+(COUNTIF(P$4:P86,""Grandma"")-COUNTIF(P$4:P86,""Sell_Grandma""))*(1*2^(COUNTIF(P$4:P86,""Grandma_up"")+COUNTIF(P$4:"&amp;"P86,""Super_up"")))+(COUNTIF(P$4:P86,""Farm"")-COUNTIF(P$4:P86,""Sell_Farm""))*(8*2^COUNTIF(P$4:P86,""Farm_up""))*IF(COUNTIF(P$4:P86,""Super_up"")&gt;0,1+0.01*(COUNTIF(P$4:P86,""Grandma"")-COUNTIF(P$4:P86,""Sell_Grandma"")),1)+(COUNTIF(P$4:P86,""Mine"")-COUN"&amp;"TIF(P$4:P86,""Sell_Mine""))*((47*2^COUNTIF(P$4:P86,""Mine_up""))*IF(COUNTIF(P$4:P86,""Super_up"")&gt;1,1+0.005*(COUNTIF(P$4:P86,""Grandma"")-COUNTIF(P$4:P86,""Sell_Grandma"")),1))+(COUNTIF(P$4:P86,""Factory"")-COUNTIF(P$4:P86,""Sell_Factory""))*(260*2^COUNTI"&amp;"F(P$4:P86,""Factory_up""))))"),1361.3600000000001)</f>
        <v>1361.36</v>
      </c>
      <c r="S86" s="73">
        <f>IFERROR(__xludf.DUMMYFUNCTION("IF(COUNTA(P86:P147)=0,"""",IF(REGEXMATCH(INDEX(FILTER(P$4:P86,P$4:P86&lt;&gt;""""),ROWS(FILTER(P$4:P86,P$4:P86&lt;&gt;""""))),""^Sell_""),INDEX(FILTER(S$4:S85,P$4:P85&lt;&gt;""""),ROWS(FILTER(P$4:P85,P$4:P85&lt;&gt;""""))),$AD$5*(2^SWITCH(COUNTIF(P$4:P86,""Cursor_up""),0,0,1,1,2"&amp;",2,3)+SWITCH(COUNTIF(P$4:P86,""Cursor_up""),4,0.1,0)*(ROW(P86)-4-COUNTIF(P$4:P86,""Cursor"")-COUNTIF(P$4:P86,""*""&amp;""_up"")-2*COUNTIF(P$4:P86,""Sell_""&amp;""*"")+COUNTIF(P$4:P86,""Sell_Cursor"")-COUNTIF(P$4:P86,""""))+0.01*R86*COUNTIF(P$4:P86,""Plastic_up"")"&amp;")+R86))"),1685.564)</f>
        <v>1685.564</v>
      </c>
      <c r="T86" s="14">
        <f>IFERROR(__xludf.DUMMYFUNCTION("IF(COUNTA(P86:P147)=0,"""",IF(REGEXMATCH(P86,""_up""),VLOOKUP(P86,Upgrades!$F$3:$J$8,1+COUNTIF(P$4:P86,P86),FALSE),IF(P86="""",0,IF(REGEXMATCH(P86,""^Sell_""),-ROUNDDOWN(ROUNDUP(INDEX(Upgrades!$C$3:$C$8,MATCH(SUBSTITUTE(P86,""Sell_"",""""),Upgrades!$B$3:$"&amp;"B$8,0))*1.15^(COUNTIF(P$4:P85,SUBSTITUTE(P86,""Sell_"",""""))-COUNTIF(P$4:P85,""Sell_""&amp;SUBSTITUTE(P86,""Sell_"",""""))))/4),ROUNDUP(INDEX(Upgrades!$C$3:$C$7,MATCH(P86,Upgrades!$B$3:$B$7,0))*1.15^(COUNTIF(P$4:P85,P86)-COUNTIF(P$4:P85,""Sell_""&amp;P86)))))))"),6622.0)</f>
        <v>6622</v>
      </c>
      <c r="U86" s="14">
        <f t="shared" si="10"/>
        <v>6622</v>
      </c>
      <c r="V86" s="75">
        <f t="shared" si="11"/>
        <v>2973836.875</v>
      </c>
      <c r="W86" s="76">
        <f t="shared" si="12"/>
        <v>804.3173874</v>
      </c>
      <c r="X86" s="71" t="str">
        <f t="shared" si="13"/>
        <v>13m 24s</v>
      </c>
      <c r="Y86" s="77">
        <f t="shared" si="14"/>
        <v>398732</v>
      </c>
      <c r="Z86" s="17"/>
      <c r="AA86" s="13"/>
      <c r="AB86" s="13"/>
      <c r="AC86" s="13"/>
      <c r="AD86" s="13"/>
      <c r="AE86" s="13"/>
      <c r="AF86" s="13"/>
      <c r="AG86" s="13"/>
    </row>
    <row r="87">
      <c r="A87" s="12"/>
      <c r="B87" s="65">
        <f t="shared" si="2"/>
        <v>19</v>
      </c>
      <c r="C87" s="66" t="s">
        <v>16</v>
      </c>
      <c r="D87" s="14" t="b">
        <f>IFERROR(__xludf.DUMMYFUNCTION("IF(COUNTA(C87:C147)=0,"""",IFERROR(IF(ISBLANK(C87),FALSE,IF(ISBLANK(G87),1,IF(NOT(COUNTIF($AA$24:$AA$34,SUBSTITUTE(C87,""Sell_"",""""))),1,IF(C87=""Plastic_up"",IF(I87&lt;1000,1),IF(C87=""Super_Up"",IF(OR(COUNTIF(C$4:C87,""Grandma"")-COUNTIF(C$4:C87,""Sell_G"&amp;"randma"")&lt;1,COUNTIF(C$4:C87,VLOOKUP(C87,Upgrades!$F$8:$N$8,7+COUNTIF(C$4:C87,C87)))-COUNTIF(C$4:C87,""Sell_""&amp;VLOOKUP(C87,Upgrades!$F$8:$N$8,7+COUNTIF(C$4:C87,C87)))&lt;15),1),IF(REGEXMATCH(C87,""_up""),IF(COUNTIF(C$4:C87,SUBSTITUTE(C87,""_up"",""""))&lt;IFERRO"&amp;"R(VLOOKUP(C87,Upgrades!$L$3:$P$6,1+COUNTIF(C$4:C87,C87),0),999),1),IF(REGEXMATCH(C87,""Sell_""),IF(COUNTIF(C$4:C87,SUBSTITUTE(C87,""Sell_"",""""))-COUNTIF(C$4:C86,C87)&lt;1,1),FALSE)))))))))"),FALSE)</f>
        <v>0</v>
      </c>
      <c r="E87" s="71">
        <f>IFERROR(__xludf.DUMMYFUNCTION("IF(REGEXMATCH(C87,""^Sell_""),E86, IF(COUNTA(C87:C147)=0,"""",(COUNTIF(C$4:C87,""Cursor"")-COUNTIF(C$4:C87,""Sell_Cursor""))*(0.1*2^SWITCH(COUNTIF(C$4:C87,""Cursor_up""),0,0,1,1,2,2,3)+SWITCH(COUNTIF(C$4:C87,""Cursor_up""),4,0.1,0)*(ROW(C87)-4-COUNTIF(C$4"&amp;":C87,""Cursor"")-COUNTIF(C$4:C87,""*""&amp;""_up"")-2*COUNTIF(C$4:C87,""Sell_""&amp;""*"")+COUNTIF(C$4:C87,""Sell_Cursor"")-COUNTIF(C$4:C87,"""")))+(COUNTIF(C$4:C87,""Grandma"")-COUNTIF(C$4:C87,""Sell_Grandma""))*(1*2^(COUNTIF(C$4:C87,""Grandma_up"")+COUNTIF(C$4:"&amp;"C87,""Super_up"")))+(COUNTIF(C$4:C87,""Farm"")-COUNTIF(C$4:C87,""Sell_Farm""))*(8*2^COUNTIF(C$4:C87,""Farm_up""))*IF(COUNTIF(C$4:C87,""Super_up"")&gt;0,1+0.01*(COUNTIF(C$4:C87,""Grandma"")-COUNTIF(C$4:C87,""Sell_Grandma"")),1)+(COUNTIF(C$4:C87,""Mine"")-COUN"&amp;"TIF(C$4:C87,""Sell_Mine""))*((47*2^COUNTIF(C$4:C87,""Mine_up""))*IF(COUNTIF(C$4:C87,""Super_up"")&gt;1,1+0.005*(COUNTIF(C$4:C87,""Grandma"")-COUNTIF(C$4:C87,""Sell_Grandma"")),1))+(COUNTIF(C$4:C87,""Factory"")-COUNTIF(C$4:C87,""Sell_Factory""))*(260*2^COUNTI"&amp;"F(C$4:C87,""Factory_up""))))"),1403.28)</f>
        <v>1403.28</v>
      </c>
      <c r="F87" s="73">
        <f>IFERROR(__xludf.DUMMYFUNCTION("IF(COUNTA(C87:C147)=0,"""",IF(REGEXMATCH(INDEX(FILTER(C$4:C87,C$4:C87&lt;&gt;""""),ROWS(FILTER(C$4:C87,C$4:C87&lt;&gt;""""))),""^Sell_""),INDEX(FILTER(F$4:F86,C$4:C86&lt;&gt;""""),ROWS(FILTER(C$4:C86,C$4:C86&lt;&gt;""""))),$AC$5*(2^SWITCH(COUNTIF(C$4:C87,""Cursor_up""),0,0,1,1,2"&amp;",2,3)+SWITCH(COUNTIF(C$4:C87,""Cursor_up""),4,0.1,0)*(ROW(C87)-4-COUNTIF(C$4:C87,""Cursor"")-COUNTIF(C$4:C87,""*""&amp;""_up"")-2*COUNTIF(C$4:C87,""Sell_""&amp;""*"")+COUNTIF(C$4:C87,""Sell_Cursor"")-COUNTIF(C$4:C87,""""))+0.01*E87*COUNTIF(C$4:C87,""Plastic_up"")"&amp;")+E87))"),1733.772)</f>
        <v>1733.772</v>
      </c>
      <c r="G87" s="14">
        <f>IFERROR(__xludf.DUMMYFUNCTION("IF(COUNTA(C87:C147)=0,"""",IF(REGEXMATCH(C87,""_up""),VLOOKUP(C87,Upgrades!$F$3:$J$8,1+COUNTIF(C$4:C87,C87),FALSE),IF(C87="""",0,IF(REGEXMATCH(C87,""^Sell_""),-ROUNDDOWN(ROUNDUP(INDEX(Upgrades!$C$3:$C$8,MATCH(SUBSTITUTE(C87,""Sell_"",""""),Upgrades!$B$3:$"&amp;"B$8,0))*1.15^(COUNTIF(C$4:C86,SUBSTITUTE(C87,""Sell_"",""""))-COUNTIF(C$4:C86,""Sell_""&amp;SUBSTITUTE(C87,""Sell_"",""""))))/4),ROUNDUP(INDEX(Upgrades!$C$3:$C$7,MATCH(C87,Upgrades!$B$3:$B$7,0))*1.15^(COUNTIF(C$4:C86,C87)-COUNTIF(C$4:C86,""Sell_""&amp;C87)))))))"),13613.0)</f>
        <v>13613</v>
      </c>
      <c r="H87" s="14">
        <f t="shared" si="3"/>
        <v>13613</v>
      </c>
      <c r="I87" s="75">
        <f t="shared" si="4"/>
        <v>3237218.135</v>
      </c>
      <c r="J87" s="76">
        <f t="shared" si="5"/>
        <v>812.3936159</v>
      </c>
      <c r="K87" s="71" t="str">
        <f t="shared" si="6"/>
        <v>13m 32s</v>
      </c>
      <c r="L87" s="77">
        <f t="shared" si="7"/>
        <v>412345</v>
      </c>
      <c r="M87" s="51">
        <f t="shared" si="8"/>
        <v>0</v>
      </c>
      <c r="N87" s="52">
        <f>IFERROR(__xludf.DUMMYFUNCTION("IFS(AND(COUNTA(C87:C147)=0,COUNTA(P87:P147)=0),"""",OR(AND(L87&gt;=1000000,OR(Y87&gt;=1000000,COUNTA(P87:P147)=0)),AND(Y87&gt;=1000000,COUNTA(C87:C147)=0),AND(COUNTA(P87:P147)=0,O$3=TRUE)),
ROUNDDOWN((AB$1-AC$1)*MAX(INDEX(S$4:S147,MATCH(LARGE(FILTER(Y$4:Y147,Y$4:Y"&amp;"147&lt;1000000),1),Y$4:Y147)),INDEX(F$4:F147,MATCH(LARGE(FILTER(L$4:L147,L$4:L147&lt;1000000),1),L$4:L147)))),AND(L87&lt;1000000,COUNTA(C87:C147)&gt;0,O$3=FALSE),
ROUNDDOWN(INDEX(Y$4:Y147,MATCH(LARGE(FILTER(W$4:W147,W$4:W147&lt;=J87),1),W$4:W147))+(J87-LARGE(FILTER(W$4:"&amp;"W147,W$4:W147&lt;=J87),1))*INDEX(S$4:S147,MATCH(LARGE(FILTER(W$4:W147,W$4:W147&lt;=J87),1),W$4:W147))-L87),1,
ROUNDDOWN(Y87-INDEX(L$4:L147,MATCH(LARGE(FILTER(J$4:J147,J$4:J147&lt;=W87),1),J$4:J147))-(W87-LARGE(FILTER(J$4:J147,J$4:J147&lt;=W87),1))*INDEX(F$4:F147,MATC"&amp;"H(LARGE(FILTER(J$4:J147,J$4:J147&lt;=W87),1),J$4:J147))))"),0.0)</f>
        <v>0</v>
      </c>
      <c r="O87" s="65">
        <f t="shared" si="9"/>
        <v>19</v>
      </c>
      <c r="P87" s="66" t="s">
        <v>16</v>
      </c>
      <c r="Q87" s="14" t="b">
        <f>IFERROR(__xludf.DUMMYFUNCTION("IF(COUNTA(P87:P147)=0,"""",IFERROR(IF(ISBLANK(P87),FALSE,IF(ISBLANK(T87),1,IF(NOT(COUNTIF($AA$24:$AA$34,SUBSTITUTE(P87,""Sell_"",""""))),1,IF(P87=""Plastic_up"",IF(V87&lt;1000,1),IF(P87=""Super_Up"",IF(OR(COUNTIF(P$4:P87,""Grandma"")-COUNTIF(P$4:P87,""Sell_G"&amp;"randma"")&lt;1,COUNTIF(P$4:P87,VLOOKUP(P87,Upgrades!$F$8:$N$8,7+COUNTIF(P$4:P87,P87)))-COUNTIF(P$4:P87,""Sell_""&amp;VLOOKUP(P87,Upgrades!$F$8:$N$8,7+COUNTIF(P$4:P87,P87)))&lt;15),1),IF(REGEXMATCH(P87,""_up""),IF(COUNTIF(P$4:P87,SUBSTITUTE(P87,""_up"",""""))&lt;IFERRO"&amp;"R(VLOOKUP(P87,Upgrades!$L$3:$P$6,1+COUNTIF(P$4:P87,P87),0),999),1),IF(REGEXMATCH(P87,""Sell_""),IF(COUNTIF(P$4:P87,SUBSTITUTE(P87,""Sell_"",""""))-COUNTIF(P$4:P86,P87)&lt;1,1),FALSE)))))))))"),FALSE)</f>
        <v>0</v>
      </c>
      <c r="R87" s="71">
        <f>IFERROR(__xludf.DUMMYFUNCTION("IF(REGEXMATCH(P87,""^Sell_""),R86, IF(COUNTA(P87:P147)=0,"""",(COUNTIF(P$4:P87,""Cursor"")-COUNTIF(P$4:P87,""Sell_Cursor""))*(0.1*2^SWITCH(COUNTIF(P$4:P87,""Cursor_up""),0,0,1,1,2,2,3)+SWITCH(COUNTIF(P$4:P87,""Cursor_up""),4,0.1,0)*(ROW(P87)-4-COUNTIF(P$4"&amp;":P87,""Cursor"")-COUNTIF(P$4:P87,""*""&amp;""_up"")-2*COUNTIF(P$4:P87,""Sell_""&amp;""*"")+COUNTIF(P$4:P87,""Sell_Cursor"")-COUNTIF(P$4:P87,"""")))+(COUNTIF(P$4:P87,""Grandma"")-COUNTIF(P$4:P87,""Sell_Grandma""))*(1*2^(COUNTIF(P$4:P87,""Grandma_up"")+COUNTIF(P$4:"&amp;"P87,""Super_up"")))+(COUNTIF(P$4:P87,""Farm"")-COUNTIF(P$4:P87,""Sell_Farm""))*(8*2^COUNTIF(P$4:P87,""Farm_up""))*IF(COUNTIF(P$4:P87,""Super_up"")&gt;0,1+0.01*(COUNTIF(P$4:P87,""Grandma"")-COUNTIF(P$4:P87,""Sell_Grandma"")),1)+(COUNTIF(P$4:P87,""Mine"")-COUN"&amp;"TIF(P$4:P87,""Sell_Mine""))*((47*2^COUNTIF(P$4:P87,""Mine_up""))*IF(COUNTIF(P$4:P87,""Super_up"")&gt;1,1+0.005*(COUNTIF(P$4:P87,""Grandma"")-COUNTIF(P$4:P87,""Sell_Grandma"")),1))+(COUNTIF(P$4:P87,""Factory"")-COUNTIF(P$4:P87,""Sell_Factory""))*(260*2^COUNTI"&amp;"F(P$4:P87,""Factory_up""))))"),1403.28)</f>
        <v>1403.28</v>
      </c>
      <c r="S87" s="73">
        <f>IFERROR(__xludf.DUMMYFUNCTION("IF(COUNTA(P87:P147)=0,"""",IF(REGEXMATCH(INDEX(FILTER(P$4:P87,P$4:P87&lt;&gt;""""),ROWS(FILTER(P$4:P87,P$4:P87&lt;&gt;""""))),""^Sell_""),INDEX(FILTER(S$4:S86,P$4:P86&lt;&gt;""""),ROWS(FILTER(P$4:P86,P$4:P86&lt;&gt;""""))),$AD$5*(2^SWITCH(COUNTIF(P$4:P87,""Cursor_up""),0,0,1,1,2"&amp;",2,3)+SWITCH(COUNTIF(P$4:P87,""Cursor_up""),4,0.1,0)*(ROW(P87)-4-COUNTIF(P$4:P87,""Cursor"")-COUNTIF(P$4:P87,""*""&amp;""_up"")-2*COUNTIF(P$4:P87,""Sell_""&amp;""*"")+COUNTIF(P$4:P87,""Sell_Cursor"")-COUNTIF(P$4:P87,""""))+0.01*R87*COUNTIF(P$4:P87,""Plastic_up"")"&amp;")+R87))"),1733.772)</f>
        <v>1733.772</v>
      </c>
      <c r="T87" s="14">
        <f>IFERROR(__xludf.DUMMYFUNCTION("IF(COUNTA(P87:P147)=0,"""",IF(REGEXMATCH(P87,""_up""),VLOOKUP(P87,Upgrades!$F$3:$J$8,1+COUNTIF(P$4:P87,P87),FALSE),IF(P87="""",0,IF(REGEXMATCH(P87,""^Sell_""),-ROUNDDOWN(ROUNDUP(INDEX(Upgrades!$C$3:$C$8,MATCH(SUBSTITUTE(P87,""Sell_"",""""),Upgrades!$B$3:$"&amp;"B$8,0))*1.15^(COUNTIF(P$4:P86,SUBSTITUTE(P87,""Sell_"",""""))-COUNTIF(P$4:P86,""Sell_""&amp;SUBSTITUTE(P87,""Sell_"",""""))))/4),ROUNDUP(INDEX(Upgrades!$C$3:$C$7,MATCH(P87,Upgrades!$B$3:$B$7,0))*1.15^(COUNTIF(P$4:P86,P87)-COUNTIF(P$4:P86,""Sell_""&amp;P87)))))))"),13613.0)</f>
        <v>13613</v>
      </c>
      <c r="U87" s="14">
        <f t="shared" si="10"/>
        <v>13613</v>
      </c>
      <c r="V87" s="75">
        <f t="shared" si="11"/>
        <v>3237218.135</v>
      </c>
      <c r="W87" s="76">
        <f t="shared" si="12"/>
        <v>812.3936159</v>
      </c>
      <c r="X87" s="71" t="str">
        <f t="shared" si="13"/>
        <v>13m 32s</v>
      </c>
      <c r="Y87" s="77">
        <f t="shared" si="14"/>
        <v>412345</v>
      </c>
      <c r="Z87" s="17"/>
      <c r="AA87" s="13"/>
      <c r="AB87" s="13"/>
      <c r="AC87" s="13"/>
      <c r="AD87" s="13"/>
      <c r="AE87" s="13"/>
      <c r="AF87" s="13"/>
      <c r="AG87" s="13"/>
    </row>
    <row r="88">
      <c r="A88" s="12"/>
      <c r="B88" s="65">
        <f t="shared" si="2"/>
        <v>3</v>
      </c>
      <c r="C88" s="66" t="s">
        <v>18</v>
      </c>
      <c r="D88" s="14" t="b">
        <f>IFERROR(__xludf.DUMMYFUNCTION("IF(COUNTA(C88:C147)=0,"""",IFERROR(IF(ISBLANK(C88),FALSE,IF(ISBLANK(G88),1,IF(NOT(COUNTIF($AA$24:$AA$34,SUBSTITUTE(C88,""Sell_"",""""))),1,IF(C88=""Plastic_up"",IF(I88&lt;1000,1),IF(C88=""Super_Up"",IF(OR(COUNTIF(C$4:C88,""Grandma"")-COUNTIF(C$4:C88,""Sell_G"&amp;"randma"")&lt;1,COUNTIF(C$4:C88,VLOOKUP(C88,Upgrades!$F$8:$N$8,7+COUNTIF(C$4:C88,C88)))-COUNTIF(C$4:C88,""Sell_""&amp;VLOOKUP(C88,Upgrades!$F$8:$N$8,7+COUNTIF(C$4:C88,C88)))&lt;15),1),IF(REGEXMATCH(C88,""_up""),IF(COUNTIF(C$4:C88,SUBSTITUTE(C88,""_up"",""""))&lt;IFERRO"&amp;"R(VLOOKUP(C88,Upgrades!$L$3:$P$6,1+COUNTIF(C$4:C88,C88),0),999),1),IF(REGEXMATCH(C88,""Sell_""),IF(COUNTIF(C$4:C88,SUBSTITUTE(C88,""Sell_"",""""))-COUNTIF(C$4:C87,C88)&lt;1,1),FALSE)))))))))"),FALSE)</f>
        <v>0</v>
      </c>
      <c r="E88" s="71">
        <f>IFERROR(__xludf.DUMMYFUNCTION("IF(REGEXMATCH(C88,""^Sell_""),E87, IF(COUNTA(C88:C147)=0,"""",(COUNTIF(C$4:C88,""Cursor"")-COUNTIF(C$4:C88,""Sell_Cursor""))*(0.1*2^SWITCH(COUNTIF(C$4:C88,""Cursor_up""),0,0,1,1,2,2,3)+SWITCH(COUNTIF(C$4:C88,""Cursor_up""),4,0.1,0)*(ROW(C88)-4-COUNTIF(C$4"&amp;":C88,""Cursor"")-COUNTIF(C$4:C88,""*""&amp;""_up"")-2*COUNTIF(C$4:C88,""Sell_""&amp;""*"")+COUNTIF(C$4:C88,""Sell_Cursor"")-COUNTIF(C$4:C88,"""")))+(COUNTIF(C$4:C88,""Grandma"")-COUNTIF(C$4:C88,""Sell_Grandma""))*(1*2^(COUNTIF(C$4:C88,""Grandma_up"")+COUNTIF(C$4:"&amp;"C88,""Super_up"")))+(COUNTIF(C$4:C88,""Farm"")-COUNTIF(C$4:C88,""Sell_Farm""))*(8*2^COUNTIF(C$4:C88,""Farm_up""))*IF(COUNTIF(C$4:C88,""Super_up"")&gt;0,1+0.01*(COUNTIF(C$4:C88,""Grandma"")-COUNTIF(C$4:C88,""Sell_Grandma"")),1)+(COUNTIF(C$4:C88,""Mine"")-COUN"&amp;"TIF(C$4:C88,""Sell_Mine""))*((47*2^COUNTIF(C$4:C88,""Mine_up""))*IF(COUNTIF(C$4:C88,""Super_up"")&gt;1,1+0.005*(COUNTIF(C$4:C88,""Grandma"")-COUNTIF(C$4:C88,""Sell_Grandma"")),1))+(COUNTIF(C$4:C88,""Factory"")-COUNTIF(C$4:C88,""Sell_Factory""))*(260*2^COUNTI"&amp;"F(C$4:C88,""Factory_up""))))"),1450.28)</f>
        <v>1450.28</v>
      </c>
      <c r="F88" s="73">
        <f>IFERROR(__xludf.DUMMYFUNCTION("IF(COUNTA(C88:C147)=0,"""",IF(REGEXMATCH(INDEX(FILTER(C$4:C88,C$4:C88&lt;&gt;""""),ROWS(FILTER(C$4:C88,C$4:C88&lt;&gt;""""))),""^Sell_""),INDEX(FILTER(F$4:F87,C$4:C87&lt;&gt;""""),ROWS(FILTER(C$4:C87,C$4:C87&lt;&gt;""""))),$AC$5*(2^SWITCH(COUNTIF(C$4:C88,""Cursor_up""),0,0,1,1,2"&amp;",2,3)+SWITCH(COUNTIF(C$4:C88,""Cursor_up""),4,0.1,0)*(ROW(C88)-4-COUNTIF(C$4:C88,""Cursor"")-COUNTIF(C$4:C88,""*""&amp;""_up"")-2*COUNTIF(C$4:C88,""Sell_""&amp;""*"")+COUNTIF(C$4:C88,""Sell_Cursor"")-COUNTIF(C$4:C88,""""))+0.01*E88*COUNTIF(C$4:C88,""Plastic_up"")"&amp;")+E88))"),1787.8220000000001)</f>
        <v>1787.822</v>
      </c>
      <c r="G88" s="14">
        <f>IFERROR(__xludf.DUMMYFUNCTION("IF(COUNTA(C88:C147)=0,"""",IF(REGEXMATCH(C88,""_up""),VLOOKUP(C88,Upgrades!$F$3:$J$8,1+COUNTIF(C$4:C88,C88),FALSE),IF(C88="""",0,IF(REGEXMATCH(C88,""^Sell_""),-ROUNDDOWN(ROUNDUP(INDEX(Upgrades!$C$3:$C$8,MATCH(SUBSTITUTE(C88,""Sell_"",""""),Upgrades!$B$3:$"&amp;"B$8,0))*1.15^(COUNTIF(C$4:C87,SUBSTITUTE(C88,""Sell_"",""""))-COUNTIF(C$4:C87,""Sell_""&amp;SUBSTITUTE(C88,""Sell_"",""""))))/4),ROUNDUP(INDEX(Upgrades!$C$3:$C$7,MATCH(C88,Upgrades!$B$3:$B$7,0))*1.15^(COUNTIF(C$4:C87,C88)-COUNTIF(C$4:C87,""Sell_""&amp;C88)))))))"),15870.0)</f>
        <v>15870</v>
      </c>
      <c r="H88" s="14">
        <f t="shared" si="3"/>
        <v>15870</v>
      </c>
      <c r="I88" s="75">
        <f t="shared" si="4"/>
        <v>3508732.869</v>
      </c>
      <c r="J88" s="76">
        <f t="shared" si="5"/>
        <v>821.5470686</v>
      </c>
      <c r="K88" s="71" t="str">
        <f t="shared" si="6"/>
        <v>13m 41s</v>
      </c>
      <c r="L88" s="77">
        <f t="shared" si="7"/>
        <v>428215</v>
      </c>
      <c r="M88" s="51">
        <f t="shared" si="8"/>
        <v>0</v>
      </c>
      <c r="N88" s="52">
        <f>IFERROR(__xludf.DUMMYFUNCTION("IFS(AND(COUNTA(C88:C147)=0,COUNTA(P88:P147)=0),"""",OR(AND(L88&gt;=1000000,OR(Y88&gt;=1000000,COUNTA(P88:P147)=0)),AND(Y88&gt;=1000000,COUNTA(C88:C147)=0),AND(COUNTA(P88:P147)=0,O$3=TRUE)),
ROUNDDOWN((AB$1-AC$1)*MAX(INDEX(S$4:S147,MATCH(LARGE(FILTER(Y$4:Y147,Y$4:Y"&amp;"147&lt;1000000),1),Y$4:Y147)),INDEX(F$4:F147,MATCH(LARGE(FILTER(L$4:L147,L$4:L147&lt;1000000),1),L$4:L147)))),AND(L88&lt;1000000,COUNTA(C88:C147)&gt;0,O$3=FALSE),
ROUNDDOWN(INDEX(Y$4:Y147,MATCH(LARGE(FILTER(W$4:W147,W$4:W147&lt;=J88),1),W$4:W147))+(J88-LARGE(FILTER(W$4:"&amp;"W147,W$4:W147&lt;=J88),1))*INDEX(S$4:S147,MATCH(LARGE(FILTER(W$4:W147,W$4:W147&lt;=J88),1),W$4:W147))-L88),1,
ROUNDDOWN(Y88-INDEX(L$4:L147,MATCH(LARGE(FILTER(J$4:J147,J$4:J147&lt;=W88),1),J$4:J147))-(W88-LARGE(FILTER(J$4:J147,J$4:J147&lt;=W88),1))*INDEX(F$4:F147,MATC"&amp;"H(LARGE(FILTER(J$4:J147,J$4:J147&lt;=W88),1),J$4:J147))))"),0.0)</f>
        <v>0</v>
      </c>
      <c r="O88" s="65">
        <f t="shared" si="9"/>
        <v>3</v>
      </c>
      <c r="P88" s="66" t="s">
        <v>18</v>
      </c>
      <c r="Q88" s="14" t="b">
        <f>IFERROR(__xludf.DUMMYFUNCTION("IF(COUNTA(P88:P147)=0,"""",IFERROR(IF(ISBLANK(P88),FALSE,IF(ISBLANK(T88),1,IF(NOT(COUNTIF($AA$24:$AA$34,SUBSTITUTE(P88,""Sell_"",""""))),1,IF(P88=""Plastic_up"",IF(V88&lt;1000,1),IF(P88=""Super_Up"",IF(OR(COUNTIF(P$4:P88,""Grandma"")-COUNTIF(P$4:P88,""Sell_G"&amp;"randma"")&lt;1,COUNTIF(P$4:P88,VLOOKUP(P88,Upgrades!$F$8:$N$8,7+COUNTIF(P$4:P88,P88)))-COUNTIF(P$4:P88,""Sell_""&amp;VLOOKUP(P88,Upgrades!$F$8:$N$8,7+COUNTIF(P$4:P88,P88)))&lt;15),1),IF(REGEXMATCH(P88,""_up""),IF(COUNTIF(P$4:P88,SUBSTITUTE(P88,""_up"",""""))&lt;IFERRO"&amp;"R(VLOOKUP(P88,Upgrades!$L$3:$P$6,1+COUNTIF(P$4:P88,P88),0),999),1),IF(REGEXMATCH(P88,""Sell_""),IF(COUNTIF(P$4:P88,SUBSTITUTE(P88,""Sell_"",""""))-COUNTIF(P$4:P87,P88)&lt;1,1),FALSE)))))))))"),FALSE)</f>
        <v>0</v>
      </c>
      <c r="R88" s="71">
        <f>IFERROR(__xludf.DUMMYFUNCTION("IF(REGEXMATCH(P88,""^Sell_""),R87, IF(COUNTA(P88:P147)=0,"""",(COUNTIF(P$4:P88,""Cursor"")-COUNTIF(P$4:P88,""Sell_Cursor""))*(0.1*2^SWITCH(COUNTIF(P$4:P88,""Cursor_up""),0,0,1,1,2,2,3)+SWITCH(COUNTIF(P$4:P88,""Cursor_up""),4,0.1,0)*(ROW(P88)-4-COUNTIF(P$4"&amp;":P88,""Cursor"")-COUNTIF(P$4:P88,""*""&amp;""_up"")-2*COUNTIF(P$4:P88,""Sell_""&amp;""*"")+COUNTIF(P$4:P88,""Sell_Cursor"")-COUNTIF(P$4:P88,"""")))+(COUNTIF(P$4:P88,""Grandma"")-COUNTIF(P$4:P88,""Sell_Grandma""))*(1*2^(COUNTIF(P$4:P88,""Grandma_up"")+COUNTIF(P$4:"&amp;"P88,""Super_up"")))+(COUNTIF(P$4:P88,""Farm"")-COUNTIF(P$4:P88,""Sell_Farm""))*(8*2^COUNTIF(P$4:P88,""Farm_up""))*IF(COUNTIF(P$4:P88,""Super_up"")&gt;0,1+0.01*(COUNTIF(P$4:P88,""Grandma"")-COUNTIF(P$4:P88,""Sell_Grandma"")),1)+(COUNTIF(P$4:P88,""Mine"")-COUN"&amp;"TIF(P$4:P88,""Sell_Mine""))*((47*2^COUNTIF(P$4:P88,""Mine_up""))*IF(COUNTIF(P$4:P88,""Super_up"")&gt;1,1+0.005*(COUNTIF(P$4:P88,""Grandma"")-COUNTIF(P$4:P88,""Sell_Grandma"")),1))+(COUNTIF(P$4:P88,""Factory"")-COUNTIF(P$4:P88,""Sell_Factory""))*(260*2^COUNTI"&amp;"F(P$4:P88,""Factory_up""))))"),1450.28)</f>
        <v>1450.28</v>
      </c>
      <c r="S88" s="73">
        <f>IFERROR(__xludf.DUMMYFUNCTION("IF(COUNTA(P88:P147)=0,"""",IF(REGEXMATCH(INDEX(FILTER(P$4:P88,P$4:P88&lt;&gt;""""),ROWS(FILTER(P$4:P88,P$4:P88&lt;&gt;""""))),""^Sell_""),INDEX(FILTER(S$4:S87,P$4:P87&lt;&gt;""""),ROWS(FILTER(P$4:P87,P$4:P87&lt;&gt;""""))),$AD$5*(2^SWITCH(COUNTIF(P$4:P88,""Cursor_up""),0,0,1,1,2"&amp;",2,3)+SWITCH(COUNTIF(P$4:P88,""Cursor_up""),4,0.1,0)*(ROW(P88)-4-COUNTIF(P$4:P88,""Cursor"")-COUNTIF(P$4:P88,""*""&amp;""_up"")-2*COUNTIF(P$4:P88,""Sell_""&amp;""*"")+COUNTIF(P$4:P88,""Sell_Cursor"")-COUNTIF(P$4:P88,""""))+0.01*R88*COUNTIF(P$4:P88,""Plastic_up"")"&amp;")+R88))"),1787.8220000000001)</f>
        <v>1787.822</v>
      </c>
      <c r="T88" s="14">
        <f>IFERROR(__xludf.DUMMYFUNCTION("IF(COUNTA(P88:P147)=0,"""",IF(REGEXMATCH(P88,""_up""),VLOOKUP(P88,Upgrades!$F$3:$J$8,1+COUNTIF(P$4:P88,P88),FALSE),IF(P88="""",0,IF(REGEXMATCH(P88,""^Sell_""),-ROUNDDOWN(ROUNDUP(INDEX(Upgrades!$C$3:$C$8,MATCH(SUBSTITUTE(P88,""Sell_"",""""),Upgrades!$B$3:$"&amp;"B$8,0))*1.15^(COUNTIF(P$4:P87,SUBSTITUTE(P88,""Sell_"",""""))-COUNTIF(P$4:P87,""Sell_""&amp;SUBSTITUTE(P88,""Sell_"",""""))))/4),ROUNDUP(INDEX(Upgrades!$C$3:$C$7,MATCH(P88,Upgrades!$B$3:$B$7,0))*1.15^(COUNTIF(P$4:P87,P88)-COUNTIF(P$4:P87,""Sell_""&amp;P88)))))))"),15870.0)</f>
        <v>15870</v>
      </c>
      <c r="U88" s="14">
        <f t="shared" si="10"/>
        <v>15870</v>
      </c>
      <c r="V88" s="75">
        <f t="shared" si="11"/>
        <v>3508732.869</v>
      </c>
      <c r="W88" s="76">
        <f t="shared" si="12"/>
        <v>821.5470686</v>
      </c>
      <c r="X88" s="71" t="str">
        <f t="shared" si="13"/>
        <v>13m 41s</v>
      </c>
      <c r="Y88" s="77">
        <f t="shared" si="14"/>
        <v>428215</v>
      </c>
      <c r="Z88" s="17"/>
      <c r="AA88" s="13"/>
      <c r="AB88" s="13"/>
      <c r="AC88" s="13"/>
      <c r="AD88" s="13"/>
      <c r="AE88" s="13"/>
      <c r="AF88" s="13"/>
      <c r="AG88" s="13"/>
    </row>
    <row r="89">
      <c r="A89" s="12"/>
      <c r="B89" s="65">
        <f t="shared" si="2"/>
        <v>32</v>
      </c>
      <c r="C89" s="66" t="s">
        <v>13</v>
      </c>
      <c r="D89" s="14" t="b">
        <f>IFERROR(__xludf.DUMMYFUNCTION("IF(COUNTA(C89:C147)=0,"""",IFERROR(IF(ISBLANK(C89),FALSE,IF(ISBLANK(G89),1,IF(NOT(COUNTIF($AA$24:$AA$34,SUBSTITUTE(C89,""Sell_"",""""))),1,IF(C89=""Plastic_up"",IF(I89&lt;1000,1),IF(C89=""Super_Up"",IF(OR(COUNTIF(C$4:C89,""Grandma"")-COUNTIF(C$4:C89,""Sell_G"&amp;"randma"")&lt;1,COUNTIF(C$4:C89,VLOOKUP(C89,Upgrades!$F$8:$N$8,7+COUNTIF(C$4:C89,C89)))-COUNTIF(C$4:C89,""Sell_""&amp;VLOOKUP(C89,Upgrades!$F$8:$N$8,7+COUNTIF(C$4:C89,C89)))&lt;15),1),IF(REGEXMATCH(C89,""_up""),IF(COUNTIF(C$4:C89,SUBSTITUTE(C89,""_up"",""""))&lt;IFERRO"&amp;"R(VLOOKUP(C89,Upgrades!$L$3:$P$6,1+COUNTIF(C$4:C89,C89),0),999),1),IF(REGEXMATCH(C89,""Sell_""),IF(COUNTIF(C$4:C89,SUBSTITUTE(C89,""Sell_"",""""))-COUNTIF(C$4:C88,C89)&lt;1,1),FALSE)))))))))"),FALSE)</f>
        <v>0</v>
      </c>
      <c r="E89" s="71">
        <f>IFERROR(__xludf.DUMMYFUNCTION("IF(REGEXMATCH(C89,""^Sell_""),E88, IF(COUNTA(C89:C147)=0,"""",(COUNTIF(C$4:C89,""Cursor"")-COUNTIF(C$4:C89,""Sell_Cursor""))*(0.1*2^SWITCH(COUNTIF(C$4:C89,""Cursor_up""),0,0,1,1,2,2,3)+SWITCH(COUNTIF(C$4:C89,""Cursor_up""),4,0.1,0)*(ROW(C89)-4-COUNTIF(C$4"&amp;":C89,""Cursor"")-COUNTIF(C$4:C89,""*""&amp;""_up"")-2*COUNTIF(C$4:C89,""Sell_""&amp;""*"")+COUNTIF(C$4:C89,""Sell_Cursor"")-COUNTIF(C$4:C89,"""")))+(COUNTIF(C$4:C89,""Grandma"")-COUNTIF(C$4:C89,""Sell_Grandma""))*(1*2^(COUNTIF(C$4:C89,""Grandma_up"")+COUNTIF(C$4:"&amp;"C89,""Super_up"")))+(COUNTIF(C$4:C89,""Farm"")-COUNTIF(C$4:C89,""Sell_Farm""))*(8*2^COUNTIF(C$4:C89,""Farm_up""))*IF(COUNTIF(C$4:C89,""Super_up"")&gt;0,1+0.01*(COUNTIF(C$4:C89,""Grandma"")-COUNTIF(C$4:C89,""Sell_Grandma"")),1)+(COUNTIF(C$4:C89,""Mine"")-COUN"&amp;"TIF(C$4:C89,""Sell_Mine""))*((47*2^COUNTIF(C$4:C89,""Mine_up""))*IF(COUNTIF(C$4:C89,""Super_up"")&gt;1,1+0.005*(COUNTIF(C$4:C89,""Grandma"")-COUNTIF(C$4:C89,""Sell_Grandma"")),1))+(COUNTIF(C$4:C89,""Factory"")-COUNTIF(C$4:C89,""Sell_Factory""))*(260*2^COUNTI"&amp;"F(C$4:C89,""Factory_up""))))"),1472.3600000000001)</f>
        <v>1472.36</v>
      </c>
      <c r="F89" s="73">
        <f>IFERROR(__xludf.DUMMYFUNCTION("IF(COUNTA(C89:C147)=0,"""",IF(REGEXMATCH(INDEX(FILTER(C$4:C89,C$4:C89&lt;&gt;""""),ROWS(FILTER(C$4:C89,C$4:C89&lt;&gt;""""))),""^Sell_""),INDEX(FILTER(F$4:F88,C$4:C88&lt;&gt;""""),ROWS(FILTER(C$4:C88,C$4:C88&lt;&gt;""""))),$AC$5*(2^SWITCH(COUNTIF(C$4:C89,""Cursor_up""),0,0,1,1,2"&amp;",2,3)+SWITCH(COUNTIF(C$4:C89,""Cursor_up""),4,0.1,0)*(ROW(C89)-4-COUNTIF(C$4:C89,""Cursor"")-COUNTIF(C$4:C89,""*""&amp;""_up"")-2*COUNTIF(C$4:C89,""Sell_""&amp;""*"")+COUNTIF(C$4:C89,""Sell_Cursor"")-COUNTIF(C$4:C89,""""))+0.01*E89*COUNTIF(C$4:C89,""Plastic_up"")"&amp;")+E89))"),1813.2140000000002)</f>
        <v>1813.214</v>
      </c>
      <c r="G89" s="14">
        <f>IFERROR(__xludf.DUMMYFUNCTION("IF(COUNTA(C89:C147)=0,"""",IF(REGEXMATCH(C89,""_up""),VLOOKUP(C89,Upgrades!$F$3:$J$8,1+COUNTIF(C$4:C89,C89),FALSE),IF(C89="""",0,IF(REGEXMATCH(C89,""^Sell_""),-ROUNDDOWN(ROUNDUP(INDEX(Upgrades!$C$3:$C$8,MATCH(SUBSTITUTE(C89,""Sell_"",""""),Upgrades!$B$3:$"&amp;"B$8,0))*1.15^(COUNTIF(C$4:C88,SUBSTITUTE(C89,""Sell_"",""""))-COUNTIF(C$4:C88,""Sell_""&amp;SUBSTITUTE(C89,""Sell_"",""""))))/4),ROUNDUP(INDEX(Upgrades!$C$3:$C$7,MATCH(C89,Upgrades!$B$3:$B$7,0))*1.15^(COUNTIF(C$4:C88,C89)-COUNTIF(C$4:C88,""Sell_""&amp;C89)))))))"),7615.0)</f>
        <v>7615</v>
      </c>
      <c r="H89" s="14">
        <f t="shared" si="3"/>
        <v>7615</v>
      </c>
      <c r="I89" s="75">
        <f t="shared" si="4"/>
        <v>3787477.226</v>
      </c>
      <c r="J89" s="76">
        <f t="shared" si="5"/>
        <v>825.8064412</v>
      </c>
      <c r="K89" s="71" t="str">
        <f t="shared" si="6"/>
        <v>13m 45s</v>
      </c>
      <c r="L89" s="77">
        <f t="shared" si="7"/>
        <v>435830</v>
      </c>
      <c r="M89" s="51">
        <f t="shared" si="8"/>
        <v>0</v>
      </c>
      <c r="N89" s="52">
        <f>IFERROR(__xludf.DUMMYFUNCTION("IFS(AND(COUNTA(C89:C147)=0,COUNTA(P89:P147)=0),"""",OR(AND(L89&gt;=1000000,OR(Y89&gt;=1000000,COUNTA(P89:P147)=0)),AND(Y89&gt;=1000000,COUNTA(C89:C147)=0),AND(COUNTA(P89:P147)=0,O$3=TRUE)),
ROUNDDOWN((AB$1-AC$1)*MAX(INDEX(S$4:S147,MATCH(LARGE(FILTER(Y$4:Y147,Y$4:Y"&amp;"147&lt;1000000),1),Y$4:Y147)),INDEX(F$4:F147,MATCH(LARGE(FILTER(L$4:L147,L$4:L147&lt;1000000),1),L$4:L147)))),AND(L89&lt;1000000,COUNTA(C89:C147)&gt;0,O$3=FALSE),
ROUNDDOWN(INDEX(Y$4:Y147,MATCH(LARGE(FILTER(W$4:W147,W$4:W147&lt;=J89),1),W$4:W147))+(J89-LARGE(FILTER(W$4:"&amp;"W147,W$4:W147&lt;=J89),1))*INDEX(S$4:S147,MATCH(LARGE(FILTER(W$4:W147,W$4:W147&lt;=J89),1),W$4:W147))-L89),1,
ROUNDDOWN(Y89-INDEX(L$4:L147,MATCH(LARGE(FILTER(J$4:J147,J$4:J147&lt;=W89),1),J$4:J147))-(W89-LARGE(FILTER(J$4:J147,J$4:J147&lt;=W89),1))*INDEX(F$4:F147,MATC"&amp;"H(LARGE(FILTER(J$4:J147,J$4:J147&lt;=W89),1),J$4:J147))))"),0.0)</f>
        <v>0</v>
      </c>
      <c r="O89" s="65">
        <f t="shared" si="9"/>
        <v>32</v>
      </c>
      <c r="P89" s="66" t="s">
        <v>13</v>
      </c>
      <c r="Q89" s="14" t="b">
        <f>IFERROR(__xludf.DUMMYFUNCTION("IF(COUNTA(P89:P147)=0,"""",IFERROR(IF(ISBLANK(P89),FALSE,IF(ISBLANK(T89),1,IF(NOT(COUNTIF($AA$24:$AA$34,SUBSTITUTE(P89,""Sell_"",""""))),1,IF(P89=""Plastic_up"",IF(V89&lt;1000,1),IF(P89=""Super_Up"",IF(OR(COUNTIF(P$4:P89,""Grandma"")-COUNTIF(P$4:P89,""Sell_G"&amp;"randma"")&lt;1,COUNTIF(P$4:P89,VLOOKUP(P89,Upgrades!$F$8:$N$8,7+COUNTIF(P$4:P89,P89)))-COUNTIF(P$4:P89,""Sell_""&amp;VLOOKUP(P89,Upgrades!$F$8:$N$8,7+COUNTIF(P$4:P89,P89)))&lt;15),1),IF(REGEXMATCH(P89,""_up""),IF(COUNTIF(P$4:P89,SUBSTITUTE(P89,""_up"",""""))&lt;IFERRO"&amp;"R(VLOOKUP(P89,Upgrades!$L$3:$P$6,1+COUNTIF(P$4:P89,P89),0),999),1),IF(REGEXMATCH(P89,""Sell_""),IF(COUNTIF(P$4:P89,SUBSTITUTE(P89,""Sell_"",""""))-COUNTIF(P$4:P88,P89)&lt;1,1),FALSE)))))))))"),FALSE)</f>
        <v>0</v>
      </c>
      <c r="R89" s="71">
        <f>IFERROR(__xludf.DUMMYFUNCTION("IF(REGEXMATCH(P89,""^Sell_""),R88, IF(COUNTA(P89:P147)=0,"""",(COUNTIF(P$4:P89,""Cursor"")-COUNTIF(P$4:P89,""Sell_Cursor""))*(0.1*2^SWITCH(COUNTIF(P$4:P89,""Cursor_up""),0,0,1,1,2,2,3)+SWITCH(COUNTIF(P$4:P89,""Cursor_up""),4,0.1,0)*(ROW(P89)-4-COUNTIF(P$4"&amp;":P89,""Cursor"")-COUNTIF(P$4:P89,""*""&amp;""_up"")-2*COUNTIF(P$4:P89,""Sell_""&amp;""*"")+COUNTIF(P$4:P89,""Sell_Cursor"")-COUNTIF(P$4:P89,"""")))+(COUNTIF(P$4:P89,""Grandma"")-COUNTIF(P$4:P89,""Sell_Grandma""))*(1*2^(COUNTIF(P$4:P89,""Grandma_up"")+COUNTIF(P$4:"&amp;"P89,""Super_up"")))+(COUNTIF(P$4:P89,""Farm"")-COUNTIF(P$4:P89,""Sell_Farm""))*(8*2^COUNTIF(P$4:P89,""Farm_up""))*IF(COUNTIF(P$4:P89,""Super_up"")&gt;0,1+0.01*(COUNTIF(P$4:P89,""Grandma"")-COUNTIF(P$4:P89,""Sell_Grandma"")),1)+(COUNTIF(P$4:P89,""Mine"")-COUN"&amp;"TIF(P$4:P89,""Sell_Mine""))*((47*2^COUNTIF(P$4:P89,""Mine_up""))*IF(COUNTIF(P$4:P89,""Super_up"")&gt;1,1+0.005*(COUNTIF(P$4:P89,""Grandma"")-COUNTIF(P$4:P89,""Sell_Grandma"")),1))+(COUNTIF(P$4:P89,""Factory"")-COUNTIF(P$4:P89,""Sell_Factory""))*(260*2^COUNTI"&amp;"F(P$4:P89,""Factory_up""))))"),1472.3600000000001)</f>
        <v>1472.36</v>
      </c>
      <c r="S89" s="73">
        <f>IFERROR(__xludf.DUMMYFUNCTION("IF(COUNTA(P89:P147)=0,"""",IF(REGEXMATCH(INDEX(FILTER(P$4:P89,P$4:P89&lt;&gt;""""),ROWS(FILTER(P$4:P89,P$4:P89&lt;&gt;""""))),""^Sell_""),INDEX(FILTER(S$4:S88,P$4:P88&lt;&gt;""""),ROWS(FILTER(P$4:P88,P$4:P88&lt;&gt;""""))),$AD$5*(2^SWITCH(COUNTIF(P$4:P89,""Cursor_up""),0,0,1,1,2"&amp;",2,3)+SWITCH(COUNTIF(P$4:P89,""Cursor_up""),4,0.1,0)*(ROW(P89)-4-COUNTIF(P$4:P89,""Cursor"")-COUNTIF(P$4:P89,""*""&amp;""_up"")-2*COUNTIF(P$4:P89,""Sell_""&amp;""*"")+COUNTIF(P$4:P89,""Sell_Cursor"")-COUNTIF(P$4:P89,""""))+0.01*R89*COUNTIF(P$4:P89,""Plastic_up"")"&amp;")+R89))"),1813.2140000000002)</f>
        <v>1813.214</v>
      </c>
      <c r="T89" s="14">
        <f>IFERROR(__xludf.DUMMYFUNCTION("IF(COUNTA(P89:P147)=0,"""",IF(REGEXMATCH(P89,""_up""),VLOOKUP(P89,Upgrades!$F$3:$J$8,1+COUNTIF(P$4:P89,P89),FALSE),IF(P89="""",0,IF(REGEXMATCH(P89,""^Sell_""),-ROUNDDOWN(ROUNDUP(INDEX(Upgrades!$C$3:$C$8,MATCH(SUBSTITUTE(P89,""Sell_"",""""),Upgrades!$B$3:$"&amp;"B$8,0))*1.15^(COUNTIF(P$4:P88,SUBSTITUTE(P89,""Sell_"",""""))-COUNTIF(P$4:P88,""Sell_""&amp;SUBSTITUTE(P89,""Sell_"",""""))))/4),ROUNDUP(INDEX(Upgrades!$C$3:$C$7,MATCH(P89,Upgrades!$B$3:$B$7,0))*1.15^(COUNTIF(P$4:P88,P89)-COUNTIF(P$4:P88,""Sell_""&amp;P89)))))))"),7615.0)</f>
        <v>7615</v>
      </c>
      <c r="U89" s="14">
        <f t="shared" si="10"/>
        <v>7615</v>
      </c>
      <c r="V89" s="75">
        <f t="shared" si="11"/>
        <v>3787477.226</v>
      </c>
      <c r="W89" s="76">
        <f t="shared" si="12"/>
        <v>825.8064412</v>
      </c>
      <c r="X89" s="71" t="str">
        <f t="shared" si="13"/>
        <v>13m 45s</v>
      </c>
      <c r="Y89" s="77">
        <f t="shared" si="14"/>
        <v>435830</v>
      </c>
      <c r="Z89" s="17"/>
      <c r="AA89" s="13"/>
      <c r="AB89" s="13"/>
      <c r="AC89" s="13"/>
      <c r="AD89" s="13"/>
      <c r="AE89" s="13"/>
      <c r="AF89" s="13"/>
      <c r="AG89" s="13"/>
    </row>
    <row r="90">
      <c r="A90" s="12"/>
      <c r="B90" s="65">
        <f t="shared" si="2"/>
        <v>22</v>
      </c>
      <c r="C90" s="66" t="s">
        <v>10</v>
      </c>
      <c r="D90" s="14" t="b">
        <f>IFERROR(__xludf.DUMMYFUNCTION("IF(COUNTA(C90:C147)=0,"""",IFERROR(IF(ISBLANK(C90),FALSE,IF(ISBLANK(G90),1,IF(NOT(COUNTIF($AA$24:$AA$34,SUBSTITUTE(C90,""Sell_"",""""))),1,IF(C90=""Plastic_up"",IF(I90&lt;1000,1),IF(C90=""Super_Up"",IF(OR(COUNTIF(C$4:C90,""Grandma"")-COUNTIF(C$4:C90,""Sell_G"&amp;"randma"")&lt;1,COUNTIF(C$4:C90,VLOOKUP(C90,Upgrades!$F$8:$N$8,7+COUNTIF(C$4:C90,C90)))-COUNTIF(C$4:C90,""Sell_""&amp;VLOOKUP(C90,Upgrades!$F$8:$N$8,7+COUNTIF(C$4:C90,C90)))&lt;15),1),IF(REGEXMATCH(C90,""_up""),IF(COUNTIF(C$4:C90,SUBSTITUTE(C90,""_up"",""""))&lt;IFERRO"&amp;"R(VLOOKUP(C90,Upgrades!$L$3:$P$6,1+COUNTIF(C$4:C90,C90),0),999),1),IF(REGEXMATCH(C90,""Sell_""),IF(COUNTIF(C$4:C90,SUBSTITUTE(C90,""Sell_"",""""))-COUNTIF(C$4:C89,C90)&lt;1,1),FALSE)))))))))"),FALSE)</f>
        <v>0</v>
      </c>
      <c r="E90" s="71">
        <f>IFERROR(__xludf.DUMMYFUNCTION("IF(REGEXMATCH(C90,""^Sell_""),E89, IF(COUNTA(C90:C147)=0,"""",(COUNTIF(C$4:C90,""Cursor"")-COUNTIF(C$4:C90,""Sell_Cursor""))*(0.1*2^SWITCH(COUNTIF(C$4:C90,""Cursor_up""),0,0,1,1,2,2,3)+SWITCH(COUNTIF(C$4:C90,""Cursor_up""),4,0.1,0)*(ROW(C90)-4-COUNTIF(C$4"&amp;":C90,""Cursor"")-COUNTIF(C$4:C90,""*""&amp;""_up"")-2*COUNTIF(C$4:C90,""Sell_""&amp;""*"")+COUNTIF(C$4:C90,""Sell_Cursor"")-COUNTIF(C$4:C90,"""")))+(COUNTIF(C$4:C90,""Grandma"")-COUNTIF(C$4:C90,""Sell_Grandma""))*(1*2^(COUNTIF(C$4:C90,""Grandma_up"")+COUNTIF(C$4:"&amp;"C90,""Super_up"")))+(COUNTIF(C$4:C90,""Farm"")-COUNTIF(C$4:C90,""Sell_Farm""))*(8*2^COUNTIF(C$4:C90,""Farm_up""))*IF(COUNTIF(C$4:C90,""Super_up"")&gt;0,1+0.01*(COUNTIF(C$4:C90,""Grandma"")-COUNTIF(C$4:C90,""Sell_Grandma"")),1)+(COUNTIF(C$4:C90,""Mine"")-COUN"&amp;"TIF(C$4:C90,""Sell_Mine""))*((47*2^COUNTIF(C$4:C90,""Mine_up""))*IF(COUNTIF(C$4:C90,""Super_up"")&gt;1,1+0.005*(COUNTIF(C$4:C90,""Grandma"")-COUNTIF(C$4:C90,""Sell_Grandma"")),1))+(COUNTIF(C$4:C90,""Factory"")-COUNTIF(C$4:C90,""Sell_Factory""))*(260*2^COUNTI"&amp;"F(C$4:C90,""Factory_up""))))"),1473.16)</f>
        <v>1473.16</v>
      </c>
      <c r="F90" s="73">
        <f>IFERROR(__xludf.DUMMYFUNCTION("IF(COUNTA(C90:C147)=0,"""",IF(REGEXMATCH(INDEX(FILTER(C$4:C90,C$4:C90&lt;&gt;""""),ROWS(FILTER(C$4:C90,C$4:C90&lt;&gt;""""))),""^Sell_""),INDEX(FILTER(F$4:F89,C$4:C89&lt;&gt;""""),ROWS(FILTER(C$4:C89,C$4:C89&lt;&gt;""""))),$AC$5*(2^SWITCH(COUNTIF(C$4:C90,""Cursor_up""),0,0,1,1,2"&amp;",2,3)+SWITCH(COUNTIF(C$4:C90,""Cursor_up""),4,0.1,0)*(ROW(C90)-4-COUNTIF(C$4:C90,""Cursor"")-COUNTIF(C$4:C90,""*""&amp;""_up"")-2*COUNTIF(C$4:C90,""Sell_""&amp;""*"")+COUNTIF(C$4:C90,""Sell_Cursor"")-COUNTIF(C$4:C90,""""))+0.01*E90*COUNTIF(C$4:C90,""Plastic_up"")"&amp;")+E90))"),1814.134)</f>
        <v>1814.134</v>
      </c>
      <c r="G90" s="14">
        <f>IFERROR(__xludf.DUMMYFUNCTION("IF(COUNTA(C90:C147)=0,"""",IF(REGEXMATCH(C90,""_up""),VLOOKUP(C90,Upgrades!$F$3:$J$8,1+COUNTIF(C$4:C90,C90),FALSE),IF(C90="""",0,IF(REGEXMATCH(C90,""^Sell_""),-ROUNDDOWN(ROUNDUP(INDEX(Upgrades!$C$3:$C$8,MATCH(SUBSTITUTE(C90,""Sell_"",""""),Upgrades!$B$3:$"&amp;"B$8,0))*1.15^(COUNTIF(C$4:C89,SUBSTITUTE(C90,""Sell_"",""""))-COUNTIF(C$4:C89,""Sell_""&amp;SUBSTITUTE(C90,""Sell_"",""""))))/4),ROUNDUP(INDEX(Upgrades!$C$3:$C$7,MATCH(C90,Upgrades!$B$3:$B$7,0))*1.15^(COUNTIF(C$4:C89,C90)-COUNTIF(C$4:C89,""Sell_""&amp;C90)))))))"),283.0)</f>
        <v>283</v>
      </c>
      <c r="H90" s="14">
        <f t="shared" si="3"/>
        <v>283</v>
      </c>
      <c r="I90" s="75">
        <f t="shared" si="4"/>
        <v>4069009.854</v>
      </c>
      <c r="J90" s="76">
        <f t="shared" si="5"/>
        <v>825.9625176</v>
      </c>
      <c r="K90" s="71" t="str">
        <f t="shared" si="6"/>
        <v>13m 45s</v>
      </c>
      <c r="L90" s="77">
        <f t="shared" si="7"/>
        <v>436113</v>
      </c>
      <c r="M90" s="51">
        <f t="shared" si="8"/>
        <v>0</v>
      </c>
      <c r="N90" s="52">
        <f>IFERROR(__xludf.DUMMYFUNCTION("IFS(AND(COUNTA(C90:C147)=0,COUNTA(P90:P147)=0),"""",OR(AND(L90&gt;=1000000,OR(Y90&gt;=1000000,COUNTA(P90:P147)=0)),AND(Y90&gt;=1000000,COUNTA(C90:C147)=0),AND(COUNTA(P90:P147)=0,O$3=TRUE)),
ROUNDDOWN((AB$1-AC$1)*MAX(INDEX(S$4:S147,MATCH(LARGE(FILTER(Y$4:Y147,Y$4:Y"&amp;"147&lt;1000000),1),Y$4:Y147)),INDEX(F$4:F147,MATCH(LARGE(FILTER(L$4:L147,L$4:L147&lt;1000000),1),L$4:L147)))),AND(L90&lt;1000000,COUNTA(C90:C147)&gt;0,O$3=FALSE),
ROUNDDOWN(INDEX(Y$4:Y147,MATCH(LARGE(FILTER(W$4:W147,W$4:W147&lt;=J90),1),W$4:W147))+(J90-LARGE(FILTER(W$4:"&amp;"W147,W$4:W147&lt;=J90),1))*INDEX(S$4:S147,MATCH(LARGE(FILTER(W$4:W147,W$4:W147&lt;=J90),1),W$4:W147))-L90),1,
ROUNDDOWN(Y90-INDEX(L$4:L147,MATCH(LARGE(FILTER(J$4:J147,J$4:J147&lt;=W90),1),J$4:J147))-(W90-LARGE(FILTER(J$4:J147,J$4:J147&lt;=W90),1))*INDEX(F$4:F147,MATC"&amp;"H(LARGE(FILTER(J$4:J147,J$4:J147&lt;=W90),1),J$4:J147))))"),0.0)</f>
        <v>0</v>
      </c>
      <c r="O90" s="65">
        <f t="shared" si="9"/>
        <v>22</v>
      </c>
      <c r="P90" s="66" t="s">
        <v>10</v>
      </c>
      <c r="Q90" s="14" t="b">
        <f>IFERROR(__xludf.DUMMYFUNCTION("IF(COUNTA(P90:P147)=0,"""",IFERROR(IF(ISBLANK(P90),FALSE,IF(ISBLANK(T90),1,IF(NOT(COUNTIF($AA$24:$AA$34,SUBSTITUTE(P90,""Sell_"",""""))),1,IF(P90=""Plastic_up"",IF(V90&lt;1000,1),IF(P90=""Super_Up"",IF(OR(COUNTIF(P$4:P90,""Grandma"")-COUNTIF(P$4:P90,""Sell_G"&amp;"randma"")&lt;1,COUNTIF(P$4:P90,VLOOKUP(P90,Upgrades!$F$8:$N$8,7+COUNTIF(P$4:P90,P90)))-COUNTIF(P$4:P90,""Sell_""&amp;VLOOKUP(P90,Upgrades!$F$8:$N$8,7+COUNTIF(P$4:P90,P90)))&lt;15),1),IF(REGEXMATCH(P90,""_up""),IF(COUNTIF(P$4:P90,SUBSTITUTE(P90,""_up"",""""))&lt;IFERRO"&amp;"R(VLOOKUP(P90,Upgrades!$L$3:$P$6,1+COUNTIF(P$4:P90,P90),0),999),1),IF(REGEXMATCH(P90,""Sell_""),IF(COUNTIF(P$4:P90,SUBSTITUTE(P90,""Sell_"",""""))-COUNTIF(P$4:P89,P90)&lt;1,1),FALSE)))))))))"),FALSE)</f>
        <v>0</v>
      </c>
      <c r="R90" s="71">
        <f>IFERROR(__xludf.DUMMYFUNCTION("IF(REGEXMATCH(P90,""^Sell_""),R89, IF(COUNTA(P90:P147)=0,"""",(COUNTIF(P$4:P90,""Cursor"")-COUNTIF(P$4:P90,""Sell_Cursor""))*(0.1*2^SWITCH(COUNTIF(P$4:P90,""Cursor_up""),0,0,1,1,2,2,3)+SWITCH(COUNTIF(P$4:P90,""Cursor_up""),4,0.1,0)*(ROW(P90)-4-COUNTIF(P$4"&amp;":P90,""Cursor"")-COUNTIF(P$4:P90,""*""&amp;""_up"")-2*COUNTIF(P$4:P90,""Sell_""&amp;""*"")+COUNTIF(P$4:P90,""Sell_Cursor"")-COUNTIF(P$4:P90,"""")))+(COUNTIF(P$4:P90,""Grandma"")-COUNTIF(P$4:P90,""Sell_Grandma""))*(1*2^(COUNTIF(P$4:P90,""Grandma_up"")+COUNTIF(P$4:"&amp;"P90,""Super_up"")))+(COUNTIF(P$4:P90,""Farm"")-COUNTIF(P$4:P90,""Sell_Farm""))*(8*2^COUNTIF(P$4:P90,""Farm_up""))*IF(COUNTIF(P$4:P90,""Super_up"")&gt;0,1+0.01*(COUNTIF(P$4:P90,""Grandma"")-COUNTIF(P$4:P90,""Sell_Grandma"")),1)+(COUNTIF(P$4:P90,""Mine"")-COUN"&amp;"TIF(P$4:P90,""Sell_Mine""))*((47*2^COUNTIF(P$4:P90,""Mine_up""))*IF(COUNTIF(P$4:P90,""Super_up"")&gt;1,1+0.005*(COUNTIF(P$4:P90,""Grandma"")-COUNTIF(P$4:P90,""Sell_Grandma"")),1))+(COUNTIF(P$4:P90,""Factory"")-COUNTIF(P$4:P90,""Sell_Factory""))*(260*2^COUNTI"&amp;"F(P$4:P90,""Factory_up""))))"),1473.16)</f>
        <v>1473.16</v>
      </c>
      <c r="S90" s="73">
        <f>IFERROR(__xludf.DUMMYFUNCTION("IF(COUNTA(P90:P147)=0,"""",IF(REGEXMATCH(INDEX(FILTER(P$4:P90,P$4:P90&lt;&gt;""""),ROWS(FILTER(P$4:P90,P$4:P90&lt;&gt;""""))),""^Sell_""),INDEX(FILTER(S$4:S89,P$4:P89&lt;&gt;""""),ROWS(FILTER(P$4:P89,P$4:P89&lt;&gt;""""))),$AD$5*(2^SWITCH(COUNTIF(P$4:P90,""Cursor_up""),0,0,1,1,2"&amp;",2,3)+SWITCH(COUNTIF(P$4:P90,""Cursor_up""),4,0.1,0)*(ROW(P90)-4-COUNTIF(P$4:P90,""Cursor"")-COUNTIF(P$4:P90,""*""&amp;""_up"")-2*COUNTIF(P$4:P90,""Sell_""&amp;""*"")+COUNTIF(P$4:P90,""Sell_Cursor"")-COUNTIF(P$4:P90,""""))+0.01*R90*COUNTIF(P$4:P90,""Plastic_up"")"&amp;")+R90))"),1814.134)</f>
        <v>1814.134</v>
      </c>
      <c r="T90" s="14">
        <f>IFERROR(__xludf.DUMMYFUNCTION("IF(COUNTA(P90:P147)=0,"""",IF(REGEXMATCH(P90,""_up""),VLOOKUP(P90,Upgrades!$F$3:$J$8,1+COUNTIF(P$4:P90,P90),FALSE),IF(P90="""",0,IF(REGEXMATCH(P90,""^Sell_""),-ROUNDDOWN(ROUNDUP(INDEX(Upgrades!$C$3:$C$8,MATCH(SUBSTITUTE(P90,""Sell_"",""""),Upgrades!$B$3:$"&amp;"B$8,0))*1.15^(COUNTIF(P$4:P89,SUBSTITUTE(P90,""Sell_"",""""))-COUNTIF(P$4:P89,""Sell_""&amp;SUBSTITUTE(P90,""Sell_"",""""))))/4),ROUNDUP(INDEX(Upgrades!$C$3:$C$7,MATCH(P90,Upgrades!$B$3:$B$7,0))*1.15^(COUNTIF(P$4:P89,P90)-COUNTIF(P$4:P89,""Sell_""&amp;P90)))))))"),283.0)</f>
        <v>283</v>
      </c>
      <c r="U90" s="14">
        <f t="shared" si="10"/>
        <v>283</v>
      </c>
      <c r="V90" s="75">
        <f t="shared" si="11"/>
        <v>4069009.854</v>
      </c>
      <c r="W90" s="76">
        <f t="shared" si="12"/>
        <v>825.9625176</v>
      </c>
      <c r="X90" s="71" t="str">
        <f t="shared" si="13"/>
        <v>13m 45s</v>
      </c>
      <c r="Y90" s="77">
        <f t="shared" si="14"/>
        <v>436113</v>
      </c>
      <c r="Z90" s="17"/>
      <c r="AA90" s="13"/>
      <c r="AB90" s="13"/>
      <c r="AC90" s="13"/>
      <c r="AD90" s="13"/>
      <c r="AE90" s="13"/>
      <c r="AF90" s="13"/>
      <c r="AG90" s="13"/>
    </row>
    <row r="91">
      <c r="A91" s="12"/>
      <c r="B91" s="65">
        <f t="shared" si="2"/>
        <v>20</v>
      </c>
      <c r="C91" s="66" t="s">
        <v>16</v>
      </c>
      <c r="D91" s="14" t="b">
        <f>IFERROR(__xludf.DUMMYFUNCTION("IF(COUNTA(C91:C147)=0,"""",IFERROR(IF(ISBLANK(C91),FALSE,IF(ISBLANK(G91),1,IF(NOT(COUNTIF($AA$24:$AA$34,SUBSTITUTE(C91,""Sell_"",""""))),1,IF(C91=""Plastic_up"",IF(I91&lt;1000,1),IF(C91=""Super_Up"",IF(OR(COUNTIF(C$4:C91,""Grandma"")-COUNTIF(C$4:C91,""Sell_G"&amp;"randma"")&lt;1,COUNTIF(C$4:C91,VLOOKUP(C91,Upgrades!$F$8:$N$8,7+COUNTIF(C$4:C91,C91)))-COUNTIF(C$4:C91,""Sell_""&amp;VLOOKUP(C91,Upgrades!$F$8:$N$8,7+COUNTIF(C$4:C91,C91)))&lt;15),1),IF(REGEXMATCH(C91,""_up""),IF(COUNTIF(C$4:C91,SUBSTITUTE(C91,""_up"",""""))&lt;IFERRO"&amp;"R(VLOOKUP(C91,Upgrades!$L$3:$P$6,1+COUNTIF(C$4:C91,C91),0),999),1),IF(REGEXMATCH(C91,""Sell_""),IF(COUNTIF(C$4:C91,SUBSTITUTE(C91,""Sell_"",""""))-COUNTIF(C$4:C90,C91)&lt;1,1),FALSE)))))))))"),FALSE)</f>
        <v>0</v>
      </c>
      <c r="E91" s="71">
        <f>IFERROR(__xludf.DUMMYFUNCTION("IF(REGEXMATCH(C91,""^Sell_""),E90, IF(COUNTA(C91:C147)=0,"""",(COUNTIF(C$4:C91,""Cursor"")-COUNTIF(C$4:C91,""Sell_Cursor""))*(0.1*2^SWITCH(COUNTIF(C$4:C91,""Cursor_up""),0,0,1,1,2,2,3)+SWITCH(COUNTIF(C$4:C91,""Cursor_up""),4,0.1,0)*(ROW(C91)-4-COUNTIF(C$4"&amp;":C91,""Cursor"")-COUNTIF(C$4:C91,""*""&amp;""_up"")-2*COUNTIF(C$4:C91,""Sell_""&amp;""*"")+COUNTIF(C$4:C91,""Sell_Cursor"")-COUNTIF(C$4:C91,"""")))+(COUNTIF(C$4:C91,""Grandma"")-COUNTIF(C$4:C91,""Sell_Grandma""))*(1*2^(COUNTIF(C$4:C91,""Grandma_up"")+COUNTIF(C$4:"&amp;"C91,""Super_up"")))+(COUNTIF(C$4:C91,""Farm"")-COUNTIF(C$4:C91,""Sell_Farm""))*(8*2^COUNTIF(C$4:C91,""Farm_up""))*IF(COUNTIF(C$4:C91,""Super_up"")&gt;0,1+0.01*(COUNTIF(C$4:C91,""Grandma"")-COUNTIF(C$4:C91,""Sell_Grandma"")),1)+(COUNTIF(C$4:C91,""Mine"")-COUN"&amp;"TIF(C$4:C91,""Sell_Mine""))*((47*2^COUNTIF(C$4:C91,""Mine_up""))*IF(COUNTIF(C$4:C91,""Super_up"")&gt;1,1+0.005*(COUNTIF(C$4:C91,""Grandma"")-COUNTIF(C$4:C91,""Sell_Grandma"")),1))+(COUNTIF(C$4:C91,""Factory"")-COUNTIF(C$4:C91,""Sell_Factory""))*(260*2^COUNTI"&amp;"F(C$4:C91,""Factory_up""))))"),1515.4)</f>
        <v>1515.4</v>
      </c>
      <c r="F91" s="73">
        <f>IFERROR(__xludf.DUMMYFUNCTION("IF(COUNTA(C91:C147)=0,"""",IF(REGEXMATCH(INDEX(FILTER(C$4:C91,C$4:C91&lt;&gt;""""),ROWS(FILTER(C$4:C91,C$4:C91&lt;&gt;""""))),""^Sell_""),INDEX(FILTER(F$4:F90,C$4:C90&lt;&gt;""""),ROWS(FILTER(C$4:C90,C$4:C90&lt;&gt;""""))),$AC$5*(2^SWITCH(COUNTIF(C$4:C91,""Cursor_up""),0,0,1,1,2"&amp;",2,3)+SWITCH(COUNTIF(C$4:C91,""Cursor_up""),4,0.1,0)*(ROW(C91)-4-COUNTIF(C$4:C91,""Cursor"")-COUNTIF(C$4:C91,""*""&amp;""_up"")-2*COUNTIF(C$4:C91,""Sell_""&amp;""*"")+COUNTIF(C$4:C91,""Sell_Cursor"")-COUNTIF(C$4:C91,""""))+0.01*E91*COUNTIF(C$4:C91,""Plastic_up"")"&amp;")+E91))"),1862.71)</f>
        <v>1862.71</v>
      </c>
      <c r="G91" s="14">
        <f>IFERROR(__xludf.DUMMYFUNCTION("IF(COUNTA(C91:C147)=0,"""",IF(REGEXMATCH(C91,""_up""),VLOOKUP(C91,Upgrades!$F$3:$J$8,1+COUNTIF(C$4:C91,C91),FALSE),IF(C91="""",0,IF(REGEXMATCH(C91,""^Sell_""),-ROUNDDOWN(ROUNDUP(INDEX(Upgrades!$C$3:$C$8,MATCH(SUBSTITUTE(C91,""Sell_"",""""),Upgrades!$B$3:$"&amp;"B$8,0))*1.15^(COUNTIF(C$4:C90,SUBSTITUTE(C91,""Sell_"",""""))-COUNTIF(C$4:C90,""Sell_""&amp;SUBSTITUTE(C91,""Sell_"",""""))))/4),ROUNDUP(INDEX(Upgrades!$C$3:$C$7,MATCH(C91,Upgrades!$B$3:$B$7,0))*1.15^(COUNTIF(C$4:C90,C91)-COUNTIF(C$4:C90,""Sell_""&amp;C91)))))))"),15655.0)</f>
        <v>15655</v>
      </c>
      <c r="H91" s="14">
        <f t="shared" si="3"/>
        <v>15655</v>
      </c>
      <c r="I91" s="75">
        <f t="shared" si="4"/>
        <v>4353584.02</v>
      </c>
      <c r="J91" s="76">
        <f t="shared" si="5"/>
        <v>834.5919794</v>
      </c>
      <c r="K91" s="71" t="str">
        <f t="shared" si="6"/>
        <v>13m 54s</v>
      </c>
      <c r="L91" s="77">
        <f t="shared" si="7"/>
        <v>451768</v>
      </c>
      <c r="M91" s="51">
        <f t="shared" si="8"/>
        <v>0</v>
      </c>
      <c r="N91" s="52">
        <f>IFERROR(__xludf.DUMMYFUNCTION("IFS(AND(COUNTA(C91:C147)=0,COUNTA(P91:P147)=0),"""",OR(AND(L91&gt;=1000000,OR(Y91&gt;=1000000,COUNTA(P91:P147)=0)),AND(Y91&gt;=1000000,COUNTA(C91:C147)=0),AND(COUNTA(P91:P147)=0,O$3=TRUE)),
ROUNDDOWN((AB$1-AC$1)*MAX(INDEX(S$4:S147,MATCH(LARGE(FILTER(Y$4:Y147,Y$4:Y"&amp;"147&lt;1000000),1),Y$4:Y147)),INDEX(F$4:F147,MATCH(LARGE(FILTER(L$4:L147,L$4:L147&lt;1000000),1),L$4:L147)))),AND(L91&lt;1000000,COUNTA(C91:C147)&gt;0,O$3=FALSE),
ROUNDDOWN(INDEX(Y$4:Y147,MATCH(LARGE(FILTER(W$4:W147,W$4:W147&lt;=J91),1),W$4:W147))+(J91-LARGE(FILTER(W$4:"&amp;"W147,W$4:W147&lt;=J91),1))*INDEX(S$4:S147,MATCH(LARGE(FILTER(W$4:W147,W$4:W147&lt;=J91),1),W$4:W147))-L91),1,
ROUNDDOWN(Y91-INDEX(L$4:L147,MATCH(LARGE(FILTER(J$4:J147,J$4:J147&lt;=W91),1),J$4:J147))-(W91-LARGE(FILTER(J$4:J147,J$4:J147&lt;=W91),1))*INDEX(F$4:F147,MATC"&amp;"H(LARGE(FILTER(J$4:J147,J$4:J147&lt;=W91),1),J$4:J147))))"),0.0)</f>
        <v>0</v>
      </c>
      <c r="O91" s="65">
        <f t="shared" si="9"/>
        <v>20</v>
      </c>
      <c r="P91" s="66" t="s">
        <v>16</v>
      </c>
      <c r="Q91" s="14" t="b">
        <f>IFERROR(__xludf.DUMMYFUNCTION("IF(COUNTA(P91:P147)=0,"""",IFERROR(IF(ISBLANK(P91),FALSE,IF(ISBLANK(T91),1,IF(NOT(COUNTIF($AA$24:$AA$34,SUBSTITUTE(P91,""Sell_"",""""))),1,IF(P91=""Plastic_up"",IF(V91&lt;1000,1),IF(P91=""Super_Up"",IF(OR(COUNTIF(P$4:P91,""Grandma"")-COUNTIF(P$4:P91,""Sell_G"&amp;"randma"")&lt;1,COUNTIF(P$4:P91,VLOOKUP(P91,Upgrades!$F$8:$N$8,7+COUNTIF(P$4:P91,P91)))-COUNTIF(P$4:P91,""Sell_""&amp;VLOOKUP(P91,Upgrades!$F$8:$N$8,7+COUNTIF(P$4:P91,P91)))&lt;15),1),IF(REGEXMATCH(P91,""_up""),IF(COUNTIF(P$4:P91,SUBSTITUTE(P91,""_up"",""""))&lt;IFERRO"&amp;"R(VLOOKUP(P91,Upgrades!$L$3:$P$6,1+COUNTIF(P$4:P91,P91),0),999),1),IF(REGEXMATCH(P91,""Sell_""),IF(COUNTIF(P$4:P91,SUBSTITUTE(P91,""Sell_"",""""))-COUNTIF(P$4:P90,P91)&lt;1,1),FALSE)))))))))"),FALSE)</f>
        <v>0</v>
      </c>
      <c r="R91" s="71">
        <f>IFERROR(__xludf.DUMMYFUNCTION("IF(REGEXMATCH(P91,""^Sell_""),R90, IF(COUNTA(P91:P147)=0,"""",(COUNTIF(P$4:P91,""Cursor"")-COUNTIF(P$4:P91,""Sell_Cursor""))*(0.1*2^SWITCH(COUNTIF(P$4:P91,""Cursor_up""),0,0,1,1,2,2,3)+SWITCH(COUNTIF(P$4:P91,""Cursor_up""),4,0.1,0)*(ROW(P91)-4-COUNTIF(P$4"&amp;":P91,""Cursor"")-COUNTIF(P$4:P91,""*""&amp;""_up"")-2*COUNTIF(P$4:P91,""Sell_""&amp;""*"")+COUNTIF(P$4:P91,""Sell_Cursor"")-COUNTIF(P$4:P91,"""")))+(COUNTIF(P$4:P91,""Grandma"")-COUNTIF(P$4:P91,""Sell_Grandma""))*(1*2^(COUNTIF(P$4:P91,""Grandma_up"")+COUNTIF(P$4:"&amp;"P91,""Super_up"")))+(COUNTIF(P$4:P91,""Farm"")-COUNTIF(P$4:P91,""Sell_Farm""))*(8*2^COUNTIF(P$4:P91,""Farm_up""))*IF(COUNTIF(P$4:P91,""Super_up"")&gt;0,1+0.01*(COUNTIF(P$4:P91,""Grandma"")-COUNTIF(P$4:P91,""Sell_Grandma"")),1)+(COUNTIF(P$4:P91,""Mine"")-COUN"&amp;"TIF(P$4:P91,""Sell_Mine""))*((47*2^COUNTIF(P$4:P91,""Mine_up""))*IF(COUNTIF(P$4:P91,""Super_up"")&gt;1,1+0.005*(COUNTIF(P$4:P91,""Grandma"")-COUNTIF(P$4:P91,""Sell_Grandma"")),1))+(COUNTIF(P$4:P91,""Factory"")-COUNTIF(P$4:P91,""Sell_Factory""))*(260*2^COUNTI"&amp;"F(P$4:P91,""Factory_up""))))"),1515.4)</f>
        <v>1515.4</v>
      </c>
      <c r="S91" s="73">
        <f>IFERROR(__xludf.DUMMYFUNCTION("IF(COUNTA(P91:P147)=0,"""",IF(REGEXMATCH(INDEX(FILTER(P$4:P91,P$4:P91&lt;&gt;""""),ROWS(FILTER(P$4:P91,P$4:P91&lt;&gt;""""))),""^Sell_""),INDEX(FILTER(S$4:S90,P$4:P90&lt;&gt;""""),ROWS(FILTER(P$4:P90,P$4:P90&lt;&gt;""""))),$AD$5*(2^SWITCH(COUNTIF(P$4:P91,""Cursor_up""),0,0,1,1,2"&amp;",2,3)+SWITCH(COUNTIF(P$4:P91,""Cursor_up""),4,0.1,0)*(ROW(P91)-4-COUNTIF(P$4:P91,""Cursor"")-COUNTIF(P$4:P91,""*""&amp;""_up"")-2*COUNTIF(P$4:P91,""Sell_""&amp;""*"")+COUNTIF(P$4:P91,""Sell_Cursor"")-COUNTIF(P$4:P91,""""))+0.01*R91*COUNTIF(P$4:P91,""Plastic_up"")"&amp;")+R91))"),1862.71)</f>
        <v>1862.71</v>
      </c>
      <c r="T91" s="14">
        <f>IFERROR(__xludf.DUMMYFUNCTION("IF(COUNTA(P91:P147)=0,"""",IF(REGEXMATCH(P91,""_up""),VLOOKUP(P91,Upgrades!$F$3:$J$8,1+COUNTIF(P$4:P91,P91),FALSE),IF(P91="""",0,IF(REGEXMATCH(P91,""^Sell_""),-ROUNDDOWN(ROUNDUP(INDEX(Upgrades!$C$3:$C$8,MATCH(SUBSTITUTE(P91,""Sell_"",""""),Upgrades!$B$3:$"&amp;"B$8,0))*1.15^(COUNTIF(P$4:P90,SUBSTITUTE(P91,""Sell_"",""""))-COUNTIF(P$4:P90,""Sell_""&amp;SUBSTITUTE(P91,""Sell_"",""""))))/4),ROUNDUP(INDEX(Upgrades!$C$3:$C$7,MATCH(P91,Upgrades!$B$3:$B$7,0))*1.15^(COUNTIF(P$4:P90,P91)-COUNTIF(P$4:P90,""Sell_""&amp;P91)))))))"),15655.0)</f>
        <v>15655</v>
      </c>
      <c r="U91" s="14">
        <f t="shared" si="10"/>
        <v>15655</v>
      </c>
      <c r="V91" s="75">
        <f t="shared" si="11"/>
        <v>4353584.02</v>
      </c>
      <c r="W91" s="76">
        <f t="shared" si="12"/>
        <v>834.5919794</v>
      </c>
      <c r="X91" s="71" t="str">
        <f t="shared" si="13"/>
        <v>13m 54s</v>
      </c>
      <c r="Y91" s="77">
        <f t="shared" si="14"/>
        <v>451768</v>
      </c>
      <c r="Z91" s="17"/>
      <c r="AA91" s="13"/>
      <c r="AB91" s="13"/>
      <c r="AC91" s="13"/>
      <c r="AD91" s="13"/>
      <c r="AE91" s="13"/>
      <c r="AF91" s="13"/>
      <c r="AG91" s="13"/>
    </row>
    <row r="92">
      <c r="A92" s="12"/>
      <c r="B92" s="65">
        <f t="shared" si="2"/>
        <v>33</v>
      </c>
      <c r="C92" s="66" t="s">
        <v>13</v>
      </c>
      <c r="D92" s="14" t="b">
        <f>IFERROR(__xludf.DUMMYFUNCTION("IF(COUNTA(C92:C147)=0,"""",IFERROR(IF(ISBLANK(C92),FALSE,IF(ISBLANK(G92),1,IF(NOT(COUNTIF($AA$24:$AA$34,SUBSTITUTE(C92,""Sell_"",""""))),1,IF(C92=""Plastic_up"",IF(I92&lt;1000,1),IF(C92=""Super_Up"",IF(OR(COUNTIF(C$4:C92,""Grandma"")-COUNTIF(C$4:C92,""Sell_G"&amp;"randma"")&lt;1,COUNTIF(C$4:C92,VLOOKUP(C92,Upgrades!$F$8:$N$8,7+COUNTIF(C$4:C92,C92)))-COUNTIF(C$4:C92,""Sell_""&amp;VLOOKUP(C92,Upgrades!$F$8:$N$8,7+COUNTIF(C$4:C92,C92)))&lt;15),1),IF(REGEXMATCH(C92,""_up""),IF(COUNTIF(C$4:C92,SUBSTITUTE(C92,""_up"",""""))&lt;IFERRO"&amp;"R(VLOOKUP(C92,Upgrades!$L$3:$P$6,1+COUNTIF(C$4:C92,C92),0),999),1),IF(REGEXMATCH(C92,""Sell_""),IF(COUNTIF(C$4:C92,SUBSTITUTE(C92,""Sell_"",""""))-COUNTIF(C$4:C91,C92)&lt;1,1),FALSE)))))))))"),FALSE)</f>
        <v>0</v>
      </c>
      <c r="E92" s="71">
        <f>IFERROR(__xludf.DUMMYFUNCTION("IF(REGEXMATCH(C92,""^Sell_""),E91, IF(COUNTA(C92:C147)=0,"""",(COUNTIF(C$4:C92,""Cursor"")-COUNTIF(C$4:C92,""Sell_Cursor""))*(0.1*2^SWITCH(COUNTIF(C$4:C92,""Cursor_up""),0,0,1,1,2,2,3)+SWITCH(COUNTIF(C$4:C92,""Cursor_up""),4,0.1,0)*(ROW(C92)-4-COUNTIF(C$4"&amp;":C92,""Cursor"")-COUNTIF(C$4:C92,""*""&amp;""_up"")-2*COUNTIF(C$4:C92,""Sell_""&amp;""*"")+COUNTIF(C$4:C92,""Sell_Cursor"")-COUNTIF(C$4:C92,"""")))+(COUNTIF(C$4:C92,""Grandma"")-COUNTIF(C$4:C92,""Sell_Grandma""))*(1*2^(COUNTIF(C$4:C92,""Grandma_up"")+COUNTIF(C$4:"&amp;"C92,""Super_up"")))+(COUNTIF(C$4:C92,""Farm"")-COUNTIF(C$4:C92,""Sell_Farm""))*(8*2^COUNTIF(C$4:C92,""Farm_up""))*IF(COUNTIF(C$4:C92,""Super_up"")&gt;0,1+0.01*(COUNTIF(C$4:C92,""Grandma"")-COUNTIF(C$4:C92,""Sell_Grandma"")),1)+(COUNTIF(C$4:C92,""Mine"")-COUN"&amp;"TIF(C$4:C92,""Sell_Mine""))*((47*2^COUNTIF(C$4:C92,""Mine_up""))*IF(COUNTIF(C$4:C92,""Super_up"")&gt;1,1+0.005*(COUNTIF(C$4:C92,""Grandma"")-COUNTIF(C$4:C92,""Sell_Grandma"")),1))+(COUNTIF(C$4:C92,""Factory"")-COUNTIF(C$4:C92,""Sell_Factory""))*(260*2^COUNTI"&amp;"F(C$4:C92,""Factory_up""))))"),1537.8000000000002)</f>
        <v>1537.8</v>
      </c>
      <c r="F92" s="73">
        <f>IFERROR(__xludf.DUMMYFUNCTION("IF(COUNTA(C92:C147)=0,"""",IF(REGEXMATCH(INDEX(FILTER(C$4:C92,C$4:C92&lt;&gt;""""),ROWS(FILTER(C$4:C92,C$4:C92&lt;&gt;""""))),""^Sell_""),INDEX(FILTER(F$4:F91,C$4:C91&lt;&gt;""""),ROWS(FILTER(C$4:C91,C$4:C91&lt;&gt;""""))),$AC$5*(2^SWITCH(COUNTIF(C$4:C92,""Cursor_up""),0,0,1,1,2"&amp;",2,3)+SWITCH(COUNTIF(C$4:C92,""Cursor_up""),4,0.1,0)*(ROW(C92)-4-COUNTIF(C$4:C92,""Cursor"")-COUNTIF(C$4:C92,""*""&amp;""_up"")-2*COUNTIF(C$4:C92,""Sell_""&amp;""*"")+COUNTIF(C$4:C92,""Sell_Cursor"")-COUNTIF(C$4:C92,""""))+0.01*E92*COUNTIF(C$4:C92,""Plastic_up"")"&amp;")+E92))"),1888.4700000000003)</f>
        <v>1888.47</v>
      </c>
      <c r="G92" s="14">
        <f>IFERROR(__xludf.DUMMYFUNCTION("IF(COUNTA(C92:C147)=0,"""",IF(REGEXMATCH(C92,""_up""),VLOOKUP(C92,Upgrades!$F$3:$J$8,1+COUNTIF(C$4:C92,C92),FALSE),IF(C92="""",0,IF(REGEXMATCH(C92,""^Sell_""),-ROUNDDOWN(ROUNDUP(INDEX(Upgrades!$C$3:$C$8,MATCH(SUBSTITUTE(C92,""Sell_"",""""),Upgrades!$B$3:$"&amp;"B$8,0))*1.15^(COUNTIF(C$4:C91,SUBSTITUTE(C92,""Sell_"",""""))-COUNTIF(C$4:C91,""Sell_""&amp;SUBSTITUTE(C92,""Sell_"",""""))))/4),ROUNDUP(INDEX(Upgrades!$C$3:$C$7,MATCH(C92,Upgrades!$B$3:$B$7,0))*1.15^(COUNTIF(C$4:C91,C92)-COUNTIF(C$4:C91,""Sell_""&amp;C92)))))))"),8757.0)</f>
        <v>8757</v>
      </c>
      <c r="H92" s="14">
        <f t="shared" si="3"/>
        <v>8757</v>
      </c>
      <c r="I92" s="75">
        <f t="shared" si="4"/>
        <v>4645078.939</v>
      </c>
      <c r="J92" s="76">
        <f t="shared" si="5"/>
        <v>839.2931943</v>
      </c>
      <c r="K92" s="71" t="str">
        <f t="shared" si="6"/>
        <v>13m 59s</v>
      </c>
      <c r="L92" s="77">
        <f t="shared" si="7"/>
        <v>460525</v>
      </c>
      <c r="M92" s="51">
        <f t="shared" si="8"/>
        <v>0</v>
      </c>
      <c r="N92" s="52">
        <f>IFERROR(__xludf.DUMMYFUNCTION("IFS(AND(COUNTA(C92:C147)=0,COUNTA(P92:P147)=0),"""",OR(AND(L92&gt;=1000000,OR(Y92&gt;=1000000,COUNTA(P92:P147)=0)),AND(Y92&gt;=1000000,COUNTA(C92:C147)=0),AND(COUNTA(P92:P147)=0,O$3=TRUE)),
ROUNDDOWN((AB$1-AC$1)*MAX(INDEX(S$4:S147,MATCH(LARGE(FILTER(Y$4:Y147,Y$4:Y"&amp;"147&lt;1000000),1),Y$4:Y147)),INDEX(F$4:F147,MATCH(LARGE(FILTER(L$4:L147,L$4:L147&lt;1000000),1),L$4:L147)))),AND(L92&lt;1000000,COUNTA(C92:C147)&gt;0,O$3=FALSE),
ROUNDDOWN(INDEX(Y$4:Y147,MATCH(LARGE(FILTER(W$4:W147,W$4:W147&lt;=J92),1),W$4:W147))+(J92-LARGE(FILTER(W$4:"&amp;"W147,W$4:W147&lt;=J92),1))*INDEX(S$4:S147,MATCH(LARGE(FILTER(W$4:W147,W$4:W147&lt;=J92),1),W$4:W147))-L92),1,
ROUNDDOWN(Y92-INDEX(L$4:L147,MATCH(LARGE(FILTER(J$4:J147,J$4:J147&lt;=W92),1),J$4:J147))-(W92-LARGE(FILTER(J$4:J147,J$4:J147&lt;=W92),1))*INDEX(F$4:F147,MATC"&amp;"H(LARGE(FILTER(J$4:J147,J$4:J147&lt;=W92),1),J$4:J147))))"),0.0)</f>
        <v>0</v>
      </c>
      <c r="O92" s="65">
        <f t="shared" si="9"/>
        <v>33</v>
      </c>
      <c r="P92" s="66" t="s">
        <v>13</v>
      </c>
      <c r="Q92" s="14" t="b">
        <f>IFERROR(__xludf.DUMMYFUNCTION("IF(COUNTA(P92:P147)=0,"""",IFERROR(IF(ISBLANK(P92),FALSE,IF(ISBLANK(T92),1,IF(NOT(COUNTIF($AA$24:$AA$34,SUBSTITUTE(P92,""Sell_"",""""))),1,IF(P92=""Plastic_up"",IF(V92&lt;1000,1),IF(P92=""Super_Up"",IF(OR(COUNTIF(P$4:P92,""Grandma"")-COUNTIF(P$4:P92,""Sell_G"&amp;"randma"")&lt;1,COUNTIF(P$4:P92,VLOOKUP(P92,Upgrades!$F$8:$N$8,7+COUNTIF(P$4:P92,P92)))-COUNTIF(P$4:P92,""Sell_""&amp;VLOOKUP(P92,Upgrades!$F$8:$N$8,7+COUNTIF(P$4:P92,P92)))&lt;15),1),IF(REGEXMATCH(P92,""_up""),IF(COUNTIF(P$4:P92,SUBSTITUTE(P92,""_up"",""""))&lt;IFERRO"&amp;"R(VLOOKUP(P92,Upgrades!$L$3:$P$6,1+COUNTIF(P$4:P92,P92),0),999),1),IF(REGEXMATCH(P92,""Sell_""),IF(COUNTIF(P$4:P92,SUBSTITUTE(P92,""Sell_"",""""))-COUNTIF(P$4:P91,P92)&lt;1,1),FALSE)))))))))"),FALSE)</f>
        <v>0</v>
      </c>
      <c r="R92" s="71">
        <f>IFERROR(__xludf.DUMMYFUNCTION("IF(REGEXMATCH(P92,""^Sell_""),R91, IF(COUNTA(P92:P147)=0,"""",(COUNTIF(P$4:P92,""Cursor"")-COUNTIF(P$4:P92,""Sell_Cursor""))*(0.1*2^SWITCH(COUNTIF(P$4:P92,""Cursor_up""),0,0,1,1,2,2,3)+SWITCH(COUNTIF(P$4:P92,""Cursor_up""),4,0.1,0)*(ROW(P92)-4-COUNTIF(P$4"&amp;":P92,""Cursor"")-COUNTIF(P$4:P92,""*""&amp;""_up"")-2*COUNTIF(P$4:P92,""Sell_""&amp;""*"")+COUNTIF(P$4:P92,""Sell_Cursor"")-COUNTIF(P$4:P92,"""")))+(COUNTIF(P$4:P92,""Grandma"")-COUNTIF(P$4:P92,""Sell_Grandma""))*(1*2^(COUNTIF(P$4:P92,""Grandma_up"")+COUNTIF(P$4:"&amp;"P92,""Super_up"")))+(COUNTIF(P$4:P92,""Farm"")-COUNTIF(P$4:P92,""Sell_Farm""))*(8*2^COUNTIF(P$4:P92,""Farm_up""))*IF(COUNTIF(P$4:P92,""Super_up"")&gt;0,1+0.01*(COUNTIF(P$4:P92,""Grandma"")-COUNTIF(P$4:P92,""Sell_Grandma"")),1)+(COUNTIF(P$4:P92,""Mine"")-COUN"&amp;"TIF(P$4:P92,""Sell_Mine""))*((47*2^COUNTIF(P$4:P92,""Mine_up""))*IF(COUNTIF(P$4:P92,""Super_up"")&gt;1,1+0.005*(COUNTIF(P$4:P92,""Grandma"")-COUNTIF(P$4:P92,""Sell_Grandma"")),1))+(COUNTIF(P$4:P92,""Factory"")-COUNTIF(P$4:P92,""Sell_Factory""))*(260*2^COUNTI"&amp;"F(P$4:P92,""Factory_up""))))"),1537.8000000000002)</f>
        <v>1537.8</v>
      </c>
      <c r="S92" s="73">
        <f>IFERROR(__xludf.DUMMYFUNCTION("IF(COUNTA(P92:P147)=0,"""",IF(REGEXMATCH(INDEX(FILTER(P$4:P92,P$4:P92&lt;&gt;""""),ROWS(FILTER(P$4:P92,P$4:P92&lt;&gt;""""))),""^Sell_""),INDEX(FILTER(S$4:S91,P$4:P91&lt;&gt;""""),ROWS(FILTER(P$4:P91,P$4:P91&lt;&gt;""""))),$AD$5*(2^SWITCH(COUNTIF(P$4:P92,""Cursor_up""),0,0,1,1,2"&amp;",2,3)+SWITCH(COUNTIF(P$4:P92,""Cursor_up""),4,0.1,0)*(ROW(P92)-4-COUNTIF(P$4:P92,""Cursor"")-COUNTIF(P$4:P92,""*""&amp;""_up"")-2*COUNTIF(P$4:P92,""Sell_""&amp;""*"")+COUNTIF(P$4:P92,""Sell_Cursor"")-COUNTIF(P$4:P92,""""))+0.01*R92*COUNTIF(P$4:P92,""Plastic_up"")"&amp;")+R92))"),1888.4700000000003)</f>
        <v>1888.47</v>
      </c>
      <c r="T92" s="14">
        <f>IFERROR(__xludf.DUMMYFUNCTION("IF(COUNTA(P92:P147)=0,"""",IF(REGEXMATCH(P92,""_up""),VLOOKUP(P92,Upgrades!$F$3:$J$8,1+COUNTIF(P$4:P92,P92),FALSE),IF(P92="""",0,IF(REGEXMATCH(P92,""^Sell_""),-ROUNDDOWN(ROUNDUP(INDEX(Upgrades!$C$3:$C$8,MATCH(SUBSTITUTE(P92,""Sell_"",""""),Upgrades!$B$3:$"&amp;"B$8,0))*1.15^(COUNTIF(P$4:P91,SUBSTITUTE(P92,""Sell_"",""""))-COUNTIF(P$4:P91,""Sell_""&amp;SUBSTITUTE(P92,""Sell_"",""""))))/4),ROUNDUP(INDEX(Upgrades!$C$3:$C$7,MATCH(P92,Upgrades!$B$3:$B$7,0))*1.15^(COUNTIF(P$4:P91,P92)-COUNTIF(P$4:P91,""Sell_""&amp;P92)))))))"),8757.0)</f>
        <v>8757</v>
      </c>
      <c r="U92" s="14">
        <f t="shared" si="10"/>
        <v>8757</v>
      </c>
      <c r="V92" s="75">
        <f t="shared" si="11"/>
        <v>4645078.939</v>
      </c>
      <c r="W92" s="76">
        <f t="shared" si="12"/>
        <v>839.2931943</v>
      </c>
      <c r="X92" s="71" t="str">
        <f t="shared" si="13"/>
        <v>13m 59s</v>
      </c>
      <c r="Y92" s="77">
        <f t="shared" si="14"/>
        <v>460525</v>
      </c>
      <c r="Z92" s="17"/>
      <c r="AA92" s="13"/>
      <c r="AB92" s="13"/>
      <c r="AC92" s="13"/>
      <c r="AD92" s="13"/>
      <c r="AE92" s="13"/>
      <c r="AF92" s="13"/>
      <c r="AG92" s="13"/>
    </row>
    <row r="93">
      <c r="A93" s="12"/>
      <c r="B93" s="65">
        <f t="shared" si="2"/>
        <v>4</v>
      </c>
      <c r="C93" s="66" t="s">
        <v>18</v>
      </c>
      <c r="D93" s="14" t="b">
        <f>IFERROR(__xludf.DUMMYFUNCTION("IF(COUNTA(C93:C147)=0,"""",IFERROR(IF(ISBLANK(C93),FALSE,IF(ISBLANK(G93),1,IF(NOT(COUNTIF($AA$24:$AA$34,SUBSTITUTE(C93,""Sell_"",""""))),1,IF(C93=""Plastic_up"",IF(I93&lt;1000,1),IF(C93=""Super_Up"",IF(OR(COUNTIF(C$4:C93,""Grandma"")-COUNTIF(C$4:C93,""Sell_G"&amp;"randma"")&lt;1,COUNTIF(C$4:C93,VLOOKUP(C93,Upgrades!$F$8:$N$8,7+COUNTIF(C$4:C93,C93)))-COUNTIF(C$4:C93,""Sell_""&amp;VLOOKUP(C93,Upgrades!$F$8:$N$8,7+COUNTIF(C$4:C93,C93)))&lt;15),1),IF(REGEXMATCH(C93,""_up""),IF(COUNTIF(C$4:C93,SUBSTITUTE(C93,""_up"",""""))&lt;IFERRO"&amp;"R(VLOOKUP(C93,Upgrades!$L$3:$P$6,1+COUNTIF(C$4:C93,C93),0),999),1),IF(REGEXMATCH(C93,""Sell_""),IF(COUNTIF(C$4:C93,SUBSTITUTE(C93,""Sell_"",""""))-COUNTIF(C$4:C92,C93)&lt;1,1),FALSE)))))))))"),FALSE)</f>
        <v>0</v>
      </c>
      <c r="E93" s="71">
        <f>IFERROR(__xludf.DUMMYFUNCTION("IF(REGEXMATCH(C93,""^Sell_""),E92, IF(COUNTA(C93:C147)=0,"""",(COUNTIF(C$4:C93,""Cursor"")-COUNTIF(C$4:C93,""Sell_Cursor""))*(0.1*2^SWITCH(COUNTIF(C$4:C93,""Cursor_up""),0,0,1,1,2,2,3)+SWITCH(COUNTIF(C$4:C93,""Cursor_up""),4,0.1,0)*(ROW(C93)-4-COUNTIF(C$4"&amp;":C93,""Cursor"")-COUNTIF(C$4:C93,""*""&amp;""_up"")-2*COUNTIF(C$4:C93,""Sell_""&amp;""*"")+COUNTIF(C$4:C93,""Sell_Cursor"")-COUNTIF(C$4:C93,"""")))+(COUNTIF(C$4:C93,""Grandma"")-COUNTIF(C$4:C93,""Sell_Grandma""))*(1*2^(COUNTIF(C$4:C93,""Grandma_up"")+COUNTIF(C$4:"&amp;"C93,""Super_up"")))+(COUNTIF(C$4:C93,""Farm"")-COUNTIF(C$4:C93,""Sell_Farm""))*(8*2^COUNTIF(C$4:C93,""Farm_up""))*IF(COUNTIF(C$4:C93,""Super_up"")&gt;0,1+0.01*(COUNTIF(C$4:C93,""Grandma"")-COUNTIF(C$4:C93,""Sell_Grandma"")),1)+(COUNTIF(C$4:C93,""Mine"")-COUN"&amp;"TIF(C$4:C93,""Sell_Mine""))*((47*2^COUNTIF(C$4:C93,""Mine_up""))*IF(COUNTIF(C$4:C93,""Super_up"")&gt;1,1+0.005*(COUNTIF(C$4:C93,""Grandma"")-COUNTIF(C$4:C93,""Sell_Grandma"")),1))+(COUNTIF(C$4:C93,""Factory"")-COUNTIF(C$4:C93,""Sell_Factory""))*(260*2^COUNTI"&amp;"F(C$4:C93,""Factory_up""))))"),1584.8000000000002)</f>
        <v>1584.8</v>
      </c>
      <c r="F93" s="73">
        <f>IFERROR(__xludf.DUMMYFUNCTION("IF(COUNTA(C93:C147)=0,"""",IF(REGEXMATCH(INDEX(FILTER(C$4:C93,C$4:C93&lt;&gt;""""),ROWS(FILTER(C$4:C93,C$4:C93&lt;&gt;""""))),""^Sell_""),INDEX(FILTER(F$4:F92,C$4:C92&lt;&gt;""""),ROWS(FILTER(C$4:C92,C$4:C92&lt;&gt;""""))),$AC$5*(2^SWITCH(COUNTIF(C$4:C93,""Cursor_up""),0,0,1,1,2"&amp;",2,3)+SWITCH(COUNTIF(C$4:C93,""Cursor_up""),4,0.1,0)*(ROW(C93)-4-COUNTIF(C$4:C93,""Cursor"")-COUNTIF(C$4:C93,""*""&amp;""_up"")-2*COUNTIF(C$4:C93,""Sell_""&amp;""*"")+COUNTIF(C$4:C93,""Sell_Cursor"")-COUNTIF(C$4:C93,""""))+0.01*E93*COUNTIF(C$4:C93,""Plastic_up"")"&amp;")+E93))"),1942.5200000000002)</f>
        <v>1942.52</v>
      </c>
      <c r="G93" s="14">
        <f>IFERROR(__xludf.DUMMYFUNCTION("IF(COUNTA(C93:C147)=0,"""",IF(REGEXMATCH(C93,""_up""),VLOOKUP(C93,Upgrades!$F$3:$J$8,1+COUNTIF(C$4:C93,C93),FALSE),IF(C93="""",0,IF(REGEXMATCH(C93,""^Sell_""),-ROUNDDOWN(ROUNDUP(INDEX(Upgrades!$C$3:$C$8,MATCH(SUBSTITUTE(C93,""Sell_"",""""),Upgrades!$B$3:$"&amp;"B$8,0))*1.15^(COUNTIF(C$4:C92,SUBSTITUTE(C93,""Sell_"",""""))-COUNTIF(C$4:C92,""Sell_""&amp;SUBSTITUTE(C93,""Sell_"",""""))))/4),ROUNDUP(INDEX(Upgrades!$C$3:$C$7,MATCH(C93,Upgrades!$B$3:$B$7,0))*1.15^(COUNTIF(C$4:C92,C93)-COUNTIF(C$4:C92,""Sell_""&amp;C93)))))))"),18251.0)</f>
        <v>18251</v>
      </c>
      <c r="H93" s="14">
        <f t="shared" si="3"/>
        <v>18251</v>
      </c>
      <c r="I93" s="75">
        <f t="shared" si="4"/>
        <v>4942782.912</v>
      </c>
      <c r="J93" s="76">
        <f t="shared" si="5"/>
        <v>848.9576317</v>
      </c>
      <c r="K93" s="71" t="str">
        <f t="shared" si="6"/>
        <v>14m 08s</v>
      </c>
      <c r="L93" s="77">
        <f t="shared" si="7"/>
        <v>478776</v>
      </c>
      <c r="M93" s="51">
        <f t="shared" si="8"/>
        <v>0</v>
      </c>
      <c r="N93" s="52">
        <f>IFERROR(__xludf.DUMMYFUNCTION("IFS(AND(COUNTA(C93:C147)=0,COUNTA(P93:P147)=0),"""",OR(AND(L93&gt;=1000000,OR(Y93&gt;=1000000,COUNTA(P93:P147)=0)),AND(Y93&gt;=1000000,COUNTA(C93:C147)=0),AND(COUNTA(P93:P147)=0,O$3=TRUE)),
ROUNDDOWN((AB$1-AC$1)*MAX(INDEX(S$4:S147,MATCH(LARGE(FILTER(Y$4:Y147,Y$4:Y"&amp;"147&lt;1000000),1),Y$4:Y147)),INDEX(F$4:F147,MATCH(LARGE(FILTER(L$4:L147,L$4:L147&lt;1000000),1),L$4:L147)))),AND(L93&lt;1000000,COUNTA(C93:C147)&gt;0,O$3=FALSE),
ROUNDDOWN(INDEX(Y$4:Y147,MATCH(LARGE(FILTER(W$4:W147,W$4:W147&lt;=J93),1),W$4:W147))+(J93-LARGE(FILTER(W$4:"&amp;"W147,W$4:W147&lt;=J93),1))*INDEX(S$4:S147,MATCH(LARGE(FILTER(W$4:W147,W$4:W147&lt;=J93),1),W$4:W147))-L93),1,
ROUNDDOWN(Y93-INDEX(L$4:L147,MATCH(LARGE(FILTER(J$4:J147,J$4:J147&lt;=W93),1),J$4:J147))-(W93-LARGE(FILTER(J$4:J147,J$4:J147&lt;=W93),1))*INDEX(F$4:F147,MATC"&amp;"H(LARGE(FILTER(J$4:J147,J$4:J147&lt;=W93),1),J$4:J147))))"),0.0)</f>
        <v>0</v>
      </c>
      <c r="O93" s="65">
        <f t="shared" si="9"/>
        <v>4</v>
      </c>
      <c r="P93" s="66" t="s">
        <v>18</v>
      </c>
      <c r="Q93" s="14" t="b">
        <f>IFERROR(__xludf.DUMMYFUNCTION("IF(COUNTA(P93:P147)=0,"""",IFERROR(IF(ISBLANK(P93),FALSE,IF(ISBLANK(T93),1,IF(NOT(COUNTIF($AA$24:$AA$34,SUBSTITUTE(P93,""Sell_"",""""))),1,IF(P93=""Plastic_up"",IF(V93&lt;1000,1),IF(P93=""Super_Up"",IF(OR(COUNTIF(P$4:P93,""Grandma"")-COUNTIF(P$4:P93,""Sell_G"&amp;"randma"")&lt;1,COUNTIF(P$4:P93,VLOOKUP(P93,Upgrades!$F$8:$N$8,7+COUNTIF(P$4:P93,P93)))-COUNTIF(P$4:P93,""Sell_""&amp;VLOOKUP(P93,Upgrades!$F$8:$N$8,7+COUNTIF(P$4:P93,P93)))&lt;15),1),IF(REGEXMATCH(P93,""_up""),IF(COUNTIF(P$4:P93,SUBSTITUTE(P93,""_up"",""""))&lt;IFERRO"&amp;"R(VLOOKUP(P93,Upgrades!$L$3:$P$6,1+COUNTIF(P$4:P93,P93),0),999),1),IF(REGEXMATCH(P93,""Sell_""),IF(COUNTIF(P$4:P93,SUBSTITUTE(P93,""Sell_"",""""))-COUNTIF(P$4:P92,P93)&lt;1,1),FALSE)))))))))"),FALSE)</f>
        <v>0</v>
      </c>
      <c r="R93" s="71">
        <f>IFERROR(__xludf.DUMMYFUNCTION("IF(REGEXMATCH(P93,""^Sell_""),R92, IF(COUNTA(P93:P147)=0,"""",(COUNTIF(P$4:P93,""Cursor"")-COUNTIF(P$4:P93,""Sell_Cursor""))*(0.1*2^SWITCH(COUNTIF(P$4:P93,""Cursor_up""),0,0,1,1,2,2,3)+SWITCH(COUNTIF(P$4:P93,""Cursor_up""),4,0.1,0)*(ROW(P93)-4-COUNTIF(P$4"&amp;":P93,""Cursor"")-COUNTIF(P$4:P93,""*""&amp;""_up"")-2*COUNTIF(P$4:P93,""Sell_""&amp;""*"")+COUNTIF(P$4:P93,""Sell_Cursor"")-COUNTIF(P$4:P93,"""")))+(COUNTIF(P$4:P93,""Grandma"")-COUNTIF(P$4:P93,""Sell_Grandma""))*(1*2^(COUNTIF(P$4:P93,""Grandma_up"")+COUNTIF(P$4:"&amp;"P93,""Super_up"")))+(COUNTIF(P$4:P93,""Farm"")-COUNTIF(P$4:P93,""Sell_Farm""))*(8*2^COUNTIF(P$4:P93,""Farm_up""))*IF(COUNTIF(P$4:P93,""Super_up"")&gt;0,1+0.01*(COUNTIF(P$4:P93,""Grandma"")-COUNTIF(P$4:P93,""Sell_Grandma"")),1)+(COUNTIF(P$4:P93,""Mine"")-COUN"&amp;"TIF(P$4:P93,""Sell_Mine""))*((47*2^COUNTIF(P$4:P93,""Mine_up""))*IF(COUNTIF(P$4:P93,""Super_up"")&gt;1,1+0.005*(COUNTIF(P$4:P93,""Grandma"")-COUNTIF(P$4:P93,""Sell_Grandma"")),1))+(COUNTIF(P$4:P93,""Factory"")-COUNTIF(P$4:P93,""Sell_Factory""))*(260*2^COUNTI"&amp;"F(P$4:P93,""Factory_up""))))"),1584.8000000000002)</f>
        <v>1584.8</v>
      </c>
      <c r="S93" s="73">
        <f>IFERROR(__xludf.DUMMYFUNCTION("IF(COUNTA(P93:P147)=0,"""",IF(REGEXMATCH(INDEX(FILTER(P$4:P93,P$4:P93&lt;&gt;""""),ROWS(FILTER(P$4:P93,P$4:P93&lt;&gt;""""))),""^Sell_""),INDEX(FILTER(S$4:S92,P$4:P92&lt;&gt;""""),ROWS(FILTER(P$4:P92,P$4:P92&lt;&gt;""""))),$AD$5*(2^SWITCH(COUNTIF(P$4:P93,""Cursor_up""),0,0,1,1,2"&amp;",2,3)+SWITCH(COUNTIF(P$4:P93,""Cursor_up""),4,0.1,0)*(ROW(P93)-4-COUNTIF(P$4:P93,""Cursor"")-COUNTIF(P$4:P93,""*""&amp;""_up"")-2*COUNTIF(P$4:P93,""Sell_""&amp;""*"")+COUNTIF(P$4:P93,""Sell_Cursor"")-COUNTIF(P$4:P93,""""))+0.01*R93*COUNTIF(P$4:P93,""Plastic_up"")"&amp;")+R93))"),1942.5200000000002)</f>
        <v>1942.52</v>
      </c>
      <c r="T93" s="14">
        <f>IFERROR(__xludf.DUMMYFUNCTION("IF(COUNTA(P93:P147)=0,"""",IF(REGEXMATCH(P93,""_up""),VLOOKUP(P93,Upgrades!$F$3:$J$8,1+COUNTIF(P$4:P93,P93),FALSE),IF(P93="""",0,IF(REGEXMATCH(P93,""^Sell_""),-ROUNDDOWN(ROUNDUP(INDEX(Upgrades!$C$3:$C$8,MATCH(SUBSTITUTE(P93,""Sell_"",""""),Upgrades!$B$3:$"&amp;"B$8,0))*1.15^(COUNTIF(P$4:P92,SUBSTITUTE(P93,""Sell_"",""""))-COUNTIF(P$4:P92,""Sell_""&amp;SUBSTITUTE(P93,""Sell_"",""""))))/4),ROUNDUP(INDEX(Upgrades!$C$3:$C$7,MATCH(P93,Upgrades!$B$3:$B$7,0))*1.15^(COUNTIF(P$4:P92,P93)-COUNTIF(P$4:P92,""Sell_""&amp;P93)))))))"),18251.0)</f>
        <v>18251</v>
      </c>
      <c r="U93" s="14">
        <f t="shared" si="10"/>
        <v>18251</v>
      </c>
      <c r="V93" s="75">
        <f t="shared" si="11"/>
        <v>4942782.912</v>
      </c>
      <c r="W93" s="76">
        <f t="shared" si="12"/>
        <v>848.9576317</v>
      </c>
      <c r="X93" s="71" t="str">
        <f t="shared" si="13"/>
        <v>14m 08s</v>
      </c>
      <c r="Y93" s="77">
        <f t="shared" si="14"/>
        <v>478776</v>
      </c>
      <c r="Z93" s="17"/>
      <c r="AA93" s="13"/>
      <c r="AB93" s="13"/>
      <c r="AC93" s="13"/>
      <c r="AD93" s="13"/>
      <c r="AE93" s="13"/>
      <c r="AF93" s="13"/>
      <c r="AG93" s="13"/>
    </row>
    <row r="94">
      <c r="A94" s="12"/>
      <c r="B94" s="65">
        <f t="shared" si="2"/>
        <v>23</v>
      </c>
      <c r="C94" s="66" t="s">
        <v>10</v>
      </c>
      <c r="D94" s="14" t="b">
        <f>IFERROR(__xludf.DUMMYFUNCTION("IF(COUNTA(C94:C147)=0,"""",IFERROR(IF(ISBLANK(C94),FALSE,IF(ISBLANK(G94),1,IF(NOT(COUNTIF($AA$24:$AA$34,SUBSTITUTE(C94,""Sell_"",""""))),1,IF(C94=""Plastic_up"",IF(I94&lt;1000,1),IF(C94=""Super_Up"",IF(OR(COUNTIF(C$4:C94,""Grandma"")-COUNTIF(C$4:C94,""Sell_G"&amp;"randma"")&lt;1,COUNTIF(C$4:C94,VLOOKUP(C94,Upgrades!$F$8:$N$8,7+COUNTIF(C$4:C94,C94)))-COUNTIF(C$4:C94,""Sell_""&amp;VLOOKUP(C94,Upgrades!$F$8:$N$8,7+COUNTIF(C$4:C94,C94)))&lt;15),1),IF(REGEXMATCH(C94,""_up""),IF(COUNTIF(C$4:C94,SUBSTITUTE(C94,""_up"",""""))&lt;IFERRO"&amp;"R(VLOOKUP(C94,Upgrades!$L$3:$P$6,1+COUNTIF(C$4:C94,C94),0),999),1),IF(REGEXMATCH(C94,""Sell_""),IF(COUNTIF(C$4:C94,SUBSTITUTE(C94,""Sell_"",""""))-COUNTIF(C$4:C93,C94)&lt;1,1),FALSE)))))))))"),FALSE)</f>
        <v>0</v>
      </c>
      <c r="E94" s="71">
        <f>IFERROR(__xludf.DUMMYFUNCTION("IF(REGEXMATCH(C94,""^Sell_""),E93, IF(COUNTA(C94:C147)=0,"""",(COUNTIF(C$4:C94,""Cursor"")-COUNTIF(C$4:C94,""Sell_Cursor""))*(0.1*2^SWITCH(COUNTIF(C$4:C94,""Cursor_up""),0,0,1,1,2,2,3)+SWITCH(COUNTIF(C$4:C94,""Cursor_up""),4,0.1,0)*(ROW(C94)-4-COUNTIF(C$4"&amp;":C94,""Cursor"")-COUNTIF(C$4:C94,""*""&amp;""_up"")-2*COUNTIF(C$4:C94,""Sell_""&amp;""*"")+COUNTIF(C$4:C94,""Sell_Cursor"")-COUNTIF(C$4:C94,"""")))+(COUNTIF(C$4:C94,""Grandma"")-COUNTIF(C$4:C94,""Sell_Grandma""))*(1*2^(COUNTIF(C$4:C94,""Grandma_up"")+COUNTIF(C$4:"&amp;"C94,""Super_up"")))+(COUNTIF(C$4:C94,""Farm"")-COUNTIF(C$4:C94,""Sell_Farm""))*(8*2^COUNTIF(C$4:C94,""Farm_up""))*IF(COUNTIF(C$4:C94,""Super_up"")&gt;0,1+0.01*(COUNTIF(C$4:C94,""Grandma"")-COUNTIF(C$4:C94,""Sell_Grandma"")),1)+(COUNTIF(C$4:C94,""Mine"")-COUN"&amp;"TIF(C$4:C94,""Sell_Mine""))*((47*2^COUNTIF(C$4:C94,""Mine_up""))*IF(COUNTIF(C$4:C94,""Super_up"")&gt;1,1+0.005*(COUNTIF(C$4:C94,""Grandma"")-COUNTIF(C$4:C94,""Sell_Grandma"")),1))+(COUNTIF(C$4:C94,""Factory"")-COUNTIF(C$4:C94,""Sell_Factory""))*(260*2^COUNTI"&amp;"F(C$4:C94,""Factory_up""))))"),1585.6)</f>
        <v>1585.6</v>
      </c>
      <c r="F94" s="73">
        <f>IFERROR(__xludf.DUMMYFUNCTION("IF(COUNTA(C94:C147)=0,"""",IF(REGEXMATCH(INDEX(FILTER(C$4:C94,C$4:C94&lt;&gt;""""),ROWS(FILTER(C$4:C94,C$4:C94&lt;&gt;""""))),""^Sell_""),INDEX(FILTER(F$4:F93,C$4:C93&lt;&gt;""""),ROWS(FILTER(C$4:C93,C$4:C93&lt;&gt;""""))),$AC$5*(2^SWITCH(COUNTIF(C$4:C94,""Cursor_up""),0,0,1,1,2"&amp;",2,3)+SWITCH(COUNTIF(C$4:C94,""Cursor_up""),4,0.1,0)*(ROW(C94)-4-COUNTIF(C$4:C94,""Cursor"")-COUNTIF(C$4:C94,""*""&amp;""_up"")-2*COUNTIF(C$4:C94,""Sell_""&amp;""*"")+COUNTIF(C$4:C94,""Sell_Cursor"")-COUNTIF(C$4:C94,""""))+0.01*E94*COUNTIF(C$4:C94,""Plastic_up"")"&amp;")+E94))"),1943.44)</f>
        <v>1943.44</v>
      </c>
      <c r="G94" s="14">
        <f>IFERROR(__xludf.DUMMYFUNCTION("IF(COUNTA(C94:C147)=0,"""",IF(REGEXMATCH(C94,""_up""),VLOOKUP(C94,Upgrades!$F$3:$J$8,1+COUNTIF(C$4:C94,C94),FALSE),IF(C94="""",0,IF(REGEXMATCH(C94,""^Sell_""),-ROUNDDOWN(ROUNDUP(INDEX(Upgrades!$C$3:$C$8,MATCH(SUBSTITUTE(C94,""Sell_"",""""),Upgrades!$B$3:$"&amp;"B$8,0))*1.15^(COUNTIF(C$4:C93,SUBSTITUTE(C94,""Sell_"",""""))-COUNTIF(C$4:C93,""Sell_""&amp;SUBSTITUTE(C94,""Sell_"",""""))))/4),ROUNDUP(INDEX(Upgrades!$C$3:$C$7,MATCH(C94,Upgrades!$B$3:$B$7,0))*1.15^(COUNTIF(C$4:C93,C94)-COUNTIF(C$4:C93,""Sell_""&amp;C94)))))))"),325.0)</f>
        <v>325</v>
      </c>
      <c r="H94" s="14">
        <f t="shared" si="3"/>
        <v>325</v>
      </c>
      <c r="I94" s="75">
        <f t="shared" si="4"/>
        <v>5246531.886</v>
      </c>
      <c r="J94" s="76">
        <f t="shared" si="5"/>
        <v>849.1249401</v>
      </c>
      <c r="K94" s="71" t="str">
        <f t="shared" si="6"/>
        <v>14m 09s</v>
      </c>
      <c r="L94" s="77">
        <f t="shared" si="7"/>
        <v>479101</v>
      </c>
      <c r="M94" s="51">
        <f t="shared" si="8"/>
        <v>0</v>
      </c>
      <c r="N94" s="52">
        <f>IFERROR(__xludf.DUMMYFUNCTION("IFS(AND(COUNTA(C94:C147)=0,COUNTA(P94:P147)=0),"""",OR(AND(L94&gt;=1000000,OR(Y94&gt;=1000000,COUNTA(P94:P147)=0)),AND(Y94&gt;=1000000,COUNTA(C94:C147)=0),AND(COUNTA(P94:P147)=0,O$3=TRUE)),
ROUNDDOWN((AB$1-AC$1)*MAX(INDEX(S$4:S147,MATCH(LARGE(FILTER(Y$4:Y147,Y$4:Y"&amp;"147&lt;1000000),1),Y$4:Y147)),INDEX(F$4:F147,MATCH(LARGE(FILTER(L$4:L147,L$4:L147&lt;1000000),1),L$4:L147)))),AND(L94&lt;1000000,COUNTA(C94:C147)&gt;0,O$3=FALSE),
ROUNDDOWN(INDEX(Y$4:Y147,MATCH(LARGE(FILTER(W$4:W147,W$4:W147&lt;=J94),1),W$4:W147))+(J94-LARGE(FILTER(W$4:"&amp;"W147,W$4:W147&lt;=J94),1))*INDEX(S$4:S147,MATCH(LARGE(FILTER(W$4:W147,W$4:W147&lt;=J94),1),W$4:W147))-L94),1,
ROUNDDOWN(Y94-INDEX(L$4:L147,MATCH(LARGE(FILTER(J$4:J147,J$4:J147&lt;=W94),1),J$4:J147))-(W94-LARGE(FILTER(J$4:J147,J$4:J147&lt;=W94),1))*INDEX(F$4:F147,MATC"&amp;"H(LARGE(FILTER(J$4:J147,J$4:J147&lt;=W94),1),J$4:J147))))"),0.0)</f>
        <v>0</v>
      </c>
      <c r="O94" s="65">
        <f t="shared" si="9"/>
        <v>23</v>
      </c>
      <c r="P94" s="66" t="s">
        <v>10</v>
      </c>
      <c r="Q94" s="14" t="b">
        <f>IFERROR(__xludf.DUMMYFUNCTION("IF(COUNTA(P94:P147)=0,"""",IFERROR(IF(ISBLANK(P94),FALSE,IF(ISBLANK(T94),1,IF(NOT(COUNTIF($AA$24:$AA$34,SUBSTITUTE(P94,""Sell_"",""""))),1,IF(P94=""Plastic_up"",IF(V94&lt;1000,1),IF(P94=""Super_Up"",IF(OR(COUNTIF(P$4:P94,""Grandma"")-COUNTIF(P$4:P94,""Sell_G"&amp;"randma"")&lt;1,COUNTIF(P$4:P94,VLOOKUP(P94,Upgrades!$F$8:$N$8,7+COUNTIF(P$4:P94,P94)))-COUNTIF(P$4:P94,""Sell_""&amp;VLOOKUP(P94,Upgrades!$F$8:$N$8,7+COUNTIF(P$4:P94,P94)))&lt;15),1),IF(REGEXMATCH(P94,""_up""),IF(COUNTIF(P$4:P94,SUBSTITUTE(P94,""_up"",""""))&lt;IFERRO"&amp;"R(VLOOKUP(P94,Upgrades!$L$3:$P$6,1+COUNTIF(P$4:P94,P94),0),999),1),IF(REGEXMATCH(P94,""Sell_""),IF(COUNTIF(P$4:P94,SUBSTITUTE(P94,""Sell_"",""""))-COUNTIF(P$4:P93,P94)&lt;1,1),FALSE)))))))))"),FALSE)</f>
        <v>0</v>
      </c>
      <c r="R94" s="71">
        <f>IFERROR(__xludf.DUMMYFUNCTION("IF(REGEXMATCH(P94,""^Sell_""),R93, IF(COUNTA(P94:P147)=0,"""",(COUNTIF(P$4:P94,""Cursor"")-COUNTIF(P$4:P94,""Sell_Cursor""))*(0.1*2^SWITCH(COUNTIF(P$4:P94,""Cursor_up""),0,0,1,1,2,2,3)+SWITCH(COUNTIF(P$4:P94,""Cursor_up""),4,0.1,0)*(ROW(P94)-4-COUNTIF(P$4"&amp;":P94,""Cursor"")-COUNTIF(P$4:P94,""*""&amp;""_up"")-2*COUNTIF(P$4:P94,""Sell_""&amp;""*"")+COUNTIF(P$4:P94,""Sell_Cursor"")-COUNTIF(P$4:P94,"""")))+(COUNTIF(P$4:P94,""Grandma"")-COUNTIF(P$4:P94,""Sell_Grandma""))*(1*2^(COUNTIF(P$4:P94,""Grandma_up"")+COUNTIF(P$4:"&amp;"P94,""Super_up"")))+(COUNTIF(P$4:P94,""Farm"")-COUNTIF(P$4:P94,""Sell_Farm""))*(8*2^COUNTIF(P$4:P94,""Farm_up""))*IF(COUNTIF(P$4:P94,""Super_up"")&gt;0,1+0.01*(COUNTIF(P$4:P94,""Grandma"")-COUNTIF(P$4:P94,""Sell_Grandma"")),1)+(COUNTIF(P$4:P94,""Mine"")-COUN"&amp;"TIF(P$4:P94,""Sell_Mine""))*((47*2^COUNTIF(P$4:P94,""Mine_up""))*IF(COUNTIF(P$4:P94,""Super_up"")&gt;1,1+0.005*(COUNTIF(P$4:P94,""Grandma"")-COUNTIF(P$4:P94,""Sell_Grandma"")),1))+(COUNTIF(P$4:P94,""Factory"")-COUNTIF(P$4:P94,""Sell_Factory""))*(260*2^COUNTI"&amp;"F(P$4:P94,""Factory_up""))))"),1585.6)</f>
        <v>1585.6</v>
      </c>
      <c r="S94" s="73">
        <f>IFERROR(__xludf.DUMMYFUNCTION("IF(COUNTA(P94:P147)=0,"""",IF(REGEXMATCH(INDEX(FILTER(P$4:P94,P$4:P94&lt;&gt;""""),ROWS(FILTER(P$4:P94,P$4:P94&lt;&gt;""""))),""^Sell_""),INDEX(FILTER(S$4:S93,P$4:P93&lt;&gt;""""),ROWS(FILTER(P$4:P93,P$4:P93&lt;&gt;""""))),$AD$5*(2^SWITCH(COUNTIF(P$4:P94,""Cursor_up""),0,0,1,1,2"&amp;",2,3)+SWITCH(COUNTIF(P$4:P94,""Cursor_up""),4,0.1,0)*(ROW(P94)-4-COUNTIF(P$4:P94,""Cursor"")-COUNTIF(P$4:P94,""*""&amp;""_up"")-2*COUNTIF(P$4:P94,""Sell_""&amp;""*"")+COUNTIF(P$4:P94,""Sell_Cursor"")-COUNTIF(P$4:P94,""""))+0.01*R94*COUNTIF(P$4:P94,""Plastic_up"")"&amp;")+R94))"),1943.44)</f>
        <v>1943.44</v>
      </c>
      <c r="T94" s="14">
        <f>IFERROR(__xludf.DUMMYFUNCTION("IF(COUNTA(P94:P147)=0,"""",IF(REGEXMATCH(P94,""_up""),VLOOKUP(P94,Upgrades!$F$3:$J$8,1+COUNTIF(P$4:P94,P94),FALSE),IF(P94="""",0,IF(REGEXMATCH(P94,""^Sell_""),-ROUNDDOWN(ROUNDUP(INDEX(Upgrades!$C$3:$C$8,MATCH(SUBSTITUTE(P94,""Sell_"",""""),Upgrades!$B$3:$"&amp;"B$8,0))*1.15^(COUNTIF(P$4:P93,SUBSTITUTE(P94,""Sell_"",""""))-COUNTIF(P$4:P93,""Sell_""&amp;SUBSTITUTE(P94,""Sell_"",""""))))/4),ROUNDUP(INDEX(Upgrades!$C$3:$C$7,MATCH(P94,Upgrades!$B$3:$B$7,0))*1.15^(COUNTIF(P$4:P93,P94)-COUNTIF(P$4:P93,""Sell_""&amp;P94)))))))"),325.0)</f>
        <v>325</v>
      </c>
      <c r="U94" s="14">
        <f t="shared" si="10"/>
        <v>325</v>
      </c>
      <c r="V94" s="75">
        <f t="shared" si="11"/>
        <v>5246531.886</v>
      </c>
      <c r="W94" s="76">
        <f t="shared" si="12"/>
        <v>849.1249401</v>
      </c>
      <c r="X94" s="71" t="str">
        <f t="shared" si="13"/>
        <v>14m 09s</v>
      </c>
      <c r="Y94" s="77">
        <f t="shared" si="14"/>
        <v>479101</v>
      </c>
      <c r="Z94" s="17"/>
      <c r="AA94" s="13"/>
      <c r="AB94" s="13"/>
      <c r="AC94" s="13"/>
      <c r="AD94" s="13"/>
      <c r="AE94" s="13"/>
      <c r="AF94" s="13"/>
      <c r="AG94" s="13"/>
    </row>
    <row r="95">
      <c r="A95" s="12"/>
      <c r="B95" s="65">
        <f t="shared" si="2"/>
        <v>21</v>
      </c>
      <c r="C95" s="66" t="s">
        <v>16</v>
      </c>
      <c r="D95" s="14" t="b">
        <f>IFERROR(__xludf.DUMMYFUNCTION("IF(COUNTA(C95:C147)=0,"""",IFERROR(IF(ISBLANK(C95),FALSE,IF(ISBLANK(G95),1,IF(NOT(COUNTIF($AA$24:$AA$34,SUBSTITUTE(C95,""Sell_"",""""))),1,IF(C95=""Plastic_up"",IF(I95&lt;1000,1),IF(C95=""Super_Up"",IF(OR(COUNTIF(C$4:C95,""Grandma"")-COUNTIF(C$4:C95,""Sell_G"&amp;"randma"")&lt;1,COUNTIF(C$4:C95,VLOOKUP(C95,Upgrades!$F$8:$N$8,7+COUNTIF(C$4:C95,C95)))-COUNTIF(C$4:C95,""Sell_""&amp;VLOOKUP(C95,Upgrades!$F$8:$N$8,7+COUNTIF(C$4:C95,C95)))&lt;15),1),IF(REGEXMATCH(C95,""_up""),IF(COUNTIF(C$4:C95,SUBSTITUTE(C95,""_up"",""""))&lt;IFERRO"&amp;"R(VLOOKUP(C95,Upgrades!$L$3:$P$6,1+COUNTIF(C$4:C95,C95),0),999),1),IF(REGEXMATCH(C95,""Sell_""),IF(COUNTIF(C$4:C95,SUBSTITUTE(C95,""Sell_"",""""))-COUNTIF(C$4:C94,C95)&lt;1,1),FALSE)))))))))"),FALSE)</f>
        <v>0</v>
      </c>
      <c r="E95" s="71">
        <f>IFERROR(__xludf.DUMMYFUNCTION("IF(REGEXMATCH(C95,""^Sell_""),E94, IF(COUNTA(C95:C147)=0,"""",(COUNTIF(C$4:C95,""Cursor"")-COUNTIF(C$4:C95,""Sell_Cursor""))*(0.1*2^SWITCH(COUNTIF(C$4:C95,""Cursor_up""),0,0,1,1,2,2,3)+SWITCH(COUNTIF(C$4:C95,""Cursor_up""),4,0.1,0)*(ROW(C95)-4-COUNTIF(C$4"&amp;":C95,""Cursor"")-COUNTIF(C$4:C95,""*""&amp;""_up"")-2*COUNTIF(C$4:C95,""Sell_""&amp;""*"")+COUNTIF(C$4:C95,""Sell_Cursor"")-COUNTIF(C$4:C95,"""")))+(COUNTIF(C$4:C95,""Grandma"")-COUNTIF(C$4:C95,""Sell_Grandma""))*(1*2^(COUNTIF(C$4:C95,""Grandma_up"")+COUNTIF(C$4:"&amp;"C95,""Super_up"")))+(COUNTIF(C$4:C95,""Farm"")-COUNTIF(C$4:C95,""Sell_Farm""))*(8*2^COUNTIF(C$4:C95,""Farm_up""))*IF(COUNTIF(C$4:C95,""Super_up"")&gt;0,1+0.01*(COUNTIF(C$4:C95,""Grandma"")-COUNTIF(C$4:C95,""Sell_Grandma"")),1)+(COUNTIF(C$4:C95,""Mine"")-COUN"&amp;"TIF(C$4:C95,""Sell_Mine""))*((47*2^COUNTIF(C$4:C95,""Mine_up""))*IF(COUNTIF(C$4:C95,""Super_up"")&gt;1,1+0.005*(COUNTIF(C$4:C95,""Grandma"")-COUNTIF(C$4:C95,""Sell_Grandma"")),1))+(COUNTIF(C$4:C95,""Factory"")-COUNTIF(C$4:C95,""Sell_Factory""))*(260*2^COUNTI"&amp;"F(C$4:C95,""Factory_up""))))"),1628.1599999999999)</f>
        <v>1628.16</v>
      </c>
      <c r="F95" s="73">
        <f>IFERROR(__xludf.DUMMYFUNCTION("IF(COUNTA(C95:C147)=0,"""",IF(REGEXMATCH(INDEX(FILTER(C$4:C95,C$4:C95&lt;&gt;""""),ROWS(FILTER(C$4:C95,C$4:C95&lt;&gt;""""))),""^Sell_""),INDEX(FILTER(F$4:F94,C$4:C94&lt;&gt;""""),ROWS(FILTER(C$4:C94,C$4:C94&lt;&gt;""""))),$AC$5*(2^SWITCH(COUNTIF(C$4:C95,""Cursor_up""),0,0,1,1,2"&amp;",2,3)+SWITCH(COUNTIF(C$4:C95,""Cursor_up""),4,0.1,0)*(ROW(C95)-4-COUNTIF(C$4:C95,""Cursor"")-COUNTIF(C$4:C95,""*""&amp;""_up"")-2*COUNTIF(C$4:C95,""Sell_""&amp;""*"")+COUNTIF(C$4:C95,""Sell_Cursor"")-COUNTIF(C$4:C95,""""))+0.01*E95*COUNTIF(C$4:C95,""Plastic_up"")"&amp;")+E95))"),1992.3839999999998)</f>
        <v>1992.384</v>
      </c>
      <c r="G95" s="14">
        <f>IFERROR(__xludf.DUMMYFUNCTION("IF(COUNTA(C95:C147)=0,"""",IF(REGEXMATCH(C95,""_up""),VLOOKUP(C95,Upgrades!$F$3:$J$8,1+COUNTIF(C$4:C95,C95),FALSE),IF(C95="""",0,IF(REGEXMATCH(C95,""^Sell_""),-ROUNDDOWN(ROUNDUP(INDEX(Upgrades!$C$3:$C$8,MATCH(SUBSTITUTE(C95,""Sell_"",""""),Upgrades!$B$3:$"&amp;"B$8,0))*1.15^(COUNTIF(C$4:C94,SUBSTITUTE(C95,""Sell_"",""""))-COUNTIF(C$4:C94,""Sell_""&amp;SUBSTITUTE(C95,""Sell_"",""""))))/4),ROUNDUP(INDEX(Upgrades!$C$3:$C$7,MATCH(C95,Upgrades!$B$3:$B$7,0))*1.15^(COUNTIF(C$4:C94,C95)-COUNTIF(C$4:C94,""Sell_""&amp;C95)))))))"),18004.0)</f>
        <v>18004</v>
      </c>
      <c r="H95" s="14">
        <f t="shared" si="3"/>
        <v>18004</v>
      </c>
      <c r="I95" s="75">
        <f t="shared" si="4"/>
        <v>5553697.779</v>
      </c>
      <c r="J95" s="76">
        <f t="shared" si="5"/>
        <v>858.3889256</v>
      </c>
      <c r="K95" s="71" t="str">
        <f t="shared" si="6"/>
        <v>14m 18s</v>
      </c>
      <c r="L95" s="77">
        <f t="shared" si="7"/>
        <v>497105</v>
      </c>
      <c r="M95" s="51">
        <f t="shared" si="8"/>
        <v>0</v>
      </c>
      <c r="N95" s="52">
        <f>IFERROR(__xludf.DUMMYFUNCTION("IFS(AND(COUNTA(C95:C147)=0,COUNTA(P95:P147)=0),"""",OR(AND(L95&gt;=1000000,OR(Y95&gt;=1000000,COUNTA(P95:P147)=0)),AND(Y95&gt;=1000000,COUNTA(C95:C147)=0),AND(COUNTA(P95:P147)=0,O$3=TRUE)),
ROUNDDOWN((AB$1-AC$1)*MAX(INDEX(S$4:S147,MATCH(LARGE(FILTER(Y$4:Y147,Y$4:Y"&amp;"147&lt;1000000),1),Y$4:Y147)),INDEX(F$4:F147,MATCH(LARGE(FILTER(L$4:L147,L$4:L147&lt;1000000),1),L$4:L147)))),AND(L95&lt;1000000,COUNTA(C95:C147)&gt;0,O$3=FALSE),
ROUNDDOWN(INDEX(Y$4:Y147,MATCH(LARGE(FILTER(W$4:W147,W$4:W147&lt;=J95),1),W$4:W147))+(J95-LARGE(FILTER(W$4:"&amp;"W147,W$4:W147&lt;=J95),1))*INDEX(S$4:S147,MATCH(LARGE(FILTER(W$4:W147,W$4:W147&lt;=J95),1),W$4:W147))-L95),1,
ROUNDDOWN(Y95-INDEX(L$4:L147,MATCH(LARGE(FILTER(J$4:J147,J$4:J147&lt;=W95),1),J$4:J147))-(W95-LARGE(FILTER(J$4:J147,J$4:J147&lt;=W95),1))*INDEX(F$4:F147,MATC"&amp;"H(LARGE(FILTER(J$4:J147,J$4:J147&lt;=W95),1),J$4:J147))))"),0.0)</f>
        <v>0</v>
      </c>
      <c r="O95" s="65">
        <f t="shared" si="9"/>
        <v>21</v>
      </c>
      <c r="P95" s="66" t="s">
        <v>16</v>
      </c>
      <c r="Q95" s="14" t="b">
        <f>IFERROR(__xludf.DUMMYFUNCTION("IF(COUNTA(P95:P147)=0,"""",IFERROR(IF(ISBLANK(P95),FALSE,IF(ISBLANK(T95),1,IF(NOT(COUNTIF($AA$24:$AA$34,SUBSTITUTE(P95,""Sell_"",""""))),1,IF(P95=""Plastic_up"",IF(V95&lt;1000,1),IF(P95=""Super_Up"",IF(OR(COUNTIF(P$4:P95,""Grandma"")-COUNTIF(P$4:P95,""Sell_G"&amp;"randma"")&lt;1,COUNTIF(P$4:P95,VLOOKUP(P95,Upgrades!$F$8:$N$8,7+COUNTIF(P$4:P95,P95)))-COUNTIF(P$4:P95,""Sell_""&amp;VLOOKUP(P95,Upgrades!$F$8:$N$8,7+COUNTIF(P$4:P95,P95)))&lt;15),1),IF(REGEXMATCH(P95,""_up""),IF(COUNTIF(P$4:P95,SUBSTITUTE(P95,""_up"",""""))&lt;IFERRO"&amp;"R(VLOOKUP(P95,Upgrades!$L$3:$P$6,1+COUNTIF(P$4:P95,P95),0),999),1),IF(REGEXMATCH(P95,""Sell_""),IF(COUNTIF(P$4:P95,SUBSTITUTE(P95,""Sell_"",""""))-COUNTIF(P$4:P94,P95)&lt;1,1),FALSE)))))))))"),FALSE)</f>
        <v>0</v>
      </c>
      <c r="R95" s="71">
        <f>IFERROR(__xludf.DUMMYFUNCTION("IF(REGEXMATCH(P95,""^Sell_""),R94, IF(COUNTA(P95:P147)=0,"""",(COUNTIF(P$4:P95,""Cursor"")-COUNTIF(P$4:P95,""Sell_Cursor""))*(0.1*2^SWITCH(COUNTIF(P$4:P95,""Cursor_up""),0,0,1,1,2,2,3)+SWITCH(COUNTIF(P$4:P95,""Cursor_up""),4,0.1,0)*(ROW(P95)-4-COUNTIF(P$4"&amp;":P95,""Cursor"")-COUNTIF(P$4:P95,""*""&amp;""_up"")-2*COUNTIF(P$4:P95,""Sell_""&amp;""*"")+COUNTIF(P$4:P95,""Sell_Cursor"")-COUNTIF(P$4:P95,"""")))+(COUNTIF(P$4:P95,""Grandma"")-COUNTIF(P$4:P95,""Sell_Grandma""))*(1*2^(COUNTIF(P$4:P95,""Grandma_up"")+COUNTIF(P$4:"&amp;"P95,""Super_up"")))+(COUNTIF(P$4:P95,""Farm"")-COUNTIF(P$4:P95,""Sell_Farm""))*(8*2^COUNTIF(P$4:P95,""Farm_up""))*IF(COUNTIF(P$4:P95,""Super_up"")&gt;0,1+0.01*(COUNTIF(P$4:P95,""Grandma"")-COUNTIF(P$4:P95,""Sell_Grandma"")),1)+(COUNTIF(P$4:P95,""Mine"")-COUN"&amp;"TIF(P$4:P95,""Sell_Mine""))*((47*2^COUNTIF(P$4:P95,""Mine_up""))*IF(COUNTIF(P$4:P95,""Super_up"")&gt;1,1+0.005*(COUNTIF(P$4:P95,""Grandma"")-COUNTIF(P$4:P95,""Sell_Grandma"")),1))+(COUNTIF(P$4:P95,""Factory"")-COUNTIF(P$4:P95,""Sell_Factory""))*(260*2^COUNTI"&amp;"F(P$4:P95,""Factory_up""))))"),1628.1599999999999)</f>
        <v>1628.16</v>
      </c>
      <c r="S95" s="73">
        <f>IFERROR(__xludf.DUMMYFUNCTION("IF(COUNTA(P95:P147)=0,"""",IF(REGEXMATCH(INDEX(FILTER(P$4:P95,P$4:P95&lt;&gt;""""),ROWS(FILTER(P$4:P95,P$4:P95&lt;&gt;""""))),""^Sell_""),INDEX(FILTER(S$4:S94,P$4:P94&lt;&gt;""""),ROWS(FILTER(P$4:P94,P$4:P94&lt;&gt;""""))),$AD$5*(2^SWITCH(COUNTIF(P$4:P95,""Cursor_up""),0,0,1,1,2"&amp;",2,3)+SWITCH(COUNTIF(P$4:P95,""Cursor_up""),4,0.1,0)*(ROW(P95)-4-COUNTIF(P$4:P95,""Cursor"")-COUNTIF(P$4:P95,""*""&amp;""_up"")-2*COUNTIF(P$4:P95,""Sell_""&amp;""*"")+COUNTIF(P$4:P95,""Sell_Cursor"")-COUNTIF(P$4:P95,""""))+0.01*R95*COUNTIF(P$4:P95,""Plastic_up"")"&amp;")+R95))"),1992.3839999999998)</f>
        <v>1992.384</v>
      </c>
      <c r="T95" s="14">
        <f>IFERROR(__xludf.DUMMYFUNCTION("IF(COUNTA(P95:P147)=0,"""",IF(REGEXMATCH(P95,""_up""),VLOOKUP(P95,Upgrades!$F$3:$J$8,1+COUNTIF(P$4:P95,P95),FALSE),IF(P95="""",0,IF(REGEXMATCH(P95,""^Sell_""),-ROUNDDOWN(ROUNDUP(INDEX(Upgrades!$C$3:$C$8,MATCH(SUBSTITUTE(P95,""Sell_"",""""),Upgrades!$B$3:$"&amp;"B$8,0))*1.15^(COUNTIF(P$4:P94,SUBSTITUTE(P95,""Sell_"",""""))-COUNTIF(P$4:P94,""Sell_""&amp;SUBSTITUTE(P95,""Sell_"",""""))))/4),ROUNDUP(INDEX(Upgrades!$C$3:$C$7,MATCH(P95,Upgrades!$B$3:$B$7,0))*1.15^(COUNTIF(P$4:P94,P95)-COUNTIF(P$4:P94,""Sell_""&amp;P95)))))))"),18004.0)</f>
        <v>18004</v>
      </c>
      <c r="U95" s="14">
        <f t="shared" si="10"/>
        <v>18004</v>
      </c>
      <c r="V95" s="75">
        <f t="shared" si="11"/>
        <v>5553697.779</v>
      </c>
      <c r="W95" s="76">
        <f t="shared" si="12"/>
        <v>858.3889256</v>
      </c>
      <c r="X95" s="71" t="str">
        <f t="shared" si="13"/>
        <v>14m 18s</v>
      </c>
      <c r="Y95" s="77">
        <f t="shared" si="14"/>
        <v>497105</v>
      </c>
      <c r="Z95" s="17"/>
      <c r="AA95" s="13"/>
      <c r="AB95" s="13"/>
      <c r="AC95" s="13"/>
      <c r="AD95" s="13"/>
      <c r="AE95" s="13"/>
      <c r="AF95" s="13"/>
      <c r="AG95" s="13"/>
    </row>
    <row r="96">
      <c r="A96" s="12"/>
      <c r="B96" s="65">
        <f t="shared" si="2"/>
        <v>34</v>
      </c>
      <c r="C96" s="66" t="s">
        <v>13</v>
      </c>
      <c r="D96" s="14" t="b">
        <f>IFERROR(__xludf.DUMMYFUNCTION("IF(COUNTA(C96:C147)=0,"""",IFERROR(IF(ISBLANK(C96),FALSE,IF(ISBLANK(G96),1,IF(NOT(COUNTIF($AA$24:$AA$34,SUBSTITUTE(C96,""Sell_"",""""))),1,IF(C96=""Plastic_up"",IF(I96&lt;1000,1),IF(C96=""Super_Up"",IF(OR(COUNTIF(C$4:C96,""Grandma"")-COUNTIF(C$4:C96,""Sell_G"&amp;"randma"")&lt;1,COUNTIF(C$4:C96,VLOOKUP(C96,Upgrades!$F$8:$N$8,7+COUNTIF(C$4:C96,C96)))-COUNTIF(C$4:C96,""Sell_""&amp;VLOOKUP(C96,Upgrades!$F$8:$N$8,7+COUNTIF(C$4:C96,C96)))&lt;15),1),IF(REGEXMATCH(C96,""_up""),IF(COUNTIF(C$4:C96,SUBSTITUTE(C96,""_up"",""""))&lt;IFERRO"&amp;"R(VLOOKUP(C96,Upgrades!$L$3:$P$6,1+COUNTIF(C$4:C96,C96),0),999),1),IF(REGEXMATCH(C96,""Sell_""),IF(COUNTIF(C$4:C96,SUBSTITUTE(C96,""Sell_"",""""))-COUNTIF(C$4:C95,C96)&lt;1,1),FALSE)))))))))"),FALSE)</f>
        <v>0</v>
      </c>
      <c r="E96" s="71">
        <f>IFERROR(__xludf.DUMMYFUNCTION("IF(REGEXMATCH(C96,""^Sell_""),E95, IF(COUNTA(C96:C147)=0,"""",(COUNTIF(C$4:C96,""Cursor"")-COUNTIF(C$4:C96,""Sell_Cursor""))*(0.1*2^SWITCH(COUNTIF(C$4:C96,""Cursor_up""),0,0,1,1,2,2,3)+SWITCH(COUNTIF(C$4:C96,""Cursor_up""),4,0.1,0)*(ROW(C96)-4-COUNTIF(C$4"&amp;":C96,""Cursor"")-COUNTIF(C$4:C96,""*""&amp;""_up"")-2*COUNTIF(C$4:C96,""Sell_""&amp;""*"")+COUNTIF(C$4:C96,""Sell_Cursor"")-COUNTIF(C$4:C96,"""")))+(COUNTIF(C$4:C96,""Grandma"")-COUNTIF(C$4:C96,""Sell_Grandma""))*(1*2^(COUNTIF(C$4:C96,""Grandma_up"")+COUNTIF(C$4:"&amp;"C96,""Super_up"")))+(COUNTIF(C$4:C96,""Farm"")-COUNTIF(C$4:C96,""Sell_Farm""))*(8*2^COUNTIF(C$4:C96,""Farm_up""))*IF(COUNTIF(C$4:C96,""Super_up"")&gt;0,1+0.01*(COUNTIF(C$4:C96,""Grandma"")-COUNTIF(C$4:C96,""Sell_Grandma"")),1)+(COUNTIF(C$4:C96,""Mine"")-COUN"&amp;"TIF(C$4:C96,""Sell_Mine""))*((47*2^COUNTIF(C$4:C96,""Mine_up""))*IF(COUNTIF(C$4:C96,""Super_up"")&gt;1,1+0.005*(COUNTIF(C$4:C96,""Grandma"")-COUNTIF(C$4:C96,""Sell_Grandma"")),1))+(COUNTIF(C$4:C96,""Factory"")-COUNTIF(C$4:C96,""Sell_Factory""))*(260*2^COUNTI"&amp;"F(C$4:C96,""Factory_up""))))"),1650.88)</f>
        <v>1650.88</v>
      </c>
      <c r="F96" s="73">
        <f>IFERROR(__xludf.DUMMYFUNCTION("IF(COUNTA(C96:C147)=0,"""",IF(REGEXMATCH(INDEX(FILTER(C$4:C96,C$4:C96&lt;&gt;""""),ROWS(FILTER(C$4:C96,C$4:C96&lt;&gt;""""))),""^Sell_""),INDEX(FILTER(F$4:F95,C$4:C95&lt;&gt;""""),ROWS(FILTER(C$4:C95,C$4:C95&lt;&gt;""""))),$AC$5*(2^SWITCH(COUNTIF(C$4:C96,""Cursor_up""),0,0,1,1,2"&amp;",2,3)+SWITCH(COUNTIF(C$4:C96,""Cursor_up""),4,0.1,0)*(ROW(C96)-4-COUNTIF(C$4:C96,""Cursor"")-COUNTIF(C$4:C96,""*""&amp;""_up"")-2*COUNTIF(C$4:C96,""Sell_""&amp;""*"")+COUNTIF(C$4:C96,""Sell_Cursor"")-COUNTIF(C$4:C96,""""))+0.01*E96*COUNTIF(C$4:C96,""Plastic_up"")"&amp;")+E96))"),2018.5120000000002)</f>
        <v>2018.512</v>
      </c>
      <c r="G96" s="14">
        <f>IFERROR(__xludf.DUMMYFUNCTION("IF(COUNTA(C96:C147)=0,"""",IF(REGEXMATCH(C96,""_up""),VLOOKUP(C96,Upgrades!$F$3:$J$8,1+COUNTIF(C$4:C96,C96),FALSE),IF(C96="""",0,IF(REGEXMATCH(C96,""^Sell_""),-ROUNDDOWN(ROUNDUP(INDEX(Upgrades!$C$3:$C$8,MATCH(SUBSTITUTE(C96,""Sell_"",""""),Upgrades!$B$3:$"&amp;"B$8,0))*1.15^(COUNTIF(C$4:C95,SUBSTITUTE(C96,""Sell_"",""""))-COUNTIF(C$4:C95,""Sell_""&amp;SUBSTITUTE(C96,""Sell_"",""""))))/4),ROUNDUP(INDEX(Upgrades!$C$3:$C$7,MATCH(C96,Upgrades!$B$3:$B$7,0))*1.15^(COUNTIF(C$4:C95,C96)-COUNTIF(C$4:C95,""Sell_""&amp;C96)))))))"),10070.0)</f>
        <v>10070</v>
      </c>
      <c r="H96" s="14">
        <f t="shared" si="3"/>
        <v>10070</v>
      </c>
      <c r="I96" s="75">
        <f t="shared" si="4"/>
        <v>5868184.505</v>
      </c>
      <c r="J96" s="76">
        <f t="shared" si="5"/>
        <v>863.4431722</v>
      </c>
      <c r="K96" s="71" t="str">
        <f t="shared" si="6"/>
        <v>14m 23s</v>
      </c>
      <c r="L96" s="77">
        <f t="shared" si="7"/>
        <v>507175</v>
      </c>
      <c r="M96" s="51">
        <f t="shared" si="8"/>
        <v>0</v>
      </c>
      <c r="N96" s="52">
        <f>IFERROR(__xludf.DUMMYFUNCTION("IFS(AND(COUNTA(C96:C147)=0,COUNTA(P96:P147)=0),"""",OR(AND(L96&gt;=1000000,OR(Y96&gt;=1000000,COUNTA(P96:P147)=0)),AND(Y96&gt;=1000000,COUNTA(C96:C147)=0),AND(COUNTA(P96:P147)=0,O$3=TRUE)),
ROUNDDOWN((AB$1-AC$1)*MAX(INDEX(S$4:S147,MATCH(LARGE(FILTER(Y$4:Y147,Y$4:Y"&amp;"147&lt;1000000),1),Y$4:Y147)),INDEX(F$4:F147,MATCH(LARGE(FILTER(L$4:L147,L$4:L147&lt;1000000),1),L$4:L147)))),AND(L96&lt;1000000,COUNTA(C96:C147)&gt;0,O$3=FALSE),
ROUNDDOWN(INDEX(Y$4:Y147,MATCH(LARGE(FILTER(W$4:W147,W$4:W147&lt;=J96),1),W$4:W147))+(J96-LARGE(FILTER(W$4:"&amp;"W147,W$4:W147&lt;=J96),1))*INDEX(S$4:S147,MATCH(LARGE(FILTER(W$4:W147,W$4:W147&lt;=J96),1),W$4:W147))-L96),1,
ROUNDDOWN(Y96-INDEX(L$4:L147,MATCH(LARGE(FILTER(J$4:J147,J$4:J147&lt;=W96),1),J$4:J147))-(W96-LARGE(FILTER(J$4:J147,J$4:J147&lt;=W96),1))*INDEX(F$4:F147,MATC"&amp;"H(LARGE(FILTER(J$4:J147,J$4:J147&lt;=W96),1),J$4:J147))))"),0.0)</f>
        <v>0</v>
      </c>
      <c r="O96" s="65">
        <f t="shared" si="9"/>
        <v>34</v>
      </c>
      <c r="P96" s="66" t="s">
        <v>13</v>
      </c>
      <c r="Q96" s="14" t="b">
        <f>IFERROR(__xludf.DUMMYFUNCTION("IF(COUNTA(P96:P147)=0,"""",IFERROR(IF(ISBLANK(P96),FALSE,IF(ISBLANK(T96),1,IF(NOT(COUNTIF($AA$24:$AA$34,SUBSTITUTE(P96,""Sell_"",""""))),1,IF(P96=""Plastic_up"",IF(V96&lt;1000,1),IF(P96=""Super_Up"",IF(OR(COUNTIF(P$4:P96,""Grandma"")-COUNTIF(P$4:P96,""Sell_G"&amp;"randma"")&lt;1,COUNTIF(P$4:P96,VLOOKUP(P96,Upgrades!$F$8:$N$8,7+COUNTIF(P$4:P96,P96)))-COUNTIF(P$4:P96,""Sell_""&amp;VLOOKUP(P96,Upgrades!$F$8:$N$8,7+COUNTIF(P$4:P96,P96)))&lt;15),1),IF(REGEXMATCH(P96,""_up""),IF(COUNTIF(P$4:P96,SUBSTITUTE(P96,""_up"",""""))&lt;IFERRO"&amp;"R(VLOOKUP(P96,Upgrades!$L$3:$P$6,1+COUNTIF(P$4:P96,P96),0),999),1),IF(REGEXMATCH(P96,""Sell_""),IF(COUNTIF(P$4:P96,SUBSTITUTE(P96,""Sell_"",""""))-COUNTIF(P$4:P95,P96)&lt;1,1),FALSE)))))))))"),FALSE)</f>
        <v>0</v>
      </c>
      <c r="R96" s="71">
        <f>IFERROR(__xludf.DUMMYFUNCTION("IF(REGEXMATCH(P96,""^Sell_""),R95, IF(COUNTA(P96:P147)=0,"""",(COUNTIF(P$4:P96,""Cursor"")-COUNTIF(P$4:P96,""Sell_Cursor""))*(0.1*2^SWITCH(COUNTIF(P$4:P96,""Cursor_up""),0,0,1,1,2,2,3)+SWITCH(COUNTIF(P$4:P96,""Cursor_up""),4,0.1,0)*(ROW(P96)-4-COUNTIF(P$4"&amp;":P96,""Cursor"")-COUNTIF(P$4:P96,""*""&amp;""_up"")-2*COUNTIF(P$4:P96,""Sell_""&amp;""*"")+COUNTIF(P$4:P96,""Sell_Cursor"")-COUNTIF(P$4:P96,"""")))+(COUNTIF(P$4:P96,""Grandma"")-COUNTIF(P$4:P96,""Sell_Grandma""))*(1*2^(COUNTIF(P$4:P96,""Grandma_up"")+COUNTIF(P$4:"&amp;"P96,""Super_up"")))+(COUNTIF(P$4:P96,""Farm"")-COUNTIF(P$4:P96,""Sell_Farm""))*(8*2^COUNTIF(P$4:P96,""Farm_up""))*IF(COUNTIF(P$4:P96,""Super_up"")&gt;0,1+0.01*(COUNTIF(P$4:P96,""Grandma"")-COUNTIF(P$4:P96,""Sell_Grandma"")),1)+(COUNTIF(P$4:P96,""Mine"")-COUN"&amp;"TIF(P$4:P96,""Sell_Mine""))*((47*2^COUNTIF(P$4:P96,""Mine_up""))*IF(COUNTIF(P$4:P96,""Super_up"")&gt;1,1+0.005*(COUNTIF(P$4:P96,""Grandma"")-COUNTIF(P$4:P96,""Sell_Grandma"")),1))+(COUNTIF(P$4:P96,""Factory"")-COUNTIF(P$4:P96,""Sell_Factory""))*(260*2^COUNTI"&amp;"F(P$4:P96,""Factory_up""))))"),1650.88)</f>
        <v>1650.88</v>
      </c>
      <c r="S96" s="73">
        <f>IFERROR(__xludf.DUMMYFUNCTION("IF(COUNTA(P96:P147)=0,"""",IF(REGEXMATCH(INDEX(FILTER(P$4:P96,P$4:P96&lt;&gt;""""),ROWS(FILTER(P$4:P96,P$4:P96&lt;&gt;""""))),""^Sell_""),INDEX(FILTER(S$4:S95,P$4:P95&lt;&gt;""""),ROWS(FILTER(P$4:P95,P$4:P95&lt;&gt;""""))),$AD$5*(2^SWITCH(COUNTIF(P$4:P96,""Cursor_up""),0,0,1,1,2"&amp;",2,3)+SWITCH(COUNTIF(P$4:P96,""Cursor_up""),4,0.1,0)*(ROW(P96)-4-COUNTIF(P$4:P96,""Cursor"")-COUNTIF(P$4:P96,""*""&amp;""_up"")-2*COUNTIF(P$4:P96,""Sell_""&amp;""*"")+COUNTIF(P$4:P96,""Sell_Cursor"")-COUNTIF(P$4:P96,""""))+0.01*R96*COUNTIF(P$4:P96,""Plastic_up"")"&amp;")+R96))"),2018.5120000000002)</f>
        <v>2018.512</v>
      </c>
      <c r="T96" s="14">
        <f>IFERROR(__xludf.DUMMYFUNCTION("IF(COUNTA(P96:P147)=0,"""",IF(REGEXMATCH(P96,""_up""),VLOOKUP(P96,Upgrades!$F$3:$J$8,1+COUNTIF(P$4:P96,P96),FALSE),IF(P96="""",0,IF(REGEXMATCH(P96,""^Sell_""),-ROUNDDOWN(ROUNDUP(INDEX(Upgrades!$C$3:$C$8,MATCH(SUBSTITUTE(P96,""Sell_"",""""),Upgrades!$B$3:$"&amp;"B$8,0))*1.15^(COUNTIF(P$4:P95,SUBSTITUTE(P96,""Sell_"",""""))-COUNTIF(P$4:P95,""Sell_""&amp;SUBSTITUTE(P96,""Sell_"",""""))))/4),ROUNDUP(INDEX(Upgrades!$C$3:$C$7,MATCH(P96,Upgrades!$B$3:$B$7,0))*1.15^(COUNTIF(P$4:P95,P96)-COUNTIF(P$4:P95,""Sell_""&amp;P96)))))))"),10070.0)</f>
        <v>10070</v>
      </c>
      <c r="U96" s="14">
        <f t="shared" si="10"/>
        <v>10070</v>
      </c>
      <c r="V96" s="75">
        <f t="shared" si="11"/>
        <v>5868184.505</v>
      </c>
      <c r="W96" s="76">
        <f t="shared" si="12"/>
        <v>863.4431722</v>
      </c>
      <c r="X96" s="71" t="str">
        <f t="shared" si="13"/>
        <v>14m 23s</v>
      </c>
      <c r="Y96" s="77">
        <f t="shared" si="14"/>
        <v>507175</v>
      </c>
      <c r="Z96" s="17"/>
      <c r="AA96" s="13"/>
      <c r="AB96" s="13"/>
      <c r="AC96" s="13"/>
      <c r="AD96" s="13"/>
      <c r="AE96" s="13"/>
      <c r="AF96" s="13"/>
      <c r="AG96" s="13"/>
    </row>
    <row r="97">
      <c r="A97" s="12"/>
      <c r="B97" s="65">
        <f t="shared" si="2"/>
        <v>24</v>
      </c>
      <c r="C97" s="66" t="s">
        <v>10</v>
      </c>
      <c r="D97" s="14" t="b">
        <f>IFERROR(__xludf.DUMMYFUNCTION("IF(COUNTA(C97:C147)=0,"""",IFERROR(IF(ISBLANK(C97),FALSE,IF(ISBLANK(G97),1,IF(NOT(COUNTIF($AA$24:$AA$34,SUBSTITUTE(C97,""Sell_"",""""))),1,IF(C97=""Plastic_up"",IF(I97&lt;1000,1),IF(C97=""Super_Up"",IF(OR(COUNTIF(C$4:C97,""Grandma"")-COUNTIF(C$4:C97,""Sell_G"&amp;"randma"")&lt;1,COUNTIF(C$4:C97,VLOOKUP(C97,Upgrades!$F$8:$N$8,7+COUNTIF(C$4:C97,C97)))-COUNTIF(C$4:C97,""Sell_""&amp;VLOOKUP(C97,Upgrades!$F$8:$N$8,7+COUNTIF(C$4:C97,C97)))&lt;15),1),IF(REGEXMATCH(C97,""_up""),IF(COUNTIF(C$4:C97,SUBSTITUTE(C97,""_up"",""""))&lt;IFERRO"&amp;"R(VLOOKUP(C97,Upgrades!$L$3:$P$6,1+COUNTIF(C$4:C97,C97),0),999),1),IF(REGEXMATCH(C97,""Sell_""),IF(COUNTIF(C$4:C97,SUBSTITUTE(C97,""Sell_"",""""))-COUNTIF(C$4:C96,C97)&lt;1,1),FALSE)))))))))"),FALSE)</f>
        <v>0</v>
      </c>
      <c r="E97" s="71">
        <f>IFERROR(__xludf.DUMMYFUNCTION("IF(REGEXMATCH(C97,""^Sell_""),E96, IF(COUNTA(C97:C147)=0,"""",(COUNTIF(C$4:C97,""Cursor"")-COUNTIF(C$4:C97,""Sell_Cursor""))*(0.1*2^SWITCH(COUNTIF(C$4:C97,""Cursor_up""),0,0,1,1,2,2,3)+SWITCH(COUNTIF(C$4:C97,""Cursor_up""),4,0.1,0)*(ROW(C97)-4-COUNTIF(C$4"&amp;":C97,""Cursor"")-COUNTIF(C$4:C97,""*""&amp;""_up"")-2*COUNTIF(C$4:C97,""Sell_""&amp;""*"")+COUNTIF(C$4:C97,""Sell_Cursor"")-COUNTIF(C$4:C97,"""")))+(COUNTIF(C$4:C97,""Grandma"")-COUNTIF(C$4:C97,""Sell_Grandma""))*(1*2^(COUNTIF(C$4:C97,""Grandma_up"")+COUNTIF(C$4:"&amp;"C97,""Super_up"")))+(COUNTIF(C$4:C97,""Farm"")-COUNTIF(C$4:C97,""Sell_Farm""))*(8*2^COUNTIF(C$4:C97,""Farm_up""))*IF(COUNTIF(C$4:C97,""Super_up"")&gt;0,1+0.01*(COUNTIF(C$4:C97,""Grandma"")-COUNTIF(C$4:C97,""Sell_Grandma"")),1)+(COUNTIF(C$4:C97,""Mine"")-COUN"&amp;"TIF(C$4:C97,""Sell_Mine""))*((47*2^COUNTIF(C$4:C97,""Mine_up""))*IF(COUNTIF(C$4:C97,""Super_up"")&gt;1,1+0.005*(COUNTIF(C$4:C97,""Grandma"")-COUNTIF(C$4:C97,""Sell_Grandma"")),1))+(COUNTIF(C$4:C97,""Factory"")-COUNTIF(C$4:C97,""Sell_Factory""))*(260*2^COUNTI"&amp;"F(C$4:C97,""Factory_up""))))"),1651.68)</f>
        <v>1651.68</v>
      </c>
      <c r="F97" s="73">
        <f>IFERROR(__xludf.DUMMYFUNCTION("IF(COUNTA(C97:C147)=0,"""",IF(REGEXMATCH(INDEX(FILTER(C$4:C97,C$4:C97&lt;&gt;""""),ROWS(FILTER(C$4:C97,C$4:C97&lt;&gt;""""))),""^Sell_""),INDEX(FILTER(F$4:F96,C$4:C96&lt;&gt;""""),ROWS(FILTER(C$4:C96,C$4:C96&lt;&gt;""""))),$AC$5*(2^SWITCH(COUNTIF(C$4:C97,""Cursor_up""),0,0,1,1,2"&amp;",2,3)+SWITCH(COUNTIF(C$4:C97,""Cursor_up""),4,0.1,0)*(ROW(C97)-4-COUNTIF(C$4:C97,""Cursor"")-COUNTIF(C$4:C97,""*""&amp;""_up"")-2*COUNTIF(C$4:C97,""Sell_""&amp;""*"")+COUNTIF(C$4:C97,""Sell_Cursor"")-COUNTIF(C$4:C97,""""))+0.01*E97*COUNTIF(C$4:C97,""Plastic_up"")"&amp;")+E97))"),2019.432)</f>
        <v>2019.432</v>
      </c>
      <c r="G97" s="14">
        <f>IFERROR(__xludf.DUMMYFUNCTION("IF(COUNTA(C97:C147)=0,"""",IF(REGEXMATCH(C97,""_up""),VLOOKUP(C97,Upgrades!$F$3:$J$8,1+COUNTIF(C$4:C97,C97),FALSE),IF(C97="""",0,IF(REGEXMATCH(C97,""^Sell_""),-ROUNDDOWN(ROUNDUP(INDEX(Upgrades!$C$3:$C$8,MATCH(SUBSTITUTE(C97,""Sell_"",""""),Upgrades!$B$3:$"&amp;"B$8,0))*1.15^(COUNTIF(C$4:C96,SUBSTITUTE(C97,""Sell_"",""""))-COUNTIF(C$4:C96,""Sell_""&amp;SUBSTITUTE(C97,""Sell_"",""""))))/4),ROUNDUP(INDEX(Upgrades!$C$3:$C$7,MATCH(C97,Upgrades!$B$3:$B$7,0))*1.15^(COUNTIF(C$4:C96,C97)-COUNTIF(C$4:C96,""Sell_""&amp;C97)))))))"),374.0)</f>
        <v>374</v>
      </c>
      <c r="H97" s="14">
        <f t="shared" si="3"/>
        <v>374</v>
      </c>
      <c r="I97" s="75">
        <f t="shared" si="4"/>
        <v>6185681.962</v>
      </c>
      <c r="J97" s="76">
        <f t="shared" si="5"/>
        <v>863.6284572</v>
      </c>
      <c r="K97" s="71" t="str">
        <f t="shared" si="6"/>
        <v>14m 23s</v>
      </c>
      <c r="L97" s="77">
        <f t="shared" si="7"/>
        <v>507549</v>
      </c>
      <c r="M97" s="51">
        <f t="shared" si="8"/>
        <v>0</v>
      </c>
      <c r="N97" s="52">
        <f>IFERROR(__xludf.DUMMYFUNCTION("IFS(AND(COUNTA(C97:C147)=0,COUNTA(P97:P147)=0),"""",OR(AND(L97&gt;=1000000,OR(Y97&gt;=1000000,COUNTA(P97:P147)=0)),AND(Y97&gt;=1000000,COUNTA(C97:C147)=0),AND(COUNTA(P97:P147)=0,O$3=TRUE)),
ROUNDDOWN((AB$1-AC$1)*MAX(INDEX(S$4:S147,MATCH(LARGE(FILTER(Y$4:Y147,Y$4:Y"&amp;"147&lt;1000000),1),Y$4:Y147)),INDEX(F$4:F147,MATCH(LARGE(FILTER(L$4:L147,L$4:L147&lt;1000000),1),L$4:L147)))),AND(L97&lt;1000000,COUNTA(C97:C147)&gt;0,O$3=FALSE),
ROUNDDOWN(INDEX(Y$4:Y147,MATCH(LARGE(FILTER(W$4:W147,W$4:W147&lt;=J97),1),W$4:W147))+(J97-LARGE(FILTER(W$4:"&amp;"W147,W$4:W147&lt;=J97),1))*INDEX(S$4:S147,MATCH(LARGE(FILTER(W$4:W147,W$4:W147&lt;=J97),1),W$4:W147))-L97),1,
ROUNDDOWN(Y97-INDEX(L$4:L147,MATCH(LARGE(FILTER(J$4:J147,J$4:J147&lt;=W97),1),J$4:J147))-(W97-LARGE(FILTER(J$4:J147,J$4:J147&lt;=W97),1))*INDEX(F$4:F147,MATC"&amp;"H(LARGE(FILTER(J$4:J147,J$4:J147&lt;=W97),1),J$4:J147))))"),0.0)</f>
        <v>0</v>
      </c>
      <c r="O97" s="65">
        <f t="shared" si="9"/>
        <v>24</v>
      </c>
      <c r="P97" s="66" t="s">
        <v>10</v>
      </c>
      <c r="Q97" s="14" t="b">
        <f>IFERROR(__xludf.DUMMYFUNCTION("IF(COUNTA(P97:P147)=0,"""",IFERROR(IF(ISBLANK(P97),FALSE,IF(ISBLANK(T97),1,IF(NOT(COUNTIF($AA$24:$AA$34,SUBSTITUTE(P97,""Sell_"",""""))),1,IF(P97=""Plastic_up"",IF(V97&lt;1000,1),IF(P97=""Super_Up"",IF(OR(COUNTIF(P$4:P97,""Grandma"")-COUNTIF(P$4:P97,""Sell_G"&amp;"randma"")&lt;1,COUNTIF(P$4:P97,VLOOKUP(P97,Upgrades!$F$8:$N$8,7+COUNTIF(P$4:P97,P97)))-COUNTIF(P$4:P97,""Sell_""&amp;VLOOKUP(P97,Upgrades!$F$8:$N$8,7+COUNTIF(P$4:P97,P97)))&lt;15),1),IF(REGEXMATCH(P97,""_up""),IF(COUNTIF(P$4:P97,SUBSTITUTE(P97,""_up"",""""))&lt;IFERRO"&amp;"R(VLOOKUP(P97,Upgrades!$L$3:$P$6,1+COUNTIF(P$4:P97,P97),0),999),1),IF(REGEXMATCH(P97,""Sell_""),IF(COUNTIF(P$4:P97,SUBSTITUTE(P97,""Sell_"",""""))-COUNTIF(P$4:P96,P97)&lt;1,1),FALSE)))))))))"),FALSE)</f>
        <v>0</v>
      </c>
      <c r="R97" s="71">
        <f>IFERROR(__xludf.DUMMYFUNCTION("IF(REGEXMATCH(P97,""^Sell_""),R96, IF(COUNTA(P97:P147)=0,"""",(COUNTIF(P$4:P97,""Cursor"")-COUNTIF(P$4:P97,""Sell_Cursor""))*(0.1*2^SWITCH(COUNTIF(P$4:P97,""Cursor_up""),0,0,1,1,2,2,3)+SWITCH(COUNTIF(P$4:P97,""Cursor_up""),4,0.1,0)*(ROW(P97)-4-COUNTIF(P$4"&amp;":P97,""Cursor"")-COUNTIF(P$4:P97,""*""&amp;""_up"")-2*COUNTIF(P$4:P97,""Sell_""&amp;""*"")+COUNTIF(P$4:P97,""Sell_Cursor"")-COUNTIF(P$4:P97,"""")))+(COUNTIF(P$4:P97,""Grandma"")-COUNTIF(P$4:P97,""Sell_Grandma""))*(1*2^(COUNTIF(P$4:P97,""Grandma_up"")+COUNTIF(P$4:"&amp;"P97,""Super_up"")))+(COUNTIF(P$4:P97,""Farm"")-COUNTIF(P$4:P97,""Sell_Farm""))*(8*2^COUNTIF(P$4:P97,""Farm_up""))*IF(COUNTIF(P$4:P97,""Super_up"")&gt;0,1+0.01*(COUNTIF(P$4:P97,""Grandma"")-COUNTIF(P$4:P97,""Sell_Grandma"")),1)+(COUNTIF(P$4:P97,""Mine"")-COUN"&amp;"TIF(P$4:P97,""Sell_Mine""))*((47*2^COUNTIF(P$4:P97,""Mine_up""))*IF(COUNTIF(P$4:P97,""Super_up"")&gt;1,1+0.005*(COUNTIF(P$4:P97,""Grandma"")-COUNTIF(P$4:P97,""Sell_Grandma"")),1))+(COUNTIF(P$4:P97,""Factory"")-COUNTIF(P$4:P97,""Sell_Factory""))*(260*2^COUNTI"&amp;"F(P$4:P97,""Factory_up""))))"),1651.68)</f>
        <v>1651.68</v>
      </c>
      <c r="S97" s="73">
        <f>IFERROR(__xludf.DUMMYFUNCTION("IF(COUNTA(P97:P147)=0,"""",IF(REGEXMATCH(INDEX(FILTER(P$4:P97,P$4:P97&lt;&gt;""""),ROWS(FILTER(P$4:P97,P$4:P97&lt;&gt;""""))),""^Sell_""),INDEX(FILTER(S$4:S96,P$4:P96&lt;&gt;""""),ROWS(FILTER(P$4:P96,P$4:P96&lt;&gt;""""))),$AD$5*(2^SWITCH(COUNTIF(P$4:P97,""Cursor_up""),0,0,1,1,2"&amp;",2,3)+SWITCH(COUNTIF(P$4:P97,""Cursor_up""),4,0.1,0)*(ROW(P97)-4-COUNTIF(P$4:P97,""Cursor"")-COUNTIF(P$4:P97,""*""&amp;""_up"")-2*COUNTIF(P$4:P97,""Sell_""&amp;""*"")+COUNTIF(P$4:P97,""Sell_Cursor"")-COUNTIF(P$4:P97,""""))+0.01*R97*COUNTIF(P$4:P97,""Plastic_up"")"&amp;")+R97))"),2019.432)</f>
        <v>2019.432</v>
      </c>
      <c r="T97" s="14">
        <f>IFERROR(__xludf.DUMMYFUNCTION("IF(COUNTA(P97:P147)=0,"""",IF(REGEXMATCH(P97,""_up""),VLOOKUP(P97,Upgrades!$F$3:$J$8,1+COUNTIF(P$4:P97,P97),FALSE),IF(P97="""",0,IF(REGEXMATCH(P97,""^Sell_""),-ROUNDDOWN(ROUNDUP(INDEX(Upgrades!$C$3:$C$8,MATCH(SUBSTITUTE(P97,""Sell_"",""""),Upgrades!$B$3:$"&amp;"B$8,0))*1.15^(COUNTIF(P$4:P96,SUBSTITUTE(P97,""Sell_"",""""))-COUNTIF(P$4:P96,""Sell_""&amp;SUBSTITUTE(P97,""Sell_"",""""))))/4),ROUNDUP(INDEX(Upgrades!$C$3:$C$7,MATCH(P97,Upgrades!$B$3:$B$7,0))*1.15^(COUNTIF(P$4:P96,P97)-COUNTIF(P$4:P96,""Sell_""&amp;P97)))))))"),374.0)</f>
        <v>374</v>
      </c>
      <c r="U97" s="14">
        <f t="shared" si="10"/>
        <v>374</v>
      </c>
      <c r="V97" s="75">
        <f t="shared" si="11"/>
        <v>6185681.962</v>
      </c>
      <c r="W97" s="76">
        <f t="shared" si="12"/>
        <v>863.6284572</v>
      </c>
      <c r="X97" s="71" t="str">
        <f t="shared" si="13"/>
        <v>14m 23s</v>
      </c>
      <c r="Y97" s="77">
        <f t="shared" si="14"/>
        <v>507549</v>
      </c>
      <c r="Z97" s="17"/>
      <c r="AA97" s="13"/>
      <c r="AB97" s="13"/>
      <c r="AC97" s="13"/>
      <c r="AD97" s="13"/>
      <c r="AE97" s="13"/>
      <c r="AF97" s="13"/>
      <c r="AG97" s="13"/>
    </row>
    <row r="98">
      <c r="A98" s="12"/>
      <c r="B98" s="65">
        <f t="shared" si="2"/>
        <v>25</v>
      </c>
      <c r="C98" s="66" t="s">
        <v>10</v>
      </c>
      <c r="D98" s="14" t="b">
        <f>IFERROR(__xludf.DUMMYFUNCTION("IF(COUNTA(C98:C147)=0,"""",IFERROR(IF(ISBLANK(C98),FALSE,IF(ISBLANK(G98),1,IF(NOT(COUNTIF($AA$24:$AA$34,SUBSTITUTE(C98,""Sell_"",""""))),1,IF(C98=""Plastic_up"",IF(I98&lt;1000,1),IF(C98=""Super_Up"",IF(OR(COUNTIF(C$4:C98,""Grandma"")-COUNTIF(C$4:C98,""Sell_G"&amp;"randma"")&lt;1,COUNTIF(C$4:C98,VLOOKUP(C98,Upgrades!$F$8:$N$8,7+COUNTIF(C$4:C98,C98)))-COUNTIF(C$4:C98,""Sell_""&amp;VLOOKUP(C98,Upgrades!$F$8:$N$8,7+COUNTIF(C$4:C98,C98)))&lt;15),1),IF(REGEXMATCH(C98,""_up""),IF(COUNTIF(C$4:C98,SUBSTITUTE(C98,""_up"",""""))&lt;IFERRO"&amp;"R(VLOOKUP(C98,Upgrades!$L$3:$P$6,1+COUNTIF(C$4:C98,C98),0),999),1),IF(REGEXMATCH(C98,""Sell_""),IF(COUNTIF(C$4:C98,SUBSTITUTE(C98,""Sell_"",""""))-COUNTIF(C$4:C97,C98)&lt;1,1),FALSE)))))))))"),FALSE)</f>
        <v>0</v>
      </c>
      <c r="E98" s="71">
        <f>IFERROR(__xludf.DUMMYFUNCTION("IF(REGEXMATCH(C98,""^Sell_""),E97, IF(COUNTA(C98:C147)=0,"""",(COUNTIF(C$4:C98,""Cursor"")-COUNTIF(C$4:C98,""Sell_Cursor""))*(0.1*2^SWITCH(COUNTIF(C$4:C98,""Cursor_up""),0,0,1,1,2,2,3)+SWITCH(COUNTIF(C$4:C98,""Cursor_up""),4,0.1,0)*(ROW(C98)-4-COUNTIF(C$4"&amp;":C98,""Cursor"")-COUNTIF(C$4:C98,""*""&amp;""_up"")-2*COUNTIF(C$4:C98,""Sell_""&amp;""*"")+COUNTIF(C$4:C98,""Sell_Cursor"")-COUNTIF(C$4:C98,"""")))+(COUNTIF(C$4:C98,""Grandma"")-COUNTIF(C$4:C98,""Sell_Grandma""))*(1*2^(COUNTIF(C$4:C98,""Grandma_up"")+COUNTIF(C$4:"&amp;"C98,""Super_up"")))+(COUNTIF(C$4:C98,""Farm"")-COUNTIF(C$4:C98,""Sell_Farm""))*(8*2^COUNTIF(C$4:C98,""Farm_up""))*IF(COUNTIF(C$4:C98,""Super_up"")&gt;0,1+0.01*(COUNTIF(C$4:C98,""Grandma"")-COUNTIF(C$4:C98,""Sell_Grandma"")),1)+(COUNTIF(C$4:C98,""Mine"")-COUN"&amp;"TIF(C$4:C98,""Sell_Mine""))*((47*2^COUNTIF(C$4:C98,""Mine_up""))*IF(COUNTIF(C$4:C98,""Super_up"")&gt;1,1+0.005*(COUNTIF(C$4:C98,""Grandma"")-COUNTIF(C$4:C98,""Sell_Grandma"")),1))+(COUNTIF(C$4:C98,""Factory"")-COUNTIF(C$4:C98,""Sell_Factory""))*(260*2^COUNTI"&amp;"F(C$4:C98,""Factory_up""))))"),1652.48)</f>
        <v>1652.48</v>
      </c>
      <c r="F98" s="73">
        <f>IFERROR(__xludf.DUMMYFUNCTION("IF(COUNTA(C98:C147)=0,"""",IF(REGEXMATCH(INDEX(FILTER(C$4:C98,C$4:C98&lt;&gt;""""),ROWS(FILTER(C$4:C98,C$4:C98&lt;&gt;""""))),""^Sell_""),INDEX(FILTER(F$4:F97,C$4:C97&lt;&gt;""""),ROWS(FILTER(C$4:C97,C$4:C97&lt;&gt;""""))),$AC$5*(2^SWITCH(COUNTIF(C$4:C98,""Cursor_up""),0,0,1,1,2"&amp;",2,3)+SWITCH(COUNTIF(C$4:C98,""Cursor_up""),4,0.1,0)*(ROW(C98)-4-COUNTIF(C$4:C98,""Cursor"")-COUNTIF(C$4:C98,""*""&amp;""_up"")-2*COUNTIF(C$4:C98,""Sell_""&amp;""*"")+COUNTIF(C$4:C98,""Sell_Cursor"")-COUNTIF(C$4:C98,""""))+0.01*E98*COUNTIF(C$4:C98,""Plastic_up"")"&amp;")+E98))"),2020.3519999999999)</f>
        <v>2020.352</v>
      </c>
      <c r="G98" s="14">
        <f>IFERROR(__xludf.DUMMYFUNCTION("IF(COUNTA(C98:C147)=0,"""",IF(REGEXMATCH(C98,""_up""),VLOOKUP(C98,Upgrades!$F$3:$J$8,1+COUNTIF(C$4:C98,C98),FALSE),IF(C98="""",0,IF(REGEXMATCH(C98,""^Sell_""),-ROUNDDOWN(ROUNDUP(INDEX(Upgrades!$C$3:$C$8,MATCH(SUBSTITUTE(C98,""Sell_"",""""),Upgrades!$B$3:$"&amp;"B$8,0))*1.15^(COUNTIF(C$4:C97,SUBSTITUTE(C98,""Sell_"",""""))-COUNTIF(C$4:C97,""Sell_""&amp;SUBSTITUTE(C98,""Sell_"",""""))))/4),ROUNDUP(INDEX(Upgrades!$C$3:$C$7,MATCH(C98,Upgrades!$B$3:$B$7,0))*1.15^(COUNTIF(C$4:C97,C98)-COUNTIF(C$4:C97,""Sell_""&amp;C98)))))))"),430.0)</f>
        <v>430</v>
      </c>
      <c r="H98" s="14">
        <f t="shared" si="3"/>
        <v>430</v>
      </c>
      <c r="I98" s="75">
        <f t="shared" si="4"/>
        <v>6503361.36</v>
      </c>
      <c r="J98" s="76">
        <f t="shared" si="5"/>
        <v>863.8413884</v>
      </c>
      <c r="K98" s="71" t="str">
        <f t="shared" si="6"/>
        <v>14m 23s</v>
      </c>
      <c r="L98" s="77">
        <f t="shared" si="7"/>
        <v>507979</v>
      </c>
      <c r="M98" s="51">
        <f t="shared" si="8"/>
        <v>0</v>
      </c>
      <c r="N98" s="52">
        <f>IFERROR(__xludf.DUMMYFUNCTION("IFS(AND(COUNTA(C98:C147)=0,COUNTA(P98:P147)=0),"""",OR(AND(L98&gt;=1000000,OR(Y98&gt;=1000000,COUNTA(P98:P147)=0)),AND(Y98&gt;=1000000,COUNTA(C98:C147)=0),AND(COUNTA(P98:P147)=0,O$3=TRUE)),
ROUNDDOWN((AB$1-AC$1)*MAX(INDEX(S$4:S147,MATCH(LARGE(FILTER(Y$4:Y147,Y$4:Y"&amp;"147&lt;1000000),1),Y$4:Y147)),INDEX(F$4:F147,MATCH(LARGE(FILTER(L$4:L147,L$4:L147&lt;1000000),1),L$4:L147)))),AND(L98&lt;1000000,COUNTA(C98:C147)&gt;0,O$3=FALSE),
ROUNDDOWN(INDEX(Y$4:Y147,MATCH(LARGE(FILTER(W$4:W147,W$4:W147&lt;=J98),1),W$4:W147))+(J98-LARGE(FILTER(W$4:"&amp;"W147,W$4:W147&lt;=J98),1))*INDEX(S$4:S147,MATCH(LARGE(FILTER(W$4:W147,W$4:W147&lt;=J98),1),W$4:W147))-L98),1,
ROUNDDOWN(Y98-INDEX(L$4:L147,MATCH(LARGE(FILTER(J$4:J147,J$4:J147&lt;=W98),1),J$4:J147))-(W98-LARGE(FILTER(J$4:J147,J$4:J147&lt;=W98),1))*INDEX(F$4:F147,MATC"&amp;"H(LARGE(FILTER(J$4:J147,J$4:J147&lt;=W98),1),J$4:J147))))"),0.0)</f>
        <v>0</v>
      </c>
      <c r="O98" s="65">
        <f t="shared" si="9"/>
        <v>25</v>
      </c>
      <c r="P98" s="66" t="s">
        <v>10</v>
      </c>
      <c r="Q98" s="14" t="b">
        <f>IFERROR(__xludf.DUMMYFUNCTION("IF(COUNTA(P98:P147)=0,"""",IFERROR(IF(ISBLANK(P98),FALSE,IF(ISBLANK(T98),1,IF(NOT(COUNTIF($AA$24:$AA$34,SUBSTITUTE(P98,""Sell_"",""""))),1,IF(P98=""Plastic_up"",IF(V98&lt;1000,1),IF(P98=""Super_Up"",IF(OR(COUNTIF(P$4:P98,""Grandma"")-COUNTIF(P$4:P98,""Sell_G"&amp;"randma"")&lt;1,COUNTIF(P$4:P98,VLOOKUP(P98,Upgrades!$F$8:$N$8,7+COUNTIF(P$4:P98,P98)))-COUNTIF(P$4:P98,""Sell_""&amp;VLOOKUP(P98,Upgrades!$F$8:$N$8,7+COUNTIF(P$4:P98,P98)))&lt;15),1),IF(REGEXMATCH(P98,""_up""),IF(COUNTIF(P$4:P98,SUBSTITUTE(P98,""_up"",""""))&lt;IFERRO"&amp;"R(VLOOKUP(P98,Upgrades!$L$3:$P$6,1+COUNTIF(P$4:P98,P98),0),999),1),IF(REGEXMATCH(P98,""Sell_""),IF(COUNTIF(P$4:P98,SUBSTITUTE(P98,""Sell_"",""""))-COUNTIF(P$4:P97,P98)&lt;1,1),FALSE)))))))))"),FALSE)</f>
        <v>0</v>
      </c>
      <c r="R98" s="71">
        <f>IFERROR(__xludf.DUMMYFUNCTION("IF(REGEXMATCH(P98,""^Sell_""),R97, IF(COUNTA(P98:P147)=0,"""",(COUNTIF(P$4:P98,""Cursor"")-COUNTIF(P$4:P98,""Sell_Cursor""))*(0.1*2^SWITCH(COUNTIF(P$4:P98,""Cursor_up""),0,0,1,1,2,2,3)+SWITCH(COUNTIF(P$4:P98,""Cursor_up""),4,0.1,0)*(ROW(P98)-4-COUNTIF(P$4"&amp;":P98,""Cursor"")-COUNTIF(P$4:P98,""*""&amp;""_up"")-2*COUNTIF(P$4:P98,""Sell_""&amp;""*"")+COUNTIF(P$4:P98,""Sell_Cursor"")-COUNTIF(P$4:P98,"""")))+(COUNTIF(P$4:P98,""Grandma"")-COUNTIF(P$4:P98,""Sell_Grandma""))*(1*2^(COUNTIF(P$4:P98,""Grandma_up"")+COUNTIF(P$4:"&amp;"P98,""Super_up"")))+(COUNTIF(P$4:P98,""Farm"")-COUNTIF(P$4:P98,""Sell_Farm""))*(8*2^COUNTIF(P$4:P98,""Farm_up""))*IF(COUNTIF(P$4:P98,""Super_up"")&gt;0,1+0.01*(COUNTIF(P$4:P98,""Grandma"")-COUNTIF(P$4:P98,""Sell_Grandma"")),1)+(COUNTIF(P$4:P98,""Mine"")-COUN"&amp;"TIF(P$4:P98,""Sell_Mine""))*((47*2^COUNTIF(P$4:P98,""Mine_up""))*IF(COUNTIF(P$4:P98,""Super_up"")&gt;1,1+0.005*(COUNTIF(P$4:P98,""Grandma"")-COUNTIF(P$4:P98,""Sell_Grandma"")),1))+(COUNTIF(P$4:P98,""Factory"")-COUNTIF(P$4:P98,""Sell_Factory""))*(260*2^COUNTI"&amp;"F(P$4:P98,""Factory_up""))))"),1652.48)</f>
        <v>1652.48</v>
      </c>
      <c r="S98" s="73">
        <f>IFERROR(__xludf.DUMMYFUNCTION("IF(COUNTA(P98:P147)=0,"""",IF(REGEXMATCH(INDEX(FILTER(P$4:P98,P$4:P98&lt;&gt;""""),ROWS(FILTER(P$4:P98,P$4:P98&lt;&gt;""""))),""^Sell_""),INDEX(FILTER(S$4:S97,P$4:P97&lt;&gt;""""),ROWS(FILTER(P$4:P97,P$4:P97&lt;&gt;""""))),$AD$5*(2^SWITCH(COUNTIF(P$4:P98,""Cursor_up""),0,0,1,1,2"&amp;",2,3)+SWITCH(COUNTIF(P$4:P98,""Cursor_up""),4,0.1,0)*(ROW(P98)-4-COUNTIF(P$4:P98,""Cursor"")-COUNTIF(P$4:P98,""*""&amp;""_up"")-2*COUNTIF(P$4:P98,""Sell_""&amp;""*"")+COUNTIF(P$4:P98,""Sell_Cursor"")-COUNTIF(P$4:P98,""""))+0.01*R98*COUNTIF(P$4:P98,""Plastic_up"")"&amp;")+R98))"),2020.3519999999999)</f>
        <v>2020.352</v>
      </c>
      <c r="T98" s="14">
        <f>IFERROR(__xludf.DUMMYFUNCTION("IF(COUNTA(P98:P147)=0,"""",IF(REGEXMATCH(P98,""_up""),VLOOKUP(P98,Upgrades!$F$3:$J$8,1+COUNTIF(P$4:P98,P98),FALSE),IF(P98="""",0,IF(REGEXMATCH(P98,""^Sell_""),-ROUNDDOWN(ROUNDUP(INDEX(Upgrades!$C$3:$C$8,MATCH(SUBSTITUTE(P98,""Sell_"",""""),Upgrades!$B$3:$"&amp;"B$8,0))*1.15^(COUNTIF(P$4:P97,SUBSTITUTE(P98,""Sell_"",""""))-COUNTIF(P$4:P97,""Sell_""&amp;SUBSTITUTE(P98,""Sell_"",""""))))/4),ROUNDUP(INDEX(Upgrades!$C$3:$C$7,MATCH(P98,Upgrades!$B$3:$B$7,0))*1.15^(COUNTIF(P$4:P97,P98)-COUNTIF(P$4:P97,""Sell_""&amp;P98)))))))"),430.0)</f>
        <v>430</v>
      </c>
      <c r="U98" s="14">
        <f t="shared" si="10"/>
        <v>430</v>
      </c>
      <c r="V98" s="75">
        <f t="shared" si="11"/>
        <v>6503361.36</v>
      </c>
      <c r="W98" s="76">
        <f t="shared" si="12"/>
        <v>863.8413884</v>
      </c>
      <c r="X98" s="71" t="str">
        <f t="shared" si="13"/>
        <v>14m 23s</v>
      </c>
      <c r="Y98" s="77">
        <f t="shared" si="14"/>
        <v>507979</v>
      </c>
      <c r="Z98" s="17"/>
      <c r="AA98" s="13"/>
      <c r="AB98" s="13"/>
      <c r="AC98" s="13"/>
      <c r="AD98" s="13"/>
      <c r="AE98" s="13"/>
      <c r="AF98" s="13"/>
      <c r="AG98" s="13"/>
    </row>
    <row r="99">
      <c r="A99" s="12"/>
      <c r="B99" s="65">
        <f t="shared" si="2"/>
        <v>4</v>
      </c>
      <c r="C99" s="15" t="s">
        <v>11</v>
      </c>
      <c r="D99" s="14" t="b">
        <f>IFERROR(__xludf.DUMMYFUNCTION("IF(COUNTA(C99:C147)=0,"""",IFERROR(IF(ISBLANK(C99),FALSE,IF(ISBLANK(G99),1,IF(NOT(COUNTIF($AA$24:$AA$34,SUBSTITUTE(C99,""Sell_"",""""))),1,IF(C99=""Plastic_up"",IF(I99&lt;1000,1),IF(C99=""Super_Up"",IF(OR(COUNTIF(C$4:C99,""Grandma"")-COUNTIF(C$4:C99,""Sell_G"&amp;"randma"")&lt;1,COUNTIF(C$4:C99,VLOOKUP(C99,Upgrades!$F$8:$N$8,7+COUNTIF(C$4:C99,C99)))-COUNTIF(C$4:C99,""Sell_""&amp;VLOOKUP(C99,Upgrades!$F$8:$N$8,7+COUNTIF(C$4:C99,C99)))&lt;15),1),IF(REGEXMATCH(C99,""_up""),IF(COUNTIF(C$4:C99,SUBSTITUTE(C99,""_up"",""""))&lt;IFERRO"&amp;"R(VLOOKUP(C99,Upgrades!$L$3:$P$6,1+COUNTIF(C$4:C99,C99),0),999),1),IF(REGEXMATCH(C99,""Sell_""),IF(COUNTIF(C$4:C99,SUBSTITUTE(C99,""Sell_"",""""))-COUNTIF(C$4:C98,C99)&lt;1,1),FALSE)))))))))"),FALSE)</f>
        <v>0</v>
      </c>
      <c r="E99" s="71">
        <f>IFERROR(__xludf.DUMMYFUNCTION("IF(REGEXMATCH(C99,""^Sell_""),E98, IF(COUNTA(C99:C147)=0,"""",(COUNTIF(C$4:C99,""Cursor"")-COUNTIF(C$4:C99,""Sell_Cursor""))*(0.1*2^SWITCH(COUNTIF(C$4:C99,""Cursor_up""),0,0,1,1,2,2,3)+SWITCH(COUNTIF(C$4:C99,""Cursor_up""),4,0.1,0)*(ROW(C99)-4-COUNTIF(C$4"&amp;":C99,""Cursor"")-COUNTIF(C$4:C99,""*""&amp;""_up"")-2*COUNTIF(C$4:C99,""Sell_""&amp;""*"")+COUNTIF(C$4:C99,""Sell_Cursor"")-COUNTIF(C$4:C99,"""")))+(COUNTIF(C$4:C99,""Grandma"")-COUNTIF(C$4:C99,""Sell_Grandma""))*(1*2^(COUNTIF(C$4:C99,""Grandma_up"")+COUNTIF(C$4:"&amp;"C99,""Super_up"")))+(COUNTIF(C$4:C99,""Farm"")-COUNTIF(C$4:C99,""Sell_Farm""))*(8*2^COUNTIF(C$4:C99,""Farm_up""))*IF(COUNTIF(C$4:C99,""Super_up"")&gt;0,1+0.01*(COUNTIF(C$4:C99,""Grandma"")-COUNTIF(C$4:C99,""Sell_Grandma"")),1)+(COUNTIF(C$4:C99,""Mine"")-COUN"&amp;"TIF(C$4:C99,""Sell_Mine""))*((47*2^COUNTIF(C$4:C99,""Mine_up""))*IF(COUNTIF(C$4:C99,""Super_up"")&gt;1,1+0.005*(COUNTIF(C$4:C99,""Grandma"")-COUNTIF(C$4:C99,""Sell_Grandma"")),1))+(COUNTIF(C$4:C99,""Factory"")-COUNTIF(C$4:C99,""Sell_Factory""))*(260*2^COUNTI"&amp;"F(C$4:C99,""Factory_up""))))"),1799.98)</f>
        <v>1799.98</v>
      </c>
      <c r="F99" s="73">
        <f>IFERROR(__xludf.DUMMYFUNCTION("IF(COUNTA(C99:C147)=0,"""",IF(REGEXMATCH(INDEX(FILTER(C$4:C99,C$4:C99&lt;&gt;""""),ROWS(FILTER(C$4:C99,C$4:C99&lt;&gt;""""))),""^Sell_""),INDEX(FILTER(F$4:F98,C$4:C98&lt;&gt;""""),ROWS(FILTER(C$4:C98,C$4:C98&lt;&gt;""""))),$AC$5*(2^SWITCH(COUNTIF(C$4:C99,""Cursor_up""),0,0,1,1,2"&amp;",2,3)+SWITCH(COUNTIF(C$4:C99,""Cursor_up""),4,0.1,0)*(ROW(C99)-4-COUNTIF(C$4:C99,""Cursor"")-COUNTIF(C$4:C99,""*""&amp;""_up"")-2*COUNTIF(C$4:C99,""Sell_""&amp;""*"")+COUNTIF(C$4:C99,""Sell_Cursor"")-COUNTIF(C$4:C99,""""))+0.01*E99*COUNTIF(C$4:C99,""Plastic_up"")"&amp;")+E99))"),2278.477)</f>
        <v>2278.477</v>
      </c>
      <c r="G99" s="14">
        <f>IFERROR(__xludf.DUMMYFUNCTION("IF(COUNTA(C99:C147)=0,"""",IF(REGEXMATCH(C99,""_up""),VLOOKUP(C99,Upgrades!$F$3:$J$8,1+COUNTIF(C$4:C99,C99),FALSE),IF(C99="""",0,IF(REGEXMATCH(C99,""^Sell_""),-ROUNDDOWN(ROUNDUP(INDEX(Upgrades!$C$3:$C$8,MATCH(SUBSTITUTE(C99,""Sell_"",""""),Upgrades!$B$3:$"&amp;"B$8,0))*1.15^(COUNTIF(C$4:C98,SUBSTITUTE(C99,""Sell_"",""""))-COUNTIF(C$4:C98,""Sell_""&amp;SUBSTITUTE(C99,""Sell_"",""""))))/4),ROUNDUP(INDEX(Upgrades!$C$3:$C$7,MATCH(C99,Upgrades!$B$3:$B$7,0))*1.15^(COUNTIF(C$4:C98,C99)-COUNTIF(C$4:C98,""Sell_""&amp;C99)))))))"),100000.0)</f>
        <v>100000</v>
      </c>
      <c r="H99" s="14">
        <f t="shared" si="3"/>
        <v>100000</v>
      </c>
      <c r="I99" s="75">
        <f t="shared" si="4"/>
        <v>6839352.731</v>
      </c>
      <c r="J99" s="76">
        <f t="shared" si="5"/>
        <v>913.3377137</v>
      </c>
      <c r="K99" s="71" t="str">
        <f t="shared" si="6"/>
        <v>15m 13s</v>
      </c>
      <c r="L99" s="77">
        <f t="shared" si="7"/>
        <v>607979</v>
      </c>
      <c r="M99" s="51">
        <f t="shared" si="8"/>
        <v>0</v>
      </c>
      <c r="N99" s="52">
        <f>IFERROR(__xludf.DUMMYFUNCTION("IFS(AND(COUNTA(C99:C147)=0,COUNTA(P99:P147)=0),"""",OR(AND(L99&gt;=1000000,OR(Y99&gt;=1000000,COUNTA(P99:P147)=0)),AND(Y99&gt;=1000000,COUNTA(C99:C147)=0),AND(COUNTA(P99:P147)=0,O$3=TRUE)),
ROUNDDOWN((AB$1-AC$1)*MAX(INDEX(S$4:S147,MATCH(LARGE(FILTER(Y$4:Y147,Y$4:Y"&amp;"147&lt;1000000),1),Y$4:Y147)),INDEX(F$4:F147,MATCH(LARGE(FILTER(L$4:L147,L$4:L147&lt;1000000),1),L$4:L147)))),AND(L99&lt;1000000,COUNTA(C99:C147)&gt;0,O$3=FALSE),
ROUNDDOWN(INDEX(Y$4:Y147,MATCH(LARGE(FILTER(W$4:W147,W$4:W147&lt;=J99),1),W$4:W147))+(J99-LARGE(FILTER(W$4:"&amp;"W147,W$4:W147&lt;=J99),1))*INDEX(S$4:S147,MATCH(LARGE(FILTER(W$4:W147,W$4:W147&lt;=J99),1),W$4:W147))-L99),1,
ROUNDDOWN(Y99-INDEX(L$4:L147,MATCH(LARGE(FILTER(J$4:J147,J$4:J147&lt;=W99),1),J$4:J147))-(W99-LARGE(FILTER(J$4:J147,J$4:J147&lt;=W99),1))*INDEX(F$4:F147,MATC"&amp;"H(LARGE(FILTER(J$4:J147,J$4:J147&lt;=W99),1),J$4:J147))))"),0.0)</f>
        <v>0</v>
      </c>
      <c r="O99" s="65">
        <f t="shared" si="9"/>
        <v>4</v>
      </c>
      <c r="P99" s="15" t="s">
        <v>11</v>
      </c>
      <c r="Q99" s="14" t="b">
        <f>IFERROR(__xludf.DUMMYFUNCTION("IF(COUNTA(P99:P147)=0,"""",IFERROR(IF(ISBLANK(P99),FALSE,IF(ISBLANK(T99),1,IF(NOT(COUNTIF($AA$24:$AA$34,SUBSTITUTE(P99,""Sell_"",""""))),1,IF(P99=""Plastic_up"",IF(V99&lt;1000,1),IF(P99=""Super_Up"",IF(OR(COUNTIF(P$4:P99,""Grandma"")-COUNTIF(P$4:P99,""Sell_G"&amp;"randma"")&lt;1,COUNTIF(P$4:P99,VLOOKUP(P99,Upgrades!$F$8:$N$8,7+COUNTIF(P$4:P99,P99)))-COUNTIF(P$4:P99,""Sell_""&amp;VLOOKUP(P99,Upgrades!$F$8:$N$8,7+COUNTIF(P$4:P99,P99)))&lt;15),1),IF(REGEXMATCH(P99,""_up""),IF(COUNTIF(P$4:P99,SUBSTITUTE(P99,""_up"",""""))&lt;IFERRO"&amp;"R(VLOOKUP(P99,Upgrades!$L$3:$P$6,1+COUNTIF(P$4:P99,P99),0),999),1),IF(REGEXMATCH(P99,""Sell_""),IF(COUNTIF(P$4:P99,SUBSTITUTE(P99,""Sell_"",""""))-COUNTIF(P$4:P98,P99)&lt;1,1),FALSE)))))))))"),FALSE)</f>
        <v>0</v>
      </c>
      <c r="R99" s="71">
        <f>IFERROR(__xludf.DUMMYFUNCTION("IF(REGEXMATCH(P99,""^Sell_""),R98, IF(COUNTA(P99:P147)=0,"""",(COUNTIF(P$4:P99,""Cursor"")-COUNTIF(P$4:P99,""Sell_Cursor""))*(0.1*2^SWITCH(COUNTIF(P$4:P99,""Cursor_up""),0,0,1,1,2,2,3)+SWITCH(COUNTIF(P$4:P99,""Cursor_up""),4,0.1,0)*(ROW(P99)-4-COUNTIF(P$4"&amp;":P99,""Cursor"")-COUNTIF(P$4:P99,""*""&amp;""_up"")-2*COUNTIF(P$4:P99,""Sell_""&amp;""*"")+COUNTIF(P$4:P99,""Sell_Cursor"")-COUNTIF(P$4:P99,"""")))+(COUNTIF(P$4:P99,""Grandma"")-COUNTIF(P$4:P99,""Sell_Grandma""))*(1*2^(COUNTIF(P$4:P99,""Grandma_up"")+COUNTIF(P$4:"&amp;"P99,""Super_up"")))+(COUNTIF(P$4:P99,""Farm"")-COUNTIF(P$4:P99,""Sell_Farm""))*(8*2^COUNTIF(P$4:P99,""Farm_up""))*IF(COUNTIF(P$4:P99,""Super_up"")&gt;0,1+0.01*(COUNTIF(P$4:P99,""Grandma"")-COUNTIF(P$4:P99,""Sell_Grandma"")),1)+(COUNTIF(P$4:P99,""Mine"")-COUN"&amp;"TIF(P$4:P99,""Sell_Mine""))*((47*2^COUNTIF(P$4:P99,""Mine_up""))*IF(COUNTIF(P$4:P99,""Super_up"")&gt;1,1+0.005*(COUNTIF(P$4:P99,""Grandma"")-COUNTIF(P$4:P99,""Sell_Grandma"")),1))+(COUNTIF(P$4:P99,""Factory"")-COUNTIF(P$4:P99,""Sell_Factory""))*(260*2^COUNTI"&amp;"F(P$4:P99,""Factory_up""))))"),1799.98)</f>
        <v>1799.98</v>
      </c>
      <c r="S99" s="73">
        <f>IFERROR(__xludf.DUMMYFUNCTION("IF(COUNTA(P99:P147)=0,"""",IF(REGEXMATCH(INDEX(FILTER(P$4:P99,P$4:P99&lt;&gt;""""),ROWS(FILTER(P$4:P99,P$4:P99&lt;&gt;""""))),""^Sell_""),INDEX(FILTER(S$4:S98,P$4:P98&lt;&gt;""""),ROWS(FILTER(P$4:P98,P$4:P98&lt;&gt;""""))),$AD$5*(2^SWITCH(COUNTIF(P$4:P99,""Cursor_up""),0,0,1,1,2"&amp;",2,3)+SWITCH(COUNTIF(P$4:P99,""Cursor_up""),4,0.1,0)*(ROW(P99)-4-COUNTIF(P$4:P99,""Cursor"")-COUNTIF(P$4:P99,""*""&amp;""_up"")-2*COUNTIF(P$4:P99,""Sell_""&amp;""*"")+COUNTIF(P$4:P99,""Sell_Cursor"")-COUNTIF(P$4:P99,""""))+0.01*R99*COUNTIF(P$4:P99,""Plastic_up"")"&amp;")+R99))"),2278.477)</f>
        <v>2278.477</v>
      </c>
      <c r="T99" s="14">
        <f>IFERROR(__xludf.DUMMYFUNCTION("IF(COUNTA(P99:P147)=0,"""",IF(REGEXMATCH(P99,""_up""),VLOOKUP(P99,Upgrades!$F$3:$J$8,1+COUNTIF(P$4:P99,P99),FALSE),IF(P99="""",0,IF(REGEXMATCH(P99,""^Sell_""),-ROUNDDOWN(ROUNDUP(INDEX(Upgrades!$C$3:$C$8,MATCH(SUBSTITUTE(P99,""Sell_"",""""),Upgrades!$B$3:$"&amp;"B$8,0))*1.15^(COUNTIF(P$4:P98,SUBSTITUTE(P99,""Sell_"",""""))-COUNTIF(P$4:P98,""Sell_""&amp;SUBSTITUTE(P99,""Sell_"",""""))))/4),ROUNDUP(INDEX(Upgrades!$C$3:$C$7,MATCH(P99,Upgrades!$B$3:$B$7,0))*1.15^(COUNTIF(P$4:P98,P99)-COUNTIF(P$4:P98,""Sell_""&amp;P99)))))))"),100000.0)</f>
        <v>100000</v>
      </c>
      <c r="U99" s="14">
        <f t="shared" si="10"/>
        <v>100000</v>
      </c>
      <c r="V99" s="75">
        <f t="shared" si="11"/>
        <v>6839352.731</v>
      </c>
      <c r="W99" s="76">
        <f t="shared" si="12"/>
        <v>913.3377137</v>
      </c>
      <c r="X99" s="71" t="str">
        <f t="shared" si="13"/>
        <v>15m 13s</v>
      </c>
      <c r="Y99" s="77">
        <f t="shared" si="14"/>
        <v>607979</v>
      </c>
      <c r="Z99" s="17"/>
      <c r="AA99" s="13"/>
      <c r="AB99" s="13"/>
      <c r="AC99" s="13"/>
      <c r="AD99" s="13"/>
      <c r="AE99" s="13"/>
      <c r="AF99" s="13"/>
      <c r="AG99" s="13"/>
    </row>
    <row r="100">
      <c r="A100" s="12"/>
      <c r="B100" s="65">
        <f t="shared" si="2"/>
        <v>26</v>
      </c>
      <c r="C100" s="66" t="s">
        <v>10</v>
      </c>
      <c r="D100" s="14" t="b">
        <f>IFERROR(__xludf.DUMMYFUNCTION("IF(COUNTA(C100:C147)=0,"""",IFERROR(IF(ISBLANK(C100),FALSE,IF(ISBLANK(G100),1,IF(NOT(COUNTIF($AA$24:$AA$34,SUBSTITUTE(C100,""Sell_"",""""))),1,IF(C100=""Plastic_up"",IF(I100&lt;1000,1),IF(C100=""Super_Up"",IF(OR(COUNTIF(C$4:C100,""Grandma"")-COUNTIF(C$4:C100"&amp;",""Sell_Grandma"")&lt;1,COUNTIF(C$4:C100,VLOOKUP(C100,Upgrades!$F$8:$N$8,7+COUNTIF(C$4:C100,C100)))-COUNTIF(C$4:C100,""Sell_""&amp;VLOOKUP(C100,Upgrades!$F$8:$N$8,7+COUNTIF(C$4:C100,C100)))&lt;15),1),IF(REGEXMATCH(C100,""_up""),IF(COUNTIF(C$4:C100,SUBSTITUTE(C100,"&amp;"""_up"",""""))&lt;IFERROR(VLOOKUP(C100,Upgrades!$L$3:$P$6,1+COUNTIF(C$4:C100,C100),0),999),1),IF(REGEXMATCH(C100,""Sell_""),IF(COUNTIF(C$4:C100,SUBSTITUTE(C100,""Sell_"",""""))-COUNTIF(C$4:C99,C100)&lt;1,1),FALSE)))))))))"),FALSE)</f>
        <v>0</v>
      </c>
      <c r="E100" s="71">
        <f>IFERROR(__xludf.DUMMYFUNCTION("IF(REGEXMATCH(C100,""^Sell_""),E99, IF(COUNTA(C100:C147)=0,"""",(COUNTIF(C$4:C100,""Cursor"")-COUNTIF(C$4:C100,""Sell_Cursor""))*(0.1*2^SWITCH(COUNTIF(C$4:C100,""Cursor_up""),0,0,1,1,2,2,3)+SWITCH(COUNTIF(C$4:C100,""Cursor_up""),4,0.1,0)*(ROW(C100)-4-COUN"&amp;"TIF(C$4:C100,""Cursor"")-COUNTIF(C$4:C100,""*""&amp;""_up"")-2*COUNTIF(C$4:C100,""Sell_""&amp;""*"")+COUNTIF(C$4:C100,""Sell_Cursor"")-COUNTIF(C$4:C100,"""")))+(COUNTIF(C$4:C100,""Grandma"")-COUNTIF(C$4:C100,""Sell_Grandma""))*(1*2^(COUNTIF(C$4:C100,""Grandma_up"&amp;""")+COUNTIF(C$4:C100,""Super_up"")))+(COUNTIF(C$4:C100,""Farm"")-COUNTIF(C$4:C100,""Sell_Farm""))*(8*2^COUNTIF(C$4:C100,""Farm_up""))*IF(COUNTIF(C$4:C100,""Super_up"")&gt;0,1+0.01*(COUNTIF(C$4:C100,""Grandma"")-COUNTIF(C$4:C100,""Sell_Grandma"")),1)+(COUNTIF"&amp;"(C$4:C100,""Mine"")-COUNTIF(C$4:C100,""Sell_Mine""))*((47*2^COUNTIF(C$4:C100,""Mine_up""))*IF(COUNTIF(C$4:C100,""Super_up"")&gt;1,1+0.005*(COUNTIF(C$4:C100,""Grandma"")-COUNTIF(C$4:C100,""Sell_Grandma"")),1))+(COUNTIF(C$4:C100,""Factory"")-COUNTIF(C$4:C100,"&amp;"""Sell_Factory""))*(260*2^COUNTIF(C$4:C100,""Factory_up""))))"),1806.68)</f>
        <v>1806.68</v>
      </c>
      <c r="F100" s="73">
        <f>IFERROR(__xludf.DUMMYFUNCTION("IF(COUNTA(C100:C147)=0,"""",IF(REGEXMATCH(INDEX(FILTER(C$4:C100,C$4:C100&lt;&gt;""""),ROWS(FILTER(C$4:C100,C$4:C100&lt;&gt;""""))),""^Sell_""),INDEX(FILTER(F$4:F99,C$4:C99&lt;&gt;""""),ROWS(FILTER(C$4:C99,C$4:C99&lt;&gt;""""))),$AC$5*(2^SWITCH(COUNTIF(C$4:C100,""Cursor_up""),0,0"&amp;",1,1,2,2,3)+SWITCH(COUNTIF(C$4:C100,""Cursor_up""),4,0.1,0)*(ROW(C100)-4-COUNTIF(C$4:C100,""Cursor"")-COUNTIF(C$4:C100,""*""&amp;""_up"")-2*COUNTIF(C$4:C100,""Sell_""&amp;""*"")+COUNTIF(C$4:C100,""Sell_Cursor"")-COUNTIF(C$4:C100,""""))+0.01*E100*COUNTIF(C$4:C100,"&amp;"""Plastic_up""))+E100))"),2286.1820000000002)</f>
        <v>2286.182</v>
      </c>
      <c r="G100" s="14">
        <f>IFERROR(__xludf.DUMMYFUNCTION("IF(COUNTA(C100:C147)=0,"""",IF(REGEXMATCH(C100,""_up""),VLOOKUP(C100,Upgrades!$F$3:$J$8,1+COUNTIF(C$4:C100,C100),FALSE),IF(C100="""",0,IF(REGEXMATCH(C100,""^Sell_""),-ROUNDDOWN(ROUNDUP(INDEX(Upgrades!$C$3:$C$8,MATCH(SUBSTITUTE(C100,""Sell_"",""""),Upgrade"&amp;"s!$B$3:$B$8,0))*1.15^(COUNTIF(C$4:C99,SUBSTITUTE(C100,""Sell_"",""""))-COUNTIF(C$4:C99,""Sell_""&amp;SUBSTITUTE(C100,""Sell_"",""""))))/4),ROUNDUP(INDEX(Upgrades!$C$3:$C$7,MATCH(C100,Upgrades!$B$3:$B$7,0))*1.15^(COUNTIF(C$4:C99,C100)-COUNTIF(C$4:C99,""Sell_"""&amp;"&amp;C100)))))))"),494.0)</f>
        <v>494</v>
      </c>
      <c r="H100" s="14">
        <f t="shared" si="3"/>
        <v>494</v>
      </c>
      <c r="I100" s="75">
        <f t="shared" si="4"/>
        <v>7276485.831</v>
      </c>
      <c r="J100" s="76">
        <f t="shared" si="5"/>
        <v>913.5545252</v>
      </c>
      <c r="K100" s="71" t="str">
        <f t="shared" si="6"/>
        <v>15m 13s</v>
      </c>
      <c r="L100" s="77">
        <f t="shared" si="7"/>
        <v>608473</v>
      </c>
      <c r="M100" s="51">
        <f t="shared" si="8"/>
        <v>0</v>
      </c>
      <c r="N100" s="52">
        <f>IFERROR(__xludf.DUMMYFUNCTION("IFS(AND(COUNTA(C100:C147)=0,COUNTA(P100:P147)=0),"""",OR(AND(L100&gt;=1000000,OR(Y100&gt;=1000000,COUNTA(P100:P147)=0)),AND(Y100&gt;=1000000,COUNTA(C100:C147)=0),AND(COUNTA(P100:P147)=0,O$3=TRUE)),
ROUNDDOWN((AB$1-AC$1)*MAX(INDEX(S$4:S147,MATCH(LARGE(FILTER(Y$4:Y1"&amp;"47,Y$4:Y147&lt;1000000),1),Y$4:Y147)),INDEX(F$4:F147,MATCH(LARGE(FILTER(L$4:L147,L$4:L147&lt;1000000),1),L$4:L147)))),AND(L100&lt;1000000,COUNTA(C100:C147)&gt;0,O$3=FALSE),
ROUNDDOWN(INDEX(Y$4:Y147,MATCH(LARGE(FILTER(W$4:W147,W$4:W147&lt;=J100),1),W$4:W147))+(J100-LARGE"&amp;"(FILTER(W$4:W147,W$4:W147&lt;=J100),1))*INDEX(S$4:S147,MATCH(LARGE(FILTER(W$4:W147,W$4:W147&lt;=J100),1),W$4:W147))-L100),1,
ROUNDDOWN(Y100-INDEX(L$4:L147,MATCH(LARGE(FILTER(J$4:J147,J$4:J147&lt;=W100),1),J$4:J147))-(W100-LARGE(FILTER(J$4:J147,J$4:J147&lt;=W100),1))*"&amp;"INDEX(F$4:F147,MATCH(LARGE(FILTER(J$4:J147,J$4:J147&lt;=W100),1),J$4:J147))))"),0.0)</f>
        <v>0</v>
      </c>
      <c r="O100" s="65">
        <f t="shared" si="9"/>
        <v>26</v>
      </c>
      <c r="P100" s="66" t="s">
        <v>10</v>
      </c>
      <c r="Q100" s="14" t="b">
        <f>IFERROR(__xludf.DUMMYFUNCTION("IF(COUNTA(P100:P147)=0,"""",IFERROR(IF(ISBLANK(P100),FALSE,IF(ISBLANK(T100),1,IF(NOT(COUNTIF($AA$24:$AA$34,SUBSTITUTE(P100,""Sell_"",""""))),1,IF(P100=""Plastic_up"",IF(V100&lt;1000,1),IF(P100=""Super_Up"",IF(OR(COUNTIF(P$4:P100,""Grandma"")-COUNTIF(P$4:P100"&amp;",""Sell_Grandma"")&lt;1,COUNTIF(P$4:P100,VLOOKUP(P100,Upgrades!$F$8:$N$8,7+COUNTIF(P$4:P100,P100)))-COUNTIF(P$4:P100,""Sell_""&amp;VLOOKUP(P100,Upgrades!$F$8:$N$8,7+COUNTIF(P$4:P100,P100)))&lt;15),1),IF(REGEXMATCH(P100,""_up""),IF(COUNTIF(P$4:P100,SUBSTITUTE(P100,"&amp;"""_up"",""""))&lt;IFERROR(VLOOKUP(P100,Upgrades!$L$3:$P$6,1+COUNTIF(P$4:P100,P100),0),999),1),IF(REGEXMATCH(P100,""Sell_""),IF(COUNTIF(P$4:P100,SUBSTITUTE(P100,""Sell_"",""""))-COUNTIF(P$4:P99,P100)&lt;1,1),FALSE)))))))))"),FALSE)</f>
        <v>0</v>
      </c>
      <c r="R100" s="71">
        <f>IFERROR(__xludf.DUMMYFUNCTION("IF(REGEXMATCH(P100,""^Sell_""),R99, IF(COUNTA(P100:P147)=0,"""",(COUNTIF(P$4:P100,""Cursor"")-COUNTIF(P$4:P100,""Sell_Cursor""))*(0.1*2^SWITCH(COUNTIF(P$4:P100,""Cursor_up""),0,0,1,1,2,2,3)+SWITCH(COUNTIF(P$4:P100,""Cursor_up""),4,0.1,0)*(ROW(P100)-4-COUN"&amp;"TIF(P$4:P100,""Cursor"")-COUNTIF(P$4:P100,""*""&amp;""_up"")-2*COUNTIF(P$4:P100,""Sell_""&amp;""*"")+COUNTIF(P$4:P100,""Sell_Cursor"")-COUNTIF(P$4:P100,"""")))+(COUNTIF(P$4:P100,""Grandma"")-COUNTIF(P$4:P100,""Sell_Grandma""))*(1*2^(COUNTIF(P$4:P100,""Grandma_up"&amp;""")+COUNTIF(P$4:P100,""Super_up"")))+(COUNTIF(P$4:P100,""Farm"")-COUNTIF(P$4:P100,""Sell_Farm""))*(8*2^COUNTIF(P$4:P100,""Farm_up""))*IF(COUNTIF(P$4:P100,""Super_up"")&gt;0,1+0.01*(COUNTIF(P$4:P100,""Grandma"")-COUNTIF(P$4:P100,""Sell_Grandma"")),1)+(COUNTIF"&amp;"(P$4:P100,""Mine"")-COUNTIF(P$4:P100,""Sell_Mine""))*((47*2^COUNTIF(P$4:P100,""Mine_up""))*IF(COUNTIF(P$4:P100,""Super_up"")&gt;1,1+0.005*(COUNTIF(P$4:P100,""Grandma"")-COUNTIF(P$4:P100,""Sell_Grandma"")),1))+(COUNTIF(P$4:P100,""Factory"")-COUNTIF(P$4:P100,"&amp;"""Sell_Factory""))*(260*2^COUNTIF(P$4:P100,""Factory_up""))))"),1806.68)</f>
        <v>1806.68</v>
      </c>
      <c r="S100" s="73">
        <f>IFERROR(__xludf.DUMMYFUNCTION("IF(COUNTA(P100:P147)=0,"""",IF(REGEXMATCH(INDEX(FILTER(P$4:P100,P$4:P100&lt;&gt;""""),ROWS(FILTER(P$4:P100,P$4:P100&lt;&gt;""""))),""^Sell_""),INDEX(FILTER(S$4:S99,P$4:P99&lt;&gt;""""),ROWS(FILTER(P$4:P99,P$4:P99&lt;&gt;""""))),$AD$5*(2^SWITCH(COUNTIF(P$4:P100,""Cursor_up""),0,0"&amp;",1,1,2,2,3)+SWITCH(COUNTIF(P$4:P100,""Cursor_up""),4,0.1,0)*(ROW(P100)-4-COUNTIF(P$4:P100,""Cursor"")-COUNTIF(P$4:P100,""*""&amp;""_up"")-2*COUNTIF(P$4:P100,""Sell_""&amp;""*"")+COUNTIF(P$4:P100,""Sell_Cursor"")-COUNTIF(P$4:P100,""""))+0.01*R100*COUNTIF(P$4:P100,"&amp;"""Plastic_up""))+R100))"),2286.1820000000002)</f>
        <v>2286.182</v>
      </c>
      <c r="T100" s="14">
        <f>IFERROR(__xludf.DUMMYFUNCTION("IF(COUNTA(P100:P147)=0,"""",IF(REGEXMATCH(P100,""_up""),VLOOKUP(P100,Upgrades!$F$3:$J$8,1+COUNTIF(P$4:P100,P100),FALSE),IF(P100="""",0,IF(REGEXMATCH(P100,""^Sell_""),-ROUNDDOWN(ROUNDUP(INDEX(Upgrades!$C$3:$C$8,MATCH(SUBSTITUTE(P100,""Sell_"",""""),Upgrade"&amp;"s!$B$3:$B$8,0))*1.15^(COUNTIF(P$4:P99,SUBSTITUTE(P100,""Sell_"",""""))-COUNTIF(P$4:P99,""Sell_""&amp;SUBSTITUTE(P100,""Sell_"",""""))))/4),ROUNDUP(INDEX(Upgrades!$C$3:$C$7,MATCH(P100,Upgrades!$B$3:$B$7,0))*1.15^(COUNTIF(P$4:P99,P100)-COUNTIF(P$4:P99,""Sell_"""&amp;"&amp;P100)))))))"),494.0)</f>
        <v>494</v>
      </c>
      <c r="U100" s="14">
        <f t="shared" si="10"/>
        <v>494</v>
      </c>
      <c r="V100" s="75">
        <f t="shared" si="11"/>
        <v>7276485.831</v>
      </c>
      <c r="W100" s="76">
        <f t="shared" si="12"/>
        <v>913.5545252</v>
      </c>
      <c r="X100" s="71" t="str">
        <f t="shared" si="13"/>
        <v>15m 13s</v>
      </c>
      <c r="Y100" s="77">
        <f t="shared" si="14"/>
        <v>608473</v>
      </c>
      <c r="Z100" s="17"/>
      <c r="AA100" s="13"/>
      <c r="AB100" s="13"/>
      <c r="AC100" s="13"/>
      <c r="AD100" s="13"/>
      <c r="AE100" s="13"/>
      <c r="AF100" s="13"/>
      <c r="AG100" s="13"/>
    </row>
    <row r="101">
      <c r="A101" s="12"/>
      <c r="B101" s="65">
        <f t="shared" si="2"/>
        <v>27</v>
      </c>
      <c r="C101" s="66" t="s">
        <v>10</v>
      </c>
      <c r="D101" s="14" t="b">
        <f>IFERROR(__xludf.DUMMYFUNCTION("IF(COUNTA(C101:C147)=0,"""",IFERROR(IF(ISBLANK(C101),FALSE,IF(ISBLANK(G101),1,IF(NOT(COUNTIF($AA$24:$AA$34,SUBSTITUTE(C101,""Sell_"",""""))),1,IF(C101=""Plastic_up"",IF(I101&lt;1000,1),IF(C101=""Super_Up"",IF(OR(COUNTIF(C$4:C101,""Grandma"")-COUNTIF(C$4:C101"&amp;",""Sell_Grandma"")&lt;1,COUNTIF(C$4:C101,VLOOKUP(C101,Upgrades!$F$8:$N$8,7+COUNTIF(C$4:C101,C101)))-COUNTIF(C$4:C101,""Sell_""&amp;VLOOKUP(C101,Upgrades!$F$8:$N$8,7+COUNTIF(C$4:C101,C101)))&lt;15),1),IF(REGEXMATCH(C101,""_up""),IF(COUNTIF(C$4:C101,SUBSTITUTE(C101,"&amp;"""_up"",""""))&lt;IFERROR(VLOOKUP(C101,Upgrades!$L$3:$P$6,1+COUNTIF(C$4:C101,C101),0),999),1),IF(REGEXMATCH(C101,""Sell_""),IF(COUNTIF(C$4:C101,SUBSTITUTE(C101,""Sell_"",""""))-COUNTIF(C$4:C100,C101)&lt;1,1),FALSE)))))))))"),FALSE)</f>
        <v>0</v>
      </c>
      <c r="E101" s="71">
        <f>IFERROR(__xludf.DUMMYFUNCTION("IF(REGEXMATCH(C101,""^Sell_""),E100, IF(COUNTA(C101:C147)=0,"""",(COUNTIF(C$4:C101,""Cursor"")-COUNTIF(C$4:C101,""Sell_Cursor""))*(0.1*2^SWITCH(COUNTIF(C$4:C101,""Cursor_up""),0,0,1,1,2,2,3)+SWITCH(COUNTIF(C$4:C101,""Cursor_up""),4,0.1,0)*(ROW(C101)-4-COU"&amp;"NTIF(C$4:C101,""Cursor"")-COUNTIF(C$4:C101,""*""&amp;""_up"")-2*COUNTIF(C$4:C101,""Sell_""&amp;""*"")+COUNTIF(C$4:C101,""Sell_Cursor"")-COUNTIF(C$4:C101,"""")))+(COUNTIF(C$4:C101,""Grandma"")-COUNTIF(C$4:C101,""Sell_Grandma""))*(1*2^(COUNTIF(C$4:C101,""Grandma_up"&amp;""")+COUNTIF(C$4:C101,""Super_up"")))+(COUNTIF(C$4:C101,""Farm"")-COUNTIF(C$4:C101,""Sell_Farm""))*(8*2^COUNTIF(C$4:C101,""Farm_up""))*IF(COUNTIF(C$4:C101,""Super_up"")&gt;0,1+0.01*(COUNTIF(C$4:C101,""Grandma"")-COUNTIF(C$4:C101,""Sell_Grandma"")),1)+(COUNTIF"&amp;"(C$4:C101,""Mine"")-COUNTIF(C$4:C101,""Sell_Mine""))*((47*2^COUNTIF(C$4:C101,""Mine_up""))*IF(COUNTIF(C$4:C101,""Super_up"")&gt;1,1+0.005*(COUNTIF(C$4:C101,""Grandma"")-COUNTIF(C$4:C101,""Sell_Grandma"")),1))+(COUNTIF(C$4:C101,""Factory"")-COUNTIF(C$4:C101,"&amp;"""Sell_Factory""))*(260*2^COUNTIF(C$4:C101,""Factory_up""))))"),1813.38)</f>
        <v>1813.38</v>
      </c>
      <c r="F101" s="73">
        <f>IFERROR(__xludf.DUMMYFUNCTION("IF(COUNTA(C101:C147)=0,"""",IF(REGEXMATCH(INDEX(FILTER(C$4:C101,C$4:C101&lt;&gt;""""),ROWS(FILTER(C$4:C101,C$4:C101&lt;&gt;""""))),""^Sell_""),INDEX(FILTER(F$4:F100,C$4:C100&lt;&gt;""""),ROWS(FILTER(C$4:C100,C$4:C100&lt;&gt;""""))),$AC$5*(2^SWITCH(COUNTIF(C$4:C101,""Cursor_up"")"&amp;",0,0,1,1,2,2,3)+SWITCH(COUNTIF(C$4:C101,""Cursor_up""),4,0.1,0)*(ROW(C101)-4-COUNTIF(C$4:C101,""Cursor"")-COUNTIF(C$4:C101,""*""&amp;""_up"")-2*COUNTIF(C$4:C101,""Sell_""&amp;""*"")+COUNTIF(C$4:C101,""Sell_Cursor"")-COUNTIF(C$4:C101,""""))+0.01*E101*COUNTIF(C$4:C"&amp;"101,""Plastic_up""))+E101))"),2293.887)</f>
        <v>2293.887</v>
      </c>
      <c r="G101" s="14">
        <f>IFERROR(__xludf.DUMMYFUNCTION("IF(COUNTA(C101:C147)=0,"""",IF(REGEXMATCH(C101,""_up""),VLOOKUP(C101,Upgrades!$F$3:$J$8,1+COUNTIF(C$4:C101,C101),FALSE),IF(C101="""",0,IF(REGEXMATCH(C101,""^Sell_""),-ROUNDDOWN(ROUNDUP(INDEX(Upgrades!$C$3:$C$8,MATCH(SUBSTITUTE(C101,""Sell_"",""""),Upgrade"&amp;"s!$B$3:$B$8,0))*1.15^(COUNTIF(C$4:C100,SUBSTITUTE(C101,""Sell_"",""""))-COUNTIF(C$4:C100,""Sell_""&amp;SUBSTITUTE(C101,""Sell_"",""""))))/4),ROUNDUP(INDEX(Upgrades!$C$3:$C$7,MATCH(C101,Upgrades!$B$3:$B$7,0))*1.15^(COUNTIF(C$4:C100,C101)-COUNTIF(C$4:C100,""Sel"&amp;"l_""&amp;C101)))))))"),568.0)</f>
        <v>568</v>
      </c>
      <c r="H101" s="14">
        <f t="shared" si="3"/>
        <v>568</v>
      </c>
      <c r="I101" s="75">
        <f t="shared" si="4"/>
        <v>7714656.185</v>
      </c>
      <c r="J101" s="76">
        <f t="shared" si="5"/>
        <v>913.8029744</v>
      </c>
      <c r="K101" s="71" t="str">
        <f t="shared" si="6"/>
        <v>15m 13s</v>
      </c>
      <c r="L101" s="77">
        <f t="shared" si="7"/>
        <v>609041</v>
      </c>
      <c r="M101" s="51">
        <f t="shared" si="8"/>
        <v>0</v>
      </c>
      <c r="N101" s="52">
        <f>IFERROR(__xludf.DUMMYFUNCTION("IFS(AND(COUNTA(C101:C147)=0,COUNTA(P101:P147)=0),"""",OR(AND(L101&gt;=1000000,OR(Y101&gt;=1000000,COUNTA(P101:P147)=0)),AND(Y101&gt;=1000000,COUNTA(C101:C147)=0),AND(COUNTA(P101:P147)=0,O$3=TRUE)),
ROUNDDOWN((AB$1-AC$1)*MAX(INDEX(S$4:S147,MATCH(LARGE(FILTER(Y$4:Y1"&amp;"47,Y$4:Y147&lt;1000000),1),Y$4:Y147)),INDEX(F$4:F147,MATCH(LARGE(FILTER(L$4:L147,L$4:L147&lt;1000000),1),L$4:L147)))),AND(L101&lt;1000000,COUNTA(C101:C147)&gt;0,O$3=FALSE),
ROUNDDOWN(INDEX(Y$4:Y147,MATCH(LARGE(FILTER(W$4:W147,W$4:W147&lt;=J101),1),W$4:W147))+(J101-LARGE"&amp;"(FILTER(W$4:W147,W$4:W147&lt;=J101),1))*INDEX(S$4:S147,MATCH(LARGE(FILTER(W$4:W147,W$4:W147&lt;=J101),1),W$4:W147))-L101),1,
ROUNDDOWN(Y101-INDEX(L$4:L147,MATCH(LARGE(FILTER(J$4:J147,J$4:J147&lt;=W101),1),J$4:J147))-(W101-LARGE(FILTER(J$4:J147,J$4:J147&lt;=W101),1))*"&amp;"INDEX(F$4:F147,MATCH(LARGE(FILTER(J$4:J147,J$4:J147&lt;=W101),1),J$4:J147))))"),0.0)</f>
        <v>0</v>
      </c>
      <c r="O101" s="65">
        <f t="shared" si="9"/>
        <v>27</v>
      </c>
      <c r="P101" s="66" t="s">
        <v>10</v>
      </c>
      <c r="Q101" s="14" t="b">
        <f>IFERROR(__xludf.DUMMYFUNCTION("IF(COUNTA(P101:P147)=0,"""",IFERROR(IF(ISBLANK(P101),FALSE,IF(ISBLANK(T101),1,IF(NOT(COUNTIF($AA$24:$AA$34,SUBSTITUTE(P101,""Sell_"",""""))),1,IF(P101=""Plastic_up"",IF(V101&lt;1000,1),IF(P101=""Super_Up"",IF(OR(COUNTIF(P$4:P101,""Grandma"")-COUNTIF(P$4:P101"&amp;",""Sell_Grandma"")&lt;1,COUNTIF(P$4:P101,VLOOKUP(P101,Upgrades!$F$8:$N$8,7+COUNTIF(P$4:P101,P101)))-COUNTIF(P$4:P101,""Sell_""&amp;VLOOKUP(P101,Upgrades!$F$8:$N$8,7+COUNTIF(P$4:P101,P101)))&lt;15),1),IF(REGEXMATCH(P101,""_up""),IF(COUNTIF(P$4:P101,SUBSTITUTE(P101,"&amp;"""_up"",""""))&lt;IFERROR(VLOOKUP(P101,Upgrades!$L$3:$P$6,1+COUNTIF(P$4:P101,P101),0),999),1),IF(REGEXMATCH(P101,""Sell_""),IF(COUNTIF(P$4:P101,SUBSTITUTE(P101,""Sell_"",""""))-COUNTIF(P$4:P100,P101)&lt;1,1),FALSE)))))))))"),FALSE)</f>
        <v>0</v>
      </c>
      <c r="R101" s="71">
        <f>IFERROR(__xludf.DUMMYFUNCTION("IF(REGEXMATCH(P101,""^Sell_""),R100, IF(COUNTA(P101:P147)=0,"""",(COUNTIF(P$4:P101,""Cursor"")-COUNTIF(P$4:P101,""Sell_Cursor""))*(0.1*2^SWITCH(COUNTIF(P$4:P101,""Cursor_up""),0,0,1,1,2,2,3)+SWITCH(COUNTIF(P$4:P101,""Cursor_up""),4,0.1,0)*(ROW(P101)-4-COU"&amp;"NTIF(P$4:P101,""Cursor"")-COUNTIF(P$4:P101,""*""&amp;""_up"")-2*COUNTIF(P$4:P101,""Sell_""&amp;""*"")+COUNTIF(P$4:P101,""Sell_Cursor"")-COUNTIF(P$4:P101,"""")))+(COUNTIF(P$4:P101,""Grandma"")-COUNTIF(P$4:P101,""Sell_Grandma""))*(1*2^(COUNTIF(P$4:P101,""Grandma_up"&amp;""")+COUNTIF(P$4:P101,""Super_up"")))+(COUNTIF(P$4:P101,""Farm"")-COUNTIF(P$4:P101,""Sell_Farm""))*(8*2^COUNTIF(P$4:P101,""Farm_up""))*IF(COUNTIF(P$4:P101,""Super_up"")&gt;0,1+0.01*(COUNTIF(P$4:P101,""Grandma"")-COUNTIF(P$4:P101,""Sell_Grandma"")),1)+(COUNTIF"&amp;"(P$4:P101,""Mine"")-COUNTIF(P$4:P101,""Sell_Mine""))*((47*2^COUNTIF(P$4:P101,""Mine_up""))*IF(COUNTIF(P$4:P101,""Super_up"")&gt;1,1+0.005*(COUNTIF(P$4:P101,""Grandma"")-COUNTIF(P$4:P101,""Sell_Grandma"")),1))+(COUNTIF(P$4:P101,""Factory"")-COUNTIF(P$4:P101,"&amp;"""Sell_Factory""))*(260*2^COUNTIF(P$4:P101,""Factory_up""))))"),1813.38)</f>
        <v>1813.38</v>
      </c>
      <c r="S101" s="73">
        <f>IFERROR(__xludf.DUMMYFUNCTION("IF(COUNTA(P101:P147)=0,"""",IF(REGEXMATCH(INDEX(FILTER(P$4:P101,P$4:P101&lt;&gt;""""),ROWS(FILTER(P$4:P101,P$4:P101&lt;&gt;""""))),""^Sell_""),INDEX(FILTER(S$4:S100,P$4:P100&lt;&gt;""""),ROWS(FILTER(P$4:P100,P$4:P100&lt;&gt;""""))),$AD$5*(2^SWITCH(COUNTIF(P$4:P101,""Cursor_up"")"&amp;",0,0,1,1,2,2,3)+SWITCH(COUNTIF(P$4:P101,""Cursor_up""),4,0.1,0)*(ROW(P101)-4-COUNTIF(P$4:P101,""Cursor"")-COUNTIF(P$4:P101,""*""&amp;""_up"")-2*COUNTIF(P$4:P101,""Sell_""&amp;""*"")+COUNTIF(P$4:P101,""Sell_Cursor"")-COUNTIF(P$4:P101,""""))+0.01*R101*COUNTIF(P$4:P"&amp;"101,""Plastic_up""))+R101))"),2293.887)</f>
        <v>2293.887</v>
      </c>
      <c r="T101" s="14">
        <f>IFERROR(__xludf.DUMMYFUNCTION("IF(COUNTA(P101:P147)=0,"""",IF(REGEXMATCH(P101,""_up""),VLOOKUP(P101,Upgrades!$F$3:$J$8,1+COUNTIF(P$4:P101,P101),FALSE),IF(P101="""",0,IF(REGEXMATCH(P101,""^Sell_""),-ROUNDDOWN(ROUNDUP(INDEX(Upgrades!$C$3:$C$8,MATCH(SUBSTITUTE(P101,""Sell_"",""""),Upgrade"&amp;"s!$B$3:$B$8,0))*1.15^(COUNTIF(P$4:P100,SUBSTITUTE(P101,""Sell_"",""""))-COUNTIF(P$4:P100,""Sell_""&amp;SUBSTITUTE(P101,""Sell_"",""""))))/4),ROUNDUP(INDEX(Upgrades!$C$3:$C$7,MATCH(P101,Upgrades!$B$3:$B$7,0))*1.15^(COUNTIF(P$4:P100,P101)-COUNTIF(P$4:P100,""Sel"&amp;"l_""&amp;P101)))))))"),568.0)</f>
        <v>568</v>
      </c>
      <c r="U101" s="14">
        <f t="shared" si="10"/>
        <v>568</v>
      </c>
      <c r="V101" s="75">
        <f t="shared" si="11"/>
        <v>7714656.185</v>
      </c>
      <c r="W101" s="76">
        <f t="shared" si="12"/>
        <v>913.8029744</v>
      </c>
      <c r="X101" s="71" t="str">
        <f t="shared" si="13"/>
        <v>15m 13s</v>
      </c>
      <c r="Y101" s="77">
        <f t="shared" si="14"/>
        <v>609041</v>
      </c>
      <c r="Z101" s="17"/>
      <c r="AA101" s="13"/>
      <c r="AB101" s="13"/>
      <c r="AC101" s="13"/>
      <c r="AD101" s="13"/>
      <c r="AE101" s="13"/>
      <c r="AF101" s="13"/>
      <c r="AG101" s="13"/>
    </row>
    <row r="102">
      <c r="A102" s="12"/>
      <c r="B102" s="65">
        <f t="shared" si="2"/>
        <v>28</v>
      </c>
      <c r="C102" s="66" t="s">
        <v>10</v>
      </c>
      <c r="D102" s="14" t="b">
        <f>IFERROR(__xludf.DUMMYFUNCTION("IF(COUNTA(C102:C147)=0,"""",IFERROR(IF(ISBLANK(C102),FALSE,IF(ISBLANK(G102),1,IF(NOT(COUNTIF($AA$24:$AA$34,SUBSTITUTE(C102,""Sell_"",""""))),1,IF(C102=""Plastic_up"",IF(I102&lt;1000,1),IF(C102=""Super_Up"",IF(OR(COUNTIF(C$4:C102,""Grandma"")-COUNTIF(C$4:C102"&amp;",""Sell_Grandma"")&lt;1,COUNTIF(C$4:C102,VLOOKUP(C102,Upgrades!$F$8:$N$8,7+COUNTIF(C$4:C102,C102)))-COUNTIF(C$4:C102,""Sell_""&amp;VLOOKUP(C102,Upgrades!$F$8:$N$8,7+COUNTIF(C$4:C102,C102)))&lt;15),1),IF(REGEXMATCH(C102,""_up""),IF(COUNTIF(C$4:C102,SUBSTITUTE(C102,"&amp;"""_up"",""""))&lt;IFERROR(VLOOKUP(C102,Upgrades!$L$3:$P$6,1+COUNTIF(C$4:C102,C102),0),999),1),IF(REGEXMATCH(C102,""Sell_""),IF(COUNTIF(C$4:C102,SUBSTITUTE(C102,""Sell_"",""""))-COUNTIF(C$4:C101,C102)&lt;1,1),FALSE)))))))))"),FALSE)</f>
        <v>0</v>
      </c>
      <c r="E102" s="71">
        <f>IFERROR(__xludf.DUMMYFUNCTION("IF(REGEXMATCH(C102,""^Sell_""),E101, IF(COUNTA(C102:C147)=0,"""",(COUNTIF(C$4:C102,""Cursor"")-COUNTIF(C$4:C102,""Sell_Cursor""))*(0.1*2^SWITCH(COUNTIF(C$4:C102,""Cursor_up""),0,0,1,1,2,2,3)+SWITCH(COUNTIF(C$4:C102,""Cursor_up""),4,0.1,0)*(ROW(C102)-4-COU"&amp;"NTIF(C$4:C102,""Cursor"")-COUNTIF(C$4:C102,""*""&amp;""_up"")-2*COUNTIF(C$4:C102,""Sell_""&amp;""*"")+COUNTIF(C$4:C102,""Sell_Cursor"")-COUNTIF(C$4:C102,"""")))+(COUNTIF(C$4:C102,""Grandma"")-COUNTIF(C$4:C102,""Sell_Grandma""))*(1*2^(COUNTIF(C$4:C102,""Grandma_up"&amp;""")+COUNTIF(C$4:C102,""Super_up"")))+(COUNTIF(C$4:C102,""Farm"")-COUNTIF(C$4:C102,""Sell_Farm""))*(8*2^COUNTIF(C$4:C102,""Farm_up""))*IF(COUNTIF(C$4:C102,""Super_up"")&gt;0,1+0.01*(COUNTIF(C$4:C102,""Grandma"")-COUNTIF(C$4:C102,""Sell_Grandma"")),1)+(COUNTIF"&amp;"(C$4:C102,""Mine"")-COUNTIF(C$4:C102,""Sell_Mine""))*((47*2^COUNTIF(C$4:C102,""Mine_up""))*IF(COUNTIF(C$4:C102,""Super_up"")&gt;1,1+0.005*(COUNTIF(C$4:C102,""Grandma"")-COUNTIF(C$4:C102,""Sell_Grandma"")),1))+(COUNTIF(C$4:C102,""Factory"")-COUNTIF(C$4:C102,"&amp;"""Sell_Factory""))*(260*2^COUNTIF(C$4:C102,""Factory_up""))))"),1820.08)</f>
        <v>1820.08</v>
      </c>
      <c r="F102" s="73">
        <f>IFERROR(__xludf.DUMMYFUNCTION("IF(COUNTA(C102:C147)=0,"""",IF(REGEXMATCH(INDEX(FILTER(C$4:C102,C$4:C102&lt;&gt;""""),ROWS(FILTER(C$4:C102,C$4:C102&lt;&gt;""""))),""^Sell_""),INDEX(FILTER(F$4:F101,C$4:C101&lt;&gt;""""),ROWS(FILTER(C$4:C101,C$4:C101&lt;&gt;""""))),$AC$5*(2^SWITCH(COUNTIF(C$4:C102,""Cursor_up"")"&amp;",0,0,1,1,2,2,3)+SWITCH(COUNTIF(C$4:C102,""Cursor_up""),4,0.1,0)*(ROW(C102)-4-COUNTIF(C$4:C102,""Cursor"")-COUNTIF(C$4:C102,""*""&amp;""_up"")-2*COUNTIF(C$4:C102,""Sell_""&amp;""*"")+COUNTIF(C$4:C102,""Sell_Cursor"")-COUNTIF(C$4:C102,""""))+0.01*E102*COUNTIF(C$4:C"&amp;"102,""Plastic_up""))+E102))"),2301.592)</f>
        <v>2301.592</v>
      </c>
      <c r="G102" s="14">
        <f>IFERROR(__xludf.DUMMYFUNCTION("IF(COUNTA(C102:C147)=0,"""",IF(REGEXMATCH(C102,""_up""),VLOOKUP(C102,Upgrades!$F$3:$J$8,1+COUNTIF(C$4:C102,C102),FALSE),IF(C102="""",0,IF(REGEXMATCH(C102,""^Sell_""),-ROUNDDOWN(ROUNDUP(INDEX(Upgrades!$C$3:$C$8,MATCH(SUBSTITUTE(C102,""Sell_"",""""),Upgrade"&amp;"s!$B$3:$B$8,0))*1.15^(COUNTIF(C$4:C101,SUBSTITUTE(C102,""Sell_"",""""))-COUNTIF(C$4:C101,""Sell_""&amp;SUBSTITUTE(C102,""Sell_"",""""))))/4),ROUNDUP(INDEX(Upgrades!$C$3:$C$7,MATCH(C102,Upgrades!$B$3:$B$7,0))*1.15^(COUNTIF(C$4:C101,C102)-COUNTIF(C$4:C101,""Sel"&amp;"l_""&amp;C102)))))))"),654.0)</f>
        <v>654</v>
      </c>
      <c r="H102" s="14">
        <f t="shared" si="3"/>
        <v>654</v>
      </c>
      <c r="I102" s="75">
        <f t="shared" si="4"/>
        <v>8153881.906</v>
      </c>
      <c r="J102" s="76">
        <f t="shared" si="5"/>
        <v>914.08808</v>
      </c>
      <c r="K102" s="71" t="str">
        <f t="shared" si="6"/>
        <v>15m 14s</v>
      </c>
      <c r="L102" s="77">
        <f t="shared" si="7"/>
        <v>609695</v>
      </c>
      <c r="M102" s="51">
        <f t="shared" si="8"/>
        <v>0</v>
      </c>
      <c r="N102" s="52">
        <f>IFERROR(__xludf.DUMMYFUNCTION("IFS(AND(COUNTA(C102:C147)=0,COUNTA(P102:P147)=0),"""",OR(AND(L102&gt;=1000000,OR(Y102&gt;=1000000,COUNTA(P102:P147)=0)),AND(Y102&gt;=1000000,COUNTA(C102:C147)=0),AND(COUNTA(P102:P147)=0,O$3=TRUE)),
ROUNDDOWN((AB$1-AC$1)*MAX(INDEX(S$4:S147,MATCH(LARGE(FILTER(Y$4:Y1"&amp;"47,Y$4:Y147&lt;1000000),1),Y$4:Y147)),INDEX(F$4:F147,MATCH(LARGE(FILTER(L$4:L147,L$4:L147&lt;1000000),1),L$4:L147)))),AND(L102&lt;1000000,COUNTA(C102:C147)&gt;0,O$3=FALSE),
ROUNDDOWN(INDEX(Y$4:Y147,MATCH(LARGE(FILTER(W$4:W147,W$4:W147&lt;=J102),1),W$4:W147))+(J102-LARGE"&amp;"(FILTER(W$4:W147,W$4:W147&lt;=J102),1))*INDEX(S$4:S147,MATCH(LARGE(FILTER(W$4:W147,W$4:W147&lt;=J102),1),W$4:W147))-L102),1,
ROUNDDOWN(Y102-INDEX(L$4:L147,MATCH(LARGE(FILTER(J$4:J147,J$4:J147&lt;=W102),1),J$4:J147))-(W102-LARGE(FILTER(J$4:J147,J$4:J147&lt;=W102),1))*"&amp;"INDEX(F$4:F147,MATCH(LARGE(FILTER(J$4:J147,J$4:J147&lt;=W102),1),J$4:J147))))"),0.0)</f>
        <v>0</v>
      </c>
      <c r="O102" s="65">
        <f t="shared" si="9"/>
        <v>28</v>
      </c>
      <c r="P102" s="66" t="s">
        <v>10</v>
      </c>
      <c r="Q102" s="14" t="b">
        <f>IFERROR(__xludf.DUMMYFUNCTION("IF(COUNTA(P102:P147)=0,"""",IFERROR(IF(ISBLANK(P102),FALSE,IF(ISBLANK(T102),1,IF(NOT(COUNTIF($AA$24:$AA$34,SUBSTITUTE(P102,""Sell_"",""""))),1,IF(P102=""Plastic_up"",IF(V102&lt;1000,1),IF(P102=""Super_Up"",IF(OR(COUNTIF(P$4:P102,""Grandma"")-COUNTIF(P$4:P102"&amp;",""Sell_Grandma"")&lt;1,COUNTIF(P$4:P102,VLOOKUP(P102,Upgrades!$F$8:$N$8,7+COUNTIF(P$4:P102,P102)))-COUNTIF(P$4:P102,""Sell_""&amp;VLOOKUP(P102,Upgrades!$F$8:$N$8,7+COUNTIF(P$4:P102,P102)))&lt;15),1),IF(REGEXMATCH(P102,""_up""),IF(COUNTIF(P$4:P102,SUBSTITUTE(P102,"&amp;"""_up"",""""))&lt;IFERROR(VLOOKUP(P102,Upgrades!$L$3:$P$6,1+COUNTIF(P$4:P102,P102),0),999),1),IF(REGEXMATCH(P102,""Sell_""),IF(COUNTIF(P$4:P102,SUBSTITUTE(P102,""Sell_"",""""))-COUNTIF(P$4:P101,P102)&lt;1,1),FALSE)))))))))"),FALSE)</f>
        <v>0</v>
      </c>
      <c r="R102" s="71">
        <f>IFERROR(__xludf.DUMMYFUNCTION("IF(REGEXMATCH(P102,""^Sell_""),R101, IF(COUNTA(P102:P147)=0,"""",(COUNTIF(P$4:P102,""Cursor"")-COUNTIF(P$4:P102,""Sell_Cursor""))*(0.1*2^SWITCH(COUNTIF(P$4:P102,""Cursor_up""),0,0,1,1,2,2,3)+SWITCH(COUNTIF(P$4:P102,""Cursor_up""),4,0.1,0)*(ROW(P102)-4-COU"&amp;"NTIF(P$4:P102,""Cursor"")-COUNTIF(P$4:P102,""*""&amp;""_up"")-2*COUNTIF(P$4:P102,""Sell_""&amp;""*"")+COUNTIF(P$4:P102,""Sell_Cursor"")-COUNTIF(P$4:P102,"""")))+(COUNTIF(P$4:P102,""Grandma"")-COUNTIF(P$4:P102,""Sell_Grandma""))*(1*2^(COUNTIF(P$4:P102,""Grandma_up"&amp;""")+COUNTIF(P$4:P102,""Super_up"")))+(COUNTIF(P$4:P102,""Farm"")-COUNTIF(P$4:P102,""Sell_Farm""))*(8*2^COUNTIF(P$4:P102,""Farm_up""))*IF(COUNTIF(P$4:P102,""Super_up"")&gt;0,1+0.01*(COUNTIF(P$4:P102,""Grandma"")-COUNTIF(P$4:P102,""Sell_Grandma"")),1)+(COUNTIF"&amp;"(P$4:P102,""Mine"")-COUNTIF(P$4:P102,""Sell_Mine""))*((47*2^COUNTIF(P$4:P102,""Mine_up""))*IF(COUNTIF(P$4:P102,""Super_up"")&gt;1,1+0.005*(COUNTIF(P$4:P102,""Grandma"")-COUNTIF(P$4:P102,""Sell_Grandma"")),1))+(COUNTIF(P$4:P102,""Factory"")-COUNTIF(P$4:P102,"&amp;"""Sell_Factory""))*(260*2^COUNTIF(P$4:P102,""Factory_up""))))"),1820.08)</f>
        <v>1820.08</v>
      </c>
      <c r="S102" s="73">
        <f>IFERROR(__xludf.DUMMYFUNCTION("IF(COUNTA(P102:P147)=0,"""",IF(REGEXMATCH(INDEX(FILTER(P$4:P102,P$4:P102&lt;&gt;""""),ROWS(FILTER(P$4:P102,P$4:P102&lt;&gt;""""))),""^Sell_""),INDEX(FILTER(S$4:S101,P$4:P101&lt;&gt;""""),ROWS(FILTER(P$4:P101,P$4:P101&lt;&gt;""""))),$AD$5*(2^SWITCH(COUNTIF(P$4:P102,""Cursor_up"")"&amp;",0,0,1,1,2,2,3)+SWITCH(COUNTIF(P$4:P102,""Cursor_up""),4,0.1,0)*(ROW(P102)-4-COUNTIF(P$4:P102,""Cursor"")-COUNTIF(P$4:P102,""*""&amp;""_up"")-2*COUNTIF(P$4:P102,""Sell_""&amp;""*"")+COUNTIF(P$4:P102,""Sell_Cursor"")-COUNTIF(P$4:P102,""""))+0.01*R102*COUNTIF(P$4:P"&amp;"102,""Plastic_up""))+R102))"),2301.592)</f>
        <v>2301.592</v>
      </c>
      <c r="T102" s="14">
        <f>IFERROR(__xludf.DUMMYFUNCTION("IF(COUNTA(P102:P147)=0,"""",IF(REGEXMATCH(P102,""_up""),VLOOKUP(P102,Upgrades!$F$3:$J$8,1+COUNTIF(P$4:P102,P102),FALSE),IF(P102="""",0,IF(REGEXMATCH(P102,""^Sell_""),-ROUNDDOWN(ROUNDUP(INDEX(Upgrades!$C$3:$C$8,MATCH(SUBSTITUTE(P102,""Sell_"",""""),Upgrade"&amp;"s!$B$3:$B$8,0))*1.15^(COUNTIF(P$4:P101,SUBSTITUTE(P102,""Sell_"",""""))-COUNTIF(P$4:P101,""Sell_""&amp;SUBSTITUTE(P102,""Sell_"",""""))))/4),ROUNDUP(INDEX(Upgrades!$C$3:$C$7,MATCH(P102,Upgrades!$B$3:$B$7,0))*1.15^(COUNTIF(P$4:P101,P102)-COUNTIF(P$4:P101,""Sel"&amp;"l_""&amp;P102)))))))"),654.0)</f>
        <v>654</v>
      </c>
      <c r="U102" s="14">
        <f t="shared" si="10"/>
        <v>654</v>
      </c>
      <c r="V102" s="75">
        <f t="shared" si="11"/>
        <v>8153881.906</v>
      </c>
      <c r="W102" s="76">
        <f t="shared" si="12"/>
        <v>914.08808</v>
      </c>
      <c r="X102" s="71" t="str">
        <f t="shared" si="13"/>
        <v>15m 14s</v>
      </c>
      <c r="Y102" s="77">
        <f t="shared" si="14"/>
        <v>609695</v>
      </c>
      <c r="Z102" s="17"/>
      <c r="AA102" s="13"/>
      <c r="AB102" s="13"/>
      <c r="AC102" s="13"/>
      <c r="AD102" s="13"/>
      <c r="AE102" s="13"/>
      <c r="AF102" s="13"/>
      <c r="AG102" s="13"/>
    </row>
    <row r="103">
      <c r="A103" s="12"/>
      <c r="B103" s="65">
        <f t="shared" si="2"/>
        <v>29</v>
      </c>
      <c r="C103" s="66" t="s">
        <v>10</v>
      </c>
      <c r="D103" s="14" t="b">
        <f>IFERROR(__xludf.DUMMYFUNCTION("IF(COUNTA(C103:C147)=0,"""",IFERROR(IF(ISBLANK(C103),FALSE,IF(ISBLANK(G103),1,IF(NOT(COUNTIF($AA$24:$AA$34,SUBSTITUTE(C103,""Sell_"",""""))),1,IF(C103=""Plastic_up"",IF(I103&lt;1000,1),IF(C103=""Super_Up"",IF(OR(COUNTIF(C$4:C103,""Grandma"")-COUNTIF(C$4:C103"&amp;",""Sell_Grandma"")&lt;1,COUNTIF(C$4:C103,VLOOKUP(C103,Upgrades!$F$8:$N$8,7+COUNTIF(C$4:C103,C103)))-COUNTIF(C$4:C103,""Sell_""&amp;VLOOKUP(C103,Upgrades!$F$8:$N$8,7+COUNTIF(C$4:C103,C103)))&lt;15),1),IF(REGEXMATCH(C103,""_up""),IF(COUNTIF(C$4:C103,SUBSTITUTE(C103,"&amp;"""_up"",""""))&lt;IFERROR(VLOOKUP(C103,Upgrades!$L$3:$P$6,1+COUNTIF(C$4:C103,C103),0),999),1),IF(REGEXMATCH(C103,""Sell_""),IF(COUNTIF(C$4:C103,SUBSTITUTE(C103,""Sell_"",""""))-COUNTIF(C$4:C102,C103)&lt;1,1),FALSE)))))))))"),FALSE)</f>
        <v>0</v>
      </c>
      <c r="E103" s="71">
        <f>IFERROR(__xludf.DUMMYFUNCTION("IF(REGEXMATCH(C103,""^Sell_""),E102, IF(COUNTA(C103:C147)=0,"""",(COUNTIF(C$4:C103,""Cursor"")-COUNTIF(C$4:C103,""Sell_Cursor""))*(0.1*2^SWITCH(COUNTIF(C$4:C103,""Cursor_up""),0,0,1,1,2,2,3)+SWITCH(COUNTIF(C$4:C103,""Cursor_up""),4,0.1,0)*(ROW(C103)-4-COU"&amp;"NTIF(C$4:C103,""Cursor"")-COUNTIF(C$4:C103,""*""&amp;""_up"")-2*COUNTIF(C$4:C103,""Sell_""&amp;""*"")+COUNTIF(C$4:C103,""Sell_Cursor"")-COUNTIF(C$4:C103,"""")))+(COUNTIF(C$4:C103,""Grandma"")-COUNTIF(C$4:C103,""Sell_Grandma""))*(1*2^(COUNTIF(C$4:C103,""Grandma_up"&amp;""")+COUNTIF(C$4:C103,""Super_up"")))+(COUNTIF(C$4:C103,""Farm"")-COUNTIF(C$4:C103,""Sell_Farm""))*(8*2^COUNTIF(C$4:C103,""Farm_up""))*IF(COUNTIF(C$4:C103,""Super_up"")&gt;0,1+0.01*(COUNTIF(C$4:C103,""Grandma"")-COUNTIF(C$4:C103,""Sell_Grandma"")),1)+(COUNTIF"&amp;"(C$4:C103,""Mine"")-COUNTIF(C$4:C103,""Sell_Mine""))*((47*2^COUNTIF(C$4:C103,""Mine_up""))*IF(COUNTIF(C$4:C103,""Super_up"")&gt;1,1+0.005*(COUNTIF(C$4:C103,""Grandma"")-COUNTIF(C$4:C103,""Sell_Grandma"")),1))+(COUNTIF(C$4:C103,""Factory"")-COUNTIF(C$4:C103,"&amp;"""Sell_Factory""))*(260*2^COUNTIF(C$4:C103,""Factory_up""))))"),1826.78)</f>
        <v>1826.78</v>
      </c>
      <c r="F103" s="73">
        <f>IFERROR(__xludf.DUMMYFUNCTION("IF(COUNTA(C103:C147)=0,"""",IF(REGEXMATCH(INDEX(FILTER(C$4:C103,C$4:C103&lt;&gt;""""),ROWS(FILTER(C$4:C103,C$4:C103&lt;&gt;""""))),""^Sell_""),INDEX(FILTER(F$4:F102,C$4:C102&lt;&gt;""""),ROWS(FILTER(C$4:C102,C$4:C102&lt;&gt;""""))),$AC$5*(2^SWITCH(COUNTIF(C$4:C103,""Cursor_up"")"&amp;",0,0,1,1,2,2,3)+SWITCH(COUNTIF(C$4:C103,""Cursor_up""),4,0.1,0)*(ROW(C103)-4-COUNTIF(C$4:C103,""Cursor"")-COUNTIF(C$4:C103,""*""&amp;""_up"")-2*COUNTIF(C$4:C103,""Sell_""&amp;""*"")+COUNTIF(C$4:C103,""Sell_Cursor"")-COUNTIF(C$4:C103,""""))+0.01*E103*COUNTIF(C$4:C"&amp;"103,""Plastic_up""))+E103))"),2309.297)</f>
        <v>2309.297</v>
      </c>
      <c r="G103" s="14">
        <f>IFERROR(__xludf.DUMMYFUNCTION("IF(COUNTA(C103:C147)=0,"""",IF(REGEXMATCH(C103,""_up""),VLOOKUP(C103,Upgrades!$F$3:$J$8,1+COUNTIF(C$4:C103,C103),FALSE),IF(C103="""",0,IF(REGEXMATCH(C103,""^Sell_""),-ROUNDDOWN(ROUNDUP(INDEX(Upgrades!$C$3:$C$8,MATCH(SUBSTITUTE(C103,""Sell_"",""""),Upgrade"&amp;"s!$B$3:$B$8,0))*1.15^(COUNTIF(C$4:C102,SUBSTITUTE(C103,""Sell_"",""""))-COUNTIF(C$4:C102,""Sell_""&amp;SUBSTITUTE(C103,""Sell_"",""""))))/4),ROUNDUP(INDEX(Upgrades!$C$3:$C$7,MATCH(C103,Upgrades!$B$3:$B$7,0))*1.15^(COUNTIF(C$4:C102,C103)-COUNTIF(C$4:C102,""Sel"&amp;"l_""&amp;C103)))))))"),751.0)</f>
        <v>751</v>
      </c>
      <c r="H103" s="14">
        <f t="shared" si="3"/>
        <v>751</v>
      </c>
      <c r="I103" s="75">
        <f t="shared" si="4"/>
        <v>8594183.401</v>
      </c>
      <c r="J103" s="76">
        <f t="shared" si="5"/>
        <v>914.4143759</v>
      </c>
      <c r="K103" s="71" t="str">
        <f t="shared" si="6"/>
        <v>15m 14s</v>
      </c>
      <c r="L103" s="77">
        <f t="shared" si="7"/>
        <v>610446</v>
      </c>
      <c r="M103" s="51">
        <f t="shared" si="8"/>
        <v>0</v>
      </c>
      <c r="N103" s="52">
        <f>IFERROR(__xludf.DUMMYFUNCTION("IFS(AND(COUNTA(C103:C147)=0,COUNTA(P103:P147)=0),"""",OR(AND(L103&gt;=1000000,OR(Y103&gt;=1000000,COUNTA(P103:P147)=0)),AND(Y103&gt;=1000000,COUNTA(C103:C147)=0),AND(COUNTA(P103:P147)=0,O$3=TRUE)),
ROUNDDOWN((AB$1-AC$1)*MAX(INDEX(S$4:S147,MATCH(LARGE(FILTER(Y$4:Y1"&amp;"47,Y$4:Y147&lt;1000000),1),Y$4:Y147)),INDEX(F$4:F147,MATCH(LARGE(FILTER(L$4:L147,L$4:L147&lt;1000000),1),L$4:L147)))),AND(L103&lt;1000000,COUNTA(C103:C147)&gt;0,O$3=FALSE),
ROUNDDOWN(INDEX(Y$4:Y147,MATCH(LARGE(FILTER(W$4:W147,W$4:W147&lt;=J103),1),W$4:W147))+(J103-LARGE"&amp;"(FILTER(W$4:W147,W$4:W147&lt;=J103),1))*INDEX(S$4:S147,MATCH(LARGE(FILTER(W$4:W147,W$4:W147&lt;=J103),1),W$4:W147))-L103),1,
ROUNDDOWN(Y103-INDEX(L$4:L147,MATCH(LARGE(FILTER(J$4:J147,J$4:J147&lt;=W103),1),J$4:J147))-(W103-LARGE(FILTER(J$4:J147,J$4:J147&lt;=W103),1))*"&amp;"INDEX(F$4:F147,MATCH(LARGE(FILTER(J$4:J147,J$4:J147&lt;=W103),1),J$4:J147))))"),0.0)</f>
        <v>0</v>
      </c>
      <c r="O103" s="65">
        <f t="shared" si="9"/>
        <v>29</v>
      </c>
      <c r="P103" s="66" t="s">
        <v>10</v>
      </c>
      <c r="Q103" s="14" t="b">
        <f>IFERROR(__xludf.DUMMYFUNCTION("IF(COUNTA(P103:P147)=0,"""",IFERROR(IF(ISBLANK(P103),FALSE,IF(ISBLANK(T103),1,IF(NOT(COUNTIF($AA$24:$AA$34,SUBSTITUTE(P103,""Sell_"",""""))),1,IF(P103=""Plastic_up"",IF(V103&lt;1000,1),IF(P103=""Super_Up"",IF(OR(COUNTIF(P$4:P103,""Grandma"")-COUNTIF(P$4:P103"&amp;",""Sell_Grandma"")&lt;1,COUNTIF(P$4:P103,VLOOKUP(P103,Upgrades!$F$8:$N$8,7+COUNTIF(P$4:P103,P103)))-COUNTIF(P$4:P103,""Sell_""&amp;VLOOKUP(P103,Upgrades!$F$8:$N$8,7+COUNTIF(P$4:P103,P103)))&lt;15),1),IF(REGEXMATCH(P103,""_up""),IF(COUNTIF(P$4:P103,SUBSTITUTE(P103,"&amp;"""_up"",""""))&lt;IFERROR(VLOOKUP(P103,Upgrades!$L$3:$P$6,1+COUNTIF(P$4:P103,P103),0),999),1),IF(REGEXMATCH(P103,""Sell_""),IF(COUNTIF(P$4:P103,SUBSTITUTE(P103,""Sell_"",""""))-COUNTIF(P$4:P102,P103)&lt;1,1),FALSE)))))))))"),FALSE)</f>
        <v>0</v>
      </c>
      <c r="R103" s="71">
        <f>IFERROR(__xludf.DUMMYFUNCTION("IF(REGEXMATCH(P103,""^Sell_""),R102, IF(COUNTA(P103:P147)=0,"""",(COUNTIF(P$4:P103,""Cursor"")-COUNTIF(P$4:P103,""Sell_Cursor""))*(0.1*2^SWITCH(COUNTIF(P$4:P103,""Cursor_up""),0,0,1,1,2,2,3)+SWITCH(COUNTIF(P$4:P103,""Cursor_up""),4,0.1,0)*(ROW(P103)-4-COU"&amp;"NTIF(P$4:P103,""Cursor"")-COUNTIF(P$4:P103,""*""&amp;""_up"")-2*COUNTIF(P$4:P103,""Sell_""&amp;""*"")+COUNTIF(P$4:P103,""Sell_Cursor"")-COUNTIF(P$4:P103,"""")))+(COUNTIF(P$4:P103,""Grandma"")-COUNTIF(P$4:P103,""Sell_Grandma""))*(1*2^(COUNTIF(P$4:P103,""Grandma_up"&amp;""")+COUNTIF(P$4:P103,""Super_up"")))+(COUNTIF(P$4:P103,""Farm"")-COUNTIF(P$4:P103,""Sell_Farm""))*(8*2^COUNTIF(P$4:P103,""Farm_up""))*IF(COUNTIF(P$4:P103,""Super_up"")&gt;0,1+0.01*(COUNTIF(P$4:P103,""Grandma"")-COUNTIF(P$4:P103,""Sell_Grandma"")),1)+(COUNTIF"&amp;"(P$4:P103,""Mine"")-COUNTIF(P$4:P103,""Sell_Mine""))*((47*2^COUNTIF(P$4:P103,""Mine_up""))*IF(COUNTIF(P$4:P103,""Super_up"")&gt;1,1+0.005*(COUNTIF(P$4:P103,""Grandma"")-COUNTIF(P$4:P103,""Sell_Grandma"")),1))+(COUNTIF(P$4:P103,""Factory"")-COUNTIF(P$4:P103,"&amp;"""Sell_Factory""))*(260*2^COUNTIF(P$4:P103,""Factory_up""))))"),1826.78)</f>
        <v>1826.78</v>
      </c>
      <c r="S103" s="73">
        <f>IFERROR(__xludf.DUMMYFUNCTION("IF(COUNTA(P103:P147)=0,"""",IF(REGEXMATCH(INDEX(FILTER(P$4:P103,P$4:P103&lt;&gt;""""),ROWS(FILTER(P$4:P103,P$4:P103&lt;&gt;""""))),""^Sell_""),INDEX(FILTER(S$4:S102,P$4:P102&lt;&gt;""""),ROWS(FILTER(P$4:P102,P$4:P102&lt;&gt;""""))),$AD$5*(2^SWITCH(COUNTIF(P$4:P103,""Cursor_up"")"&amp;",0,0,1,1,2,2,3)+SWITCH(COUNTIF(P$4:P103,""Cursor_up""),4,0.1,0)*(ROW(P103)-4-COUNTIF(P$4:P103,""Cursor"")-COUNTIF(P$4:P103,""*""&amp;""_up"")-2*COUNTIF(P$4:P103,""Sell_""&amp;""*"")+COUNTIF(P$4:P103,""Sell_Cursor"")-COUNTIF(P$4:P103,""""))+0.01*R103*COUNTIF(P$4:P"&amp;"103,""Plastic_up""))+R103))"),2309.297)</f>
        <v>2309.297</v>
      </c>
      <c r="T103" s="14">
        <f>IFERROR(__xludf.DUMMYFUNCTION("IF(COUNTA(P103:P147)=0,"""",IF(REGEXMATCH(P103,""_up""),VLOOKUP(P103,Upgrades!$F$3:$J$8,1+COUNTIF(P$4:P103,P103),FALSE),IF(P103="""",0,IF(REGEXMATCH(P103,""^Sell_""),-ROUNDDOWN(ROUNDUP(INDEX(Upgrades!$C$3:$C$8,MATCH(SUBSTITUTE(P103,""Sell_"",""""),Upgrade"&amp;"s!$B$3:$B$8,0))*1.15^(COUNTIF(P$4:P102,SUBSTITUTE(P103,""Sell_"",""""))-COUNTIF(P$4:P102,""Sell_""&amp;SUBSTITUTE(P103,""Sell_"",""""))))/4),ROUNDUP(INDEX(Upgrades!$C$3:$C$7,MATCH(P103,Upgrades!$B$3:$B$7,0))*1.15^(COUNTIF(P$4:P102,P103)-COUNTIF(P$4:P102,""Sel"&amp;"l_""&amp;P103)))))))"),751.0)</f>
        <v>751</v>
      </c>
      <c r="U103" s="14">
        <f t="shared" si="10"/>
        <v>751</v>
      </c>
      <c r="V103" s="75">
        <f t="shared" si="11"/>
        <v>8594183.401</v>
      </c>
      <c r="W103" s="76">
        <f t="shared" si="12"/>
        <v>914.4143759</v>
      </c>
      <c r="X103" s="71" t="str">
        <f t="shared" si="13"/>
        <v>15m 14s</v>
      </c>
      <c r="Y103" s="77">
        <f t="shared" si="14"/>
        <v>610446</v>
      </c>
      <c r="Z103" s="17"/>
      <c r="AA103" s="13"/>
      <c r="AB103" s="13"/>
      <c r="AC103" s="13"/>
      <c r="AD103" s="13"/>
      <c r="AE103" s="13"/>
      <c r="AF103" s="13"/>
      <c r="AG103" s="13"/>
    </row>
    <row r="104">
      <c r="A104" s="12"/>
      <c r="B104" s="65">
        <f t="shared" si="2"/>
        <v>30</v>
      </c>
      <c r="C104" s="66" t="s">
        <v>10</v>
      </c>
      <c r="D104" s="14" t="b">
        <f>IFERROR(__xludf.DUMMYFUNCTION("IF(COUNTA(C104:C147)=0,"""",IFERROR(IF(ISBLANK(C104),FALSE,IF(ISBLANK(G104),1,IF(NOT(COUNTIF($AA$24:$AA$34,SUBSTITUTE(C104,""Sell_"",""""))),1,IF(C104=""Plastic_up"",IF(I104&lt;1000,1),IF(C104=""Super_Up"",IF(OR(COUNTIF(C$4:C104,""Grandma"")-COUNTIF(C$4:C104"&amp;",""Sell_Grandma"")&lt;1,COUNTIF(C$4:C104,VLOOKUP(C104,Upgrades!$F$8:$N$8,7+COUNTIF(C$4:C104,C104)))-COUNTIF(C$4:C104,""Sell_""&amp;VLOOKUP(C104,Upgrades!$F$8:$N$8,7+COUNTIF(C$4:C104,C104)))&lt;15),1),IF(REGEXMATCH(C104,""_up""),IF(COUNTIF(C$4:C104,SUBSTITUTE(C104,"&amp;"""_up"",""""))&lt;IFERROR(VLOOKUP(C104,Upgrades!$L$3:$P$6,1+COUNTIF(C$4:C104,C104),0),999),1),IF(REGEXMATCH(C104,""Sell_""),IF(COUNTIF(C$4:C104,SUBSTITUTE(C104,""Sell_"",""""))-COUNTIF(C$4:C103,C104)&lt;1,1),FALSE)))))))))"),FALSE)</f>
        <v>0</v>
      </c>
      <c r="E104" s="71">
        <f>IFERROR(__xludf.DUMMYFUNCTION("IF(REGEXMATCH(C104,""^Sell_""),E103, IF(COUNTA(C104:C147)=0,"""",(COUNTIF(C$4:C104,""Cursor"")-COUNTIF(C$4:C104,""Sell_Cursor""))*(0.1*2^SWITCH(COUNTIF(C$4:C104,""Cursor_up""),0,0,1,1,2,2,3)+SWITCH(COUNTIF(C$4:C104,""Cursor_up""),4,0.1,0)*(ROW(C104)-4-COU"&amp;"NTIF(C$4:C104,""Cursor"")-COUNTIF(C$4:C104,""*""&amp;""_up"")-2*COUNTIF(C$4:C104,""Sell_""&amp;""*"")+COUNTIF(C$4:C104,""Sell_Cursor"")-COUNTIF(C$4:C104,"""")))+(COUNTIF(C$4:C104,""Grandma"")-COUNTIF(C$4:C104,""Sell_Grandma""))*(1*2^(COUNTIF(C$4:C104,""Grandma_up"&amp;""")+COUNTIF(C$4:C104,""Super_up"")))+(COUNTIF(C$4:C104,""Farm"")-COUNTIF(C$4:C104,""Sell_Farm""))*(8*2^COUNTIF(C$4:C104,""Farm_up""))*IF(COUNTIF(C$4:C104,""Super_up"")&gt;0,1+0.01*(COUNTIF(C$4:C104,""Grandma"")-COUNTIF(C$4:C104,""Sell_Grandma"")),1)+(COUNTIF"&amp;"(C$4:C104,""Mine"")-COUNTIF(C$4:C104,""Sell_Mine""))*((47*2^COUNTIF(C$4:C104,""Mine_up""))*IF(COUNTIF(C$4:C104,""Super_up"")&gt;1,1+0.005*(COUNTIF(C$4:C104,""Grandma"")-COUNTIF(C$4:C104,""Sell_Grandma"")),1))+(COUNTIF(C$4:C104,""Factory"")-COUNTIF(C$4:C104,"&amp;"""Sell_Factory""))*(260*2^COUNTIF(C$4:C104,""Factory_up""))))"),1833.48)</f>
        <v>1833.48</v>
      </c>
      <c r="F104" s="73">
        <f>IFERROR(__xludf.DUMMYFUNCTION("IF(COUNTA(C104:C147)=0,"""",IF(REGEXMATCH(INDEX(FILTER(C$4:C104,C$4:C104&lt;&gt;""""),ROWS(FILTER(C$4:C104,C$4:C104&lt;&gt;""""))),""^Sell_""),INDEX(FILTER(F$4:F103,C$4:C103&lt;&gt;""""),ROWS(FILTER(C$4:C103,C$4:C103&lt;&gt;""""))),$AC$5*(2^SWITCH(COUNTIF(C$4:C104,""Cursor_up"")"&amp;",0,0,1,1,2,2,3)+SWITCH(COUNTIF(C$4:C104,""Cursor_up""),4,0.1,0)*(ROW(C104)-4-COUNTIF(C$4:C104,""Cursor"")-COUNTIF(C$4:C104,""*""&amp;""_up"")-2*COUNTIF(C$4:C104,""Sell_""&amp;""*"")+COUNTIF(C$4:C104,""Sell_Cursor"")-COUNTIF(C$4:C104,""""))+0.01*E104*COUNTIF(C$4:C"&amp;"104,""Plastic_up""))+E104))"),2317.002)</f>
        <v>2317.002</v>
      </c>
      <c r="G104" s="14">
        <f>IFERROR(__xludf.DUMMYFUNCTION("IF(COUNTA(C104:C147)=0,"""",IF(REGEXMATCH(C104,""_up""),VLOOKUP(C104,Upgrades!$F$3:$J$8,1+COUNTIF(C$4:C104,C104),FALSE),IF(C104="""",0,IF(REGEXMATCH(C104,""^Sell_""),-ROUNDDOWN(ROUNDUP(INDEX(Upgrades!$C$3:$C$8,MATCH(SUBSTITUTE(C104,""Sell_"",""""),Upgrade"&amp;"s!$B$3:$B$8,0))*1.15^(COUNTIF(C$4:C103,SUBSTITUTE(C104,""Sell_"",""""))-COUNTIF(C$4:C103,""Sell_""&amp;SUBSTITUTE(C104,""Sell_"",""""))))/4),ROUNDUP(INDEX(Upgrades!$C$3:$C$7,MATCH(C104,Upgrades!$B$3:$B$7,0))*1.15^(COUNTIF(C$4:C103,C104)-COUNTIF(C$4:C103,""Sel"&amp;"l_""&amp;C104)))))))"),864.0)</f>
        <v>864</v>
      </c>
      <c r="H104" s="14">
        <f t="shared" si="3"/>
        <v>864</v>
      </c>
      <c r="I104" s="75">
        <f t="shared" si="4"/>
        <v>9035584.411</v>
      </c>
      <c r="J104" s="76">
        <f t="shared" si="5"/>
        <v>914.7885157</v>
      </c>
      <c r="K104" s="71" t="str">
        <f t="shared" si="6"/>
        <v>15m 14s</v>
      </c>
      <c r="L104" s="77">
        <f t="shared" si="7"/>
        <v>611310</v>
      </c>
      <c r="M104" s="51">
        <f t="shared" si="8"/>
        <v>0</v>
      </c>
      <c r="N104" s="52">
        <f>IFERROR(__xludf.DUMMYFUNCTION("IFS(AND(COUNTA(C104:C147)=0,COUNTA(P104:P147)=0),"""",OR(AND(L104&gt;=1000000,OR(Y104&gt;=1000000,COUNTA(P104:P147)=0)),AND(Y104&gt;=1000000,COUNTA(C104:C147)=0),AND(COUNTA(P104:P147)=0,O$3=TRUE)),
ROUNDDOWN((AB$1-AC$1)*MAX(INDEX(S$4:S147,MATCH(LARGE(FILTER(Y$4:Y1"&amp;"47,Y$4:Y147&lt;1000000),1),Y$4:Y147)),INDEX(F$4:F147,MATCH(LARGE(FILTER(L$4:L147,L$4:L147&lt;1000000),1),L$4:L147)))),AND(L104&lt;1000000,COUNTA(C104:C147)&gt;0,O$3=FALSE),
ROUNDDOWN(INDEX(Y$4:Y147,MATCH(LARGE(FILTER(W$4:W147,W$4:W147&lt;=J104),1),W$4:W147))+(J104-LARGE"&amp;"(FILTER(W$4:W147,W$4:W147&lt;=J104),1))*INDEX(S$4:S147,MATCH(LARGE(FILTER(W$4:W147,W$4:W147&lt;=J104),1),W$4:W147))-L104),1,
ROUNDDOWN(Y104-INDEX(L$4:L147,MATCH(LARGE(FILTER(J$4:J147,J$4:J147&lt;=W104),1),J$4:J147))-(W104-LARGE(FILTER(J$4:J147,J$4:J147&lt;=W104),1))*"&amp;"INDEX(F$4:F147,MATCH(LARGE(FILTER(J$4:J147,J$4:J147&lt;=W104),1),J$4:J147))))"),0.0)</f>
        <v>0</v>
      </c>
      <c r="O104" s="65">
        <f t="shared" si="9"/>
        <v>30</v>
      </c>
      <c r="P104" s="66" t="s">
        <v>10</v>
      </c>
      <c r="Q104" s="14" t="b">
        <f>IFERROR(__xludf.DUMMYFUNCTION("IF(COUNTA(P104:P147)=0,"""",IFERROR(IF(ISBLANK(P104),FALSE,IF(ISBLANK(T104),1,IF(NOT(COUNTIF($AA$24:$AA$34,SUBSTITUTE(P104,""Sell_"",""""))),1,IF(P104=""Plastic_up"",IF(V104&lt;1000,1),IF(P104=""Super_Up"",IF(OR(COUNTIF(P$4:P104,""Grandma"")-COUNTIF(P$4:P104"&amp;",""Sell_Grandma"")&lt;1,COUNTIF(P$4:P104,VLOOKUP(P104,Upgrades!$F$8:$N$8,7+COUNTIF(P$4:P104,P104)))-COUNTIF(P$4:P104,""Sell_""&amp;VLOOKUP(P104,Upgrades!$F$8:$N$8,7+COUNTIF(P$4:P104,P104)))&lt;15),1),IF(REGEXMATCH(P104,""_up""),IF(COUNTIF(P$4:P104,SUBSTITUTE(P104,"&amp;"""_up"",""""))&lt;IFERROR(VLOOKUP(P104,Upgrades!$L$3:$P$6,1+COUNTIF(P$4:P104,P104),0),999),1),IF(REGEXMATCH(P104,""Sell_""),IF(COUNTIF(P$4:P104,SUBSTITUTE(P104,""Sell_"",""""))-COUNTIF(P$4:P103,P104)&lt;1,1),FALSE)))))))))"),FALSE)</f>
        <v>0</v>
      </c>
      <c r="R104" s="71">
        <f>IFERROR(__xludf.DUMMYFUNCTION("IF(REGEXMATCH(P104,""^Sell_""),R103, IF(COUNTA(P104:P147)=0,"""",(COUNTIF(P$4:P104,""Cursor"")-COUNTIF(P$4:P104,""Sell_Cursor""))*(0.1*2^SWITCH(COUNTIF(P$4:P104,""Cursor_up""),0,0,1,1,2,2,3)+SWITCH(COUNTIF(P$4:P104,""Cursor_up""),4,0.1,0)*(ROW(P104)-4-COU"&amp;"NTIF(P$4:P104,""Cursor"")-COUNTIF(P$4:P104,""*""&amp;""_up"")-2*COUNTIF(P$4:P104,""Sell_""&amp;""*"")+COUNTIF(P$4:P104,""Sell_Cursor"")-COUNTIF(P$4:P104,"""")))+(COUNTIF(P$4:P104,""Grandma"")-COUNTIF(P$4:P104,""Sell_Grandma""))*(1*2^(COUNTIF(P$4:P104,""Grandma_up"&amp;""")+COUNTIF(P$4:P104,""Super_up"")))+(COUNTIF(P$4:P104,""Farm"")-COUNTIF(P$4:P104,""Sell_Farm""))*(8*2^COUNTIF(P$4:P104,""Farm_up""))*IF(COUNTIF(P$4:P104,""Super_up"")&gt;0,1+0.01*(COUNTIF(P$4:P104,""Grandma"")-COUNTIF(P$4:P104,""Sell_Grandma"")),1)+(COUNTIF"&amp;"(P$4:P104,""Mine"")-COUNTIF(P$4:P104,""Sell_Mine""))*((47*2^COUNTIF(P$4:P104,""Mine_up""))*IF(COUNTIF(P$4:P104,""Super_up"")&gt;1,1+0.005*(COUNTIF(P$4:P104,""Grandma"")-COUNTIF(P$4:P104,""Sell_Grandma"")),1))+(COUNTIF(P$4:P104,""Factory"")-COUNTIF(P$4:P104,"&amp;"""Sell_Factory""))*(260*2^COUNTIF(P$4:P104,""Factory_up""))))"),1833.48)</f>
        <v>1833.48</v>
      </c>
      <c r="S104" s="73">
        <f>IFERROR(__xludf.DUMMYFUNCTION("IF(COUNTA(P104:P147)=0,"""",IF(REGEXMATCH(INDEX(FILTER(P$4:P104,P$4:P104&lt;&gt;""""),ROWS(FILTER(P$4:P104,P$4:P104&lt;&gt;""""))),""^Sell_""),INDEX(FILTER(S$4:S103,P$4:P103&lt;&gt;""""),ROWS(FILTER(P$4:P103,P$4:P103&lt;&gt;""""))),$AD$5*(2^SWITCH(COUNTIF(P$4:P104,""Cursor_up"")"&amp;",0,0,1,1,2,2,3)+SWITCH(COUNTIF(P$4:P104,""Cursor_up""),4,0.1,0)*(ROW(P104)-4-COUNTIF(P$4:P104,""Cursor"")-COUNTIF(P$4:P104,""*""&amp;""_up"")-2*COUNTIF(P$4:P104,""Sell_""&amp;""*"")+COUNTIF(P$4:P104,""Sell_Cursor"")-COUNTIF(P$4:P104,""""))+0.01*R104*COUNTIF(P$4:P"&amp;"104,""Plastic_up""))+R104))"),2317.002)</f>
        <v>2317.002</v>
      </c>
      <c r="T104" s="14">
        <f>IFERROR(__xludf.DUMMYFUNCTION("IF(COUNTA(P104:P147)=0,"""",IF(REGEXMATCH(P104,""_up""),VLOOKUP(P104,Upgrades!$F$3:$J$8,1+COUNTIF(P$4:P104,P104),FALSE),IF(P104="""",0,IF(REGEXMATCH(P104,""^Sell_""),-ROUNDDOWN(ROUNDUP(INDEX(Upgrades!$C$3:$C$8,MATCH(SUBSTITUTE(P104,""Sell_"",""""),Upgrade"&amp;"s!$B$3:$B$8,0))*1.15^(COUNTIF(P$4:P103,SUBSTITUTE(P104,""Sell_"",""""))-COUNTIF(P$4:P103,""Sell_""&amp;SUBSTITUTE(P104,""Sell_"",""""))))/4),ROUNDUP(INDEX(Upgrades!$C$3:$C$7,MATCH(P104,Upgrades!$B$3:$B$7,0))*1.15^(COUNTIF(P$4:P103,P104)-COUNTIF(P$4:P103,""Sel"&amp;"l_""&amp;P104)))))))"),864.0)</f>
        <v>864</v>
      </c>
      <c r="U104" s="14">
        <f t="shared" si="10"/>
        <v>864</v>
      </c>
      <c r="V104" s="75">
        <f t="shared" si="11"/>
        <v>9035584.411</v>
      </c>
      <c r="W104" s="76">
        <f t="shared" si="12"/>
        <v>914.7885157</v>
      </c>
      <c r="X104" s="71" t="str">
        <f t="shared" si="13"/>
        <v>15m 14s</v>
      </c>
      <c r="Y104" s="77">
        <f t="shared" si="14"/>
        <v>611310</v>
      </c>
      <c r="Z104" s="17"/>
      <c r="AA104" s="13"/>
      <c r="AB104" s="13"/>
      <c r="AC104" s="13"/>
      <c r="AD104" s="13"/>
      <c r="AE104" s="13"/>
      <c r="AF104" s="13"/>
      <c r="AG104" s="13"/>
    </row>
    <row r="105">
      <c r="A105" s="12"/>
      <c r="B105" s="65">
        <f t="shared" si="2"/>
        <v>31</v>
      </c>
      <c r="C105" s="66" t="s">
        <v>10</v>
      </c>
      <c r="D105" s="14" t="b">
        <f>IFERROR(__xludf.DUMMYFUNCTION("IF(COUNTA(C105:C147)=0,"""",IFERROR(IF(ISBLANK(C105),FALSE,IF(ISBLANK(G105),1,IF(NOT(COUNTIF($AA$24:$AA$34,SUBSTITUTE(C105,""Sell_"",""""))),1,IF(C105=""Plastic_up"",IF(I105&lt;1000,1),IF(C105=""Super_Up"",IF(OR(COUNTIF(C$4:C105,""Grandma"")-COUNTIF(C$4:C105"&amp;",""Sell_Grandma"")&lt;1,COUNTIF(C$4:C105,VLOOKUP(C105,Upgrades!$F$8:$N$8,7+COUNTIF(C$4:C105,C105)))-COUNTIF(C$4:C105,""Sell_""&amp;VLOOKUP(C105,Upgrades!$F$8:$N$8,7+COUNTIF(C$4:C105,C105)))&lt;15),1),IF(REGEXMATCH(C105,""_up""),IF(COUNTIF(C$4:C105,SUBSTITUTE(C105,"&amp;"""_up"",""""))&lt;IFERROR(VLOOKUP(C105,Upgrades!$L$3:$P$6,1+COUNTIF(C$4:C105,C105),0),999),1),IF(REGEXMATCH(C105,""Sell_""),IF(COUNTIF(C$4:C105,SUBSTITUTE(C105,""Sell_"",""""))-COUNTIF(C$4:C104,C105)&lt;1,1),FALSE)))))))))"),FALSE)</f>
        <v>0</v>
      </c>
      <c r="E105" s="71">
        <f>IFERROR(__xludf.DUMMYFUNCTION("IF(REGEXMATCH(C105,""^Sell_""),E104, IF(COUNTA(C105:C147)=0,"""",(COUNTIF(C$4:C105,""Cursor"")-COUNTIF(C$4:C105,""Sell_Cursor""))*(0.1*2^SWITCH(COUNTIF(C$4:C105,""Cursor_up""),0,0,1,1,2,2,3)+SWITCH(COUNTIF(C$4:C105,""Cursor_up""),4,0.1,0)*(ROW(C105)-4-COU"&amp;"NTIF(C$4:C105,""Cursor"")-COUNTIF(C$4:C105,""*""&amp;""_up"")-2*COUNTIF(C$4:C105,""Sell_""&amp;""*"")+COUNTIF(C$4:C105,""Sell_Cursor"")-COUNTIF(C$4:C105,"""")))+(COUNTIF(C$4:C105,""Grandma"")-COUNTIF(C$4:C105,""Sell_Grandma""))*(1*2^(COUNTIF(C$4:C105,""Grandma_up"&amp;""")+COUNTIF(C$4:C105,""Super_up"")))+(COUNTIF(C$4:C105,""Farm"")-COUNTIF(C$4:C105,""Sell_Farm""))*(8*2^COUNTIF(C$4:C105,""Farm_up""))*IF(COUNTIF(C$4:C105,""Super_up"")&gt;0,1+0.01*(COUNTIF(C$4:C105,""Grandma"")-COUNTIF(C$4:C105,""Sell_Grandma"")),1)+(COUNTIF"&amp;"(C$4:C105,""Mine"")-COUNTIF(C$4:C105,""Sell_Mine""))*((47*2^COUNTIF(C$4:C105,""Mine_up""))*IF(COUNTIF(C$4:C105,""Super_up"")&gt;1,1+0.005*(COUNTIF(C$4:C105,""Grandma"")-COUNTIF(C$4:C105,""Sell_Grandma"")),1))+(COUNTIF(C$4:C105,""Factory"")-COUNTIF(C$4:C105,"&amp;"""Sell_Factory""))*(260*2^COUNTIF(C$4:C105,""Factory_up""))))"),1840.18)</f>
        <v>1840.18</v>
      </c>
      <c r="F105" s="73">
        <f>IFERROR(__xludf.DUMMYFUNCTION("IF(COUNTA(C105:C147)=0,"""",IF(REGEXMATCH(INDEX(FILTER(C$4:C105,C$4:C105&lt;&gt;""""),ROWS(FILTER(C$4:C105,C$4:C105&lt;&gt;""""))),""^Sell_""),INDEX(FILTER(F$4:F104,C$4:C104&lt;&gt;""""),ROWS(FILTER(C$4:C104,C$4:C104&lt;&gt;""""))),$AC$5*(2^SWITCH(COUNTIF(C$4:C105,""Cursor_up"")"&amp;",0,0,1,1,2,2,3)+SWITCH(COUNTIF(C$4:C105,""Cursor_up""),4,0.1,0)*(ROW(C105)-4-COUNTIF(C$4:C105,""Cursor"")-COUNTIF(C$4:C105,""*""&amp;""_up"")-2*COUNTIF(C$4:C105,""Sell_""&amp;""*"")+COUNTIF(C$4:C105,""Sell_Cursor"")-COUNTIF(C$4:C105,""""))+0.01*E105*COUNTIF(C$4:C"&amp;"105,""Plastic_up""))+E105))"),2324.707)</f>
        <v>2324.707</v>
      </c>
      <c r="G105" s="14">
        <f>IFERROR(__xludf.DUMMYFUNCTION("IF(COUNTA(C105:C147)=0,"""",IF(REGEXMATCH(C105,""_up""),VLOOKUP(C105,Upgrades!$F$3:$J$8,1+COUNTIF(C$4:C105,C105),FALSE),IF(C105="""",0,IF(REGEXMATCH(C105,""^Sell_""),-ROUNDDOWN(ROUNDUP(INDEX(Upgrades!$C$3:$C$8,MATCH(SUBSTITUTE(C105,""Sell_"",""""),Upgrade"&amp;"s!$B$3:$B$8,0))*1.15^(COUNTIF(C$4:C104,SUBSTITUTE(C105,""Sell_"",""""))-COUNTIF(C$4:C104,""Sell_""&amp;SUBSTITUTE(C105,""Sell_"",""""))))/4),ROUNDUP(INDEX(Upgrades!$C$3:$C$7,MATCH(C105,Upgrades!$B$3:$B$7,0))*1.15^(COUNTIF(C$4:C104,C105)-COUNTIF(C$4:C104,""Sel"&amp;"l_""&amp;C105)))))))"),994.0)</f>
        <v>994</v>
      </c>
      <c r="H105" s="14">
        <f t="shared" si="3"/>
        <v>994</v>
      </c>
      <c r="I105" s="75">
        <f t="shared" si="4"/>
        <v>9478112.216</v>
      </c>
      <c r="J105" s="76">
        <f t="shared" si="5"/>
        <v>915.2175184</v>
      </c>
      <c r="K105" s="71" t="str">
        <f t="shared" si="6"/>
        <v>15m 15s</v>
      </c>
      <c r="L105" s="77">
        <f t="shared" si="7"/>
        <v>612304</v>
      </c>
      <c r="M105" s="51">
        <f t="shared" si="8"/>
        <v>0</v>
      </c>
      <c r="N105" s="52">
        <f>IFERROR(__xludf.DUMMYFUNCTION("IFS(AND(COUNTA(C105:C147)=0,COUNTA(P105:P147)=0),"""",OR(AND(L105&gt;=1000000,OR(Y105&gt;=1000000,COUNTA(P105:P147)=0)),AND(Y105&gt;=1000000,COUNTA(C105:C147)=0),AND(COUNTA(P105:P147)=0,O$3=TRUE)),
ROUNDDOWN((AB$1-AC$1)*MAX(INDEX(S$4:S147,MATCH(LARGE(FILTER(Y$4:Y1"&amp;"47,Y$4:Y147&lt;1000000),1),Y$4:Y147)),INDEX(F$4:F147,MATCH(LARGE(FILTER(L$4:L147,L$4:L147&lt;1000000),1),L$4:L147)))),AND(L105&lt;1000000,COUNTA(C105:C147)&gt;0,O$3=FALSE),
ROUNDDOWN(INDEX(Y$4:Y147,MATCH(LARGE(FILTER(W$4:W147,W$4:W147&lt;=J105),1),W$4:W147))+(J105-LARGE"&amp;"(FILTER(W$4:W147,W$4:W147&lt;=J105),1))*INDEX(S$4:S147,MATCH(LARGE(FILTER(W$4:W147,W$4:W147&lt;=J105),1),W$4:W147))-L105),1,
ROUNDDOWN(Y105-INDEX(L$4:L147,MATCH(LARGE(FILTER(J$4:J147,J$4:J147&lt;=W105),1),J$4:J147))-(W105-LARGE(FILTER(J$4:J147,J$4:J147&lt;=W105),1))*"&amp;"INDEX(F$4:F147,MATCH(LARGE(FILTER(J$4:J147,J$4:J147&lt;=W105),1),J$4:J147))))"),0.0)</f>
        <v>0</v>
      </c>
      <c r="O105" s="65">
        <f t="shared" si="9"/>
        <v>31</v>
      </c>
      <c r="P105" s="66" t="s">
        <v>10</v>
      </c>
      <c r="Q105" s="14" t="b">
        <f>IFERROR(__xludf.DUMMYFUNCTION("IF(COUNTA(P105:P147)=0,"""",IFERROR(IF(ISBLANK(P105),FALSE,IF(ISBLANK(T105),1,IF(NOT(COUNTIF($AA$24:$AA$34,SUBSTITUTE(P105,""Sell_"",""""))),1,IF(P105=""Plastic_up"",IF(V105&lt;1000,1),IF(P105=""Super_Up"",IF(OR(COUNTIF(P$4:P105,""Grandma"")-COUNTIF(P$4:P105"&amp;",""Sell_Grandma"")&lt;1,COUNTIF(P$4:P105,VLOOKUP(P105,Upgrades!$F$8:$N$8,7+COUNTIF(P$4:P105,P105)))-COUNTIF(P$4:P105,""Sell_""&amp;VLOOKUP(P105,Upgrades!$F$8:$N$8,7+COUNTIF(P$4:P105,P105)))&lt;15),1),IF(REGEXMATCH(P105,""_up""),IF(COUNTIF(P$4:P105,SUBSTITUTE(P105,"&amp;"""_up"",""""))&lt;IFERROR(VLOOKUP(P105,Upgrades!$L$3:$P$6,1+COUNTIF(P$4:P105,P105),0),999),1),IF(REGEXMATCH(P105,""Sell_""),IF(COUNTIF(P$4:P105,SUBSTITUTE(P105,""Sell_"",""""))-COUNTIF(P$4:P104,P105)&lt;1,1),FALSE)))))))))"),FALSE)</f>
        <v>0</v>
      </c>
      <c r="R105" s="71">
        <f>IFERROR(__xludf.DUMMYFUNCTION("IF(REGEXMATCH(P105,""^Sell_""),R104, IF(COUNTA(P105:P147)=0,"""",(COUNTIF(P$4:P105,""Cursor"")-COUNTIF(P$4:P105,""Sell_Cursor""))*(0.1*2^SWITCH(COUNTIF(P$4:P105,""Cursor_up""),0,0,1,1,2,2,3)+SWITCH(COUNTIF(P$4:P105,""Cursor_up""),4,0.1,0)*(ROW(P105)-4-COU"&amp;"NTIF(P$4:P105,""Cursor"")-COUNTIF(P$4:P105,""*""&amp;""_up"")-2*COUNTIF(P$4:P105,""Sell_""&amp;""*"")+COUNTIF(P$4:P105,""Sell_Cursor"")-COUNTIF(P$4:P105,"""")))+(COUNTIF(P$4:P105,""Grandma"")-COUNTIF(P$4:P105,""Sell_Grandma""))*(1*2^(COUNTIF(P$4:P105,""Grandma_up"&amp;""")+COUNTIF(P$4:P105,""Super_up"")))+(COUNTIF(P$4:P105,""Farm"")-COUNTIF(P$4:P105,""Sell_Farm""))*(8*2^COUNTIF(P$4:P105,""Farm_up""))*IF(COUNTIF(P$4:P105,""Super_up"")&gt;0,1+0.01*(COUNTIF(P$4:P105,""Grandma"")-COUNTIF(P$4:P105,""Sell_Grandma"")),1)+(COUNTIF"&amp;"(P$4:P105,""Mine"")-COUNTIF(P$4:P105,""Sell_Mine""))*((47*2^COUNTIF(P$4:P105,""Mine_up""))*IF(COUNTIF(P$4:P105,""Super_up"")&gt;1,1+0.005*(COUNTIF(P$4:P105,""Grandma"")-COUNTIF(P$4:P105,""Sell_Grandma"")),1))+(COUNTIF(P$4:P105,""Factory"")-COUNTIF(P$4:P105,"&amp;"""Sell_Factory""))*(260*2^COUNTIF(P$4:P105,""Factory_up""))))"),1840.18)</f>
        <v>1840.18</v>
      </c>
      <c r="S105" s="73">
        <f>IFERROR(__xludf.DUMMYFUNCTION("IF(COUNTA(P105:P147)=0,"""",IF(REGEXMATCH(INDEX(FILTER(P$4:P105,P$4:P105&lt;&gt;""""),ROWS(FILTER(P$4:P105,P$4:P105&lt;&gt;""""))),""^Sell_""),INDEX(FILTER(S$4:S104,P$4:P104&lt;&gt;""""),ROWS(FILTER(P$4:P104,P$4:P104&lt;&gt;""""))),$AD$5*(2^SWITCH(COUNTIF(P$4:P105,""Cursor_up"")"&amp;",0,0,1,1,2,2,3)+SWITCH(COUNTIF(P$4:P105,""Cursor_up""),4,0.1,0)*(ROW(P105)-4-COUNTIF(P$4:P105,""Cursor"")-COUNTIF(P$4:P105,""*""&amp;""_up"")-2*COUNTIF(P$4:P105,""Sell_""&amp;""*"")+COUNTIF(P$4:P105,""Sell_Cursor"")-COUNTIF(P$4:P105,""""))+0.01*R105*COUNTIF(P$4:P"&amp;"105,""Plastic_up""))+R105))"),2324.707)</f>
        <v>2324.707</v>
      </c>
      <c r="T105" s="14">
        <f>IFERROR(__xludf.DUMMYFUNCTION("IF(COUNTA(P105:P147)=0,"""",IF(REGEXMATCH(P105,""_up""),VLOOKUP(P105,Upgrades!$F$3:$J$8,1+COUNTIF(P$4:P105,P105),FALSE),IF(P105="""",0,IF(REGEXMATCH(P105,""^Sell_""),-ROUNDDOWN(ROUNDUP(INDEX(Upgrades!$C$3:$C$8,MATCH(SUBSTITUTE(P105,""Sell_"",""""),Upgrade"&amp;"s!$B$3:$B$8,0))*1.15^(COUNTIF(P$4:P104,SUBSTITUTE(P105,""Sell_"",""""))-COUNTIF(P$4:P104,""Sell_""&amp;SUBSTITUTE(P105,""Sell_"",""""))))/4),ROUNDUP(INDEX(Upgrades!$C$3:$C$7,MATCH(P105,Upgrades!$B$3:$B$7,0))*1.15^(COUNTIF(P$4:P104,P105)-COUNTIF(P$4:P104,""Sel"&amp;"l_""&amp;P105)))))))"),994.0)</f>
        <v>994</v>
      </c>
      <c r="U105" s="14">
        <f t="shared" si="10"/>
        <v>994</v>
      </c>
      <c r="V105" s="75">
        <f t="shared" si="11"/>
        <v>9478112.216</v>
      </c>
      <c r="W105" s="76">
        <f t="shared" si="12"/>
        <v>915.2175184</v>
      </c>
      <c r="X105" s="71" t="str">
        <f t="shared" si="13"/>
        <v>15m 15s</v>
      </c>
      <c r="Y105" s="77">
        <f t="shared" si="14"/>
        <v>612304</v>
      </c>
      <c r="Z105" s="17"/>
      <c r="AA105" s="13"/>
      <c r="AB105" s="13"/>
      <c r="AC105" s="13"/>
      <c r="AD105" s="13"/>
      <c r="AE105" s="13"/>
      <c r="AF105" s="13"/>
      <c r="AG105" s="13"/>
    </row>
    <row r="106">
      <c r="A106" s="12"/>
      <c r="B106" s="65">
        <f t="shared" si="2"/>
        <v>32</v>
      </c>
      <c r="C106" s="66" t="s">
        <v>10</v>
      </c>
      <c r="D106" s="14" t="b">
        <f>IFERROR(__xludf.DUMMYFUNCTION("IF(COUNTA(C106:C147)=0,"""",IFERROR(IF(ISBLANK(C106),FALSE,IF(ISBLANK(G106),1,IF(NOT(COUNTIF($AA$24:$AA$34,SUBSTITUTE(C106,""Sell_"",""""))),1,IF(C106=""Plastic_up"",IF(I106&lt;1000,1),IF(C106=""Super_Up"",IF(OR(COUNTIF(C$4:C106,""Grandma"")-COUNTIF(C$4:C106"&amp;",""Sell_Grandma"")&lt;1,COUNTIF(C$4:C106,VLOOKUP(C106,Upgrades!$F$8:$N$8,7+COUNTIF(C$4:C106,C106)))-COUNTIF(C$4:C106,""Sell_""&amp;VLOOKUP(C106,Upgrades!$F$8:$N$8,7+COUNTIF(C$4:C106,C106)))&lt;15),1),IF(REGEXMATCH(C106,""_up""),IF(COUNTIF(C$4:C106,SUBSTITUTE(C106,"&amp;"""_up"",""""))&lt;IFERROR(VLOOKUP(C106,Upgrades!$L$3:$P$6,1+COUNTIF(C$4:C106,C106),0),999),1),IF(REGEXMATCH(C106,""Sell_""),IF(COUNTIF(C$4:C106,SUBSTITUTE(C106,""Sell_"",""""))-COUNTIF(C$4:C105,C106)&lt;1,1),FALSE)))))))))"),FALSE)</f>
        <v>0</v>
      </c>
      <c r="E106" s="71">
        <f>IFERROR(__xludf.DUMMYFUNCTION("IF(REGEXMATCH(C106,""^Sell_""),E105, IF(COUNTA(C106:C147)=0,"""",(COUNTIF(C$4:C106,""Cursor"")-COUNTIF(C$4:C106,""Sell_Cursor""))*(0.1*2^SWITCH(COUNTIF(C$4:C106,""Cursor_up""),0,0,1,1,2,2,3)+SWITCH(COUNTIF(C$4:C106,""Cursor_up""),4,0.1,0)*(ROW(C106)-4-COU"&amp;"NTIF(C$4:C106,""Cursor"")-COUNTIF(C$4:C106,""*""&amp;""_up"")-2*COUNTIF(C$4:C106,""Sell_""&amp;""*"")+COUNTIF(C$4:C106,""Sell_Cursor"")-COUNTIF(C$4:C106,"""")))+(COUNTIF(C$4:C106,""Grandma"")-COUNTIF(C$4:C106,""Sell_Grandma""))*(1*2^(COUNTIF(C$4:C106,""Grandma_up"&amp;""")+COUNTIF(C$4:C106,""Super_up"")))+(COUNTIF(C$4:C106,""Farm"")-COUNTIF(C$4:C106,""Sell_Farm""))*(8*2^COUNTIF(C$4:C106,""Farm_up""))*IF(COUNTIF(C$4:C106,""Super_up"")&gt;0,1+0.01*(COUNTIF(C$4:C106,""Grandma"")-COUNTIF(C$4:C106,""Sell_Grandma"")),1)+(COUNTIF"&amp;"(C$4:C106,""Mine"")-COUNTIF(C$4:C106,""Sell_Mine""))*((47*2^COUNTIF(C$4:C106,""Mine_up""))*IF(COUNTIF(C$4:C106,""Super_up"")&gt;1,1+0.005*(COUNTIF(C$4:C106,""Grandma"")-COUNTIF(C$4:C106,""Sell_Grandma"")),1))+(COUNTIF(C$4:C106,""Factory"")-COUNTIF(C$4:C106,"&amp;"""Sell_Factory""))*(260*2^COUNTIF(C$4:C106,""Factory_up""))))"),1846.88)</f>
        <v>1846.88</v>
      </c>
      <c r="F106" s="73">
        <f>IFERROR(__xludf.DUMMYFUNCTION("IF(COUNTA(C106:C147)=0,"""",IF(REGEXMATCH(INDEX(FILTER(C$4:C106,C$4:C106&lt;&gt;""""),ROWS(FILTER(C$4:C106,C$4:C106&lt;&gt;""""))),""^Sell_""),INDEX(FILTER(F$4:F105,C$4:C105&lt;&gt;""""),ROWS(FILTER(C$4:C105,C$4:C105&lt;&gt;""""))),$AC$5*(2^SWITCH(COUNTIF(C$4:C106,""Cursor_up"")"&amp;",0,0,1,1,2,2,3)+SWITCH(COUNTIF(C$4:C106,""Cursor_up""),4,0.1,0)*(ROW(C106)-4-COUNTIF(C$4:C106,""Cursor"")-COUNTIF(C$4:C106,""*""&amp;""_up"")-2*COUNTIF(C$4:C106,""Sell_""&amp;""*"")+COUNTIF(C$4:C106,""Sell_Cursor"")-COUNTIF(C$4:C106,""""))+0.01*E106*COUNTIF(C$4:C"&amp;"106,""Plastic_up""))+E106))"),2332.4120000000003)</f>
        <v>2332.412</v>
      </c>
      <c r="G106" s="14">
        <f>IFERROR(__xludf.DUMMYFUNCTION("IF(COUNTA(C106:C147)=0,"""",IF(REGEXMATCH(C106,""_up""),VLOOKUP(C106,Upgrades!$F$3:$J$8,1+COUNTIF(C$4:C106,C106),FALSE),IF(C106="""",0,IF(REGEXMATCH(C106,""^Sell_""),-ROUNDDOWN(ROUNDUP(INDEX(Upgrades!$C$3:$C$8,MATCH(SUBSTITUTE(C106,""Sell_"",""""),Upgrade"&amp;"s!$B$3:$B$8,0))*1.15^(COUNTIF(C$4:C105,SUBSTITUTE(C106,""Sell_"",""""))-COUNTIF(C$4:C105,""Sell_""&amp;SUBSTITUTE(C106,""Sell_"",""""))))/4),ROUNDUP(INDEX(Upgrades!$C$3:$C$7,MATCH(C106,Upgrades!$B$3:$B$7,0))*1.15^(COUNTIF(C$4:C105,C106)-COUNTIF(C$4:C105,""Sel"&amp;"l_""&amp;C106)))))))"),1143.0)</f>
        <v>1143</v>
      </c>
      <c r="H106" s="14">
        <f t="shared" si="3"/>
        <v>1143</v>
      </c>
      <c r="I106" s="75">
        <f t="shared" si="4"/>
        <v>9921798.044</v>
      </c>
      <c r="J106" s="76">
        <f t="shared" si="5"/>
        <v>915.7091932</v>
      </c>
      <c r="K106" s="71" t="str">
        <f t="shared" si="6"/>
        <v>15m 15s</v>
      </c>
      <c r="L106" s="77">
        <f t="shared" si="7"/>
        <v>613447</v>
      </c>
      <c r="M106" s="51">
        <f t="shared" si="8"/>
        <v>0</v>
      </c>
      <c r="N106" s="52">
        <f>IFERROR(__xludf.DUMMYFUNCTION("IFS(AND(COUNTA(C106:C147)=0,COUNTA(P106:P147)=0),"""",OR(AND(L106&gt;=1000000,OR(Y106&gt;=1000000,COUNTA(P106:P147)=0)),AND(Y106&gt;=1000000,COUNTA(C106:C147)=0),AND(COUNTA(P106:P147)=0,O$3=TRUE)),
ROUNDDOWN((AB$1-AC$1)*MAX(INDEX(S$4:S147,MATCH(LARGE(FILTER(Y$4:Y1"&amp;"47,Y$4:Y147&lt;1000000),1),Y$4:Y147)),INDEX(F$4:F147,MATCH(LARGE(FILTER(L$4:L147,L$4:L147&lt;1000000),1),L$4:L147)))),AND(L106&lt;1000000,COUNTA(C106:C147)&gt;0,O$3=FALSE),
ROUNDDOWN(INDEX(Y$4:Y147,MATCH(LARGE(FILTER(W$4:W147,W$4:W147&lt;=J106),1),W$4:W147))+(J106-LARGE"&amp;"(FILTER(W$4:W147,W$4:W147&lt;=J106),1))*INDEX(S$4:S147,MATCH(LARGE(FILTER(W$4:W147,W$4:W147&lt;=J106),1),W$4:W147))-L106),1,
ROUNDDOWN(Y106-INDEX(L$4:L147,MATCH(LARGE(FILTER(J$4:J147,J$4:J147&lt;=W106),1),J$4:J147))-(W106-LARGE(FILTER(J$4:J147,J$4:J147&lt;=W106),1))*"&amp;"INDEX(F$4:F147,MATCH(LARGE(FILTER(J$4:J147,J$4:J147&lt;=W106),1),J$4:J147))))"),0.0)</f>
        <v>0</v>
      </c>
      <c r="O106" s="65">
        <f t="shared" si="9"/>
        <v>32</v>
      </c>
      <c r="P106" s="66" t="s">
        <v>10</v>
      </c>
      <c r="Q106" s="14" t="b">
        <f>IFERROR(__xludf.DUMMYFUNCTION("IF(COUNTA(P106:P147)=0,"""",IFERROR(IF(ISBLANK(P106),FALSE,IF(ISBLANK(T106),1,IF(NOT(COUNTIF($AA$24:$AA$34,SUBSTITUTE(P106,""Sell_"",""""))),1,IF(P106=""Plastic_up"",IF(V106&lt;1000,1),IF(P106=""Super_Up"",IF(OR(COUNTIF(P$4:P106,""Grandma"")-COUNTIF(P$4:P106"&amp;",""Sell_Grandma"")&lt;1,COUNTIF(P$4:P106,VLOOKUP(P106,Upgrades!$F$8:$N$8,7+COUNTIF(P$4:P106,P106)))-COUNTIF(P$4:P106,""Sell_""&amp;VLOOKUP(P106,Upgrades!$F$8:$N$8,7+COUNTIF(P$4:P106,P106)))&lt;15),1),IF(REGEXMATCH(P106,""_up""),IF(COUNTIF(P$4:P106,SUBSTITUTE(P106,"&amp;"""_up"",""""))&lt;IFERROR(VLOOKUP(P106,Upgrades!$L$3:$P$6,1+COUNTIF(P$4:P106,P106),0),999),1),IF(REGEXMATCH(P106,""Sell_""),IF(COUNTIF(P$4:P106,SUBSTITUTE(P106,""Sell_"",""""))-COUNTIF(P$4:P105,P106)&lt;1,1),FALSE)))))))))"),FALSE)</f>
        <v>0</v>
      </c>
      <c r="R106" s="71">
        <f>IFERROR(__xludf.DUMMYFUNCTION("IF(REGEXMATCH(P106,""^Sell_""),R105, IF(COUNTA(P106:P147)=0,"""",(COUNTIF(P$4:P106,""Cursor"")-COUNTIF(P$4:P106,""Sell_Cursor""))*(0.1*2^SWITCH(COUNTIF(P$4:P106,""Cursor_up""),0,0,1,1,2,2,3)+SWITCH(COUNTIF(P$4:P106,""Cursor_up""),4,0.1,0)*(ROW(P106)-4-COU"&amp;"NTIF(P$4:P106,""Cursor"")-COUNTIF(P$4:P106,""*""&amp;""_up"")-2*COUNTIF(P$4:P106,""Sell_""&amp;""*"")+COUNTIF(P$4:P106,""Sell_Cursor"")-COUNTIF(P$4:P106,"""")))+(COUNTIF(P$4:P106,""Grandma"")-COUNTIF(P$4:P106,""Sell_Grandma""))*(1*2^(COUNTIF(P$4:P106,""Grandma_up"&amp;""")+COUNTIF(P$4:P106,""Super_up"")))+(COUNTIF(P$4:P106,""Farm"")-COUNTIF(P$4:P106,""Sell_Farm""))*(8*2^COUNTIF(P$4:P106,""Farm_up""))*IF(COUNTIF(P$4:P106,""Super_up"")&gt;0,1+0.01*(COUNTIF(P$4:P106,""Grandma"")-COUNTIF(P$4:P106,""Sell_Grandma"")),1)+(COUNTIF"&amp;"(P$4:P106,""Mine"")-COUNTIF(P$4:P106,""Sell_Mine""))*((47*2^COUNTIF(P$4:P106,""Mine_up""))*IF(COUNTIF(P$4:P106,""Super_up"")&gt;1,1+0.005*(COUNTIF(P$4:P106,""Grandma"")-COUNTIF(P$4:P106,""Sell_Grandma"")),1))+(COUNTIF(P$4:P106,""Factory"")-COUNTIF(P$4:P106,"&amp;"""Sell_Factory""))*(260*2^COUNTIF(P$4:P106,""Factory_up""))))"),1846.88)</f>
        <v>1846.88</v>
      </c>
      <c r="S106" s="73">
        <f>IFERROR(__xludf.DUMMYFUNCTION("IF(COUNTA(P106:P147)=0,"""",IF(REGEXMATCH(INDEX(FILTER(P$4:P106,P$4:P106&lt;&gt;""""),ROWS(FILTER(P$4:P106,P$4:P106&lt;&gt;""""))),""^Sell_""),INDEX(FILTER(S$4:S105,P$4:P105&lt;&gt;""""),ROWS(FILTER(P$4:P105,P$4:P105&lt;&gt;""""))),$AD$5*(2^SWITCH(COUNTIF(P$4:P106,""Cursor_up"")"&amp;",0,0,1,1,2,2,3)+SWITCH(COUNTIF(P$4:P106,""Cursor_up""),4,0.1,0)*(ROW(P106)-4-COUNTIF(P$4:P106,""Cursor"")-COUNTIF(P$4:P106,""*""&amp;""_up"")-2*COUNTIF(P$4:P106,""Sell_""&amp;""*"")+COUNTIF(P$4:P106,""Sell_Cursor"")-COUNTIF(P$4:P106,""""))+0.01*R106*COUNTIF(P$4:P"&amp;"106,""Plastic_up""))+R106))"),2332.4120000000003)</f>
        <v>2332.412</v>
      </c>
      <c r="T106" s="14">
        <f>IFERROR(__xludf.DUMMYFUNCTION("IF(COUNTA(P106:P147)=0,"""",IF(REGEXMATCH(P106,""_up""),VLOOKUP(P106,Upgrades!$F$3:$J$8,1+COUNTIF(P$4:P106,P106),FALSE),IF(P106="""",0,IF(REGEXMATCH(P106,""^Sell_""),-ROUNDDOWN(ROUNDUP(INDEX(Upgrades!$C$3:$C$8,MATCH(SUBSTITUTE(P106,""Sell_"",""""),Upgrade"&amp;"s!$B$3:$B$8,0))*1.15^(COUNTIF(P$4:P105,SUBSTITUTE(P106,""Sell_"",""""))-COUNTIF(P$4:P105,""Sell_""&amp;SUBSTITUTE(P106,""Sell_"",""""))))/4),ROUNDUP(INDEX(Upgrades!$C$3:$C$7,MATCH(P106,Upgrades!$B$3:$B$7,0))*1.15^(COUNTIF(P$4:P105,P106)-COUNTIF(P$4:P105,""Sel"&amp;"l_""&amp;P106)))))))"),1143.0)</f>
        <v>1143</v>
      </c>
      <c r="U106" s="14">
        <f t="shared" si="10"/>
        <v>1143</v>
      </c>
      <c r="V106" s="75">
        <f t="shared" si="11"/>
        <v>9921798.044</v>
      </c>
      <c r="W106" s="76">
        <f t="shared" si="12"/>
        <v>915.7091932</v>
      </c>
      <c r="X106" s="71" t="str">
        <f t="shared" si="13"/>
        <v>15m 15s</v>
      </c>
      <c r="Y106" s="77">
        <f t="shared" si="14"/>
        <v>613447</v>
      </c>
      <c r="Z106" s="17"/>
      <c r="AA106" s="13"/>
      <c r="AB106" s="13"/>
      <c r="AC106" s="13"/>
      <c r="AD106" s="13"/>
      <c r="AE106" s="13"/>
      <c r="AF106" s="13"/>
      <c r="AG106" s="13"/>
    </row>
    <row r="107">
      <c r="A107" s="12"/>
      <c r="B107" s="65">
        <f t="shared" si="2"/>
        <v>33</v>
      </c>
      <c r="C107" s="66" t="s">
        <v>10</v>
      </c>
      <c r="D107" s="14" t="b">
        <f>IFERROR(__xludf.DUMMYFUNCTION("IF(COUNTA(C107:C147)=0,"""",IFERROR(IF(ISBLANK(C107),FALSE,IF(ISBLANK(G107),1,IF(NOT(COUNTIF($AA$24:$AA$34,SUBSTITUTE(C107,""Sell_"",""""))),1,IF(C107=""Plastic_up"",IF(I107&lt;1000,1),IF(C107=""Super_Up"",IF(OR(COUNTIF(C$4:C107,""Grandma"")-COUNTIF(C$4:C107"&amp;",""Sell_Grandma"")&lt;1,COUNTIF(C$4:C107,VLOOKUP(C107,Upgrades!$F$8:$N$8,7+COUNTIF(C$4:C107,C107)))-COUNTIF(C$4:C107,""Sell_""&amp;VLOOKUP(C107,Upgrades!$F$8:$N$8,7+COUNTIF(C$4:C107,C107)))&lt;15),1),IF(REGEXMATCH(C107,""_up""),IF(COUNTIF(C$4:C107,SUBSTITUTE(C107,"&amp;"""_up"",""""))&lt;IFERROR(VLOOKUP(C107,Upgrades!$L$3:$P$6,1+COUNTIF(C$4:C107,C107),0),999),1),IF(REGEXMATCH(C107,""Sell_""),IF(COUNTIF(C$4:C107,SUBSTITUTE(C107,""Sell_"",""""))-COUNTIF(C$4:C106,C107)&lt;1,1),FALSE)))))))))"),FALSE)</f>
        <v>0</v>
      </c>
      <c r="E107" s="71">
        <f>IFERROR(__xludf.DUMMYFUNCTION("IF(REGEXMATCH(C107,""^Sell_""),E106, IF(COUNTA(C107:C147)=0,"""",(COUNTIF(C$4:C107,""Cursor"")-COUNTIF(C$4:C107,""Sell_Cursor""))*(0.1*2^SWITCH(COUNTIF(C$4:C107,""Cursor_up""),0,0,1,1,2,2,3)+SWITCH(COUNTIF(C$4:C107,""Cursor_up""),4,0.1,0)*(ROW(C107)-4-COU"&amp;"NTIF(C$4:C107,""Cursor"")-COUNTIF(C$4:C107,""*""&amp;""_up"")-2*COUNTIF(C$4:C107,""Sell_""&amp;""*"")+COUNTIF(C$4:C107,""Sell_Cursor"")-COUNTIF(C$4:C107,"""")))+(COUNTIF(C$4:C107,""Grandma"")-COUNTIF(C$4:C107,""Sell_Grandma""))*(1*2^(COUNTIF(C$4:C107,""Grandma_up"&amp;""")+COUNTIF(C$4:C107,""Super_up"")))+(COUNTIF(C$4:C107,""Farm"")-COUNTIF(C$4:C107,""Sell_Farm""))*(8*2^COUNTIF(C$4:C107,""Farm_up""))*IF(COUNTIF(C$4:C107,""Super_up"")&gt;0,1+0.01*(COUNTIF(C$4:C107,""Grandma"")-COUNTIF(C$4:C107,""Sell_Grandma"")),1)+(COUNTIF"&amp;"(C$4:C107,""Mine"")-COUNTIF(C$4:C107,""Sell_Mine""))*((47*2^COUNTIF(C$4:C107,""Mine_up""))*IF(COUNTIF(C$4:C107,""Super_up"")&gt;1,1+0.005*(COUNTIF(C$4:C107,""Grandma"")-COUNTIF(C$4:C107,""Sell_Grandma"")),1))+(COUNTIF(C$4:C107,""Factory"")-COUNTIF(C$4:C107,"&amp;"""Sell_Factory""))*(260*2^COUNTIF(C$4:C107,""Factory_up""))))"),1853.58)</f>
        <v>1853.58</v>
      </c>
      <c r="F107" s="73">
        <f>IFERROR(__xludf.DUMMYFUNCTION("IF(COUNTA(C107:C147)=0,"""",IF(REGEXMATCH(INDEX(FILTER(C$4:C107,C$4:C107&lt;&gt;""""),ROWS(FILTER(C$4:C107,C$4:C107&lt;&gt;""""))),""^Sell_""),INDEX(FILTER(F$4:F106,C$4:C106&lt;&gt;""""),ROWS(FILTER(C$4:C106,C$4:C106&lt;&gt;""""))),$AC$5*(2^SWITCH(COUNTIF(C$4:C107,""Cursor_up"")"&amp;",0,0,1,1,2,2,3)+SWITCH(COUNTIF(C$4:C107,""Cursor_up""),4,0.1,0)*(ROW(C107)-4-COUNTIF(C$4:C107,""Cursor"")-COUNTIF(C$4:C107,""*""&amp;""_up"")-2*COUNTIF(C$4:C107,""Sell_""&amp;""*"")+COUNTIF(C$4:C107,""Sell_Cursor"")-COUNTIF(C$4:C107,""""))+0.01*E107*COUNTIF(C$4:C"&amp;"107,""Plastic_up""))+E107))"),2340.117)</f>
        <v>2340.117</v>
      </c>
      <c r="G107" s="14">
        <f>IFERROR(__xludf.DUMMYFUNCTION("IF(COUNTA(C107:C147)=0,"""",IF(REGEXMATCH(C107,""_up""),VLOOKUP(C107,Upgrades!$F$3:$J$8,1+COUNTIF(C$4:C107,C107),FALSE),IF(C107="""",0,IF(REGEXMATCH(C107,""^Sell_""),-ROUNDDOWN(ROUNDUP(INDEX(Upgrades!$C$3:$C$8,MATCH(SUBSTITUTE(C107,""Sell_"",""""),Upgrade"&amp;"s!$B$3:$B$8,0))*1.15^(COUNTIF(C$4:C106,SUBSTITUTE(C107,""Sell_"",""""))-COUNTIF(C$4:C106,""Sell_""&amp;SUBSTITUTE(C107,""Sell_"",""""))))/4),ROUNDUP(INDEX(Upgrades!$C$3:$C$7,MATCH(C107,Upgrades!$B$3:$B$7,0))*1.15^(COUNTIF(C$4:C106,C107)-COUNTIF(C$4:C106,""Sel"&amp;"l_""&amp;C107)))))))"),1314.0)</f>
        <v>1314</v>
      </c>
      <c r="H107" s="14">
        <f t="shared" si="3"/>
        <v>1314</v>
      </c>
      <c r="I107" s="75">
        <f t="shared" si="4"/>
        <v>10366677.69</v>
      </c>
      <c r="J107" s="76">
        <f t="shared" si="5"/>
        <v>916.2725585</v>
      </c>
      <c r="K107" s="71" t="str">
        <f t="shared" si="6"/>
        <v>15m 16s</v>
      </c>
      <c r="L107" s="77">
        <f t="shared" si="7"/>
        <v>614761</v>
      </c>
      <c r="M107" s="51">
        <f t="shared" si="8"/>
        <v>0</v>
      </c>
      <c r="N107" s="52">
        <f>IFERROR(__xludf.DUMMYFUNCTION("IFS(AND(COUNTA(C107:C147)=0,COUNTA(P107:P147)=0),"""",OR(AND(L107&gt;=1000000,OR(Y107&gt;=1000000,COUNTA(P107:P147)=0)),AND(Y107&gt;=1000000,COUNTA(C107:C147)=0),AND(COUNTA(P107:P147)=0,O$3=TRUE)),
ROUNDDOWN((AB$1-AC$1)*MAX(INDEX(S$4:S147,MATCH(LARGE(FILTER(Y$4:Y1"&amp;"47,Y$4:Y147&lt;1000000),1),Y$4:Y147)),INDEX(F$4:F147,MATCH(LARGE(FILTER(L$4:L147,L$4:L147&lt;1000000),1),L$4:L147)))),AND(L107&lt;1000000,COUNTA(C107:C147)&gt;0,O$3=FALSE),
ROUNDDOWN(INDEX(Y$4:Y147,MATCH(LARGE(FILTER(W$4:W147,W$4:W147&lt;=J107),1),W$4:W147))+(J107-LARGE"&amp;"(FILTER(W$4:W147,W$4:W147&lt;=J107),1))*INDEX(S$4:S147,MATCH(LARGE(FILTER(W$4:W147,W$4:W147&lt;=J107),1),W$4:W147))-L107),1,
ROUNDDOWN(Y107-INDEX(L$4:L147,MATCH(LARGE(FILTER(J$4:J147,J$4:J147&lt;=W107),1),J$4:J147))-(W107-LARGE(FILTER(J$4:J147,J$4:J147&lt;=W107),1))*"&amp;"INDEX(F$4:F147,MATCH(LARGE(FILTER(J$4:J147,J$4:J147&lt;=W107),1),J$4:J147))))"),0.0)</f>
        <v>0</v>
      </c>
      <c r="O107" s="65">
        <f t="shared" si="9"/>
        <v>33</v>
      </c>
      <c r="P107" s="66" t="s">
        <v>10</v>
      </c>
      <c r="Q107" s="14" t="b">
        <f>IFERROR(__xludf.DUMMYFUNCTION("IF(COUNTA(P107:P147)=0,"""",IFERROR(IF(ISBLANK(P107),FALSE,IF(ISBLANK(T107),1,IF(NOT(COUNTIF($AA$24:$AA$34,SUBSTITUTE(P107,""Sell_"",""""))),1,IF(P107=""Plastic_up"",IF(V107&lt;1000,1),IF(P107=""Super_Up"",IF(OR(COUNTIF(P$4:P107,""Grandma"")-COUNTIF(P$4:P107"&amp;",""Sell_Grandma"")&lt;1,COUNTIF(P$4:P107,VLOOKUP(P107,Upgrades!$F$8:$N$8,7+COUNTIF(P$4:P107,P107)))-COUNTIF(P$4:P107,""Sell_""&amp;VLOOKUP(P107,Upgrades!$F$8:$N$8,7+COUNTIF(P$4:P107,P107)))&lt;15),1),IF(REGEXMATCH(P107,""_up""),IF(COUNTIF(P$4:P107,SUBSTITUTE(P107,"&amp;"""_up"",""""))&lt;IFERROR(VLOOKUP(P107,Upgrades!$L$3:$P$6,1+COUNTIF(P$4:P107,P107),0),999),1),IF(REGEXMATCH(P107,""Sell_""),IF(COUNTIF(P$4:P107,SUBSTITUTE(P107,""Sell_"",""""))-COUNTIF(P$4:P106,P107)&lt;1,1),FALSE)))))))))"),FALSE)</f>
        <v>0</v>
      </c>
      <c r="R107" s="71">
        <f>IFERROR(__xludf.DUMMYFUNCTION("IF(REGEXMATCH(P107,""^Sell_""),R106, IF(COUNTA(P107:P147)=0,"""",(COUNTIF(P$4:P107,""Cursor"")-COUNTIF(P$4:P107,""Sell_Cursor""))*(0.1*2^SWITCH(COUNTIF(P$4:P107,""Cursor_up""),0,0,1,1,2,2,3)+SWITCH(COUNTIF(P$4:P107,""Cursor_up""),4,0.1,0)*(ROW(P107)-4-COU"&amp;"NTIF(P$4:P107,""Cursor"")-COUNTIF(P$4:P107,""*""&amp;""_up"")-2*COUNTIF(P$4:P107,""Sell_""&amp;""*"")+COUNTIF(P$4:P107,""Sell_Cursor"")-COUNTIF(P$4:P107,"""")))+(COUNTIF(P$4:P107,""Grandma"")-COUNTIF(P$4:P107,""Sell_Grandma""))*(1*2^(COUNTIF(P$4:P107,""Grandma_up"&amp;""")+COUNTIF(P$4:P107,""Super_up"")))+(COUNTIF(P$4:P107,""Farm"")-COUNTIF(P$4:P107,""Sell_Farm""))*(8*2^COUNTIF(P$4:P107,""Farm_up""))*IF(COUNTIF(P$4:P107,""Super_up"")&gt;0,1+0.01*(COUNTIF(P$4:P107,""Grandma"")-COUNTIF(P$4:P107,""Sell_Grandma"")),1)+(COUNTIF"&amp;"(P$4:P107,""Mine"")-COUNTIF(P$4:P107,""Sell_Mine""))*((47*2^COUNTIF(P$4:P107,""Mine_up""))*IF(COUNTIF(P$4:P107,""Super_up"")&gt;1,1+0.005*(COUNTIF(P$4:P107,""Grandma"")-COUNTIF(P$4:P107,""Sell_Grandma"")),1))+(COUNTIF(P$4:P107,""Factory"")-COUNTIF(P$4:P107,"&amp;"""Sell_Factory""))*(260*2^COUNTIF(P$4:P107,""Factory_up""))))"),1853.58)</f>
        <v>1853.58</v>
      </c>
      <c r="S107" s="73">
        <f>IFERROR(__xludf.DUMMYFUNCTION("IF(COUNTA(P107:P147)=0,"""",IF(REGEXMATCH(INDEX(FILTER(P$4:P107,P$4:P107&lt;&gt;""""),ROWS(FILTER(P$4:P107,P$4:P107&lt;&gt;""""))),""^Sell_""),INDEX(FILTER(S$4:S106,P$4:P106&lt;&gt;""""),ROWS(FILTER(P$4:P106,P$4:P106&lt;&gt;""""))),$AD$5*(2^SWITCH(COUNTIF(P$4:P107,""Cursor_up"")"&amp;",0,0,1,1,2,2,3)+SWITCH(COUNTIF(P$4:P107,""Cursor_up""),4,0.1,0)*(ROW(P107)-4-COUNTIF(P$4:P107,""Cursor"")-COUNTIF(P$4:P107,""*""&amp;""_up"")-2*COUNTIF(P$4:P107,""Sell_""&amp;""*"")+COUNTIF(P$4:P107,""Sell_Cursor"")-COUNTIF(P$4:P107,""""))+0.01*R107*COUNTIF(P$4:P"&amp;"107,""Plastic_up""))+R107))"),2340.117)</f>
        <v>2340.117</v>
      </c>
      <c r="T107" s="14">
        <f>IFERROR(__xludf.DUMMYFUNCTION("IF(COUNTA(P107:P147)=0,"""",IF(REGEXMATCH(P107,""_up""),VLOOKUP(P107,Upgrades!$F$3:$J$8,1+COUNTIF(P$4:P107,P107),FALSE),IF(P107="""",0,IF(REGEXMATCH(P107,""^Sell_""),-ROUNDDOWN(ROUNDUP(INDEX(Upgrades!$C$3:$C$8,MATCH(SUBSTITUTE(P107,""Sell_"",""""),Upgrade"&amp;"s!$B$3:$B$8,0))*1.15^(COUNTIF(P$4:P106,SUBSTITUTE(P107,""Sell_"",""""))-COUNTIF(P$4:P106,""Sell_""&amp;SUBSTITUTE(P107,""Sell_"",""""))))/4),ROUNDUP(INDEX(Upgrades!$C$3:$C$7,MATCH(P107,Upgrades!$B$3:$B$7,0))*1.15^(COUNTIF(P$4:P106,P107)-COUNTIF(P$4:P106,""Sel"&amp;"l_""&amp;P107)))))))"),1314.0)</f>
        <v>1314</v>
      </c>
      <c r="U107" s="14">
        <f t="shared" si="10"/>
        <v>1314</v>
      </c>
      <c r="V107" s="75">
        <f t="shared" si="11"/>
        <v>10366677.69</v>
      </c>
      <c r="W107" s="76">
        <f t="shared" si="12"/>
        <v>916.2725585</v>
      </c>
      <c r="X107" s="71" t="str">
        <f t="shared" si="13"/>
        <v>15m 16s</v>
      </c>
      <c r="Y107" s="77">
        <f t="shared" si="14"/>
        <v>614761</v>
      </c>
      <c r="Z107" s="17"/>
      <c r="AA107" s="13"/>
      <c r="AB107" s="13"/>
      <c r="AC107" s="13"/>
      <c r="AD107" s="13"/>
      <c r="AE107" s="13"/>
      <c r="AF107" s="13"/>
      <c r="AG107" s="13"/>
    </row>
    <row r="108">
      <c r="A108" s="12"/>
      <c r="B108" s="65">
        <f t="shared" si="2"/>
        <v>34</v>
      </c>
      <c r="C108" s="66" t="s">
        <v>10</v>
      </c>
      <c r="D108" s="14" t="b">
        <f>IFERROR(__xludf.DUMMYFUNCTION("IF(COUNTA(C108:C147)=0,"""",IFERROR(IF(ISBLANK(C108),FALSE,IF(ISBLANK(G108),1,IF(NOT(COUNTIF($AA$24:$AA$34,SUBSTITUTE(C108,""Sell_"",""""))),1,IF(C108=""Plastic_up"",IF(I108&lt;1000,1),IF(C108=""Super_Up"",IF(OR(COUNTIF(C$4:C108,""Grandma"")-COUNTIF(C$4:C108"&amp;",""Sell_Grandma"")&lt;1,COUNTIF(C$4:C108,VLOOKUP(C108,Upgrades!$F$8:$N$8,7+COUNTIF(C$4:C108,C108)))-COUNTIF(C$4:C108,""Sell_""&amp;VLOOKUP(C108,Upgrades!$F$8:$N$8,7+COUNTIF(C$4:C108,C108)))&lt;15),1),IF(REGEXMATCH(C108,""_up""),IF(COUNTIF(C$4:C108,SUBSTITUTE(C108,"&amp;"""_up"",""""))&lt;IFERROR(VLOOKUP(C108,Upgrades!$L$3:$P$6,1+COUNTIF(C$4:C108,C108),0),999),1),IF(REGEXMATCH(C108,""Sell_""),IF(COUNTIF(C$4:C108,SUBSTITUTE(C108,""Sell_"",""""))-COUNTIF(C$4:C107,C108)&lt;1,1),FALSE)))))))))"),FALSE)</f>
        <v>0</v>
      </c>
      <c r="E108" s="71">
        <f>IFERROR(__xludf.DUMMYFUNCTION("IF(REGEXMATCH(C108,""^Sell_""),E107, IF(COUNTA(C108:C147)=0,"""",(COUNTIF(C$4:C108,""Cursor"")-COUNTIF(C$4:C108,""Sell_Cursor""))*(0.1*2^SWITCH(COUNTIF(C$4:C108,""Cursor_up""),0,0,1,1,2,2,3)+SWITCH(COUNTIF(C$4:C108,""Cursor_up""),4,0.1,0)*(ROW(C108)-4-COU"&amp;"NTIF(C$4:C108,""Cursor"")-COUNTIF(C$4:C108,""*""&amp;""_up"")-2*COUNTIF(C$4:C108,""Sell_""&amp;""*"")+COUNTIF(C$4:C108,""Sell_Cursor"")-COUNTIF(C$4:C108,"""")))+(COUNTIF(C$4:C108,""Grandma"")-COUNTIF(C$4:C108,""Sell_Grandma""))*(1*2^(COUNTIF(C$4:C108,""Grandma_up"&amp;""")+COUNTIF(C$4:C108,""Super_up"")))+(COUNTIF(C$4:C108,""Farm"")-COUNTIF(C$4:C108,""Sell_Farm""))*(8*2^COUNTIF(C$4:C108,""Farm_up""))*IF(COUNTIF(C$4:C108,""Super_up"")&gt;0,1+0.01*(COUNTIF(C$4:C108,""Grandma"")-COUNTIF(C$4:C108,""Sell_Grandma"")),1)+(COUNTIF"&amp;"(C$4:C108,""Mine"")-COUNTIF(C$4:C108,""Sell_Mine""))*((47*2^COUNTIF(C$4:C108,""Mine_up""))*IF(COUNTIF(C$4:C108,""Super_up"")&gt;1,1+0.005*(COUNTIF(C$4:C108,""Grandma"")-COUNTIF(C$4:C108,""Sell_Grandma"")),1))+(COUNTIF(C$4:C108,""Factory"")-COUNTIF(C$4:C108,"&amp;"""Sell_Factory""))*(260*2^COUNTIF(C$4:C108,""Factory_up""))))"),1860.28)</f>
        <v>1860.28</v>
      </c>
      <c r="F108" s="73">
        <f>IFERROR(__xludf.DUMMYFUNCTION("IF(COUNTA(C108:C147)=0,"""",IF(REGEXMATCH(INDEX(FILTER(C$4:C108,C$4:C108&lt;&gt;""""),ROWS(FILTER(C$4:C108,C$4:C108&lt;&gt;""""))),""^Sell_""),INDEX(FILTER(F$4:F107,C$4:C107&lt;&gt;""""),ROWS(FILTER(C$4:C107,C$4:C107&lt;&gt;""""))),$AC$5*(2^SWITCH(COUNTIF(C$4:C108,""Cursor_up"")"&amp;",0,0,1,1,2,2,3)+SWITCH(COUNTIF(C$4:C108,""Cursor_up""),4,0.1,0)*(ROW(C108)-4-COUNTIF(C$4:C108,""Cursor"")-COUNTIF(C$4:C108,""*""&amp;""_up"")-2*COUNTIF(C$4:C108,""Sell_""&amp;""*"")+COUNTIF(C$4:C108,""Sell_Cursor"")-COUNTIF(C$4:C108,""""))+0.01*E108*COUNTIF(C$4:C"&amp;"108,""Plastic_up""))+E108))"),2347.822)</f>
        <v>2347.822</v>
      </c>
      <c r="G108" s="14">
        <f>IFERROR(__xludf.DUMMYFUNCTION("IF(COUNTA(C108:C147)=0,"""",IF(REGEXMATCH(C108,""_up""),VLOOKUP(C108,Upgrades!$F$3:$J$8,1+COUNTIF(C$4:C108,C108),FALSE),IF(C108="""",0,IF(REGEXMATCH(C108,""^Sell_""),-ROUNDDOWN(ROUNDUP(INDEX(Upgrades!$C$3:$C$8,MATCH(SUBSTITUTE(C108,""Sell_"",""""),Upgrade"&amp;"s!$B$3:$B$8,0))*1.15^(COUNTIF(C$4:C107,SUBSTITUTE(C108,""Sell_"",""""))-COUNTIF(C$4:C107,""Sell_""&amp;SUBSTITUTE(C108,""Sell_"",""""))))/4),ROUNDUP(INDEX(Upgrades!$C$3:$C$7,MATCH(C108,Upgrades!$B$3:$B$7,0))*1.15^(COUNTIF(C$4:C107,C108)-COUNTIF(C$4:C107,""Sel"&amp;"l_""&amp;C108)))))))"),1511.0)</f>
        <v>1511</v>
      </c>
      <c r="H108" s="14">
        <f t="shared" si="3"/>
        <v>1511</v>
      </c>
      <c r="I108" s="75">
        <f t="shared" si="4"/>
        <v>10812792.35</v>
      </c>
      <c r="J108" s="76">
        <f t="shared" si="5"/>
        <v>916.9182527</v>
      </c>
      <c r="K108" s="71" t="str">
        <f t="shared" si="6"/>
        <v>15m 16s</v>
      </c>
      <c r="L108" s="77">
        <f t="shared" si="7"/>
        <v>616272</v>
      </c>
      <c r="M108" s="51">
        <f t="shared" si="8"/>
        <v>0</v>
      </c>
      <c r="N108" s="52">
        <f>IFERROR(__xludf.DUMMYFUNCTION("IFS(AND(COUNTA(C108:C147)=0,COUNTA(P108:P147)=0),"""",OR(AND(L108&gt;=1000000,OR(Y108&gt;=1000000,COUNTA(P108:P147)=0)),AND(Y108&gt;=1000000,COUNTA(C108:C147)=0),AND(COUNTA(P108:P147)=0,O$3=TRUE)),
ROUNDDOWN((AB$1-AC$1)*MAX(INDEX(S$4:S147,MATCH(LARGE(FILTER(Y$4:Y1"&amp;"47,Y$4:Y147&lt;1000000),1),Y$4:Y147)),INDEX(F$4:F147,MATCH(LARGE(FILTER(L$4:L147,L$4:L147&lt;1000000),1),L$4:L147)))),AND(L108&lt;1000000,COUNTA(C108:C147)&gt;0,O$3=FALSE),
ROUNDDOWN(INDEX(Y$4:Y147,MATCH(LARGE(FILTER(W$4:W147,W$4:W147&lt;=J108),1),W$4:W147))+(J108-LARGE"&amp;"(FILTER(W$4:W147,W$4:W147&lt;=J108),1))*INDEX(S$4:S147,MATCH(LARGE(FILTER(W$4:W147,W$4:W147&lt;=J108),1),W$4:W147))-L108),1,
ROUNDDOWN(Y108-INDEX(L$4:L147,MATCH(LARGE(FILTER(J$4:J147,J$4:J147&lt;=W108),1),J$4:J147))-(W108-LARGE(FILTER(J$4:J147,J$4:J147&lt;=W108),1))*"&amp;"INDEX(F$4:F147,MATCH(LARGE(FILTER(J$4:J147,J$4:J147&lt;=W108),1),J$4:J147))))"),0.0)</f>
        <v>0</v>
      </c>
      <c r="O108" s="65">
        <f t="shared" si="9"/>
        <v>34</v>
      </c>
      <c r="P108" s="66" t="s">
        <v>10</v>
      </c>
      <c r="Q108" s="14" t="b">
        <f>IFERROR(__xludf.DUMMYFUNCTION("IF(COUNTA(P108:P147)=0,"""",IFERROR(IF(ISBLANK(P108),FALSE,IF(ISBLANK(T108),1,IF(NOT(COUNTIF($AA$24:$AA$34,SUBSTITUTE(P108,""Sell_"",""""))),1,IF(P108=""Plastic_up"",IF(V108&lt;1000,1),IF(P108=""Super_Up"",IF(OR(COUNTIF(P$4:P108,""Grandma"")-COUNTIF(P$4:P108"&amp;",""Sell_Grandma"")&lt;1,COUNTIF(P$4:P108,VLOOKUP(P108,Upgrades!$F$8:$N$8,7+COUNTIF(P$4:P108,P108)))-COUNTIF(P$4:P108,""Sell_""&amp;VLOOKUP(P108,Upgrades!$F$8:$N$8,7+COUNTIF(P$4:P108,P108)))&lt;15),1),IF(REGEXMATCH(P108,""_up""),IF(COUNTIF(P$4:P108,SUBSTITUTE(P108,"&amp;"""_up"",""""))&lt;IFERROR(VLOOKUP(P108,Upgrades!$L$3:$P$6,1+COUNTIF(P$4:P108,P108),0),999),1),IF(REGEXMATCH(P108,""Sell_""),IF(COUNTIF(P$4:P108,SUBSTITUTE(P108,""Sell_"",""""))-COUNTIF(P$4:P107,P108)&lt;1,1),FALSE)))))))))"),FALSE)</f>
        <v>0</v>
      </c>
      <c r="R108" s="71">
        <f>IFERROR(__xludf.DUMMYFUNCTION("IF(REGEXMATCH(P108,""^Sell_""),R107, IF(COUNTA(P108:P147)=0,"""",(COUNTIF(P$4:P108,""Cursor"")-COUNTIF(P$4:P108,""Sell_Cursor""))*(0.1*2^SWITCH(COUNTIF(P$4:P108,""Cursor_up""),0,0,1,1,2,2,3)+SWITCH(COUNTIF(P$4:P108,""Cursor_up""),4,0.1,0)*(ROW(P108)-4-COU"&amp;"NTIF(P$4:P108,""Cursor"")-COUNTIF(P$4:P108,""*""&amp;""_up"")-2*COUNTIF(P$4:P108,""Sell_""&amp;""*"")+COUNTIF(P$4:P108,""Sell_Cursor"")-COUNTIF(P$4:P108,"""")))+(COUNTIF(P$4:P108,""Grandma"")-COUNTIF(P$4:P108,""Sell_Grandma""))*(1*2^(COUNTIF(P$4:P108,""Grandma_up"&amp;""")+COUNTIF(P$4:P108,""Super_up"")))+(COUNTIF(P$4:P108,""Farm"")-COUNTIF(P$4:P108,""Sell_Farm""))*(8*2^COUNTIF(P$4:P108,""Farm_up""))*IF(COUNTIF(P$4:P108,""Super_up"")&gt;0,1+0.01*(COUNTIF(P$4:P108,""Grandma"")-COUNTIF(P$4:P108,""Sell_Grandma"")),1)+(COUNTIF"&amp;"(P$4:P108,""Mine"")-COUNTIF(P$4:P108,""Sell_Mine""))*((47*2^COUNTIF(P$4:P108,""Mine_up""))*IF(COUNTIF(P$4:P108,""Super_up"")&gt;1,1+0.005*(COUNTIF(P$4:P108,""Grandma"")-COUNTIF(P$4:P108,""Sell_Grandma"")),1))+(COUNTIF(P$4:P108,""Factory"")-COUNTIF(P$4:P108,"&amp;"""Sell_Factory""))*(260*2^COUNTIF(P$4:P108,""Factory_up""))))"),1860.28)</f>
        <v>1860.28</v>
      </c>
      <c r="S108" s="73">
        <f>IFERROR(__xludf.DUMMYFUNCTION("IF(COUNTA(P108:P147)=0,"""",IF(REGEXMATCH(INDEX(FILTER(P$4:P108,P$4:P108&lt;&gt;""""),ROWS(FILTER(P$4:P108,P$4:P108&lt;&gt;""""))),""^Sell_""),INDEX(FILTER(S$4:S107,P$4:P107&lt;&gt;""""),ROWS(FILTER(P$4:P107,P$4:P107&lt;&gt;""""))),$AD$5*(2^SWITCH(COUNTIF(P$4:P108,""Cursor_up"")"&amp;",0,0,1,1,2,2,3)+SWITCH(COUNTIF(P$4:P108,""Cursor_up""),4,0.1,0)*(ROW(P108)-4-COUNTIF(P$4:P108,""Cursor"")-COUNTIF(P$4:P108,""*""&amp;""_up"")-2*COUNTIF(P$4:P108,""Sell_""&amp;""*"")+COUNTIF(P$4:P108,""Sell_Cursor"")-COUNTIF(P$4:P108,""""))+0.01*R108*COUNTIF(P$4:P"&amp;"108,""Plastic_up""))+R108))"),2347.822)</f>
        <v>2347.822</v>
      </c>
      <c r="T108" s="14">
        <f>IFERROR(__xludf.DUMMYFUNCTION("IF(COUNTA(P108:P147)=0,"""",IF(REGEXMATCH(P108,""_up""),VLOOKUP(P108,Upgrades!$F$3:$J$8,1+COUNTIF(P$4:P108,P108),FALSE),IF(P108="""",0,IF(REGEXMATCH(P108,""^Sell_""),-ROUNDDOWN(ROUNDUP(INDEX(Upgrades!$C$3:$C$8,MATCH(SUBSTITUTE(P108,""Sell_"",""""),Upgrade"&amp;"s!$B$3:$B$8,0))*1.15^(COUNTIF(P$4:P107,SUBSTITUTE(P108,""Sell_"",""""))-COUNTIF(P$4:P107,""Sell_""&amp;SUBSTITUTE(P108,""Sell_"",""""))))/4),ROUNDUP(INDEX(Upgrades!$C$3:$C$7,MATCH(P108,Upgrades!$B$3:$B$7,0))*1.15^(COUNTIF(P$4:P107,P108)-COUNTIF(P$4:P107,""Sel"&amp;"l_""&amp;P108)))))))"),1511.0)</f>
        <v>1511</v>
      </c>
      <c r="U108" s="14">
        <f t="shared" si="10"/>
        <v>1511</v>
      </c>
      <c r="V108" s="75">
        <f t="shared" si="11"/>
        <v>10812792.35</v>
      </c>
      <c r="W108" s="76">
        <f t="shared" si="12"/>
        <v>916.9182527</v>
      </c>
      <c r="X108" s="71" t="str">
        <f t="shared" si="13"/>
        <v>15m 16s</v>
      </c>
      <c r="Y108" s="77">
        <f t="shared" si="14"/>
        <v>616272</v>
      </c>
      <c r="Z108" s="17"/>
      <c r="AA108" s="13"/>
      <c r="AB108" s="13"/>
      <c r="AC108" s="13"/>
      <c r="AD108" s="13"/>
      <c r="AE108" s="13"/>
      <c r="AF108" s="13"/>
      <c r="AG108" s="13"/>
    </row>
    <row r="109">
      <c r="A109" s="12"/>
      <c r="B109" s="65">
        <f t="shared" si="2"/>
        <v>35</v>
      </c>
      <c r="C109" s="66" t="s">
        <v>10</v>
      </c>
      <c r="D109" s="14" t="b">
        <f>IFERROR(__xludf.DUMMYFUNCTION("IF(COUNTA(C109:C147)=0,"""",IFERROR(IF(ISBLANK(C109),FALSE,IF(ISBLANK(G109),1,IF(NOT(COUNTIF($AA$24:$AA$34,SUBSTITUTE(C109,""Sell_"",""""))),1,IF(C109=""Plastic_up"",IF(I109&lt;1000,1),IF(C109=""Super_Up"",IF(OR(COUNTIF(C$4:C109,""Grandma"")-COUNTIF(C$4:C109"&amp;",""Sell_Grandma"")&lt;1,COUNTIF(C$4:C109,VLOOKUP(C109,Upgrades!$F$8:$N$8,7+COUNTIF(C$4:C109,C109)))-COUNTIF(C$4:C109,""Sell_""&amp;VLOOKUP(C109,Upgrades!$F$8:$N$8,7+COUNTIF(C$4:C109,C109)))&lt;15),1),IF(REGEXMATCH(C109,""_up""),IF(COUNTIF(C$4:C109,SUBSTITUTE(C109,"&amp;"""_up"",""""))&lt;IFERROR(VLOOKUP(C109,Upgrades!$L$3:$P$6,1+COUNTIF(C$4:C109,C109),0),999),1),IF(REGEXMATCH(C109,""Sell_""),IF(COUNTIF(C$4:C109,SUBSTITUTE(C109,""Sell_"",""""))-COUNTIF(C$4:C108,C109)&lt;1,1),FALSE)))))))))"),FALSE)</f>
        <v>0</v>
      </c>
      <c r="E109" s="71">
        <f>IFERROR(__xludf.DUMMYFUNCTION("IF(REGEXMATCH(C109,""^Sell_""),E108, IF(COUNTA(C109:C147)=0,"""",(COUNTIF(C$4:C109,""Cursor"")-COUNTIF(C$4:C109,""Sell_Cursor""))*(0.1*2^SWITCH(COUNTIF(C$4:C109,""Cursor_up""),0,0,1,1,2,2,3)+SWITCH(COUNTIF(C$4:C109,""Cursor_up""),4,0.1,0)*(ROW(C109)-4-COU"&amp;"NTIF(C$4:C109,""Cursor"")-COUNTIF(C$4:C109,""*""&amp;""_up"")-2*COUNTIF(C$4:C109,""Sell_""&amp;""*"")+COUNTIF(C$4:C109,""Sell_Cursor"")-COUNTIF(C$4:C109,"""")))+(COUNTIF(C$4:C109,""Grandma"")-COUNTIF(C$4:C109,""Sell_Grandma""))*(1*2^(COUNTIF(C$4:C109,""Grandma_up"&amp;""")+COUNTIF(C$4:C109,""Super_up"")))+(COUNTIF(C$4:C109,""Farm"")-COUNTIF(C$4:C109,""Sell_Farm""))*(8*2^COUNTIF(C$4:C109,""Farm_up""))*IF(COUNTIF(C$4:C109,""Super_up"")&gt;0,1+0.01*(COUNTIF(C$4:C109,""Grandma"")-COUNTIF(C$4:C109,""Sell_Grandma"")),1)+(COUNTIF"&amp;"(C$4:C109,""Mine"")-COUNTIF(C$4:C109,""Sell_Mine""))*((47*2^COUNTIF(C$4:C109,""Mine_up""))*IF(COUNTIF(C$4:C109,""Super_up"")&gt;1,1+0.005*(COUNTIF(C$4:C109,""Grandma"")-COUNTIF(C$4:C109,""Sell_Grandma"")),1))+(COUNTIF(C$4:C109,""Factory"")-COUNTIF(C$4:C109,"&amp;"""Sell_Factory""))*(260*2^COUNTIF(C$4:C109,""Factory_up""))))"),1866.98)</f>
        <v>1866.98</v>
      </c>
      <c r="F109" s="73">
        <f>IFERROR(__xludf.DUMMYFUNCTION("IF(COUNTA(C109:C147)=0,"""",IF(REGEXMATCH(INDEX(FILTER(C$4:C109,C$4:C109&lt;&gt;""""),ROWS(FILTER(C$4:C109,C$4:C109&lt;&gt;""""))),""^Sell_""),INDEX(FILTER(F$4:F108,C$4:C108&lt;&gt;""""),ROWS(FILTER(C$4:C108,C$4:C108&lt;&gt;""""))),$AC$5*(2^SWITCH(COUNTIF(C$4:C109,""Cursor_up"")"&amp;",0,0,1,1,2,2,3)+SWITCH(COUNTIF(C$4:C109,""Cursor_up""),4,0.1,0)*(ROW(C109)-4-COUNTIF(C$4:C109,""Cursor"")-COUNTIF(C$4:C109,""*""&amp;""_up"")-2*COUNTIF(C$4:C109,""Sell_""&amp;""*"")+COUNTIF(C$4:C109,""Sell_Cursor"")-COUNTIF(C$4:C109,""""))+0.01*E109*COUNTIF(C$4:C"&amp;"109,""Plastic_up""))+E109))"),2355.527)</f>
        <v>2355.527</v>
      </c>
      <c r="G109" s="14">
        <f>IFERROR(__xludf.DUMMYFUNCTION("IF(COUNTA(C109:C147)=0,"""",IF(REGEXMATCH(C109,""_up""),VLOOKUP(C109,Upgrades!$F$3:$J$8,1+COUNTIF(C$4:C109,C109),FALSE),IF(C109="""",0,IF(REGEXMATCH(C109,""^Sell_""),-ROUNDDOWN(ROUNDUP(INDEX(Upgrades!$C$3:$C$8,MATCH(SUBSTITUTE(C109,""Sell_"",""""),Upgrade"&amp;"s!$B$3:$B$8,0))*1.15^(COUNTIF(C$4:C108,SUBSTITUTE(C109,""Sell_"",""""))-COUNTIF(C$4:C108,""Sell_""&amp;SUBSTITUTE(C109,""Sell_"",""""))))/4),ROUNDUP(INDEX(Upgrades!$C$3:$C$7,MATCH(C109,Upgrades!$B$3:$B$7,0))*1.15^(COUNTIF(C$4:C108,C109)-COUNTIF(C$4:C108,""Sel"&amp;"l_""&amp;C109)))))))"),1738.0)</f>
        <v>1738</v>
      </c>
      <c r="H109" s="14">
        <f t="shared" si="3"/>
        <v>1738</v>
      </c>
      <c r="I109" s="75">
        <f t="shared" si="4"/>
        <v>11260189.41</v>
      </c>
      <c r="J109" s="76">
        <f t="shared" si="5"/>
        <v>917.6585133</v>
      </c>
      <c r="K109" s="71" t="str">
        <f t="shared" si="6"/>
        <v>15m 17s</v>
      </c>
      <c r="L109" s="77">
        <f t="shared" si="7"/>
        <v>618010</v>
      </c>
      <c r="M109" s="51">
        <f t="shared" si="8"/>
        <v>0</v>
      </c>
      <c r="N109" s="52">
        <f>IFERROR(__xludf.DUMMYFUNCTION("IFS(AND(COUNTA(C109:C147)=0,COUNTA(P109:P147)=0),"""",OR(AND(L109&gt;=1000000,OR(Y109&gt;=1000000,COUNTA(P109:P147)=0)),AND(Y109&gt;=1000000,COUNTA(C109:C147)=0),AND(COUNTA(P109:P147)=0,O$3=TRUE)),
ROUNDDOWN((AB$1-AC$1)*MAX(INDEX(S$4:S147,MATCH(LARGE(FILTER(Y$4:Y1"&amp;"47,Y$4:Y147&lt;1000000),1),Y$4:Y147)),INDEX(F$4:F147,MATCH(LARGE(FILTER(L$4:L147,L$4:L147&lt;1000000),1),L$4:L147)))),AND(L109&lt;1000000,COUNTA(C109:C147)&gt;0,O$3=FALSE),
ROUNDDOWN(INDEX(Y$4:Y147,MATCH(LARGE(FILTER(W$4:W147,W$4:W147&lt;=J109),1),W$4:W147))+(J109-LARGE"&amp;"(FILTER(W$4:W147,W$4:W147&lt;=J109),1))*INDEX(S$4:S147,MATCH(LARGE(FILTER(W$4:W147,W$4:W147&lt;=J109),1),W$4:W147))-L109),1,
ROUNDDOWN(Y109-INDEX(L$4:L147,MATCH(LARGE(FILTER(J$4:J147,J$4:J147&lt;=W109),1),J$4:J147))-(W109-LARGE(FILTER(J$4:J147,J$4:J147&lt;=W109),1))*"&amp;"INDEX(F$4:F147,MATCH(LARGE(FILTER(J$4:J147,J$4:J147&lt;=W109),1),J$4:J147))))"),0.0)</f>
        <v>0</v>
      </c>
      <c r="O109" s="65">
        <f t="shared" si="9"/>
        <v>35</v>
      </c>
      <c r="P109" s="66" t="s">
        <v>10</v>
      </c>
      <c r="Q109" s="14" t="b">
        <f>IFERROR(__xludf.DUMMYFUNCTION("IF(COUNTA(P109:P147)=0,"""",IFERROR(IF(ISBLANK(P109),FALSE,IF(ISBLANK(T109),1,IF(NOT(COUNTIF($AA$24:$AA$34,SUBSTITUTE(P109,""Sell_"",""""))),1,IF(P109=""Plastic_up"",IF(V109&lt;1000,1),IF(P109=""Super_Up"",IF(OR(COUNTIF(P$4:P109,""Grandma"")-COUNTIF(P$4:P109"&amp;",""Sell_Grandma"")&lt;1,COUNTIF(P$4:P109,VLOOKUP(P109,Upgrades!$F$8:$N$8,7+COUNTIF(P$4:P109,P109)))-COUNTIF(P$4:P109,""Sell_""&amp;VLOOKUP(P109,Upgrades!$F$8:$N$8,7+COUNTIF(P$4:P109,P109)))&lt;15),1),IF(REGEXMATCH(P109,""_up""),IF(COUNTIF(P$4:P109,SUBSTITUTE(P109,"&amp;"""_up"",""""))&lt;IFERROR(VLOOKUP(P109,Upgrades!$L$3:$P$6,1+COUNTIF(P$4:P109,P109),0),999),1),IF(REGEXMATCH(P109,""Sell_""),IF(COUNTIF(P$4:P109,SUBSTITUTE(P109,""Sell_"",""""))-COUNTIF(P$4:P108,P109)&lt;1,1),FALSE)))))))))"),FALSE)</f>
        <v>0</v>
      </c>
      <c r="R109" s="71">
        <f>IFERROR(__xludf.DUMMYFUNCTION("IF(REGEXMATCH(P109,""^Sell_""),R108, IF(COUNTA(P109:P147)=0,"""",(COUNTIF(P$4:P109,""Cursor"")-COUNTIF(P$4:P109,""Sell_Cursor""))*(0.1*2^SWITCH(COUNTIF(P$4:P109,""Cursor_up""),0,0,1,1,2,2,3)+SWITCH(COUNTIF(P$4:P109,""Cursor_up""),4,0.1,0)*(ROW(P109)-4-COU"&amp;"NTIF(P$4:P109,""Cursor"")-COUNTIF(P$4:P109,""*""&amp;""_up"")-2*COUNTIF(P$4:P109,""Sell_""&amp;""*"")+COUNTIF(P$4:P109,""Sell_Cursor"")-COUNTIF(P$4:P109,"""")))+(COUNTIF(P$4:P109,""Grandma"")-COUNTIF(P$4:P109,""Sell_Grandma""))*(1*2^(COUNTIF(P$4:P109,""Grandma_up"&amp;""")+COUNTIF(P$4:P109,""Super_up"")))+(COUNTIF(P$4:P109,""Farm"")-COUNTIF(P$4:P109,""Sell_Farm""))*(8*2^COUNTIF(P$4:P109,""Farm_up""))*IF(COUNTIF(P$4:P109,""Super_up"")&gt;0,1+0.01*(COUNTIF(P$4:P109,""Grandma"")-COUNTIF(P$4:P109,""Sell_Grandma"")),1)+(COUNTIF"&amp;"(P$4:P109,""Mine"")-COUNTIF(P$4:P109,""Sell_Mine""))*((47*2^COUNTIF(P$4:P109,""Mine_up""))*IF(COUNTIF(P$4:P109,""Super_up"")&gt;1,1+0.005*(COUNTIF(P$4:P109,""Grandma"")-COUNTIF(P$4:P109,""Sell_Grandma"")),1))+(COUNTIF(P$4:P109,""Factory"")-COUNTIF(P$4:P109,"&amp;"""Sell_Factory""))*(260*2^COUNTIF(P$4:P109,""Factory_up""))))"),1866.98)</f>
        <v>1866.98</v>
      </c>
      <c r="S109" s="73">
        <f>IFERROR(__xludf.DUMMYFUNCTION("IF(COUNTA(P109:P147)=0,"""",IF(REGEXMATCH(INDEX(FILTER(P$4:P109,P$4:P109&lt;&gt;""""),ROWS(FILTER(P$4:P109,P$4:P109&lt;&gt;""""))),""^Sell_""),INDEX(FILTER(S$4:S108,P$4:P108&lt;&gt;""""),ROWS(FILTER(P$4:P108,P$4:P108&lt;&gt;""""))),$AD$5*(2^SWITCH(COUNTIF(P$4:P109,""Cursor_up"")"&amp;",0,0,1,1,2,2,3)+SWITCH(COUNTIF(P$4:P109,""Cursor_up""),4,0.1,0)*(ROW(P109)-4-COUNTIF(P$4:P109,""Cursor"")-COUNTIF(P$4:P109,""*""&amp;""_up"")-2*COUNTIF(P$4:P109,""Sell_""&amp;""*"")+COUNTIF(P$4:P109,""Sell_Cursor"")-COUNTIF(P$4:P109,""""))+0.01*R109*COUNTIF(P$4:P"&amp;"109,""Plastic_up""))+R109))"),2355.527)</f>
        <v>2355.527</v>
      </c>
      <c r="T109" s="14">
        <f>IFERROR(__xludf.DUMMYFUNCTION("IF(COUNTA(P109:P147)=0,"""",IF(REGEXMATCH(P109,""_up""),VLOOKUP(P109,Upgrades!$F$3:$J$8,1+COUNTIF(P$4:P109,P109),FALSE),IF(P109="""",0,IF(REGEXMATCH(P109,""^Sell_""),-ROUNDDOWN(ROUNDUP(INDEX(Upgrades!$C$3:$C$8,MATCH(SUBSTITUTE(P109,""Sell_"",""""),Upgrade"&amp;"s!$B$3:$B$8,0))*1.15^(COUNTIF(P$4:P108,SUBSTITUTE(P109,""Sell_"",""""))-COUNTIF(P$4:P108,""Sell_""&amp;SUBSTITUTE(P109,""Sell_"",""""))))/4),ROUNDUP(INDEX(Upgrades!$C$3:$C$7,MATCH(P109,Upgrades!$B$3:$B$7,0))*1.15^(COUNTIF(P$4:P108,P109)-COUNTIF(P$4:P108,""Sel"&amp;"l_""&amp;P109)))))))"),1738.0)</f>
        <v>1738</v>
      </c>
      <c r="U109" s="14">
        <f t="shared" si="10"/>
        <v>1738</v>
      </c>
      <c r="V109" s="75">
        <f t="shared" si="11"/>
        <v>11260189.41</v>
      </c>
      <c r="W109" s="76">
        <f t="shared" si="12"/>
        <v>917.6585133</v>
      </c>
      <c r="X109" s="71" t="str">
        <f t="shared" si="13"/>
        <v>15m 17s</v>
      </c>
      <c r="Y109" s="77">
        <f t="shared" si="14"/>
        <v>618010</v>
      </c>
      <c r="Z109" s="17"/>
      <c r="AA109" s="13"/>
      <c r="AB109" s="13"/>
      <c r="AC109" s="13"/>
      <c r="AD109" s="13"/>
      <c r="AE109" s="13"/>
      <c r="AF109" s="13"/>
      <c r="AG109" s="13"/>
    </row>
    <row r="110">
      <c r="A110" s="12"/>
      <c r="B110" s="65">
        <f t="shared" si="2"/>
        <v>36</v>
      </c>
      <c r="C110" s="66" t="s">
        <v>10</v>
      </c>
      <c r="D110" s="14" t="b">
        <f>IFERROR(__xludf.DUMMYFUNCTION("IF(COUNTA(C110:C147)=0,"""",IFERROR(IF(ISBLANK(C110),FALSE,IF(ISBLANK(G110),1,IF(NOT(COUNTIF($AA$24:$AA$34,SUBSTITUTE(C110,""Sell_"",""""))),1,IF(C110=""Plastic_up"",IF(I110&lt;1000,1),IF(C110=""Super_Up"",IF(OR(COUNTIF(C$4:C110,""Grandma"")-COUNTIF(C$4:C110"&amp;",""Sell_Grandma"")&lt;1,COUNTIF(C$4:C110,VLOOKUP(C110,Upgrades!$F$8:$N$8,7+COUNTIF(C$4:C110,C110)))-COUNTIF(C$4:C110,""Sell_""&amp;VLOOKUP(C110,Upgrades!$F$8:$N$8,7+COUNTIF(C$4:C110,C110)))&lt;15),1),IF(REGEXMATCH(C110,""_up""),IF(COUNTIF(C$4:C110,SUBSTITUTE(C110,"&amp;"""_up"",""""))&lt;IFERROR(VLOOKUP(C110,Upgrades!$L$3:$P$6,1+COUNTIF(C$4:C110,C110),0),999),1),IF(REGEXMATCH(C110,""Sell_""),IF(COUNTIF(C$4:C110,SUBSTITUTE(C110,""Sell_"",""""))-COUNTIF(C$4:C109,C110)&lt;1,1),FALSE)))))))))"),FALSE)</f>
        <v>0</v>
      </c>
      <c r="E110" s="71">
        <f>IFERROR(__xludf.DUMMYFUNCTION("IF(REGEXMATCH(C110,""^Sell_""),E109, IF(COUNTA(C110:C147)=0,"""",(COUNTIF(C$4:C110,""Cursor"")-COUNTIF(C$4:C110,""Sell_Cursor""))*(0.1*2^SWITCH(COUNTIF(C$4:C110,""Cursor_up""),0,0,1,1,2,2,3)+SWITCH(COUNTIF(C$4:C110,""Cursor_up""),4,0.1,0)*(ROW(C110)-4-COU"&amp;"NTIF(C$4:C110,""Cursor"")-COUNTIF(C$4:C110,""*""&amp;""_up"")-2*COUNTIF(C$4:C110,""Sell_""&amp;""*"")+COUNTIF(C$4:C110,""Sell_Cursor"")-COUNTIF(C$4:C110,"""")))+(COUNTIF(C$4:C110,""Grandma"")-COUNTIF(C$4:C110,""Sell_Grandma""))*(1*2^(COUNTIF(C$4:C110,""Grandma_up"&amp;""")+COUNTIF(C$4:C110,""Super_up"")))+(COUNTIF(C$4:C110,""Farm"")-COUNTIF(C$4:C110,""Sell_Farm""))*(8*2^COUNTIF(C$4:C110,""Farm_up""))*IF(COUNTIF(C$4:C110,""Super_up"")&gt;0,1+0.01*(COUNTIF(C$4:C110,""Grandma"")-COUNTIF(C$4:C110,""Sell_Grandma"")),1)+(COUNTIF"&amp;"(C$4:C110,""Mine"")-COUNTIF(C$4:C110,""Sell_Mine""))*((47*2^COUNTIF(C$4:C110,""Mine_up""))*IF(COUNTIF(C$4:C110,""Super_up"")&gt;1,1+0.005*(COUNTIF(C$4:C110,""Grandma"")-COUNTIF(C$4:C110,""Sell_Grandma"")),1))+(COUNTIF(C$4:C110,""Factory"")-COUNTIF(C$4:C110,"&amp;"""Sell_Factory""))*(260*2^COUNTIF(C$4:C110,""Factory_up""))))"),1873.68)</f>
        <v>1873.68</v>
      </c>
      <c r="F110" s="73">
        <f>IFERROR(__xludf.DUMMYFUNCTION("IF(COUNTA(C110:C147)=0,"""",IF(REGEXMATCH(INDEX(FILTER(C$4:C110,C$4:C110&lt;&gt;""""),ROWS(FILTER(C$4:C110,C$4:C110&lt;&gt;""""))),""^Sell_""),INDEX(FILTER(F$4:F109,C$4:C109&lt;&gt;""""),ROWS(FILTER(C$4:C109,C$4:C109&lt;&gt;""""))),$AC$5*(2^SWITCH(COUNTIF(C$4:C110,""Cursor_up"")"&amp;",0,0,1,1,2,2,3)+SWITCH(COUNTIF(C$4:C110,""Cursor_up""),4,0.1,0)*(ROW(C110)-4-COUNTIF(C$4:C110,""Cursor"")-COUNTIF(C$4:C110,""*""&amp;""_up"")-2*COUNTIF(C$4:C110,""Sell_""&amp;""*"")+COUNTIF(C$4:C110,""Sell_Cursor"")-COUNTIF(C$4:C110,""""))+0.01*E110*COUNTIF(C$4:C"&amp;"110,""Plastic_up""))+E110))"),2363.232)</f>
        <v>2363.232</v>
      </c>
      <c r="G110" s="14">
        <f>IFERROR(__xludf.DUMMYFUNCTION("IF(COUNTA(C110:C147)=0,"""",IF(REGEXMATCH(C110,""_up""),VLOOKUP(C110,Upgrades!$F$3:$J$8,1+COUNTIF(C$4:C110,C110),FALSE),IF(C110="""",0,IF(REGEXMATCH(C110,""^Sell_""),-ROUNDDOWN(ROUNDUP(INDEX(Upgrades!$C$3:$C$8,MATCH(SUBSTITUTE(C110,""Sell_"",""""),Upgrade"&amp;"s!$B$3:$B$8,0))*1.15^(COUNTIF(C$4:C109,SUBSTITUTE(C110,""Sell_"",""""))-COUNTIF(C$4:C109,""Sell_""&amp;SUBSTITUTE(C110,""Sell_"",""""))))/4),ROUNDUP(INDEX(Upgrades!$C$3:$C$7,MATCH(C110,Upgrades!$B$3:$B$7,0))*1.15^(COUNTIF(C$4:C109,C110)-COUNTIF(C$4:C109,""Sel"&amp;"l_""&amp;C110)))))))"),1998.0)</f>
        <v>1998</v>
      </c>
      <c r="H110" s="14">
        <f t="shared" si="3"/>
        <v>1998</v>
      </c>
      <c r="I110" s="75">
        <f t="shared" si="4"/>
        <v>11708923.12</v>
      </c>
      <c r="J110" s="76">
        <f t="shared" si="5"/>
        <v>918.5067311</v>
      </c>
      <c r="K110" s="71" t="str">
        <f t="shared" si="6"/>
        <v>15m 18s</v>
      </c>
      <c r="L110" s="77">
        <f t="shared" si="7"/>
        <v>620008</v>
      </c>
      <c r="M110" s="51">
        <f t="shared" si="8"/>
        <v>0</v>
      </c>
      <c r="N110" s="52">
        <f>IFERROR(__xludf.DUMMYFUNCTION("IFS(AND(COUNTA(C110:C147)=0,COUNTA(P110:P147)=0),"""",OR(AND(L110&gt;=1000000,OR(Y110&gt;=1000000,COUNTA(P110:P147)=0)),AND(Y110&gt;=1000000,COUNTA(C110:C147)=0),AND(COUNTA(P110:P147)=0,O$3=TRUE)),
ROUNDDOWN((AB$1-AC$1)*MAX(INDEX(S$4:S147,MATCH(LARGE(FILTER(Y$4:Y1"&amp;"47,Y$4:Y147&lt;1000000),1),Y$4:Y147)),INDEX(F$4:F147,MATCH(LARGE(FILTER(L$4:L147,L$4:L147&lt;1000000),1),L$4:L147)))),AND(L110&lt;1000000,COUNTA(C110:C147)&gt;0,O$3=FALSE),
ROUNDDOWN(INDEX(Y$4:Y147,MATCH(LARGE(FILTER(W$4:W147,W$4:W147&lt;=J110),1),W$4:W147))+(J110-LARGE"&amp;"(FILTER(W$4:W147,W$4:W147&lt;=J110),1))*INDEX(S$4:S147,MATCH(LARGE(FILTER(W$4:W147,W$4:W147&lt;=J110),1),W$4:W147))-L110),1,
ROUNDDOWN(Y110-INDEX(L$4:L147,MATCH(LARGE(FILTER(J$4:J147,J$4:J147&lt;=W110),1),J$4:J147))-(W110-LARGE(FILTER(J$4:J147,J$4:J147&lt;=W110),1))*"&amp;"INDEX(F$4:F147,MATCH(LARGE(FILTER(J$4:J147,J$4:J147&lt;=W110),1),J$4:J147))))"),0.0)</f>
        <v>0</v>
      </c>
      <c r="O110" s="65">
        <f t="shared" si="9"/>
        <v>36</v>
      </c>
      <c r="P110" s="66" t="s">
        <v>10</v>
      </c>
      <c r="Q110" s="14" t="b">
        <f>IFERROR(__xludf.DUMMYFUNCTION("IF(COUNTA(P110:P147)=0,"""",IFERROR(IF(ISBLANK(P110),FALSE,IF(ISBLANK(T110),1,IF(NOT(COUNTIF($AA$24:$AA$34,SUBSTITUTE(P110,""Sell_"",""""))),1,IF(P110=""Plastic_up"",IF(V110&lt;1000,1),IF(P110=""Super_Up"",IF(OR(COUNTIF(P$4:P110,""Grandma"")-COUNTIF(P$4:P110"&amp;",""Sell_Grandma"")&lt;1,COUNTIF(P$4:P110,VLOOKUP(P110,Upgrades!$F$8:$N$8,7+COUNTIF(P$4:P110,P110)))-COUNTIF(P$4:P110,""Sell_""&amp;VLOOKUP(P110,Upgrades!$F$8:$N$8,7+COUNTIF(P$4:P110,P110)))&lt;15),1),IF(REGEXMATCH(P110,""_up""),IF(COUNTIF(P$4:P110,SUBSTITUTE(P110,"&amp;"""_up"",""""))&lt;IFERROR(VLOOKUP(P110,Upgrades!$L$3:$P$6,1+COUNTIF(P$4:P110,P110),0),999),1),IF(REGEXMATCH(P110,""Sell_""),IF(COUNTIF(P$4:P110,SUBSTITUTE(P110,""Sell_"",""""))-COUNTIF(P$4:P109,P110)&lt;1,1),FALSE)))))))))"),FALSE)</f>
        <v>0</v>
      </c>
      <c r="R110" s="71">
        <f>IFERROR(__xludf.DUMMYFUNCTION("IF(REGEXMATCH(P110,""^Sell_""),R109, IF(COUNTA(P110:P147)=0,"""",(COUNTIF(P$4:P110,""Cursor"")-COUNTIF(P$4:P110,""Sell_Cursor""))*(0.1*2^SWITCH(COUNTIF(P$4:P110,""Cursor_up""),0,0,1,1,2,2,3)+SWITCH(COUNTIF(P$4:P110,""Cursor_up""),4,0.1,0)*(ROW(P110)-4-COU"&amp;"NTIF(P$4:P110,""Cursor"")-COUNTIF(P$4:P110,""*""&amp;""_up"")-2*COUNTIF(P$4:P110,""Sell_""&amp;""*"")+COUNTIF(P$4:P110,""Sell_Cursor"")-COUNTIF(P$4:P110,"""")))+(COUNTIF(P$4:P110,""Grandma"")-COUNTIF(P$4:P110,""Sell_Grandma""))*(1*2^(COUNTIF(P$4:P110,""Grandma_up"&amp;""")+COUNTIF(P$4:P110,""Super_up"")))+(COUNTIF(P$4:P110,""Farm"")-COUNTIF(P$4:P110,""Sell_Farm""))*(8*2^COUNTIF(P$4:P110,""Farm_up""))*IF(COUNTIF(P$4:P110,""Super_up"")&gt;0,1+0.01*(COUNTIF(P$4:P110,""Grandma"")-COUNTIF(P$4:P110,""Sell_Grandma"")),1)+(COUNTIF"&amp;"(P$4:P110,""Mine"")-COUNTIF(P$4:P110,""Sell_Mine""))*((47*2^COUNTIF(P$4:P110,""Mine_up""))*IF(COUNTIF(P$4:P110,""Super_up"")&gt;1,1+0.005*(COUNTIF(P$4:P110,""Grandma"")-COUNTIF(P$4:P110,""Sell_Grandma"")),1))+(COUNTIF(P$4:P110,""Factory"")-COUNTIF(P$4:P110,"&amp;"""Sell_Factory""))*(260*2^COUNTIF(P$4:P110,""Factory_up""))))"),1873.68)</f>
        <v>1873.68</v>
      </c>
      <c r="S110" s="73">
        <f>IFERROR(__xludf.DUMMYFUNCTION("IF(COUNTA(P110:P147)=0,"""",IF(REGEXMATCH(INDEX(FILTER(P$4:P110,P$4:P110&lt;&gt;""""),ROWS(FILTER(P$4:P110,P$4:P110&lt;&gt;""""))),""^Sell_""),INDEX(FILTER(S$4:S109,P$4:P109&lt;&gt;""""),ROWS(FILTER(P$4:P109,P$4:P109&lt;&gt;""""))),$AD$5*(2^SWITCH(COUNTIF(P$4:P110,""Cursor_up"")"&amp;",0,0,1,1,2,2,3)+SWITCH(COUNTIF(P$4:P110,""Cursor_up""),4,0.1,0)*(ROW(P110)-4-COUNTIF(P$4:P110,""Cursor"")-COUNTIF(P$4:P110,""*""&amp;""_up"")-2*COUNTIF(P$4:P110,""Sell_""&amp;""*"")+COUNTIF(P$4:P110,""Sell_Cursor"")-COUNTIF(P$4:P110,""""))+0.01*R110*COUNTIF(P$4:P"&amp;"110,""Plastic_up""))+R110))"),2363.232)</f>
        <v>2363.232</v>
      </c>
      <c r="T110" s="14">
        <f>IFERROR(__xludf.DUMMYFUNCTION("IF(COUNTA(P110:P147)=0,"""",IF(REGEXMATCH(P110,""_up""),VLOOKUP(P110,Upgrades!$F$3:$J$8,1+COUNTIF(P$4:P110,P110),FALSE),IF(P110="""",0,IF(REGEXMATCH(P110,""^Sell_""),-ROUNDDOWN(ROUNDUP(INDEX(Upgrades!$C$3:$C$8,MATCH(SUBSTITUTE(P110,""Sell_"",""""),Upgrade"&amp;"s!$B$3:$B$8,0))*1.15^(COUNTIF(P$4:P109,SUBSTITUTE(P110,""Sell_"",""""))-COUNTIF(P$4:P109,""Sell_""&amp;SUBSTITUTE(P110,""Sell_"",""""))))/4),ROUNDUP(INDEX(Upgrades!$C$3:$C$7,MATCH(P110,Upgrades!$B$3:$B$7,0))*1.15^(COUNTIF(P$4:P109,P110)-COUNTIF(P$4:P109,""Sel"&amp;"l_""&amp;P110)))))))"),1998.0)</f>
        <v>1998</v>
      </c>
      <c r="U110" s="14">
        <f t="shared" si="10"/>
        <v>1998</v>
      </c>
      <c r="V110" s="75">
        <f t="shared" si="11"/>
        <v>11708923.12</v>
      </c>
      <c r="W110" s="76">
        <f t="shared" si="12"/>
        <v>918.5067311</v>
      </c>
      <c r="X110" s="71" t="str">
        <f t="shared" si="13"/>
        <v>15m 18s</v>
      </c>
      <c r="Y110" s="77">
        <f t="shared" si="14"/>
        <v>620008</v>
      </c>
      <c r="Z110" s="17"/>
      <c r="AA110" s="13"/>
      <c r="AB110" s="13"/>
      <c r="AC110" s="13"/>
      <c r="AD110" s="13"/>
      <c r="AE110" s="13"/>
      <c r="AF110" s="13"/>
      <c r="AG110" s="13"/>
    </row>
    <row r="111">
      <c r="A111" s="12"/>
      <c r="B111" s="65">
        <f t="shared" si="2"/>
        <v>37</v>
      </c>
      <c r="C111" s="66" t="s">
        <v>10</v>
      </c>
      <c r="D111" s="14" t="b">
        <f>IFERROR(__xludf.DUMMYFUNCTION("IF(COUNTA(C111:C147)=0,"""",IFERROR(IF(ISBLANK(C111),FALSE,IF(ISBLANK(G111),1,IF(NOT(COUNTIF($AA$24:$AA$34,SUBSTITUTE(C111,""Sell_"",""""))),1,IF(C111=""Plastic_up"",IF(I111&lt;1000,1),IF(C111=""Super_Up"",IF(OR(COUNTIF(C$4:C111,""Grandma"")-COUNTIF(C$4:C111"&amp;",""Sell_Grandma"")&lt;1,COUNTIF(C$4:C111,VLOOKUP(C111,Upgrades!$F$8:$N$8,7+COUNTIF(C$4:C111,C111)))-COUNTIF(C$4:C111,""Sell_""&amp;VLOOKUP(C111,Upgrades!$F$8:$N$8,7+COUNTIF(C$4:C111,C111)))&lt;15),1),IF(REGEXMATCH(C111,""_up""),IF(COUNTIF(C$4:C111,SUBSTITUTE(C111,"&amp;"""_up"",""""))&lt;IFERROR(VLOOKUP(C111,Upgrades!$L$3:$P$6,1+COUNTIF(C$4:C111,C111),0),999),1),IF(REGEXMATCH(C111,""Sell_""),IF(COUNTIF(C$4:C111,SUBSTITUTE(C111,""Sell_"",""""))-COUNTIF(C$4:C110,C111)&lt;1,1),FALSE)))))))))"),FALSE)</f>
        <v>0</v>
      </c>
      <c r="E111" s="71">
        <f>IFERROR(__xludf.DUMMYFUNCTION("IF(REGEXMATCH(C111,""^Sell_""),E110, IF(COUNTA(C111:C147)=0,"""",(COUNTIF(C$4:C111,""Cursor"")-COUNTIF(C$4:C111,""Sell_Cursor""))*(0.1*2^SWITCH(COUNTIF(C$4:C111,""Cursor_up""),0,0,1,1,2,2,3)+SWITCH(COUNTIF(C$4:C111,""Cursor_up""),4,0.1,0)*(ROW(C111)-4-COU"&amp;"NTIF(C$4:C111,""Cursor"")-COUNTIF(C$4:C111,""*""&amp;""_up"")-2*COUNTIF(C$4:C111,""Sell_""&amp;""*"")+COUNTIF(C$4:C111,""Sell_Cursor"")-COUNTIF(C$4:C111,"""")))+(COUNTIF(C$4:C111,""Grandma"")-COUNTIF(C$4:C111,""Sell_Grandma""))*(1*2^(COUNTIF(C$4:C111,""Grandma_up"&amp;""")+COUNTIF(C$4:C111,""Super_up"")))+(COUNTIF(C$4:C111,""Farm"")-COUNTIF(C$4:C111,""Sell_Farm""))*(8*2^COUNTIF(C$4:C111,""Farm_up""))*IF(COUNTIF(C$4:C111,""Super_up"")&gt;0,1+0.01*(COUNTIF(C$4:C111,""Grandma"")-COUNTIF(C$4:C111,""Sell_Grandma"")),1)+(COUNTIF"&amp;"(C$4:C111,""Mine"")-COUNTIF(C$4:C111,""Sell_Mine""))*((47*2^COUNTIF(C$4:C111,""Mine_up""))*IF(COUNTIF(C$4:C111,""Super_up"")&gt;1,1+0.005*(COUNTIF(C$4:C111,""Grandma"")-COUNTIF(C$4:C111,""Sell_Grandma"")),1))+(COUNTIF(C$4:C111,""Factory"")-COUNTIF(C$4:C111,"&amp;"""Sell_Factory""))*(260*2^COUNTIF(C$4:C111,""Factory_up""))))"),1880.38)</f>
        <v>1880.38</v>
      </c>
      <c r="F111" s="73">
        <f>IFERROR(__xludf.DUMMYFUNCTION("IF(COUNTA(C111:C147)=0,"""",IF(REGEXMATCH(INDEX(FILTER(C$4:C111,C$4:C111&lt;&gt;""""),ROWS(FILTER(C$4:C111,C$4:C111&lt;&gt;""""))),""^Sell_""),INDEX(FILTER(F$4:F110,C$4:C110&lt;&gt;""""),ROWS(FILTER(C$4:C110,C$4:C110&lt;&gt;""""))),$AC$5*(2^SWITCH(COUNTIF(C$4:C111,""Cursor_up"")"&amp;",0,0,1,1,2,2,3)+SWITCH(COUNTIF(C$4:C111,""Cursor_up""),4,0.1,0)*(ROW(C111)-4-COUNTIF(C$4:C111,""Cursor"")-COUNTIF(C$4:C111,""*""&amp;""_up"")-2*COUNTIF(C$4:C111,""Sell_""&amp;""*"")+COUNTIF(C$4:C111,""Sell_Cursor"")-COUNTIF(C$4:C111,""""))+0.01*E111*COUNTIF(C$4:C"&amp;"111,""Plastic_up""))+E111))"),2370.937)</f>
        <v>2370.937</v>
      </c>
      <c r="G111" s="14">
        <f>IFERROR(__xludf.DUMMYFUNCTION("IF(COUNTA(C111:C147)=0,"""",IF(REGEXMATCH(C111,""_up""),VLOOKUP(C111,Upgrades!$F$3:$J$8,1+COUNTIF(C$4:C111,C111),FALSE),IF(C111="""",0,IF(REGEXMATCH(C111,""^Sell_""),-ROUNDDOWN(ROUNDUP(INDEX(Upgrades!$C$3:$C$8,MATCH(SUBSTITUTE(C111,""Sell_"",""""),Upgrade"&amp;"s!$B$3:$B$8,0))*1.15^(COUNTIF(C$4:C110,SUBSTITUTE(C111,""Sell_"",""""))-COUNTIF(C$4:C110,""Sell_""&amp;SUBSTITUTE(C111,""Sell_"",""""))))/4),ROUNDUP(INDEX(Upgrades!$C$3:$C$7,MATCH(C111,Upgrades!$B$3:$B$7,0))*1.15^(COUNTIF(C$4:C110,C111)-COUNTIF(C$4:C110,""Sel"&amp;"l_""&amp;C111)))))))"),2298.0)</f>
        <v>2298</v>
      </c>
      <c r="H111" s="14">
        <f t="shared" si="3"/>
        <v>2298</v>
      </c>
      <c r="I111" s="75">
        <f t="shared" si="4"/>
        <v>12159055.97</v>
      </c>
      <c r="J111" s="76">
        <f t="shared" si="5"/>
        <v>919.4791282</v>
      </c>
      <c r="K111" s="71" t="str">
        <f t="shared" si="6"/>
        <v>15m 19s</v>
      </c>
      <c r="L111" s="77">
        <f t="shared" si="7"/>
        <v>622306</v>
      </c>
      <c r="M111" s="51">
        <f t="shared" si="8"/>
        <v>0</v>
      </c>
      <c r="N111" s="52">
        <f>IFERROR(__xludf.DUMMYFUNCTION("IFS(AND(COUNTA(C111:C147)=0,COUNTA(P111:P147)=0),"""",OR(AND(L111&gt;=1000000,OR(Y111&gt;=1000000,COUNTA(P111:P147)=0)),AND(Y111&gt;=1000000,COUNTA(C111:C147)=0),AND(COUNTA(P111:P147)=0,O$3=TRUE)),
ROUNDDOWN((AB$1-AC$1)*MAX(INDEX(S$4:S147,MATCH(LARGE(FILTER(Y$4:Y1"&amp;"47,Y$4:Y147&lt;1000000),1),Y$4:Y147)),INDEX(F$4:F147,MATCH(LARGE(FILTER(L$4:L147,L$4:L147&lt;1000000),1),L$4:L147)))),AND(L111&lt;1000000,COUNTA(C111:C147)&gt;0,O$3=FALSE),
ROUNDDOWN(INDEX(Y$4:Y147,MATCH(LARGE(FILTER(W$4:W147,W$4:W147&lt;=J111),1),W$4:W147))+(J111-LARGE"&amp;"(FILTER(W$4:W147,W$4:W147&lt;=J111),1))*INDEX(S$4:S147,MATCH(LARGE(FILTER(W$4:W147,W$4:W147&lt;=J111),1),W$4:W147))-L111),1,
ROUNDDOWN(Y111-INDEX(L$4:L147,MATCH(LARGE(FILTER(J$4:J147,J$4:J147&lt;=W111),1),J$4:J147))-(W111-LARGE(FILTER(J$4:J147,J$4:J147&lt;=W111),1))*"&amp;"INDEX(F$4:F147,MATCH(LARGE(FILTER(J$4:J147,J$4:J147&lt;=W111),1),J$4:J147))))"),0.0)</f>
        <v>0</v>
      </c>
      <c r="O111" s="65">
        <f t="shared" si="9"/>
        <v>37</v>
      </c>
      <c r="P111" s="66" t="s">
        <v>10</v>
      </c>
      <c r="Q111" s="14" t="b">
        <f>IFERROR(__xludf.DUMMYFUNCTION("IF(COUNTA(P111:P147)=0,"""",IFERROR(IF(ISBLANK(P111),FALSE,IF(ISBLANK(T111),1,IF(NOT(COUNTIF($AA$24:$AA$34,SUBSTITUTE(P111,""Sell_"",""""))),1,IF(P111=""Plastic_up"",IF(V111&lt;1000,1),IF(P111=""Super_Up"",IF(OR(COUNTIF(P$4:P111,""Grandma"")-COUNTIF(P$4:P111"&amp;",""Sell_Grandma"")&lt;1,COUNTIF(P$4:P111,VLOOKUP(P111,Upgrades!$F$8:$N$8,7+COUNTIF(P$4:P111,P111)))-COUNTIF(P$4:P111,""Sell_""&amp;VLOOKUP(P111,Upgrades!$F$8:$N$8,7+COUNTIF(P$4:P111,P111)))&lt;15),1),IF(REGEXMATCH(P111,""_up""),IF(COUNTIF(P$4:P111,SUBSTITUTE(P111,"&amp;"""_up"",""""))&lt;IFERROR(VLOOKUP(P111,Upgrades!$L$3:$P$6,1+COUNTIF(P$4:P111,P111),0),999),1),IF(REGEXMATCH(P111,""Sell_""),IF(COUNTIF(P$4:P111,SUBSTITUTE(P111,""Sell_"",""""))-COUNTIF(P$4:P110,P111)&lt;1,1),FALSE)))))))))"),FALSE)</f>
        <v>0</v>
      </c>
      <c r="R111" s="71">
        <f>IFERROR(__xludf.DUMMYFUNCTION("IF(REGEXMATCH(P111,""^Sell_""),R110, IF(COUNTA(P111:P147)=0,"""",(COUNTIF(P$4:P111,""Cursor"")-COUNTIF(P$4:P111,""Sell_Cursor""))*(0.1*2^SWITCH(COUNTIF(P$4:P111,""Cursor_up""),0,0,1,1,2,2,3)+SWITCH(COUNTIF(P$4:P111,""Cursor_up""),4,0.1,0)*(ROW(P111)-4-COU"&amp;"NTIF(P$4:P111,""Cursor"")-COUNTIF(P$4:P111,""*""&amp;""_up"")-2*COUNTIF(P$4:P111,""Sell_""&amp;""*"")+COUNTIF(P$4:P111,""Sell_Cursor"")-COUNTIF(P$4:P111,"""")))+(COUNTIF(P$4:P111,""Grandma"")-COUNTIF(P$4:P111,""Sell_Grandma""))*(1*2^(COUNTIF(P$4:P111,""Grandma_up"&amp;""")+COUNTIF(P$4:P111,""Super_up"")))+(COUNTIF(P$4:P111,""Farm"")-COUNTIF(P$4:P111,""Sell_Farm""))*(8*2^COUNTIF(P$4:P111,""Farm_up""))*IF(COUNTIF(P$4:P111,""Super_up"")&gt;0,1+0.01*(COUNTIF(P$4:P111,""Grandma"")-COUNTIF(P$4:P111,""Sell_Grandma"")),1)+(COUNTIF"&amp;"(P$4:P111,""Mine"")-COUNTIF(P$4:P111,""Sell_Mine""))*((47*2^COUNTIF(P$4:P111,""Mine_up""))*IF(COUNTIF(P$4:P111,""Super_up"")&gt;1,1+0.005*(COUNTIF(P$4:P111,""Grandma"")-COUNTIF(P$4:P111,""Sell_Grandma"")),1))+(COUNTIF(P$4:P111,""Factory"")-COUNTIF(P$4:P111,"&amp;"""Sell_Factory""))*(260*2^COUNTIF(P$4:P111,""Factory_up""))))"),1880.38)</f>
        <v>1880.38</v>
      </c>
      <c r="S111" s="73">
        <f>IFERROR(__xludf.DUMMYFUNCTION("IF(COUNTA(P111:P147)=0,"""",IF(REGEXMATCH(INDEX(FILTER(P$4:P111,P$4:P111&lt;&gt;""""),ROWS(FILTER(P$4:P111,P$4:P111&lt;&gt;""""))),""^Sell_""),INDEX(FILTER(S$4:S110,P$4:P110&lt;&gt;""""),ROWS(FILTER(P$4:P110,P$4:P110&lt;&gt;""""))),$AD$5*(2^SWITCH(COUNTIF(P$4:P111,""Cursor_up"")"&amp;",0,0,1,1,2,2,3)+SWITCH(COUNTIF(P$4:P111,""Cursor_up""),4,0.1,0)*(ROW(P111)-4-COUNTIF(P$4:P111,""Cursor"")-COUNTIF(P$4:P111,""*""&amp;""_up"")-2*COUNTIF(P$4:P111,""Sell_""&amp;""*"")+COUNTIF(P$4:P111,""Sell_Cursor"")-COUNTIF(P$4:P111,""""))+0.01*R111*COUNTIF(P$4:P"&amp;"111,""Plastic_up""))+R111))"),2370.937)</f>
        <v>2370.937</v>
      </c>
      <c r="T111" s="14">
        <f>IFERROR(__xludf.DUMMYFUNCTION("IF(COUNTA(P111:P147)=0,"""",IF(REGEXMATCH(P111,""_up""),VLOOKUP(P111,Upgrades!$F$3:$J$8,1+COUNTIF(P$4:P111,P111),FALSE),IF(P111="""",0,IF(REGEXMATCH(P111,""^Sell_""),-ROUNDDOWN(ROUNDUP(INDEX(Upgrades!$C$3:$C$8,MATCH(SUBSTITUTE(P111,""Sell_"",""""),Upgrade"&amp;"s!$B$3:$B$8,0))*1.15^(COUNTIF(P$4:P110,SUBSTITUTE(P111,""Sell_"",""""))-COUNTIF(P$4:P110,""Sell_""&amp;SUBSTITUTE(P111,""Sell_"",""""))))/4),ROUNDUP(INDEX(Upgrades!$C$3:$C$7,MATCH(P111,Upgrades!$B$3:$B$7,0))*1.15^(COUNTIF(P$4:P110,P111)-COUNTIF(P$4:P110,""Sel"&amp;"l_""&amp;P111)))))))"),2298.0)</f>
        <v>2298</v>
      </c>
      <c r="U111" s="14">
        <f t="shared" si="10"/>
        <v>2298</v>
      </c>
      <c r="V111" s="75">
        <f t="shared" si="11"/>
        <v>12159055.97</v>
      </c>
      <c r="W111" s="76">
        <f t="shared" si="12"/>
        <v>919.4791282</v>
      </c>
      <c r="X111" s="71" t="str">
        <f t="shared" si="13"/>
        <v>15m 19s</v>
      </c>
      <c r="Y111" s="77">
        <f t="shared" si="14"/>
        <v>622306</v>
      </c>
      <c r="Z111" s="17"/>
      <c r="AA111" s="13"/>
      <c r="AB111" s="13"/>
      <c r="AC111" s="13"/>
      <c r="AD111" s="13"/>
      <c r="AE111" s="13"/>
      <c r="AF111" s="13"/>
      <c r="AG111" s="13"/>
    </row>
    <row r="112">
      <c r="A112" s="12"/>
      <c r="B112" s="65">
        <f t="shared" si="2"/>
        <v>38</v>
      </c>
      <c r="C112" s="66" t="s">
        <v>10</v>
      </c>
      <c r="D112" s="14" t="b">
        <f>IFERROR(__xludf.DUMMYFUNCTION("IF(COUNTA(C112:C147)=0,"""",IFERROR(IF(ISBLANK(C112),FALSE,IF(ISBLANK(G112),1,IF(NOT(COUNTIF($AA$24:$AA$34,SUBSTITUTE(C112,""Sell_"",""""))),1,IF(C112=""Plastic_up"",IF(I112&lt;1000,1),IF(C112=""Super_Up"",IF(OR(COUNTIF(C$4:C112,""Grandma"")-COUNTIF(C$4:C112"&amp;",""Sell_Grandma"")&lt;1,COUNTIF(C$4:C112,VLOOKUP(C112,Upgrades!$F$8:$N$8,7+COUNTIF(C$4:C112,C112)))-COUNTIF(C$4:C112,""Sell_""&amp;VLOOKUP(C112,Upgrades!$F$8:$N$8,7+COUNTIF(C$4:C112,C112)))&lt;15),1),IF(REGEXMATCH(C112,""_up""),IF(COUNTIF(C$4:C112,SUBSTITUTE(C112,"&amp;"""_up"",""""))&lt;IFERROR(VLOOKUP(C112,Upgrades!$L$3:$P$6,1+COUNTIF(C$4:C112,C112),0),999),1),IF(REGEXMATCH(C112,""Sell_""),IF(COUNTIF(C$4:C112,SUBSTITUTE(C112,""Sell_"",""""))-COUNTIF(C$4:C111,C112)&lt;1,1),FALSE)))))))))"),FALSE)</f>
        <v>0</v>
      </c>
      <c r="E112" s="71">
        <f>IFERROR(__xludf.DUMMYFUNCTION("IF(REGEXMATCH(C112,""^Sell_""),E111, IF(COUNTA(C112:C147)=0,"""",(COUNTIF(C$4:C112,""Cursor"")-COUNTIF(C$4:C112,""Sell_Cursor""))*(0.1*2^SWITCH(COUNTIF(C$4:C112,""Cursor_up""),0,0,1,1,2,2,3)+SWITCH(COUNTIF(C$4:C112,""Cursor_up""),4,0.1,0)*(ROW(C112)-4-COU"&amp;"NTIF(C$4:C112,""Cursor"")-COUNTIF(C$4:C112,""*""&amp;""_up"")-2*COUNTIF(C$4:C112,""Sell_""&amp;""*"")+COUNTIF(C$4:C112,""Sell_Cursor"")-COUNTIF(C$4:C112,"""")))+(COUNTIF(C$4:C112,""Grandma"")-COUNTIF(C$4:C112,""Sell_Grandma""))*(1*2^(COUNTIF(C$4:C112,""Grandma_up"&amp;""")+COUNTIF(C$4:C112,""Super_up"")))+(COUNTIF(C$4:C112,""Farm"")-COUNTIF(C$4:C112,""Sell_Farm""))*(8*2^COUNTIF(C$4:C112,""Farm_up""))*IF(COUNTIF(C$4:C112,""Super_up"")&gt;0,1+0.01*(COUNTIF(C$4:C112,""Grandma"")-COUNTIF(C$4:C112,""Sell_Grandma"")),1)+(COUNTIF"&amp;"(C$4:C112,""Mine"")-COUNTIF(C$4:C112,""Sell_Mine""))*((47*2^COUNTIF(C$4:C112,""Mine_up""))*IF(COUNTIF(C$4:C112,""Super_up"")&gt;1,1+0.005*(COUNTIF(C$4:C112,""Grandma"")-COUNTIF(C$4:C112,""Sell_Grandma"")),1))+(COUNTIF(C$4:C112,""Factory"")-COUNTIF(C$4:C112,"&amp;"""Sell_Factory""))*(260*2^COUNTIF(C$4:C112,""Factory_up""))))"),1887.08)</f>
        <v>1887.08</v>
      </c>
      <c r="F112" s="73">
        <f>IFERROR(__xludf.DUMMYFUNCTION("IF(COUNTA(C112:C147)=0,"""",IF(REGEXMATCH(INDEX(FILTER(C$4:C112,C$4:C112&lt;&gt;""""),ROWS(FILTER(C$4:C112,C$4:C112&lt;&gt;""""))),""^Sell_""),INDEX(FILTER(F$4:F111,C$4:C111&lt;&gt;""""),ROWS(FILTER(C$4:C111,C$4:C111&lt;&gt;""""))),$AC$5*(2^SWITCH(COUNTIF(C$4:C112,""Cursor_up"")"&amp;",0,0,1,1,2,2,3)+SWITCH(COUNTIF(C$4:C112,""Cursor_up""),4,0.1,0)*(ROW(C112)-4-COUNTIF(C$4:C112,""Cursor"")-COUNTIF(C$4:C112,""*""&amp;""_up"")-2*COUNTIF(C$4:C112,""Sell_""&amp;""*"")+COUNTIF(C$4:C112,""Sell_Cursor"")-COUNTIF(C$4:C112,""""))+0.01*E112*COUNTIF(C$4:C"&amp;"112,""Plastic_up""))+E112))"),2378.642)</f>
        <v>2378.642</v>
      </c>
      <c r="G112" s="14">
        <f>IFERROR(__xludf.DUMMYFUNCTION("IF(COUNTA(C112:C147)=0,"""",IF(REGEXMATCH(C112,""_up""),VLOOKUP(C112,Upgrades!$F$3:$J$8,1+COUNTIF(C$4:C112,C112),FALSE),IF(C112="""",0,IF(REGEXMATCH(C112,""^Sell_""),-ROUNDDOWN(ROUNDUP(INDEX(Upgrades!$C$3:$C$8,MATCH(SUBSTITUTE(C112,""Sell_"",""""),Upgrade"&amp;"s!$B$3:$B$8,0))*1.15^(COUNTIF(C$4:C111,SUBSTITUTE(C112,""Sell_"",""""))-COUNTIF(C$4:C111,""Sell_""&amp;SUBSTITUTE(C112,""Sell_"",""""))))/4),ROUNDUP(INDEX(Upgrades!$C$3:$C$7,MATCH(C112,Upgrades!$B$3:$B$7,0))*1.15^(COUNTIF(C$4:C111,C112)-COUNTIF(C$4:C111,""Sel"&amp;"l_""&amp;C112)))))))"),2642.0)</f>
        <v>2642</v>
      </c>
      <c r="H112" s="14">
        <f t="shared" si="3"/>
        <v>2642</v>
      </c>
      <c r="I112" s="75">
        <f t="shared" si="4"/>
        <v>12610659.53</v>
      </c>
      <c r="J112" s="76">
        <f t="shared" si="5"/>
        <v>920.5934556</v>
      </c>
      <c r="K112" s="71" t="str">
        <f t="shared" si="6"/>
        <v>15m 20s</v>
      </c>
      <c r="L112" s="77">
        <f t="shared" si="7"/>
        <v>624948</v>
      </c>
      <c r="M112" s="51">
        <f t="shared" si="8"/>
        <v>0</v>
      </c>
      <c r="N112" s="52">
        <f>IFERROR(__xludf.DUMMYFUNCTION("IFS(AND(COUNTA(C112:C147)=0,COUNTA(P112:P147)=0),"""",OR(AND(L112&gt;=1000000,OR(Y112&gt;=1000000,COUNTA(P112:P147)=0)),AND(Y112&gt;=1000000,COUNTA(C112:C147)=0),AND(COUNTA(P112:P147)=0,O$3=TRUE)),
ROUNDDOWN((AB$1-AC$1)*MAX(INDEX(S$4:S147,MATCH(LARGE(FILTER(Y$4:Y1"&amp;"47,Y$4:Y147&lt;1000000),1),Y$4:Y147)),INDEX(F$4:F147,MATCH(LARGE(FILTER(L$4:L147,L$4:L147&lt;1000000),1),L$4:L147)))),AND(L112&lt;1000000,COUNTA(C112:C147)&gt;0,O$3=FALSE),
ROUNDDOWN(INDEX(Y$4:Y147,MATCH(LARGE(FILTER(W$4:W147,W$4:W147&lt;=J112),1),W$4:W147))+(J112-LARGE"&amp;"(FILTER(W$4:W147,W$4:W147&lt;=J112),1))*INDEX(S$4:S147,MATCH(LARGE(FILTER(W$4:W147,W$4:W147&lt;=J112),1),W$4:W147))-L112),1,
ROUNDDOWN(Y112-INDEX(L$4:L147,MATCH(LARGE(FILTER(J$4:J147,J$4:J147&lt;=W112),1),J$4:J147))-(W112-LARGE(FILTER(J$4:J147,J$4:J147&lt;=W112),1))*"&amp;"INDEX(F$4:F147,MATCH(LARGE(FILTER(J$4:J147,J$4:J147&lt;=W112),1),J$4:J147))))"),0.0)</f>
        <v>0</v>
      </c>
      <c r="O112" s="65">
        <f t="shared" si="9"/>
        <v>38</v>
      </c>
      <c r="P112" s="66" t="s">
        <v>10</v>
      </c>
      <c r="Q112" s="14" t="b">
        <f>IFERROR(__xludf.DUMMYFUNCTION("IF(COUNTA(P112:P147)=0,"""",IFERROR(IF(ISBLANK(P112),FALSE,IF(ISBLANK(T112),1,IF(NOT(COUNTIF($AA$24:$AA$34,SUBSTITUTE(P112,""Sell_"",""""))),1,IF(P112=""Plastic_up"",IF(V112&lt;1000,1),IF(P112=""Super_Up"",IF(OR(COUNTIF(P$4:P112,""Grandma"")-COUNTIF(P$4:P112"&amp;",""Sell_Grandma"")&lt;1,COUNTIF(P$4:P112,VLOOKUP(P112,Upgrades!$F$8:$N$8,7+COUNTIF(P$4:P112,P112)))-COUNTIF(P$4:P112,""Sell_""&amp;VLOOKUP(P112,Upgrades!$F$8:$N$8,7+COUNTIF(P$4:P112,P112)))&lt;15),1),IF(REGEXMATCH(P112,""_up""),IF(COUNTIF(P$4:P112,SUBSTITUTE(P112,"&amp;"""_up"",""""))&lt;IFERROR(VLOOKUP(P112,Upgrades!$L$3:$P$6,1+COUNTIF(P$4:P112,P112),0),999),1),IF(REGEXMATCH(P112,""Sell_""),IF(COUNTIF(P$4:P112,SUBSTITUTE(P112,""Sell_"",""""))-COUNTIF(P$4:P111,P112)&lt;1,1),FALSE)))))))))"),FALSE)</f>
        <v>0</v>
      </c>
      <c r="R112" s="71">
        <f>IFERROR(__xludf.DUMMYFUNCTION("IF(REGEXMATCH(P112,""^Sell_""),R111, IF(COUNTA(P112:P147)=0,"""",(COUNTIF(P$4:P112,""Cursor"")-COUNTIF(P$4:P112,""Sell_Cursor""))*(0.1*2^SWITCH(COUNTIF(P$4:P112,""Cursor_up""),0,0,1,1,2,2,3)+SWITCH(COUNTIF(P$4:P112,""Cursor_up""),4,0.1,0)*(ROW(P112)-4-COU"&amp;"NTIF(P$4:P112,""Cursor"")-COUNTIF(P$4:P112,""*""&amp;""_up"")-2*COUNTIF(P$4:P112,""Sell_""&amp;""*"")+COUNTIF(P$4:P112,""Sell_Cursor"")-COUNTIF(P$4:P112,"""")))+(COUNTIF(P$4:P112,""Grandma"")-COUNTIF(P$4:P112,""Sell_Grandma""))*(1*2^(COUNTIF(P$4:P112,""Grandma_up"&amp;""")+COUNTIF(P$4:P112,""Super_up"")))+(COUNTIF(P$4:P112,""Farm"")-COUNTIF(P$4:P112,""Sell_Farm""))*(8*2^COUNTIF(P$4:P112,""Farm_up""))*IF(COUNTIF(P$4:P112,""Super_up"")&gt;0,1+0.01*(COUNTIF(P$4:P112,""Grandma"")-COUNTIF(P$4:P112,""Sell_Grandma"")),1)+(COUNTIF"&amp;"(P$4:P112,""Mine"")-COUNTIF(P$4:P112,""Sell_Mine""))*((47*2^COUNTIF(P$4:P112,""Mine_up""))*IF(COUNTIF(P$4:P112,""Super_up"")&gt;1,1+0.005*(COUNTIF(P$4:P112,""Grandma"")-COUNTIF(P$4:P112,""Sell_Grandma"")),1))+(COUNTIF(P$4:P112,""Factory"")-COUNTIF(P$4:P112,"&amp;"""Sell_Factory""))*(260*2^COUNTIF(P$4:P112,""Factory_up""))))"),1887.08)</f>
        <v>1887.08</v>
      </c>
      <c r="S112" s="73">
        <f>IFERROR(__xludf.DUMMYFUNCTION("IF(COUNTA(P112:P147)=0,"""",IF(REGEXMATCH(INDEX(FILTER(P$4:P112,P$4:P112&lt;&gt;""""),ROWS(FILTER(P$4:P112,P$4:P112&lt;&gt;""""))),""^Sell_""),INDEX(FILTER(S$4:S111,P$4:P111&lt;&gt;""""),ROWS(FILTER(P$4:P111,P$4:P111&lt;&gt;""""))),$AD$5*(2^SWITCH(COUNTIF(P$4:P112,""Cursor_up"")"&amp;",0,0,1,1,2,2,3)+SWITCH(COUNTIF(P$4:P112,""Cursor_up""),4,0.1,0)*(ROW(P112)-4-COUNTIF(P$4:P112,""Cursor"")-COUNTIF(P$4:P112,""*""&amp;""_up"")-2*COUNTIF(P$4:P112,""Sell_""&amp;""*"")+COUNTIF(P$4:P112,""Sell_Cursor"")-COUNTIF(P$4:P112,""""))+0.01*R112*COUNTIF(P$4:P"&amp;"112,""Plastic_up""))+R112))"),2378.642)</f>
        <v>2378.642</v>
      </c>
      <c r="T112" s="14">
        <f>IFERROR(__xludf.DUMMYFUNCTION("IF(COUNTA(P112:P147)=0,"""",IF(REGEXMATCH(P112,""_up""),VLOOKUP(P112,Upgrades!$F$3:$J$8,1+COUNTIF(P$4:P112,P112),FALSE),IF(P112="""",0,IF(REGEXMATCH(P112,""^Sell_""),-ROUNDDOWN(ROUNDUP(INDEX(Upgrades!$C$3:$C$8,MATCH(SUBSTITUTE(P112,""Sell_"",""""),Upgrade"&amp;"s!$B$3:$B$8,0))*1.15^(COUNTIF(P$4:P111,SUBSTITUTE(P112,""Sell_"",""""))-COUNTIF(P$4:P111,""Sell_""&amp;SUBSTITUTE(P112,""Sell_"",""""))))/4),ROUNDUP(INDEX(Upgrades!$C$3:$C$7,MATCH(P112,Upgrades!$B$3:$B$7,0))*1.15^(COUNTIF(P$4:P111,P112)-COUNTIF(P$4:P111,""Sel"&amp;"l_""&amp;P112)))))))"),2642.0)</f>
        <v>2642</v>
      </c>
      <c r="U112" s="14">
        <f t="shared" si="10"/>
        <v>2642</v>
      </c>
      <c r="V112" s="75">
        <f t="shared" si="11"/>
        <v>12610659.53</v>
      </c>
      <c r="W112" s="76">
        <f t="shared" si="12"/>
        <v>920.5934556</v>
      </c>
      <c r="X112" s="71" t="str">
        <f t="shared" si="13"/>
        <v>15m 20s</v>
      </c>
      <c r="Y112" s="77">
        <f t="shared" si="14"/>
        <v>624948</v>
      </c>
      <c r="Z112" s="17"/>
      <c r="AA112" s="13"/>
      <c r="AB112" s="13"/>
      <c r="AC112" s="13"/>
      <c r="AD112" s="13"/>
      <c r="AE112" s="13"/>
      <c r="AF112" s="13"/>
      <c r="AG112" s="13"/>
    </row>
    <row r="113">
      <c r="A113" s="12"/>
      <c r="B113" s="65">
        <f t="shared" si="2"/>
        <v>5</v>
      </c>
      <c r="C113" s="66" t="s">
        <v>18</v>
      </c>
      <c r="D113" s="14" t="b">
        <f>IFERROR(__xludf.DUMMYFUNCTION("IF(COUNTA(C113:C147)=0,"""",IFERROR(IF(ISBLANK(C113),FALSE,IF(ISBLANK(G113),1,IF(NOT(COUNTIF($AA$24:$AA$34,SUBSTITUTE(C113,""Sell_"",""""))),1,IF(C113=""Plastic_up"",IF(I113&lt;1000,1),IF(C113=""Super_Up"",IF(OR(COUNTIF(C$4:C113,""Grandma"")-COUNTIF(C$4:C113"&amp;",""Sell_Grandma"")&lt;1,COUNTIF(C$4:C113,VLOOKUP(C113,Upgrades!$F$8:$N$8,7+COUNTIF(C$4:C113,C113)))-COUNTIF(C$4:C113,""Sell_""&amp;VLOOKUP(C113,Upgrades!$F$8:$N$8,7+COUNTIF(C$4:C113,C113)))&lt;15),1),IF(REGEXMATCH(C113,""_up""),IF(COUNTIF(C$4:C113,SUBSTITUTE(C113,"&amp;"""_up"",""""))&lt;IFERROR(VLOOKUP(C113,Upgrades!$L$3:$P$6,1+COUNTIF(C$4:C113,C113),0),999),1),IF(REGEXMATCH(C113,""Sell_""),IF(COUNTIF(C$4:C113,SUBSTITUTE(C113,""Sell_"",""""))-COUNTIF(C$4:C112,C113)&lt;1,1),FALSE)))))))))"),FALSE)</f>
        <v>0</v>
      </c>
      <c r="E113" s="71">
        <f>IFERROR(__xludf.DUMMYFUNCTION("IF(REGEXMATCH(C113,""^Sell_""),E112, IF(COUNTA(C113:C147)=0,"""",(COUNTIF(C$4:C113,""Cursor"")-COUNTIF(C$4:C113,""Sell_Cursor""))*(0.1*2^SWITCH(COUNTIF(C$4:C113,""Cursor_up""),0,0,1,1,2,2,3)+SWITCH(COUNTIF(C$4:C113,""Cursor_up""),4,0.1,0)*(ROW(C113)-4-COU"&amp;"NTIF(C$4:C113,""Cursor"")-COUNTIF(C$4:C113,""*""&amp;""_up"")-2*COUNTIF(C$4:C113,""Sell_""&amp;""*"")+COUNTIF(C$4:C113,""Sell_Cursor"")-COUNTIF(C$4:C113,"""")))+(COUNTIF(C$4:C113,""Grandma"")-COUNTIF(C$4:C113,""Sell_Grandma""))*(1*2^(COUNTIF(C$4:C113,""Grandma_up"&amp;""")+COUNTIF(C$4:C113,""Super_up"")))+(COUNTIF(C$4:C113,""Farm"")-COUNTIF(C$4:C113,""Sell_Farm""))*(8*2^COUNTIF(C$4:C113,""Farm_up""))*IF(COUNTIF(C$4:C113,""Super_up"")&gt;0,1+0.01*(COUNTIF(C$4:C113,""Grandma"")-COUNTIF(C$4:C113,""Sell_Grandma"")),1)+(COUNTIF"&amp;"(C$4:C113,""Mine"")-COUNTIF(C$4:C113,""Sell_Mine""))*((47*2^COUNTIF(C$4:C113,""Mine_up""))*IF(COUNTIF(C$4:C113,""Super_up"")&gt;1,1+0.005*(COUNTIF(C$4:C113,""Grandma"")-COUNTIF(C$4:C113,""Sell_Grandma"")),1))+(COUNTIF(C$4:C113,""Factory"")-COUNTIF(C$4:C113,"&amp;"""Sell_Factory""))*(260*2^COUNTIF(C$4:C113,""Factory_up""))))"),1937.88)</f>
        <v>1937.88</v>
      </c>
      <c r="F113" s="73">
        <f>IFERROR(__xludf.DUMMYFUNCTION("IF(COUNTA(C113:C147)=0,"""",IF(REGEXMATCH(INDEX(FILTER(C$4:C113,C$4:C113&lt;&gt;""""),ROWS(FILTER(C$4:C113,C$4:C113&lt;&gt;""""))),""^Sell_""),INDEX(FILTER(F$4:F112,C$4:C112&lt;&gt;""""),ROWS(FILTER(C$4:C112,C$4:C112&lt;&gt;""""))),$AC$5*(2^SWITCH(COUNTIF(C$4:C113,""Cursor_up"")"&amp;",0,0,1,1,2,2,3)+SWITCH(COUNTIF(C$4:C113,""Cursor_up""),4,0.1,0)*(ROW(C113)-4-COUNTIF(C$4:C113,""Cursor"")-COUNTIF(C$4:C113,""*""&amp;""_up"")-2*COUNTIF(C$4:C113,""Sell_""&amp;""*"")+COUNTIF(C$4:C113,""Sell_Cursor"")-COUNTIF(C$4:C113,""""))+0.01*E113*COUNTIF(C$4:C"&amp;"113,""Plastic_up""))+E113))"),2438.562)</f>
        <v>2438.562</v>
      </c>
      <c r="G113" s="14">
        <f>IFERROR(__xludf.DUMMYFUNCTION("IF(COUNTA(C113:C147)=0,"""",IF(REGEXMATCH(C113,""_up""),VLOOKUP(C113,Upgrades!$F$3:$J$8,1+COUNTIF(C$4:C113,C113),FALSE),IF(C113="""",0,IF(REGEXMATCH(C113,""^Sell_""),-ROUNDDOWN(ROUNDUP(INDEX(Upgrades!$C$3:$C$8,MATCH(SUBSTITUTE(C113,""Sell_"",""""),Upgrade"&amp;"s!$B$3:$B$8,0))*1.15^(COUNTIF(C$4:C112,SUBSTITUTE(C113,""Sell_"",""""))-COUNTIF(C$4:C112,""Sell_""&amp;SUBSTITUTE(C113,""Sell_"",""""))))/4),ROUNDUP(INDEX(Upgrades!$C$3:$C$7,MATCH(C113,Upgrades!$B$3:$B$7,0))*1.15^(COUNTIF(C$4:C112,C113)-COUNTIF(C$4:C112,""Sel"&amp;"l_""&amp;C113)))))))"),20989.0)</f>
        <v>20989</v>
      </c>
      <c r="H113" s="14">
        <f t="shared" si="3"/>
        <v>20989</v>
      </c>
      <c r="I113" s="75">
        <f t="shared" si="4"/>
        <v>13067525.81</v>
      </c>
      <c r="J113" s="76">
        <f t="shared" si="5"/>
        <v>929.417398</v>
      </c>
      <c r="K113" s="71" t="str">
        <f t="shared" si="6"/>
        <v>15m 29s</v>
      </c>
      <c r="L113" s="77">
        <f t="shared" si="7"/>
        <v>645937</v>
      </c>
      <c r="M113" s="51">
        <f t="shared" si="8"/>
        <v>0</v>
      </c>
      <c r="N113" s="52">
        <f>IFERROR(__xludf.DUMMYFUNCTION("IFS(AND(COUNTA(C113:C147)=0,COUNTA(P113:P147)=0),"""",OR(AND(L113&gt;=1000000,OR(Y113&gt;=1000000,COUNTA(P113:P147)=0)),AND(Y113&gt;=1000000,COUNTA(C113:C147)=0),AND(COUNTA(P113:P147)=0,O$3=TRUE)),
ROUNDDOWN((AB$1-AC$1)*MAX(INDEX(S$4:S147,MATCH(LARGE(FILTER(Y$4:Y1"&amp;"47,Y$4:Y147&lt;1000000),1),Y$4:Y147)),INDEX(F$4:F147,MATCH(LARGE(FILTER(L$4:L147,L$4:L147&lt;1000000),1),L$4:L147)))),AND(L113&lt;1000000,COUNTA(C113:C147)&gt;0,O$3=FALSE),
ROUNDDOWN(INDEX(Y$4:Y147,MATCH(LARGE(FILTER(W$4:W147,W$4:W147&lt;=J113),1),W$4:W147))+(J113-LARGE"&amp;"(FILTER(W$4:W147,W$4:W147&lt;=J113),1))*INDEX(S$4:S147,MATCH(LARGE(FILTER(W$4:W147,W$4:W147&lt;=J113),1),W$4:W147))-L113),1,
ROUNDDOWN(Y113-INDEX(L$4:L147,MATCH(LARGE(FILTER(J$4:J147,J$4:J147&lt;=W113),1),J$4:J147))-(W113-LARGE(FILTER(J$4:J147,J$4:J147&lt;=W113),1))*"&amp;"INDEX(F$4:F147,MATCH(LARGE(FILTER(J$4:J147,J$4:J147&lt;=W113),1),J$4:J147))))"),0.0)</f>
        <v>0</v>
      </c>
      <c r="O113" s="65">
        <f t="shared" si="9"/>
        <v>5</v>
      </c>
      <c r="P113" s="66" t="s">
        <v>18</v>
      </c>
      <c r="Q113" s="14" t="b">
        <f>IFERROR(__xludf.DUMMYFUNCTION("IF(COUNTA(P113:P147)=0,"""",IFERROR(IF(ISBLANK(P113),FALSE,IF(ISBLANK(T113),1,IF(NOT(COUNTIF($AA$24:$AA$34,SUBSTITUTE(P113,""Sell_"",""""))),1,IF(P113=""Plastic_up"",IF(V113&lt;1000,1),IF(P113=""Super_Up"",IF(OR(COUNTIF(P$4:P113,""Grandma"")-COUNTIF(P$4:P113"&amp;",""Sell_Grandma"")&lt;1,COUNTIF(P$4:P113,VLOOKUP(P113,Upgrades!$F$8:$N$8,7+COUNTIF(P$4:P113,P113)))-COUNTIF(P$4:P113,""Sell_""&amp;VLOOKUP(P113,Upgrades!$F$8:$N$8,7+COUNTIF(P$4:P113,P113)))&lt;15),1),IF(REGEXMATCH(P113,""_up""),IF(COUNTIF(P$4:P113,SUBSTITUTE(P113,"&amp;"""_up"",""""))&lt;IFERROR(VLOOKUP(P113,Upgrades!$L$3:$P$6,1+COUNTIF(P$4:P113,P113),0),999),1),IF(REGEXMATCH(P113,""Sell_""),IF(COUNTIF(P$4:P113,SUBSTITUTE(P113,""Sell_"",""""))-COUNTIF(P$4:P112,P113)&lt;1,1),FALSE)))))))))"),FALSE)</f>
        <v>0</v>
      </c>
      <c r="R113" s="71">
        <f>IFERROR(__xludf.DUMMYFUNCTION("IF(REGEXMATCH(P113,""^Sell_""),R112, IF(COUNTA(P113:P147)=0,"""",(COUNTIF(P$4:P113,""Cursor"")-COUNTIF(P$4:P113,""Sell_Cursor""))*(0.1*2^SWITCH(COUNTIF(P$4:P113,""Cursor_up""),0,0,1,1,2,2,3)+SWITCH(COUNTIF(P$4:P113,""Cursor_up""),4,0.1,0)*(ROW(P113)-4-COU"&amp;"NTIF(P$4:P113,""Cursor"")-COUNTIF(P$4:P113,""*""&amp;""_up"")-2*COUNTIF(P$4:P113,""Sell_""&amp;""*"")+COUNTIF(P$4:P113,""Sell_Cursor"")-COUNTIF(P$4:P113,"""")))+(COUNTIF(P$4:P113,""Grandma"")-COUNTIF(P$4:P113,""Sell_Grandma""))*(1*2^(COUNTIF(P$4:P113,""Grandma_up"&amp;""")+COUNTIF(P$4:P113,""Super_up"")))+(COUNTIF(P$4:P113,""Farm"")-COUNTIF(P$4:P113,""Sell_Farm""))*(8*2^COUNTIF(P$4:P113,""Farm_up""))*IF(COUNTIF(P$4:P113,""Super_up"")&gt;0,1+0.01*(COUNTIF(P$4:P113,""Grandma"")-COUNTIF(P$4:P113,""Sell_Grandma"")),1)+(COUNTIF"&amp;"(P$4:P113,""Mine"")-COUNTIF(P$4:P113,""Sell_Mine""))*((47*2^COUNTIF(P$4:P113,""Mine_up""))*IF(COUNTIF(P$4:P113,""Super_up"")&gt;1,1+0.005*(COUNTIF(P$4:P113,""Grandma"")-COUNTIF(P$4:P113,""Sell_Grandma"")),1))+(COUNTIF(P$4:P113,""Factory"")-COUNTIF(P$4:P113,"&amp;"""Sell_Factory""))*(260*2^COUNTIF(P$4:P113,""Factory_up""))))"),1937.88)</f>
        <v>1937.88</v>
      </c>
      <c r="S113" s="73">
        <f>IFERROR(__xludf.DUMMYFUNCTION("IF(COUNTA(P113:P147)=0,"""",IF(REGEXMATCH(INDEX(FILTER(P$4:P113,P$4:P113&lt;&gt;""""),ROWS(FILTER(P$4:P113,P$4:P113&lt;&gt;""""))),""^Sell_""),INDEX(FILTER(S$4:S112,P$4:P112&lt;&gt;""""),ROWS(FILTER(P$4:P112,P$4:P112&lt;&gt;""""))),$AD$5*(2^SWITCH(COUNTIF(P$4:P113,""Cursor_up"")"&amp;",0,0,1,1,2,2,3)+SWITCH(COUNTIF(P$4:P113,""Cursor_up""),4,0.1,0)*(ROW(P113)-4-COUNTIF(P$4:P113,""Cursor"")-COUNTIF(P$4:P113,""*""&amp;""_up"")-2*COUNTIF(P$4:P113,""Sell_""&amp;""*"")+COUNTIF(P$4:P113,""Sell_Cursor"")-COUNTIF(P$4:P113,""""))+0.01*R113*COUNTIF(P$4:P"&amp;"113,""Plastic_up""))+R113))"),2438.562)</f>
        <v>2438.562</v>
      </c>
      <c r="T113" s="14">
        <f>IFERROR(__xludf.DUMMYFUNCTION("IF(COUNTA(P113:P147)=0,"""",IF(REGEXMATCH(P113,""_up""),VLOOKUP(P113,Upgrades!$F$3:$J$8,1+COUNTIF(P$4:P113,P113),FALSE),IF(P113="""",0,IF(REGEXMATCH(P113,""^Sell_""),-ROUNDDOWN(ROUNDUP(INDEX(Upgrades!$C$3:$C$8,MATCH(SUBSTITUTE(P113,""Sell_"",""""),Upgrade"&amp;"s!$B$3:$B$8,0))*1.15^(COUNTIF(P$4:P112,SUBSTITUTE(P113,""Sell_"",""""))-COUNTIF(P$4:P112,""Sell_""&amp;SUBSTITUTE(P113,""Sell_"",""""))))/4),ROUNDUP(INDEX(Upgrades!$C$3:$C$7,MATCH(P113,Upgrades!$B$3:$B$7,0))*1.15^(COUNTIF(P$4:P112,P113)-COUNTIF(P$4:P112,""Sel"&amp;"l_""&amp;P113)))))))"),20989.0)</f>
        <v>20989</v>
      </c>
      <c r="U113" s="14">
        <f t="shared" si="10"/>
        <v>20989</v>
      </c>
      <c r="V113" s="75">
        <f t="shared" si="11"/>
        <v>13067525.81</v>
      </c>
      <c r="W113" s="76">
        <f t="shared" si="12"/>
        <v>929.417398</v>
      </c>
      <c r="X113" s="71" t="str">
        <f t="shared" si="13"/>
        <v>15m 29s</v>
      </c>
      <c r="Y113" s="77">
        <f t="shared" si="14"/>
        <v>645937</v>
      </c>
      <c r="Z113" s="17"/>
      <c r="AA113" s="13"/>
      <c r="AB113" s="13"/>
      <c r="AC113" s="13"/>
      <c r="AD113" s="13"/>
      <c r="AE113" s="13"/>
      <c r="AF113" s="13"/>
      <c r="AG113" s="13"/>
    </row>
    <row r="114">
      <c r="A114" s="12"/>
      <c r="B114" s="65">
        <f t="shared" si="2"/>
        <v>35</v>
      </c>
      <c r="C114" s="66" t="s">
        <v>13</v>
      </c>
      <c r="D114" s="14" t="b">
        <f>IFERROR(__xludf.DUMMYFUNCTION("IF(COUNTA(C114:C147)=0,"""",IFERROR(IF(ISBLANK(C114),FALSE,IF(ISBLANK(G114),1,IF(NOT(COUNTIF($AA$24:$AA$34,SUBSTITUTE(C114,""Sell_"",""""))),1,IF(C114=""Plastic_up"",IF(I114&lt;1000,1),IF(C114=""Super_Up"",IF(OR(COUNTIF(C$4:C114,""Grandma"")-COUNTIF(C$4:C114"&amp;",""Sell_Grandma"")&lt;1,COUNTIF(C$4:C114,VLOOKUP(C114,Upgrades!$F$8:$N$8,7+COUNTIF(C$4:C114,C114)))-COUNTIF(C$4:C114,""Sell_""&amp;VLOOKUP(C114,Upgrades!$F$8:$N$8,7+COUNTIF(C$4:C114,C114)))&lt;15),1),IF(REGEXMATCH(C114,""_up""),IF(COUNTIF(C$4:C114,SUBSTITUTE(C114,"&amp;"""_up"",""""))&lt;IFERROR(VLOOKUP(C114,Upgrades!$L$3:$P$6,1+COUNTIF(C$4:C114,C114),0),999),1),IF(REGEXMATCH(C114,""Sell_""),IF(COUNTIF(C$4:C114,SUBSTITUTE(C114,""Sell_"",""""))-COUNTIF(C$4:C113,C114)&lt;1,1),FALSE)))))))))"),FALSE)</f>
        <v>0</v>
      </c>
      <c r="E114" s="71">
        <f>IFERROR(__xludf.DUMMYFUNCTION("IF(REGEXMATCH(C114,""^Sell_""),E113, IF(COUNTA(C114:C147)=0,"""",(COUNTIF(C$4:C114,""Cursor"")-COUNTIF(C$4:C114,""Sell_Cursor""))*(0.1*2^SWITCH(COUNTIF(C$4:C114,""Cursor_up""),0,0,1,1,2,2,3)+SWITCH(COUNTIF(C$4:C114,""Cursor_up""),4,0.1,0)*(ROW(C114)-4-COU"&amp;"NTIF(C$4:C114,""Cursor"")-COUNTIF(C$4:C114,""*""&amp;""_up"")-2*COUNTIF(C$4:C114,""Sell_""&amp;""*"")+COUNTIF(C$4:C114,""Sell_Cursor"")-COUNTIF(C$4:C114,"""")))+(COUNTIF(C$4:C114,""Grandma"")-COUNTIF(C$4:C114,""Sell_Grandma""))*(1*2^(COUNTIF(C$4:C114,""Grandma_up"&amp;""")+COUNTIF(C$4:C114,""Super_up"")))+(COUNTIF(C$4:C114,""Farm"")-COUNTIF(C$4:C114,""Sell_Farm""))*(8*2^COUNTIF(C$4:C114,""Farm_up""))*IF(COUNTIF(C$4:C114,""Super_up"")&gt;0,1+0.01*(COUNTIF(C$4:C114,""Grandma"")-COUNTIF(C$4:C114,""Sell_Grandma"")),1)+(COUNTIF"&amp;"(C$4:C114,""Mine"")-COUNTIF(C$4:C114,""Sell_Mine""))*((47*2^COUNTIF(C$4:C114,""Mine_up""))*IF(COUNTIF(C$4:C114,""Super_up"")&gt;1,1+0.005*(COUNTIF(C$4:C114,""Grandma"")-COUNTIF(C$4:C114,""Sell_Grandma"")),1))+(COUNTIF(C$4:C114,""Factory"")-COUNTIF(C$4:C114,"&amp;"""Sell_Factory""))*(260*2^COUNTIF(C$4:C114,""Factory_up""))))"),1964.4)</f>
        <v>1964.4</v>
      </c>
      <c r="F114" s="73">
        <f>IFERROR(__xludf.DUMMYFUNCTION("IF(COUNTA(C114:C147)=0,"""",IF(REGEXMATCH(INDEX(FILTER(C$4:C114,C$4:C114&lt;&gt;""""),ROWS(FILTER(C$4:C114,C$4:C114&lt;&gt;""""))),""^Sell_""),INDEX(FILTER(F$4:F113,C$4:C113&lt;&gt;""""),ROWS(FILTER(C$4:C113,C$4:C113&lt;&gt;""""))),$AC$5*(2^SWITCH(COUNTIF(C$4:C114,""Cursor_up"")"&amp;",0,0,1,1,2,2,3)+SWITCH(COUNTIF(C$4:C114,""Cursor_up""),4,0.1,0)*(ROW(C114)-4-COUNTIF(C$4:C114,""Cursor"")-COUNTIF(C$4:C114,""*""&amp;""_up"")-2*COUNTIF(C$4:C114,""Sell_""&amp;""*"")+COUNTIF(C$4:C114,""Sell_Cursor"")-COUNTIF(C$4:C114,""""))+0.01*E114*COUNTIF(C$4:C"&amp;"114,""Plastic_up""))+E114))"),2470.56)</f>
        <v>2470.56</v>
      </c>
      <c r="G114" s="14">
        <f>IFERROR(__xludf.DUMMYFUNCTION("IF(COUNTA(C114:C147)=0,"""",IF(REGEXMATCH(C114,""_up""),VLOOKUP(C114,Upgrades!$F$3:$J$8,1+COUNTIF(C$4:C114,C114),FALSE),IF(C114="""",0,IF(REGEXMATCH(C114,""^Sell_""),-ROUNDDOWN(ROUNDUP(INDEX(Upgrades!$C$3:$C$8,MATCH(SUBSTITUTE(C114,""Sell_"",""""),Upgrade"&amp;"s!$B$3:$B$8,0))*1.15^(COUNTIF(C$4:C113,SUBSTITUTE(C114,""Sell_"",""""))-COUNTIF(C$4:C113,""Sell_""&amp;SUBSTITUTE(C114,""Sell_"",""""))))/4),ROUNDUP(INDEX(Upgrades!$C$3:$C$7,MATCH(C114,Upgrades!$B$3:$B$7,0))*1.15^(COUNTIF(C$4:C113,C114)-COUNTIF(C$4:C113,""Sel"&amp;"l_""&amp;C114)))))))"),11581.0)</f>
        <v>11581</v>
      </c>
      <c r="H114" s="14">
        <f t="shared" si="3"/>
        <v>11581</v>
      </c>
      <c r="I114" s="75">
        <f t="shared" si="4"/>
        <v>13535246.16</v>
      </c>
      <c r="J114" s="76">
        <f t="shared" si="5"/>
        <v>934.1665084</v>
      </c>
      <c r="K114" s="71" t="str">
        <f t="shared" si="6"/>
        <v>15m 34s</v>
      </c>
      <c r="L114" s="77">
        <f t="shared" si="7"/>
        <v>657518</v>
      </c>
      <c r="M114" s="51">
        <f t="shared" si="8"/>
        <v>0</v>
      </c>
      <c r="N114" s="52">
        <f>IFERROR(__xludf.DUMMYFUNCTION("IFS(AND(COUNTA(C114:C147)=0,COUNTA(P114:P147)=0),"""",OR(AND(L114&gt;=1000000,OR(Y114&gt;=1000000,COUNTA(P114:P147)=0)),AND(Y114&gt;=1000000,COUNTA(C114:C147)=0),AND(COUNTA(P114:P147)=0,O$3=TRUE)),
ROUNDDOWN((AB$1-AC$1)*MAX(INDEX(S$4:S147,MATCH(LARGE(FILTER(Y$4:Y1"&amp;"47,Y$4:Y147&lt;1000000),1),Y$4:Y147)),INDEX(F$4:F147,MATCH(LARGE(FILTER(L$4:L147,L$4:L147&lt;1000000),1),L$4:L147)))),AND(L114&lt;1000000,COUNTA(C114:C147)&gt;0,O$3=FALSE),
ROUNDDOWN(INDEX(Y$4:Y147,MATCH(LARGE(FILTER(W$4:W147,W$4:W147&lt;=J114),1),W$4:W147))+(J114-LARGE"&amp;"(FILTER(W$4:W147,W$4:W147&lt;=J114),1))*INDEX(S$4:S147,MATCH(LARGE(FILTER(W$4:W147,W$4:W147&lt;=J114),1),W$4:W147))-L114),1,
ROUNDDOWN(Y114-INDEX(L$4:L147,MATCH(LARGE(FILTER(J$4:J147,J$4:J147&lt;=W114),1),J$4:J147))-(W114-LARGE(FILTER(J$4:J147,J$4:J147&lt;=W114),1))*"&amp;"INDEX(F$4:F147,MATCH(LARGE(FILTER(J$4:J147,J$4:J147&lt;=W114),1),J$4:J147))))"),0.0)</f>
        <v>0</v>
      </c>
      <c r="O114" s="65">
        <f t="shared" si="9"/>
        <v>35</v>
      </c>
      <c r="P114" s="66" t="s">
        <v>13</v>
      </c>
      <c r="Q114" s="14" t="b">
        <f>IFERROR(__xludf.DUMMYFUNCTION("IF(COUNTA(P114:P147)=0,"""",IFERROR(IF(ISBLANK(P114),FALSE,IF(ISBLANK(T114),1,IF(NOT(COUNTIF($AA$24:$AA$34,SUBSTITUTE(P114,""Sell_"",""""))),1,IF(P114=""Plastic_up"",IF(V114&lt;1000,1),IF(P114=""Super_Up"",IF(OR(COUNTIF(P$4:P114,""Grandma"")-COUNTIF(P$4:P114"&amp;",""Sell_Grandma"")&lt;1,COUNTIF(P$4:P114,VLOOKUP(P114,Upgrades!$F$8:$N$8,7+COUNTIF(P$4:P114,P114)))-COUNTIF(P$4:P114,""Sell_""&amp;VLOOKUP(P114,Upgrades!$F$8:$N$8,7+COUNTIF(P$4:P114,P114)))&lt;15),1),IF(REGEXMATCH(P114,""_up""),IF(COUNTIF(P$4:P114,SUBSTITUTE(P114,"&amp;"""_up"",""""))&lt;IFERROR(VLOOKUP(P114,Upgrades!$L$3:$P$6,1+COUNTIF(P$4:P114,P114),0),999),1),IF(REGEXMATCH(P114,""Sell_""),IF(COUNTIF(P$4:P114,SUBSTITUTE(P114,""Sell_"",""""))-COUNTIF(P$4:P113,P114)&lt;1,1),FALSE)))))))))"),FALSE)</f>
        <v>0</v>
      </c>
      <c r="R114" s="71">
        <f>IFERROR(__xludf.DUMMYFUNCTION("IF(REGEXMATCH(P114,""^Sell_""),R113, IF(COUNTA(P114:P147)=0,"""",(COUNTIF(P$4:P114,""Cursor"")-COUNTIF(P$4:P114,""Sell_Cursor""))*(0.1*2^SWITCH(COUNTIF(P$4:P114,""Cursor_up""),0,0,1,1,2,2,3)+SWITCH(COUNTIF(P$4:P114,""Cursor_up""),4,0.1,0)*(ROW(P114)-4-COU"&amp;"NTIF(P$4:P114,""Cursor"")-COUNTIF(P$4:P114,""*""&amp;""_up"")-2*COUNTIF(P$4:P114,""Sell_""&amp;""*"")+COUNTIF(P$4:P114,""Sell_Cursor"")-COUNTIF(P$4:P114,"""")))+(COUNTIF(P$4:P114,""Grandma"")-COUNTIF(P$4:P114,""Sell_Grandma""))*(1*2^(COUNTIF(P$4:P114,""Grandma_up"&amp;""")+COUNTIF(P$4:P114,""Super_up"")))+(COUNTIF(P$4:P114,""Farm"")-COUNTIF(P$4:P114,""Sell_Farm""))*(8*2^COUNTIF(P$4:P114,""Farm_up""))*IF(COUNTIF(P$4:P114,""Super_up"")&gt;0,1+0.01*(COUNTIF(P$4:P114,""Grandma"")-COUNTIF(P$4:P114,""Sell_Grandma"")),1)+(COUNTIF"&amp;"(P$4:P114,""Mine"")-COUNTIF(P$4:P114,""Sell_Mine""))*((47*2^COUNTIF(P$4:P114,""Mine_up""))*IF(COUNTIF(P$4:P114,""Super_up"")&gt;1,1+0.005*(COUNTIF(P$4:P114,""Grandma"")-COUNTIF(P$4:P114,""Sell_Grandma"")),1))+(COUNTIF(P$4:P114,""Factory"")-COUNTIF(P$4:P114,"&amp;"""Sell_Factory""))*(260*2^COUNTIF(P$4:P114,""Factory_up""))))"),1964.4)</f>
        <v>1964.4</v>
      </c>
      <c r="S114" s="73">
        <f>IFERROR(__xludf.DUMMYFUNCTION("IF(COUNTA(P114:P147)=0,"""",IF(REGEXMATCH(INDEX(FILTER(P$4:P114,P$4:P114&lt;&gt;""""),ROWS(FILTER(P$4:P114,P$4:P114&lt;&gt;""""))),""^Sell_""),INDEX(FILTER(S$4:S113,P$4:P113&lt;&gt;""""),ROWS(FILTER(P$4:P113,P$4:P113&lt;&gt;""""))),$AD$5*(2^SWITCH(COUNTIF(P$4:P114,""Cursor_up"")"&amp;",0,0,1,1,2,2,3)+SWITCH(COUNTIF(P$4:P114,""Cursor_up""),4,0.1,0)*(ROW(P114)-4-COUNTIF(P$4:P114,""Cursor"")-COUNTIF(P$4:P114,""*""&amp;""_up"")-2*COUNTIF(P$4:P114,""Sell_""&amp;""*"")+COUNTIF(P$4:P114,""Sell_Cursor"")-COUNTIF(P$4:P114,""""))+0.01*R114*COUNTIF(P$4:P"&amp;"114,""Plastic_up""))+R114))"),2470.56)</f>
        <v>2470.56</v>
      </c>
      <c r="T114" s="14">
        <f>IFERROR(__xludf.DUMMYFUNCTION("IF(COUNTA(P114:P147)=0,"""",IF(REGEXMATCH(P114,""_up""),VLOOKUP(P114,Upgrades!$F$3:$J$8,1+COUNTIF(P$4:P114,P114),FALSE),IF(P114="""",0,IF(REGEXMATCH(P114,""^Sell_""),-ROUNDDOWN(ROUNDUP(INDEX(Upgrades!$C$3:$C$8,MATCH(SUBSTITUTE(P114,""Sell_"",""""),Upgrade"&amp;"s!$B$3:$B$8,0))*1.15^(COUNTIF(P$4:P113,SUBSTITUTE(P114,""Sell_"",""""))-COUNTIF(P$4:P113,""Sell_""&amp;SUBSTITUTE(P114,""Sell_"",""""))))/4),ROUNDUP(INDEX(Upgrades!$C$3:$C$7,MATCH(P114,Upgrades!$B$3:$B$7,0))*1.15^(COUNTIF(P$4:P113,P114)-COUNTIF(P$4:P113,""Sel"&amp;"l_""&amp;P114)))))))"),11581.0)</f>
        <v>11581</v>
      </c>
      <c r="U114" s="14">
        <f t="shared" si="10"/>
        <v>11581</v>
      </c>
      <c r="V114" s="75">
        <f t="shared" si="11"/>
        <v>13535246.16</v>
      </c>
      <c r="W114" s="76">
        <f t="shared" si="12"/>
        <v>934.1665084</v>
      </c>
      <c r="X114" s="71" t="str">
        <f t="shared" si="13"/>
        <v>15m 34s</v>
      </c>
      <c r="Y114" s="77">
        <f t="shared" si="14"/>
        <v>657518</v>
      </c>
      <c r="Z114" s="17"/>
      <c r="AA114" s="13"/>
      <c r="AB114" s="13"/>
      <c r="AC114" s="13"/>
      <c r="AD114" s="13"/>
      <c r="AE114" s="13"/>
      <c r="AF114" s="13"/>
      <c r="AG114" s="13"/>
    </row>
    <row r="115">
      <c r="A115" s="12"/>
      <c r="B115" s="65">
        <f t="shared" si="2"/>
        <v>39</v>
      </c>
      <c r="C115" s="66" t="s">
        <v>10</v>
      </c>
      <c r="D115" s="14" t="b">
        <f>IFERROR(__xludf.DUMMYFUNCTION("IF(COUNTA(C115:C147)=0,"""",IFERROR(IF(ISBLANK(C115),FALSE,IF(ISBLANK(G115),1,IF(NOT(COUNTIF($AA$24:$AA$34,SUBSTITUTE(C115,""Sell_"",""""))),1,IF(C115=""Plastic_up"",IF(I115&lt;1000,1),IF(C115=""Super_Up"",IF(OR(COUNTIF(C$4:C115,""Grandma"")-COUNTIF(C$4:C115"&amp;",""Sell_Grandma"")&lt;1,COUNTIF(C$4:C115,VLOOKUP(C115,Upgrades!$F$8:$N$8,7+COUNTIF(C$4:C115,C115)))-COUNTIF(C$4:C115,""Sell_""&amp;VLOOKUP(C115,Upgrades!$F$8:$N$8,7+COUNTIF(C$4:C115,C115)))&lt;15),1),IF(REGEXMATCH(C115,""_up""),IF(COUNTIF(C$4:C115,SUBSTITUTE(C115,"&amp;"""_up"",""""))&lt;IFERROR(VLOOKUP(C115,Upgrades!$L$3:$P$6,1+COUNTIF(C$4:C115,C115),0),999),1),IF(REGEXMATCH(C115,""Sell_""),IF(COUNTIF(C$4:C115,SUBSTITUTE(C115,""Sell_"",""""))-COUNTIF(C$4:C114,C115)&lt;1,1),FALSE)))))))))"),FALSE)</f>
        <v>0</v>
      </c>
      <c r="E115" s="71">
        <f>IFERROR(__xludf.DUMMYFUNCTION("IF(REGEXMATCH(C115,""^Sell_""),E114, IF(COUNTA(C115:C147)=0,"""",(COUNTIF(C$4:C115,""Cursor"")-COUNTIF(C$4:C115,""Sell_Cursor""))*(0.1*2^SWITCH(COUNTIF(C$4:C115,""Cursor_up""),0,0,1,1,2,2,3)+SWITCH(COUNTIF(C$4:C115,""Cursor_up""),4,0.1,0)*(ROW(C115)-4-COU"&amp;"NTIF(C$4:C115,""Cursor"")-COUNTIF(C$4:C115,""*""&amp;""_up"")-2*COUNTIF(C$4:C115,""Sell_""&amp;""*"")+COUNTIF(C$4:C115,""Sell_Cursor"")-COUNTIF(C$4:C115,"""")))+(COUNTIF(C$4:C115,""Grandma"")-COUNTIF(C$4:C115,""Sell_Grandma""))*(1*2^(COUNTIF(C$4:C115,""Grandma_up"&amp;""")+COUNTIF(C$4:C115,""Super_up"")))+(COUNTIF(C$4:C115,""Farm"")-COUNTIF(C$4:C115,""Sell_Farm""))*(8*2^COUNTIF(C$4:C115,""Farm_up""))*IF(COUNTIF(C$4:C115,""Super_up"")&gt;0,1+0.01*(COUNTIF(C$4:C115,""Grandma"")-COUNTIF(C$4:C115,""Sell_Grandma"")),1)+(COUNTIF"&amp;"(C$4:C115,""Mine"")-COUNTIF(C$4:C115,""Sell_Mine""))*((47*2^COUNTIF(C$4:C115,""Mine_up""))*IF(COUNTIF(C$4:C115,""Super_up"")&gt;1,1+0.005*(COUNTIF(C$4:C115,""Grandma"")-COUNTIF(C$4:C115,""Sell_Grandma"")),1))+(COUNTIF(C$4:C115,""Factory"")-COUNTIF(C$4:C115,"&amp;"""Sell_Factory""))*(260*2^COUNTIF(C$4:C115,""Factory_up""))))"),1971.3000000000002)</f>
        <v>1971.3</v>
      </c>
      <c r="F115" s="73">
        <f>IFERROR(__xludf.DUMMYFUNCTION("IF(COUNTA(C115:C147)=0,"""",IF(REGEXMATCH(INDEX(FILTER(C$4:C115,C$4:C115&lt;&gt;""""),ROWS(FILTER(C$4:C115,C$4:C115&lt;&gt;""""))),""^Sell_""),INDEX(FILTER(F$4:F114,C$4:C114&lt;&gt;""""),ROWS(FILTER(C$4:C114,C$4:C114&lt;&gt;""""))),$AC$5*(2^SWITCH(COUNTIF(C$4:C115,""Cursor_up"")"&amp;",0,0,1,1,2,2,3)+SWITCH(COUNTIF(C$4:C115,""Cursor_up""),4,0.1,0)*(ROW(C115)-4-COUNTIF(C$4:C115,""Cursor"")-COUNTIF(C$4:C115,""*""&amp;""_up"")-2*COUNTIF(C$4:C115,""Sell_""&amp;""*"")+COUNTIF(C$4:C115,""Sell_Cursor"")-COUNTIF(C$4:C115,""""))+0.01*E115*COUNTIF(C$4:C"&amp;"115,""Plastic_up""))+E115))"),2478.4950000000003)</f>
        <v>2478.495</v>
      </c>
      <c r="G115" s="14">
        <f>IFERROR(__xludf.DUMMYFUNCTION("IF(COUNTA(C115:C147)=0,"""",IF(REGEXMATCH(C115,""_up""),VLOOKUP(C115,Upgrades!$F$3:$J$8,1+COUNTIF(C$4:C115,C115),FALSE),IF(C115="""",0,IF(REGEXMATCH(C115,""^Sell_""),-ROUNDDOWN(ROUNDUP(INDEX(Upgrades!$C$3:$C$8,MATCH(SUBSTITUTE(C115,""Sell_"",""""),Upgrade"&amp;"s!$B$3:$B$8,0))*1.15^(COUNTIF(C$4:C114,SUBSTITUTE(C115,""Sell_"",""""))-COUNTIF(C$4:C114,""Sell_""&amp;SUBSTITUTE(C115,""Sell_"",""""))))/4),ROUNDUP(INDEX(Upgrades!$C$3:$C$7,MATCH(C115,Upgrades!$B$3:$B$7,0))*1.15^(COUNTIF(C$4:C114,C115)-COUNTIF(C$4:C114,""Sel"&amp;"l_""&amp;C115)))))))"),3039.0)</f>
        <v>3039</v>
      </c>
      <c r="H115" s="14">
        <f t="shared" si="3"/>
        <v>3039</v>
      </c>
      <c r="I115" s="75">
        <f t="shared" si="4"/>
        <v>14008706.5</v>
      </c>
      <c r="J115" s="76">
        <f t="shared" si="5"/>
        <v>935.3965938</v>
      </c>
      <c r="K115" s="71" t="str">
        <f t="shared" si="6"/>
        <v>15m 35s</v>
      </c>
      <c r="L115" s="77">
        <f t="shared" si="7"/>
        <v>660557</v>
      </c>
      <c r="M115" s="51">
        <f t="shared" si="8"/>
        <v>0</v>
      </c>
      <c r="N115" s="52">
        <f>IFERROR(__xludf.DUMMYFUNCTION("IFS(AND(COUNTA(C115:C147)=0,COUNTA(P115:P147)=0),"""",OR(AND(L115&gt;=1000000,OR(Y115&gt;=1000000,COUNTA(P115:P147)=0)),AND(Y115&gt;=1000000,COUNTA(C115:C147)=0),AND(COUNTA(P115:P147)=0,O$3=TRUE)),
ROUNDDOWN((AB$1-AC$1)*MAX(INDEX(S$4:S147,MATCH(LARGE(FILTER(Y$4:Y1"&amp;"47,Y$4:Y147&lt;1000000),1),Y$4:Y147)),INDEX(F$4:F147,MATCH(LARGE(FILTER(L$4:L147,L$4:L147&lt;1000000),1),L$4:L147)))),AND(L115&lt;1000000,COUNTA(C115:C147)&gt;0,O$3=FALSE),
ROUNDDOWN(INDEX(Y$4:Y147,MATCH(LARGE(FILTER(W$4:W147,W$4:W147&lt;=J115),1),W$4:W147))+(J115-LARGE"&amp;"(FILTER(W$4:W147,W$4:W147&lt;=J115),1))*INDEX(S$4:S147,MATCH(LARGE(FILTER(W$4:W147,W$4:W147&lt;=J115),1),W$4:W147))-L115),1,
ROUNDDOWN(Y115-INDEX(L$4:L147,MATCH(LARGE(FILTER(J$4:J147,J$4:J147&lt;=W115),1),J$4:J147))-(W115-LARGE(FILTER(J$4:J147,J$4:J147&lt;=W115),1))*"&amp;"INDEX(F$4:F147,MATCH(LARGE(FILTER(J$4:J147,J$4:J147&lt;=W115),1),J$4:J147))))"),0.0)</f>
        <v>0</v>
      </c>
      <c r="O115" s="65">
        <f t="shared" si="9"/>
        <v>39</v>
      </c>
      <c r="P115" s="66" t="s">
        <v>10</v>
      </c>
      <c r="Q115" s="14" t="b">
        <f>IFERROR(__xludf.DUMMYFUNCTION("IF(COUNTA(P115:P147)=0,"""",IFERROR(IF(ISBLANK(P115),FALSE,IF(ISBLANK(T115),1,IF(NOT(COUNTIF($AA$24:$AA$34,SUBSTITUTE(P115,""Sell_"",""""))),1,IF(P115=""Plastic_up"",IF(V115&lt;1000,1),IF(P115=""Super_Up"",IF(OR(COUNTIF(P$4:P115,""Grandma"")-COUNTIF(P$4:P115"&amp;",""Sell_Grandma"")&lt;1,COUNTIF(P$4:P115,VLOOKUP(P115,Upgrades!$F$8:$N$8,7+COUNTIF(P$4:P115,P115)))-COUNTIF(P$4:P115,""Sell_""&amp;VLOOKUP(P115,Upgrades!$F$8:$N$8,7+COUNTIF(P$4:P115,P115)))&lt;15),1),IF(REGEXMATCH(P115,""_up""),IF(COUNTIF(P$4:P115,SUBSTITUTE(P115,"&amp;"""_up"",""""))&lt;IFERROR(VLOOKUP(P115,Upgrades!$L$3:$P$6,1+COUNTIF(P$4:P115,P115),0),999),1),IF(REGEXMATCH(P115,""Sell_""),IF(COUNTIF(P$4:P115,SUBSTITUTE(P115,""Sell_"",""""))-COUNTIF(P$4:P114,P115)&lt;1,1),FALSE)))))))))"),FALSE)</f>
        <v>0</v>
      </c>
      <c r="R115" s="71">
        <f>IFERROR(__xludf.DUMMYFUNCTION("IF(REGEXMATCH(P115,""^Sell_""),R114, IF(COUNTA(P115:P147)=0,"""",(COUNTIF(P$4:P115,""Cursor"")-COUNTIF(P$4:P115,""Sell_Cursor""))*(0.1*2^SWITCH(COUNTIF(P$4:P115,""Cursor_up""),0,0,1,1,2,2,3)+SWITCH(COUNTIF(P$4:P115,""Cursor_up""),4,0.1,0)*(ROW(P115)-4-COU"&amp;"NTIF(P$4:P115,""Cursor"")-COUNTIF(P$4:P115,""*""&amp;""_up"")-2*COUNTIF(P$4:P115,""Sell_""&amp;""*"")+COUNTIF(P$4:P115,""Sell_Cursor"")-COUNTIF(P$4:P115,"""")))+(COUNTIF(P$4:P115,""Grandma"")-COUNTIF(P$4:P115,""Sell_Grandma""))*(1*2^(COUNTIF(P$4:P115,""Grandma_up"&amp;""")+COUNTIF(P$4:P115,""Super_up"")))+(COUNTIF(P$4:P115,""Farm"")-COUNTIF(P$4:P115,""Sell_Farm""))*(8*2^COUNTIF(P$4:P115,""Farm_up""))*IF(COUNTIF(P$4:P115,""Super_up"")&gt;0,1+0.01*(COUNTIF(P$4:P115,""Grandma"")-COUNTIF(P$4:P115,""Sell_Grandma"")),1)+(COUNTIF"&amp;"(P$4:P115,""Mine"")-COUNTIF(P$4:P115,""Sell_Mine""))*((47*2^COUNTIF(P$4:P115,""Mine_up""))*IF(COUNTIF(P$4:P115,""Super_up"")&gt;1,1+0.005*(COUNTIF(P$4:P115,""Grandma"")-COUNTIF(P$4:P115,""Sell_Grandma"")),1))+(COUNTIF(P$4:P115,""Factory"")-COUNTIF(P$4:P115,"&amp;"""Sell_Factory""))*(260*2^COUNTIF(P$4:P115,""Factory_up""))))"),1971.3000000000002)</f>
        <v>1971.3</v>
      </c>
      <c r="S115" s="73">
        <f>IFERROR(__xludf.DUMMYFUNCTION("IF(COUNTA(P115:P147)=0,"""",IF(REGEXMATCH(INDEX(FILTER(P$4:P115,P$4:P115&lt;&gt;""""),ROWS(FILTER(P$4:P115,P$4:P115&lt;&gt;""""))),""^Sell_""),INDEX(FILTER(S$4:S114,P$4:P114&lt;&gt;""""),ROWS(FILTER(P$4:P114,P$4:P114&lt;&gt;""""))),$AD$5*(2^SWITCH(COUNTIF(P$4:P115,""Cursor_up"")"&amp;",0,0,1,1,2,2,3)+SWITCH(COUNTIF(P$4:P115,""Cursor_up""),4,0.1,0)*(ROW(P115)-4-COUNTIF(P$4:P115,""Cursor"")-COUNTIF(P$4:P115,""*""&amp;""_up"")-2*COUNTIF(P$4:P115,""Sell_""&amp;""*"")+COUNTIF(P$4:P115,""Sell_Cursor"")-COUNTIF(P$4:P115,""""))+0.01*R115*COUNTIF(P$4:P"&amp;"115,""Plastic_up""))+R115))"),2478.4950000000003)</f>
        <v>2478.495</v>
      </c>
      <c r="T115" s="14">
        <f>IFERROR(__xludf.DUMMYFUNCTION("IF(COUNTA(P115:P147)=0,"""",IF(REGEXMATCH(P115,""_up""),VLOOKUP(P115,Upgrades!$F$3:$J$8,1+COUNTIF(P$4:P115,P115),FALSE),IF(P115="""",0,IF(REGEXMATCH(P115,""^Sell_""),-ROUNDDOWN(ROUNDUP(INDEX(Upgrades!$C$3:$C$8,MATCH(SUBSTITUTE(P115,""Sell_"",""""),Upgrade"&amp;"s!$B$3:$B$8,0))*1.15^(COUNTIF(P$4:P114,SUBSTITUTE(P115,""Sell_"",""""))-COUNTIF(P$4:P114,""Sell_""&amp;SUBSTITUTE(P115,""Sell_"",""""))))/4),ROUNDUP(INDEX(Upgrades!$C$3:$C$7,MATCH(P115,Upgrades!$B$3:$B$7,0))*1.15^(COUNTIF(P$4:P114,P115)-COUNTIF(P$4:P114,""Sel"&amp;"l_""&amp;P115)))))))"),3039.0)</f>
        <v>3039</v>
      </c>
      <c r="U115" s="14">
        <f t="shared" si="10"/>
        <v>3039</v>
      </c>
      <c r="V115" s="75">
        <f t="shared" si="11"/>
        <v>14008706.5</v>
      </c>
      <c r="W115" s="76">
        <f t="shared" si="12"/>
        <v>935.3965938</v>
      </c>
      <c r="X115" s="71" t="str">
        <f t="shared" si="13"/>
        <v>15m 35s</v>
      </c>
      <c r="Y115" s="77">
        <f t="shared" si="14"/>
        <v>660557</v>
      </c>
      <c r="Z115" s="17"/>
      <c r="AA115" s="13"/>
      <c r="AB115" s="13"/>
      <c r="AC115" s="13"/>
      <c r="AD115" s="13"/>
      <c r="AE115" s="13"/>
      <c r="AF115" s="13"/>
      <c r="AG115" s="13"/>
    </row>
    <row r="116">
      <c r="A116" s="12"/>
      <c r="B116" s="65">
        <f t="shared" si="2"/>
        <v>6</v>
      </c>
      <c r="C116" s="66" t="s">
        <v>18</v>
      </c>
      <c r="D116" s="14" t="b">
        <f>IFERROR(__xludf.DUMMYFUNCTION("IF(COUNTA(C116:C147)=0,"""",IFERROR(IF(ISBLANK(C116),FALSE,IF(ISBLANK(G116),1,IF(NOT(COUNTIF($AA$24:$AA$34,SUBSTITUTE(C116,""Sell_"",""""))),1,IF(C116=""Plastic_up"",IF(I116&lt;1000,1),IF(C116=""Super_Up"",IF(OR(COUNTIF(C$4:C116,""Grandma"")-COUNTIF(C$4:C116"&amp;",""Sell_Grandma"")&lt;1,COUNTIF(C$4:C116,VLOOKUP(C116,Upgrades!$F$8:$N$8,7+COUNTIF(C$4:C116,C116)))-COUNTIF(C$4:C116,""Sell_""&amp;VLOOKUP(C116,Upgrades!$F$8:$N$8,7+COUNTIF(C$4:C116,C116)))&lt;15),1),IF(REGEXMATCH(C116,""_up""),IF(COUNTIF(C$4:C116,SUBSTITUTE(C116,"&amp;"""_up"",""""))&lt;IFERROR(VLOOKUP(C116,Upgrades!$L$3:$P$6,1+COUNTIF(C$4:C116,C116),0),999),1),IF(REGEXMATCH(C116,""Sell_""),IF(COUNTIF(C$4:C116,SUBSTITUTE(C116,""Sell_"",""""))-COUNTIF(C$4:C115,C116)&lt;1,1),FALSE)))))))))"),FALSE)</f>
        <v>0</v>
      </c>
      <c r="E116" s="71">
        <f>IFERROR(__xludf.DUMMYFUNCTION("IF(REGEXMATCH(C116,""^Sell_""),E115, IF(COUNTA(C116:C147)=0,"""",(COUNTIF(C$4:C116,""Cursor"")-COUNTIF(C$4:C116,""Sell_Cursor""))*(0.1*2^SWITCH(COUNTIF(C$4:C116,""Cursor_up""),0,0,1,1,2,2,3)+SWITCH(COUNTIF(C$4:C116,""Cursor_up""),4,0.1,0)*(ROW(C116)-4-COU"&amp;"NTIF(C$4:C116,""Cursor"")-COUNTIF(C$4:C116,""*""&amp;""_up"")-2*COUNTIF(C$4:C116,""Sell_""&amp;""*"")+COUNTIF(C$4:C116,""Sell_Cursor"")-COUNTIF(C$4:C116,"""")))+(COUNTIF(C$4:C116,""Grandma"")-COUNTIF(C$4:C116,""Sell_Grandma""))*(1*2^(COUNTIF(C$4:C116,""Grandma_up"&amp;""")+COUNTIF(C$4:C116,""Super_up"")))+(COUNTIF(C$4:C116,""Farm"")-COUNTIF(C$4:C116,""Sell_Farm""))*(8*2^COUNTIF(C$4:C116,""Farm_up""))*IF(COUNTIF(C$4:C116,""Super_up"")&gt;0,1+0.01*(COUNTIF(C$4:C116,""Grandma"")-COUNTIF(C$4:C116,""Sell_Grandma"")),1)+(COUNTIF"&amp;"(C$4:C116,""Mine"")-COUNTIF(C$4:C116,""Sell_Mine""))*((47*2^COUNTIF(C$4:C116,""Mine_up""))*IF(COUNTIF(C$4:C116,""Super_up"")&gt;1,1+0.005*(COUNTIF(C$4:C116,""Grandma"")-COUNTIF(C$4:C116,""Sell_Grandma"")),1))+(COUNTIF(C$4:C116,""Factory"")-COUNTIF(C$4:C116,"&amp;"""Sell_Factory""))*(260*2^COUNTIF(C$4:C116,""Factory_up""))))"),2022.2)</f>
        <v>2022.2</v>
      </c>
      <c r="F116" s="73">
        <f>IFERROR(__xludf.DUMMYFUNCTION("IF(COUNTA(C116:C147)=0,"""",IF(REGEXMATCH(INDEX(FILTER(C$4:C116,C$4:C116&lt;&gt;""""),ROWS(FILTER(C$4:C116,C$4:C116&lt;&gt;""""))),""^Sell_""),INDEX(FILTER(F$4:F115,C$4:C115&lt;&gt;""""),ROWS(FILTER(C$4:C115,C$4:C115&lt;&gt;""""))),$AC$5*(2^SWITCH(COUNTIF(C$4:C116,""Cursor_up"")"&amp;",0,0,1,1,2,2,3)+SWITCH(COUNTIF(C$4:C116,""Cursor_up""),4,0.1,0)*(ROW(C116)-4-COUNTIF(C$4:C116,""Cursor"")-COUNTIF(C$4:C116,""*""&amp;""_up"")-2*COUNTIF(C$4:C116,""Sell_""&amp;""*"")+COUNTIF(C$4:C116,""Sell_Cursor"")-COUNTIF(C$4:C116,""""))+0.01*E116*COUNTIF(C$4:C"&amp;"116,""Plastic_up""))+E116))"),2538.5299999999997)</f>
        <v>2538.53</v>
      </c>
      <c r="G116" s="14">
        <f>IFERROR(__xludf.DUMMYFUNCTION("IF(COUNTA(C116:C147)=0,"""",IF(REGEXMATCH(C116,""_up""),VLOOKUP(C116,Upgrades!$F$3:$J$8,1+COUNTIF(C$4:C116,C116),FALSE),IF(C116="""",0,IF(REGEXMATCH(C116,""^Sell_""),-ROUNDDOWN(ROUNDUP(INDEX(Upgrades!$C$3:$C$8,MATCH(SUBSTITUTE(C116,""Sell_"",""""),Upgrade"&amp;"s!$B$3:$B$8,0))*1.15^(COUNTIF(C$4:C115,SUBSTITUTE(C116,""Sell_"",""""))-COUNTIF(C$4:C115,""Sell_""&amp;SUBSTITUTE(C116,""Sell_"",""""))))/4),ROUNDUP(INDEX(Upgrades!$C$3:$C$7,MATCH(C116,Upgrades!$B$3:$B$7,0))*1.15^(COUNTIF(C$4:C115,C116)-COUNTIF(C$4:C115,""Sel"&amp;"l_""&amp;C116)))))))"),24137.0)</f>
        <v>24137</v>
      </c>
      <c r="H116" s="14">
        <f t="shared" si="3"/>
        <v>24137</v>
      </c>
      <c r="I116" s="75">
        <f t="shared" si="4"/>
        <v>14488074.33</v>
      </c>
      <c r="J116" s="76">
        <f t="shared" si="5"/>
        <v>945.135165</v>
      </c>
      <c r="K116" s="71" t="str">
        <f t="shared" si="6"/>
        <v>15m 45s</v>
      </c>
      <c r="L116" s="77">
        <f t="shared" si="7"/>
        <v>684694</v>
      </c>
      <c r="M116" s="51">
        <f t="shared" si="8"/>
        <v>0</v>
      </c>
      <c r="N116" s="52">
        <f>IFERROR(__xludf.DUMMYFUNCTION("IFS(AND(COUNTA(C116:C147)=0,COUNTA(P116:P147)=0),"""",OR(AND(L116&gt;=1000000,OR(Y116&gt;=1000000,COUNTA(P116:P147)=0)),AND(Y116&gt;=1000000,COUNTA(C116:C147)=0),AND(COUNTA(P116:P147)=0,O$3=TRUE)),
ROUNDDOWN((AB$1-AC$1)*MAX(INDEX(S$4:S147,MATCH(LARGE(FILTER(Y$4:Y1"&amp;"47,Y$4:Y147&lt;1000000),1),Y$4:Y147)),INDEX(F$4:F147,MATCH(LARGE(FILTER(L$4:L147,L$4:L147&lt;1000000),1),L$4:L147)))),AND(L116&lt;1000000,COUNTA(C116:C147)&gt;0,O$3=FALSE),
ROUNDDOWN(INDEX(Y$4:Y147,MATCH(LARGE(FILTER(W$4:W147,W$4:W147&lt;=J116),1),W$4:W147))+(J116-LARGE"&amp;"(FILTER(W$4:W147,W$4:W147&lt;=J116),1))*INDEX(S$4:S147,MATCH(LARGE(FILTER(W$4:W147,W$4:W147&lt;=J116),1),W$4:W147))-L116),1,
ROUNDDOWN(Y116-INDEX(L$4:L147,MATCH(LARGE(FILTER(J$4:J147,J$4:J147&lt;=W116),1),J$4:J147))-(W116-LARGE(FILTER(J$4:J147,J$4:J147&lt;=W116),1))*"&amp;"INDEX(F$4:F147,MATCH(LARGE(FILTER(J$4:J147,J$4:J147&lt;=W116),1),J$4:J147))))"),0.0)</f>
        <v>0</v>
      </c>
      <c r="O116" s="65">
        <f t="shared" si="9"/>
        <v>6</v>
      </c>
      <c r="P116" s="66" t="s">
        <v>18</v>
      </c>
      <c r="Q116" s="14" t="b">
        <f>IFERROR(__xludf.DUMMYFUNCTION("IF(COUNTA(P116:P147)=0,"""",IFERROR(IF(ISBLANK(P116),FALSE,IF(ISBLANK(T116),1,IF(NOT(COUNTIF($AA$24:$AA$34,SUBSTITUTE(P116,""Sell_"",""""))),1,IF(P116=""Plastic_up"",IF(V116&lt;1000,1),IF(P116=""Super_Up"",IF(OR(COUNTIF(P$4:P116,""Grandma"")-COUNTIF(P$4:P116"&amp;",""Sell_Grandma"")&lt;1,COUNTIF(P$4:P116,VLOOKUP(P116,Upgrades!$F$8:$N$8,7+COUNTIF(P$4:P116,P116)))-COUNTIF(P$4:P116,""Sell_""&amp;VLOOKUP(P116,Upgrades!$F$8:$N$8,7+COUNTIF(P$4:P116,P116)))&lt;15),1),IF(REGEXMATCH(P116,""_up""),IF(COUNTIF(P$4:P116,SUBSTITUTE(P116,"&amp;"""_up"",""""))&lt;IFERROR(VLOOKUP(P116,Upgrades!$L$3:$P$6,1+COUNTIF(P$4:P116,P116),0),999),1),IF(REGEXMATCH(P116,""Sell_""),IF(COUNTIF(P$4:P116,SUBSTITUTE(P116,""Sell_"",""""))-COUNTIF(P$4:P115,P116)&lt;1,1),FALSE)))))))))"),FALSE)</f>
        <v>0</v>
      </c>
      <c r="R116" s="71">
        <f>IFERROR(__xludf.DUMMYFUNCTION("IF(REGEXMATCH(P116,""^Sell_""),R115, IF(COUNTA(P116:P147)=0,"""",(COUNTIF(P$4:P116,""Cursor"")-COUNTIF(P$4:P116,""Sell_Cursor""))*(0.1*2^SWITCH(COUNTIF(P$4:P116,""Cursor_up""),0,0,1,1,2,2,3)+SWITCH(COUNTIF(P$4:P116,""Cursor_up""),4,0.1,0)*(ROW(P116)-4-COU"&amp;"NTIF(P$4:P116,""Cursor"")-COUNTIF(P$4:P116,""*""&amp;""_up"")-2*COUNTIF(P$4:P116,""Sell_""&amp;""*"")+COUNTIF(P$4:P116,""Sell_Cursor"")-COUNTIF(P$4:P116,"""")))+(COUNTIF(P$4:P116,""Grandma"")-COUNTIF(P$4:P116,""Sell_Grandma""))*(1*2^(COUNTIF(P$4:P116,""Grandma_up"&amp;""")+COUNTIF(P$4:P116,""Super_up"")))+(COUNTIF(P$4:P116,""Farm"")-COUNTIF(P$4:P116,""Sell_Farm""))*(8*2^COUNTIF(P$4:P116,""Farm_up""))*IF(COUNTIF(P$4:P116,""Super_up"")&gt;0,1+0.01*(COUNTIF(P$4:P116,""Grandma"")-COUNTIF(P$4:P116,""Sell_Grandma"")),1)+(COUNTIF"&amp;"(P$4:P116,""Mine"")-COUNTIF(P$4:P116,""Sell_Mine""))*((47*2^COUNTIF(P$4:P116,""Mine_up""))*IF(COUNTIF(P$4:P116,""Super_up"")&gt;1,1+0.005*(COUNTIF(P$4:P116,""Grandma"")-COUNTIF(P$4:P116,""Sell_Grandma"")),1))+(COUNTIF(P$4:P116,""Factory"")-COUNTIF(P$4:P116,"&amp;"""Sell_Factory""))*(260*2^COUNTIF(P$4:P116,""Factory_up""))))"),2022.2)</f>
        <v>2022.2</v>
      </c>
      <c r="S116" s="73">
        <f>IFERROR(__xludf.DUMMYFUNCTION("IF(COUNTA(P116:P147)=0,"""",IF(REGEXMATCH(INDEX(FILTER(P$4:P116,P$4:P116&lt;&gt;""""),ROWS(FILTER(P$4:P116,P$4:P116&lt;&gt;""""))),""^Sell_""),INDEX(FILTER(S$4:S115,P$4:P115&lt;&gt;""""),ROWS(FILTER(P$4:P115,P$4:P115&lt;&gt;""""))),$AD$5*(2^SWITCH(COUNTIF(P$4:P116,""Cursor_up"")"&amp;",0,0,1,1,2,2,3)+SWITCH(COUNTIF(P$4:P116,""Cursor_up""),4,0.1,0)*(ROW(P116)-4-COUNTIF(P$4:P116,""Cursor"")-COUNTIF(P$4:P116,""*""&amp;""_up"")-2*COUNTIF(P$4:P116,""Sell_""&amp;""*"")+COUNTIF(P$4:P116,""Sell_Cursor"")-COUNTIF(P$4:P116,""""))+0.01*R116*COUNTIF(P$4:P"&amp;"116,""Plastic_up""))+R116))"),2538.5299999999997)</f>
        <v>2538.53</v>
      </c>
      <c r="T116" s="14">
        <f>IFERROR(__xludf.DUMMYFUNCTION("IF(COUNTA(P116:P147)=0,"""",IF(REGEXMATCH(P116,""_up""),VLOOKUP(P116,Upgrades!$F$3:$J$8,1+COUNTIF(P$4:P116,P116),FALSE),IF(P116="""",0,IF(REGEXMATCH(P116,""^Sell_""),-ROUNDDOWN(ROUNDUP(INDEX(Upgrades!$C$3:$C$8,MATCH(SUBSTITUTE(P116,""Sell_"",""""),Upgrade"&amp;"s!$B$3:$B$8,0))*1.15^(COUNTIF(P$4:P115,SUBSTITUTE(P116,""Sell_"",""""))-COUNTIF(P$4:P115,""Sell_""&amp;SUBSTITUTE(P116,""Sell_"",""""))))/4),ROUNDUP(INDEX(Upgrades!$C$3:$C$7,MATCH(P116,Upgrades!$B$3:$B$7,0))*1.15^(COUNTIF(P$4:P115,P116)-COUNTIF(P$4:P115,""Sel"&amp;"l_""&amp;P116)))))))"),24137.0)</f>
        <v>24137</v>
      </c>
      <c r="U116" s="14">
        <f t="shared" si="10"/>
        <v>24137</v>
      </c>
      <c r="V116" s="75">
        <f t="shared" si="11"/>
        <v>14488074.33</v>
      </c>
      <c r="W116" s="76">
        <f t="shared" si="12"/>
        <v>945.135165</v>
      </c>
      <c r="X116" s="71" t="str">
        <f t="shared" si="13"/>
        <v>15m 45s</v>
      </c>
      <c r="Y116" s="77">
        <f t="shared" si="14"/>
        <v>684694</v>
      </c>
      <c r="Z116" s="17"/>
      <c r="AA116" s="13"/>
      <c r="AB116" s="13"/>
      <c r="AC116" s="13"/>
      <c r="AD116" s="13"/>
      <c r="AE116" s="13"/>
      <c r="AF116" s="13"/>
      <c r="AG116" s="13"/>
    </row>
    <row r="117">
      <c r="A117" s="12"/>
      <c r="B117" s="65">
        <f t="shared" si="2"/>
        <v>1</v>
      </c>
      <c r="C117" s="66" t="s">
        <v>19</v>
      </c>
      <c r="D117" s="14" t="b">
        <f>IFERROR(__xludf.DUMMYFUNCTION("IF(COUNTA(C117:C147)=0,"""",IFERROR(IF(ISBLANK(C117),FALSE,IF(ISBLANK(G117),1,IF(NOT(COUNTIF($AA$24:$AA$34,SUBSTITUTE(C117,""Sell_"",""""))),1,IF(C117=""Plastic_up"",IF(I117&lt;1000,1),IF(C117=""Super_Up"",IF(OR(COUNTIF(C$4:C117,""Grandma"")-COUNTIF(C$4:C117"&amp;",""Sell_Grandma"")&lt;1,COUNTIF(C$4:C117,VLOOKUP(C117,Upgrades!$F$8:$N$8,7+COUNTIF(C$4:C117,C117)))-COUNTIF(C$4:C117,""Sell_""&amp;VLOOKUP(C117,Upgrades!$F$8:$N$8,7+COUNTIF(C$4:C117,C117)))&lt;15),1),IF(REGEXMATCH(C117,""_up""),IF(COUNTIF(C$4:C117,SUBSTITUTE(C117,"&amp;"""_up"",""""))&lt;IFERROR(VLOOKUP(C117,Upgrades!$L$3:$P$6,1+COUNTIF(C$4:C117,C117),0),999),1),IF(REGEXMATCH(C117,""Sell_""),IF(COUNTIF(C$4:C117,SUBSTITUTE(C117,""Sell_"",""""))-COUNTIF(C$4:C116,C117)&lt;1,1),FALSE)))))))))"),FALSE)</f>
        <v>0</v>
      </c>
      <c r="E117" s="71">
        <f>IFERROR(__xludf.DUMMYFUNCTION("IF(REGEXMATCH(C117,""^Sell_""),E116, IF(COUNTA(C117:C147)=0,"""",(COUNTIF(C$4:C117,""Cursor"")-COUNTIF(C$4:C117,""Sell_Cursor""))*(0.1*2^SWITCH(COUNTIF(C$4:C117,""Cursor_up""),0,0,1,1,2,2,3)+SWITCH(COUNTIF(C$4:C117,""Cursor_up""),4,0.1,0)*(ROW(C117)-4-COU"&amp;"NTIF(C$4:C117,""Cursor"")-COUNTIF(C$4:C117,""*""&amp;""_up"")-2*COUNTIF(C$4:C117,""Sell_""&amp;""*"")+COUNTIF(C$4:C117,""Sell_Cursor"")-COUNTIF(C$4:C117,"""")))+(COUNTIF(C$4:C117,""Grandma"")-COUNTIF(C$4:C117,""Sell_Grandma""))*(1*2^(COUNTIF(C$4:C117,""Grandma_up"&amp;""")+COUNTIF(C$4:C117,""Super_up"")))+(COUNTIF(C$4:C117,""Farm"")-COUNTIF(C$4:C117,""Sell_Farm""))*(8*2^COUNTIF(C$4:C117,""Farm_up""))*IF(COUNTIF(C$4:C117,""Super_up"")&gt;0,1+0.01*(COUNTIF(C$4:C117,""Grandma"")-COUNTIF(C$4:C117,""Sell_Grandma"")),1)+(COUNTIF"&amp;"(C$4:C117,""Mine"")-COUNTIF(C$4:C117,""Sell_Mine""))*((47*2^COUNTIF(C$4:C117,""Mine_up""))*IF(COUNTIF(C$4:C117,""Super_up"")&gt;1,1+0.005*(COUNTIF(C$4:C117,""Grandma"")-COUNTIF(C$4:C117,""Sell_Grandma"")),1))+(COUNTIF(C$4:C117,""Factory"")-COUNTIF(C$4:C117,"&amp;"""Sell_Factory""))*(260*2^COUNTIF(C$4:C117,""Factory_up""))))"),2304.2)</f>
        <v>2304.2</v>
      </c>
      <c r="F117" s="73">
        <f>IFERROR(__xludf.DUMMYFUNCTION("IF(COUNTA(C117:C147)=0,"""",IF(REGEXMATCH(INDEX(FILTER(C$4:C117,C$4:C117&lt;&gt;""""),ROWS(FILTER(C$4:C117,C$4:C117&lt;&gt;""""))),""^Sell_""),INDEX(FILTER(F$4:F116,C$4:C116&lt;&gt;""""),ROWS(FILTER(C$4:C116,C$4:C116&lt;&gt;""""))),$AC$5*(2^SWITCH(COUNTIF(C$4:C117,""Cursor_up"")"&amp;",0,0,1,1,2,2,3)+SWITCH(COUNTIF(C$4:C117,""Cursor_up""),4,0.1,0)*(ROW(C117)-4-COUNTIF(C$4:C117,""Cursor"")-COUNTIF(C$4:C117,""*""&amp;""_up"")-2*COUNTIF(C$4:C117,""Sell_""&amp;""*"")+COUNTIF(C$4:C117,""Sell_Cursor"")-COUNTIF(C$4:C117,""""))+0.01*E117*COUNTIF(C$4:C"&amp;"117,""Plastic_up""))+E117))"),2862.83)</f>
        <v>2862.83</v>
      </c>
      <c r="G117" s="14">
        <f>IFERROR(__xludf.DUMMYFUNCTION("IF(COUNTA(C117:C147)=0,"""",IF(REGEXMATCH(C117,""_up""),VLOOKUP(C117,Upgrades!$F$3:$J$8,1+COUNTIF(C$4:C117,C117),FALSE),IF(C117="""",0,IF(REGEXMATCH(C117,""^Sell_""),-ROUNDDOWN(ROUNDUP(INDEX(Upgrades!$C$3:$C$8,MATCH(SUBSTITUTE(C117,""Sell_"",""""),Upgrade"&amp;"s!$B$3:$B$8,0))*1.15^(COUNTIF(C$4:C116,SUBSTITUTE(C117,""Sell_"",""""))-COUNTIF(C$4:C116,""Sell_""&amp;SUBSTITUTE(C117,""Sell_"",""""))))/4),ROUNDUP(INDEX(Upgrades!$C$3:$C$7,MATCH(C117,Upgrades!$B$3:$B$7,0))*1.15^(COUNTIF(C$4:C116,C117)-COUNTIF(C$4:C116,""Sel"&amp;"l_""&amp;C117)))))))"),120000.0)</f>
        <v>120000</v>
      </c>
      <c r="H117" s="14">
        <f t="shared" si="3"/>
        <v>120000</v>
      </c>
      <c r="I117" s="75">
        <f t="shared" si="4"/>
        <v>15000483.64</v>
      </c>
      <c r="J117" s="76">
        <f t="shared" si="5"/>
        <v>992.4066174</v>
      </c>
      <c r="K117" s="71" t="str">
        <f t="shared" si="6"/>
        <v>16m 32s</v>
      </c>
      <c r="L117" s="77">
        <f t="shared" si="7"/>
        <v>804694</v>
      </c>
      <c r="M117" s="51">
        <f t="shared" si="8"/>
        <v>0</v>
      </c>
      <c r="N117" s="52">
        <f>IFERROR(__xludf.DUMMYFUNCTION("IFS(AND(COUNTA(C117:C147)=0,COUNTA(P117:P147)=0),"""",OR(AND(L117&gt;=1000000,OR(Y117&gt;=1000000,COUNTA(P117:P147)=0)),AND(Y117&gt;=1000000,COUNTA(C117:C147)=0),AND(COUNTA(P117:P147)=0,O$3=TRUE)),
ROUNDDOWN((AB$1-AC$1)*MAX(INDEX(S$4:S147,MATCH(LARGE(FILTER(Y$4:Y1"&amp;"47,Y$4:Y147&lt;1000000),1),Y$4:Y147)),INDEX(F$4:F147,MATCH(LARGE(FILTER(L$4:L147,L$4:L147&lt;1000000),1),L$4:L147)))),AND(L117&lt;1000000,COUNTA(C117:C147)&gt;0,O$3=FALSE),
ROUNDDOWN(INDEX(Y$4:Y147,MATCH(LARGE(FILTER(W$4:W147,W$4:W147&lt;=J117),1),W$4:W147))+(J117-LARGE"&amp;"(FILTER(W$4:W147,W$4:W147&lt;=J117),1))*INDEX(S$4:S147,MATCH(LARGE(FILTER(W$4:W147,W$4:W147&lt;=J117),1),W$4:W147))-L117),1,
ROUNDDOWN(Y117-INDEX(L$4:L147,MATCH(LARGE(FILTER(J$4:J147,J$4:J147&lt;=W117),1),J$4:J147))-(W117-LARGE(FILTER(J$4:J147,J$4:J147&lt;=W117),1))*"&amp;"INDEX(F$4:F147,MATCH(LARGE(FILTER(J$4:J147,J$4:J147&lt;=W117),1),J$4:J147))))"),0.0)</f>
        <v>0</v>
      </c>
      <c r="O117" s="65">
        <f t="shared" si="9"/>
        <v>1</v>
      </c>
      <c r="P117" s="66" t="s">
        <v>19</v>
      </c>
      <c r="Q117" s="14" t="b">
        <f>IFERROR(__xludf.DUMMYFUNCTION("IF(COUNTA(P117:P147)=0,"""",IFERROR(IF(ISBLANK(P117),FALSE,IF(ISBLANK(T117),1,IF(NOT(COUNTIF($AA$24:$AA$34,SUBSTITUTE(P117,""Sell_"",""""))),1,IF(P117=""Plastic_up"",IF(V117&lt;1000,1),IF(P117=""Super_Up"",IF(OR(COUNTIF(P$4:P117,""Grandma"")-COUNTIF(P$4:P117"&amp;",""Sell_Grandma"")&lt;1,COUNTIF(P$4:P117,VLOOKUP(P117,Upgrades!$F$8:$N$8,7+COUNTIF(P$4:P117,P117)))-COUNTIF(P$4:P117,""Sell_""&amp;VLOOKUP(P117,Upgrades!$F$8:$N$8,7+COUNTIF(P$4:P117,P117)))&lt;15),1),IF(REGEXMATCH(P117,""_up""),IF(COUNTIF(P$4:P117,SUBSTITUTE(P117,"&amp;"""_up"",""""))&lt;IFERROR(VLOOKUP(P117,Upgrades!$L$3:$P$6,1+COUNTIF(P$4:P117,P117),0),999),1),IF(REGEXMATCH(P117,""Sell_""),IF(COUNTIF(P$4:P117,SUBSTITUTE(P117,""Sell_"",""""))-COUNTIF(P$4:P116,P117)&lt;1,1),FALSE)))))))))"),FALSE)</f>
        <v>0</v>
      </c>
      <c r="R117" s="71">
        <f>IFERROR(__xludf.DUMMYFUNCTION("IF(REGEXMATCH(P117,""^Sell_""),R116, IF(COUNTA(P117:P147)=0,"""",(COUNTIF(P$4:P117,""Cursor"")-COUNTIF(P$4:P117,""Sell_Cursor""))*(0.1*2^SWITCH(COUNTIF(P$4:P117,""Cursor_up""),0,0,1,1,2,2,3)+SWITCH(COUNTIF(P$4:P117,""Cursor_up""),4,0.1,0)*(ROW(P117)-4-COU"&amp;"NTIF(P$4:P117,""Cursor"")-COUNTIF(P$4:P117,""*""&amp;""_up"")-2*COUNTIF(P$4:P117,""Sell_""&amp;""*"")+COUNTIF(P$4:P117,""Sell_Cursor"")-COUNTIF(P$4:P117,"""")))+(COUNTIF(P$4:P117,""Grandma"")-COUNTIF(P$4:P117,""Sell_Grandma""))*(1*2^(COUNTIF(P$4:P117,""Grandma_up"&amp;""")+COUNTIF(P$4:P117,""Super_up"")))+(COUNTIF(P$4:P117,""Farm"")-COUNTIF(P$4:P117,""Sell_Farm""))*(8*2^COUNTIF(P$4:P117,""Farm_up""))*IF(COUNTIF(P$4:P117,""Super_up"")&gt;0,1+0.01*(COUNTIF(P$4:P117,""Grandma"")-COUNTIF(P$4:P117,""Sell_Grandma"")),1)+(COUNTIF"&amp;"(P$4:P117,""Mine"")-COUNTIF(P$4:P117,""Sell_Mine""))*((47*2^COUNTIF(P$4:P117,""Mine_up""))*IF(COUNTIF(P$4:P117,""Super_up"")&gt;1,1+0.005*(COUNTIF(P$4:P117,""Grandma"")-COUNTIF(P$4:P117,""Sell_Grandma"")),1))+(COUNTIF(P$4:P117,""Factory"")-COUNTIF(P$4:P117,"&amp;"""Sell_Factory""))*(260*2^COUNTIF(P$4:P117,""Factory_up""))))"),2304.2)</f>
        <v>2304.2</v>
      </c>
      <c r="S117" s="73">
        <f>IFERROR(__xludf.DUMMYFUNCTION("IF(COUNTA(P117:P147)=0,"""",IF(REGEXMATCH(INDEX(FILTER(P$4:P117,P$4:P117&lt;&gt;""""),ROWS(FILTER(P$4:P117,P$4:P117&lt;&gt;""""))),""^Sell_""),INDEX(FILTER(S$4:S116,P$4:P116&lt;&gt;""""),ROWS(FILTER(P$4:P116,P$4:P116&lt;&gt;""""))),$AD$5*(2^SWITCH(COUNTIF(P$4:P117,""Cursor_up"")"&amp;",0,0,1,1,2,2,3)+SWITCH(COUNTIF(P$4:P117,""Cursor_up""),4,0.1,0)*(ROW(P117)-4-COUNTIF(P$4:P117,""Cursor"")-COUNTIF(P$4:P117,""*""&amp;""_up"")-2*COUNTIF(P$4:P117,""Sell_""&amp;""*"")+COUNTIF(P$4:P117,""Sell_Cursor"")-COUNTIF(P$4:P117,""""))+0.01*R117*COUNTIF(P$4:P"&amp;"117,""Plastic_up""))+R117))"),2862.83)</f>
        <v>2862.83</v>
      </c>
      <c r="T117" s="14">
        <f>IFERROR(__xludf.DUMMYFUNCTION("IF(COUNTA(P117:P147)=0,"""",IF(REGEXMATCH(P117,""_up""),VLOOKUP(P117,Upgrades!$F$3:$J$8,1+COUNTIF(P$4:P117,P117),FALSE),IF(P117="""",0,IF(REGEXMATCH(P117,""^Sell_""),-ROUNDDOWN(ROUNDUP(INDEX(Upgrades!$C$3:$C$8,MATCH(SUBSTITUTE(P117,""Sell_"",""""),Upgrade"&amp;"s!$B$3:$B$8,0))*1.15^(COUNTIF(P$4:P116,SUBSTITUTE(P117,""Sell_"",""""))-COUNTIF(P$4:P116,""Sell_""&amp;SUBSTITUTE(P117,""Sell_"",""""))))/4),ROUNDUP(INDEX(Upgrades!$C$3:$C$7,MATCH(P117,Upgrades!$B$3:$B$7,0))*1.15^(COUNTIF(P$4:P116,P117)-COUNTIF(P$4:P116,""Sel"&amp;"l_""&amp;P117)))))))"),120000.0)</f>
        <v>120000</v>
      </c>
      <c r="U117" s="14">
        <f t="shared" si="10"/>
        <v>120000</v>
      </c>
      <c r="V117" s="75">
        <f t="shared" si="11"/>
        <v>15000483.64</v>
      </c>
      <c r="W117" s="76">
        <f t="shared" si="12"/>
        <v>992.4066174</v>
      </c>
      <c r="X117" s="71" t="str">
        <f t="shared" si="13"/>
        <v>16m 32s</v>
      </c>
      <c r="Y117" s="77">
        <f t="shared" si="14"/>
        <v>804694</v>
      </c>
      <c r="Z117" s="17"/>
      <c r="AA117" s="119"/>
      <c r="AB117" s="13"/>
      <c r="AC117" s="13"/>
      <c r="AD117" s="13"/>
      <c r="AE117" s="13"/>
      <c r="AF117" s="13"/>
      <c r="AG117" s="13"/>
    </row>
    <row r="118">
      <c r="A118" s="12"/>
      <c r="B118" s="65">
        <f t="shared" si="2"/>
        <v>7</v>
      </c>
      <c r="C118" s="66" t="s">
        <v>18</v>
      </c>
      <c r="D118" s="14" t="b">
        <f>IFERROR(__xludf.DUMMYFUNCTION("IF(COUNTA(C118:C147)=0,"""",IFERROR(IF(ISBLANK(C118),FALSE,IF(ISBLANK(G118),1,IF(NOT(COUNTIF($AA$24:$AA$34,SUBSTITUTE(C118,""Sell_"",""""))),1,IF(C118=""Plastic_up"",IF(I118&lt;1000,1),IF(C118=""Super_Up"",IF(OR(COUNTIF(C$4:C118,""Grandma"")-COUNTIF(C$4:C118"&amp;",""Sell_Grandma"")&lt;1,COUNTIF(C$4:C118,VLOOKUP(C118,Upgrades!$F$8:$N$8,7+COUNTIF(C$4:C118,C118)))-COUNTIF(C$4:C118,""Sell_""&amp;VLOOKUP(C118,Upgrades!$F$8:$N$8,7+COUNTIF(C$4:C118,C118)))&lt;15),1),IF(REGEXMATCH(C118,""_up""),IF(COUNTIF(C$4:C118,SUBSTITUTE(C118,"&amp;"""_up"",""""))&lt;IFERROR(VLOOKUP(C118,Upgrades!$L$3:$P$6,1+COUNTIF(C$4:C118,C118),0),999),1),IF(REGEXMATCH(C118,""Sell_""),IF(COUNTIF(C$4:C118,SUBSTITUTE(C118,""Sell_"",""""))-COUNTIF(C$4:C117,C118)&lt;1,1),FALSE)))))))))"),FALSE)</f>
        <v>0</v>
      </c>
      <c r="E118" s="71">
        <f>IFERROR(__xludf.DUMMYFUNCTION("IF(REGEXMATCH(C118,""^Sell_""),E117, IF(COUNTA(C118:C147)=0,"""",(COUNTIF(C$4:C118,""Cursor"")-COUNTIF(C$4:C118,""Sell_Cursor""))*(0.1*2^SWITCH(COUNTIF(C$4:C118,""Cursor_up""),0,0,1,1,2,2,3)+SWITCH(COUNTIF(C$4:C118,""Cursor_up""),4,0.1,0)*(ROW(C118)-4-COU"&amp;"NTIF(C$4:C118,""Cursor"")-COUNTIF(C$4:C118,""*""&amp;""_up"")-2*COUNTIF(C$4:C118,""Sell_""&amp;""*"")+COUNTIF(C$4:C118,""Sell_Cursor"")-COUNTIF(C$4:C118,"""")))+(COUNTIF(C$4:C118,""Grandma"")-COUNTIF(C$4:C118,""Sell_Grandma""))*(1*2^(COUNTIF(C$4:C118,""Grandma_up"&amp;""")+COUNTIF(C$4:C118,""Super_up"")))+(COUNTIF(C$4:C118,""Farm"")-COUNTIF(C$4:C118,""Sell_Farm""))*(8*2^COUNTIF(C$4:C118,""Farm_up""))*IF(COUNTIF(C$4:C118,""Super_up"")&gt;0,1+0.01*(COUNTIF(C$4:C118,""Grandma"")-COUNTIF(C$4:C118,""Sell_Grandma"")),1)+(COUNTIF"&amp;"(C$4:C118,""Mine"")-COUNTIF(C$4:C118,""Sell_Mine""))*((47*2^COUNTIF(C$4:C118,""Mine_up""))*IF(COUNTIF(C$4:C118,""Super_up"")&gt;1,1+0.005*(COUNTIF(C$4:C118,""Grandma"")-COUNTIF(C$4:C118,""Sell_Grandma"")),1))+(COUNTIF(C$4:C118,""Factory"")-COUNTIF(C$4:C118,"&amp;"""Sell_Factory""))*(260*2^COUNTIF(C$4:C118,""Factory_up""))))"),2402.1000000000004)</f>
        <v>2402.1</v>
      </c>
      <c r="F118" s="73">
        <f>IFERROR(__xludf.DUMMYFUNCTION("IF(COUNTA(C118:C147)=0,"""",IF(REGEXMATCH(INDEX(FILTER(C$4:C118,C$4:C118&lt;&gt;""""),ROWS(FILTER(C$4:C118,C$4:C118&lt;&gt;""""))),""^Sell_""),INDEX(FILTER(F$4:F117,C$4:C117&lt;&gt;""""),ROWS(FILTER(C$4:C117,C$4:C117&lt;&gt;""""))),$AC$5*(2^SWITCH(COUNTIF(C$4:C118,""Cursor_up"")"&amp;",0,0,1,1,2,2,3)+SWITCH(COUNTIF(C$4:C118,""Cursor_up""),4,0.1,0)*(ROW(C118)-4-COUNTIF(C$4:C118,""Cursor"")-COUNTIF(C$4:C118,""*""&amp;""_up"")-2*COUNTIF(C$4:C118,""Sell_""&amp;""*"")+COUNTIF(C$4:C118,""Sell_Cursor"")-COUNTIF(C$4:C118,""""))+0.01*E118*COUNTIF(C$4:C"&amp;"118,""Plastic_up""))+E118))"),2976.9150000000004)</f>
        <v>2976.915</v>
      </c>
      <c r="G118" s="14">
        <f>IFERROR(__xludf.DUMMYFUNCTION("IF(COUNTA(C118:C147)=0,"""",IF(REGEXMATCH(C118,""_up""),VLOOKUP(C118,Upgrades!$F$3:$J$8,1+COUNTIF(C$4:C118,C118),FALSE),IF(C118="""",0,IF(REGEXMATCH(C118,""^Sell_""),-ROUNDDOWN(ROUNDUP(INDEX(Upgrades!$C$3:$C$8,MATCH(SUBSTITUTE(C118,""Sell_"",""""),Upgrade"&amp;"s!$B$3:$B$8,0))*1.15^(COUNTIF(C$4:C117,SUBSTITUTE(C118,""Sell_"",""""))-COUNTIF(C$4:C117,""Sell_""&amp;SUBSTITUTE(C118,""Sell_"",""""))))/4),ROUNDUP(INDEX(Upgrades!$C$3:$C$7,MATCH(C118,Upgrades!$B$3:$B$7,0))*1.15^(COUNTIF(C$4:C117,C118)-COUNTIF(C$4:C117,""Sel"&amp;"l_""&amp;C118)))))))"),27757.0)</f>
        <v>27757</v>
      </c>
      <c r="H118" s="14">
        <f t="shared" si="3"/>
        <v>27757</v>
      </c>
      <c r="I118" s="75">
        <f t="shared" si="4"/>
        <v>15560288.03</v>
      </c>
      <c r="J118" s="76">
        <f t="shared" si="5"/>
        <v>1002.102268</v>
      </c>
      <c r="K118" s="71" t="str">
        <f t="shared" si="6"/>
        <v>16m 42s</v>
      </c>
      <c r="L118" s="77">
        <f t="shared" si="7"/>
        <v>832451</v>
      </c>
      <c r="M118" s="51">
        <f t="shared" si="8"/>
        <v>0</v>
      </c>
      <c r="N118" s="52">
        <f>IFERROR(__xludf.DUMMYFUNCTION("IFS(AND(COUNTA(C118:C147)=0,COUNTA(P118:P147)=0),"""",OR(AND(L118&gt;=1000000,OR(Y118&gt;=1000000,COUNTA(P118:P147)=0)),AND(Y118&gt;=1000000,COUNTA(C118:C147)=0),AND(COUNTA(P118:P147)=0,O$3=TRUE)),
ROUNDDOWN((AB$1-AC$1)*MAX(INDEX(S$4:S147,MATCH(LARGE(FILTER(Y$4:Y1"&amp;"47,Y$4:Y147&lt;1000000),1),Y$4:Y147)),INDEX(F$4:F147,MATCH(LARGE(FILTER(L$4:L147,L$4:L147&lt;1000000),1),L$4:L147)))),AND(L118&lt;1000000,COUNTA(C118:C147)&gt;0,O$3=FALSE),
ROUNDDOWN(INDEX(Y$4:Y147,MATCH(LARGE(FILTER(W$4:W147,W$4:W147&lt;=J118),1),W$4:W147))+(J118-LARGE"&amp;"(FILTER(W$4:W147,W$4:W147&lt;=J118),1))*INDEX(S$4:S147,MATCH(LARGE(FILTER(W$4:W147,W$4:W147&lt;=J118),1),W$4:W147))-L118),1,
ROUNDDOWN(Y118-INDEX(L$4:L147,MATCH(LARGE(FILTER(J$4:J147,J$4:J147&lt;=W118),1),J$4:J147))-(W118-LARGE(FILTER(J$4:J147,J$4:J147&lt;=W118),1))*"&amp;"INDEX(F$4:F147,MATCH(LARGE(FILTER(J$4:J147,J$4:J147&lt;=W118),1),J$4:J147))))"),0.0)</f>
        <v>0</v>
      </c>
      <c r="O118" s="65">
        <f t="shared" si="9"/>
        <v>7</v>
      </c>
      <c r="P118" s="66" t="s">
        <v>18</v>
      </c>
      <c r="Q118" s="14" t="b">
        <f>IFERROR(__xludf.DUMMYFUNCTION("IF(COUNTA(P118:P147)=0,"""",IFERROR(IF(ISBLANK(P118),FALSE,IF(ISBLANK(T118),1,IF(NOT(COUNTIF($AA$24:$AA$34,SUBSTITUTE(P118,""Sell_"",""""))),1,IF(P118=""Plastic_up"",IF(V118&lt;1000,1),IF(P118=""Super_Up"",IF(OR(COUNTIF(P$4:P118,""Grandma"")-COUNTIF(P$4:P118"&amp;",""Sell_Grandma"")&lt;1,COUNTIF(P$4:P118,VLOOKUP(P118,Upgrades!$F$8:$N$8,7+COUNTIF(P$4:P118,P118)))-COUNTIF(P$4:P118,""Sell_""&amp;VLOOKUP(P118,Upgrades!$F$8:$N$8,7+COUNTIF(P$4:P118,P118)))&lt;15),1),IF(REGEXMATCH(P118,""_up""),IF(COUNTIF(P$4:P118,SUBSTITUTE(P118,"&amp;"""_up"",""""))&lt;IFERROR(VLOOKUP(P118,Upgrades!$L$3:$P$6,1+COUNTIF(P$4:P118,P118),0),999),1),IF(REGEXMATCH(P118,""Sell_""),IF(COUNTIF(P$4:P118,SUBSTITUTE(P118,""Sell_"",""""))-COUNTIF(P$4:P117,P118)&lt;1,1),FALSE)))))))))"),FALSE)</f>
        <v>0</v>
      </c>
      <c r="R118" s="71">
        <f>IFERROR(__xludf.DUMMYFUNCTION("IF(REGEXMATCH(P118,""^Sell_""),R117, IF(COUNTA(P118:P147)=0,"""",(COUNTIF(P$4:P118,""Cursor"")-COUNTIF(P$4:P118,""Sell_Cursor""))*(0.1*2^SWITCH(COUNTIF(P$4:P118,""Cursor_up""),0,0,1,1,2,2,3)+SWITCH(COUNTIF(P$4:P118,""Cursor_up""),4,0.1,0)*(ROW(P118)-4-COU"&amp;"NTIF(P$4:P118,""Cursor"")-COUNTIF(P$4:P118,""*""&amp;""_up"")-2*COUNTIF(P$4:P118,""Sell_""&amp;""*"")+COUNTIF(P$4:P118,""Sell_Cursor"")-COUNTIF(P$4:P118,"""")))+(COUNTIF(P$4:P118,""Grandma"")-COUNTIF(P$4:P118,""Sell_Grandma""))*(1*2^(COUNTIF(P$4:P118,""Grandma_up"&amp;""")+COUNTIF(P$4:P118,""Super_up"")))+(COUNTIF(P$4:P118,""Farm"")-COUNTIF(P$4:P118,""Sell_Farm""))*(8*2^COUNTIF(P$4:P118,""Farm_up""))*IF(COUNTIF(P$4:P118,""Super_up"")&gt;0,1+0.01*(COUNTIF(P$4:P118,""Grandma"")-COUNTIF(P$4:P118,""Sell_Grandma"")),1)+(COUNTIF"&amp;"(P$4:P118,""Mine"")-COUNTIF(P$4:P118,""Sell_Mine""))*((47*2^COUNTIF(P$4:P118,""Mine_up""))*IF(COUNTIF(P$4:P118,""Super_up"")&gt;1,1+0.005*(COUNTIF(P$4:P118,""Grandma"")-COUNTIF(P$4:P118,""Sell_Grandma"")),1))+(COUNTIF(P$4:P118,""Factory"")-COUNTIF(P$4:P118,"&amp;"""Sell_Factory""))*(260*2^COUNTIF(P$4:P118,""Factory_up""))))"),2402.1000000000004)</f>
        <v>2402.1</v>
      </c>
      <c r="S118" s="73">
        <f>IFERROR(__xludf.DUMMYFUNCTION("IF(COUNTA(P118:P147)=0,"""",IF(REGEXMATCH(INDEX(FILTER(P$4:P118,P$4:P118&lt;&gt;""""),ROWS(FILTER(P$4:P118,P$4:P118&lt;&gt;""""))),""^Sell_""),INDEX(FILTER(S$4:S117,P$4:P117&lt;&gt;""""),ROWS(FILTER(P$4:P117,P$4:P117&lt;&gt;""""))),$AD$5*(2^SWITCH(COUNTIF(P$4:P118,""Cursor_up"")"&amp;",0,0,1,1,2,2,3)+SWITCH(COUNTIF(P$4:P118,""Cursor_up""),4,0.1,0)*(ROW(P118)-4-COUNTIF(P$4:P118,""Cursor"")-COUNTIF(P$4:P118,""*""&amp;""_up"")-2*COUNTIF(P$4:P118,""Sell_""&amp;""*"")+COUNTIF(P$4:P118,""Sell_Cursor"")-COUNTIF(P$4:P118,""""))+0.01*R118*COUNTIF(P$4:P"&amp;"118,""Plastic_up""))+R118))"),2976.9150000000004)</f>
        <v>2976.915</v>
      </c>
      <c r="T118" s="14">
        <f>IFERROR(__xludf.DUMMYFUNCTION("IF(COUNTA(P118:P147)=0,"""",IF(REGEXMATCH(P118,""_up""),VLOOKUP(P118,Upgrades!$F$3:$J$8,1+COUNTIF(P$4:P118,P118),FALSE),IF(P118="""",0,IF(REGEXMATCH(P118,""^Sell_""),-ROUNDDOWN(ROUNDUP(INDEX(Upgrades!$C$3:$C$8,MATCH(SUBSTITUTE(P118,""Sell_"",""""),Upgrade"&amp;"s!$B$3:$B$8,0))*1.15^(COUNTIF(P$4:P117,SUBSTITUTE(P118,""Sell_"",""""))-COUNTIF(P$4:P117,""Sell_""&amp;SUBSTITUTE(P118,""Sell_"",""""))))/4),ROUNDUP(INDEX(Upgrades!$C$3:$C$7,MATCH(P118,Upgrades!$B$3:$B$7,0))*1.15^(COUNTIF(P$4:P117,P118)-COUNTIF(P$4:P117,""Sel"&amp;"l_""&amp;P118)))))))"),27757.0)</f>
        <v>27757</v>
      </c>
      <c r="U118" s="14">
        <f t="shared" si="10"/>
        <v>27757</v>
      </c>
      <c r="V118" s="75">
        <f t="shared" si="11"/>
        <v>15560288.03</v>
      </c>
      <c r="W118" s="76">
        <f t="shared" si="12"/>
        <v>1002.102268</v>
      </c>
      <c r="X118" s="71" t="str">
        <f t="shared" si="13"/>
        <v>16m 42s</v>
      </c>
      <c r="Y118" s="77">
        <f t="shared" si="14"/>
        <v>832451</v>
      </c>
      <c r="Z118" s="17"/>
      <c r="AA118" s="13"/>
      <c r="AB118" s="13"/>
      <c r="AC118" s="13"/>
      <c r="AD118" s="13"/>
      <c r="AE118" s="13"/>
      <c r="AF118" s="13"/>
      <c r="AG118" s="13"/>
    </row>
    <row r="119">
      <c r="A119" s="12"/>
      <c r="B119" s="65">
        <f t="shared" si="2"/>
        <v>8</v>
      </c>
      <c r="C119" s="66" t="s">
        <v>18</v>
      </c>
      <c r="D119" s="14" t="b">
        <f>IFERROR(__xludf.DUMMYFUNCTION("IF(COUNTA(C119:C147)=0,"""",IFERROR(IF(ISBLANK(C119),FALSE,IF(ISBLANK(G119),1,IF(NOT(COUNTIF($AA$24:$AA$34,SUBSTITUTE(C119,""Sell_"",""""))),1,IF(C119=""Plastic_up"",IF(I119&lt;1000,1),IF(C119=""Super_Up"",IF(OR(COUNTIF(C$4:C119,""Grandma"")-COUNTIF(C$4:C119"&amp;",""Sell_Grandma"")&lt;1,COUNTIF(C$4:C119,VLOOKUP(C119,Upgrades!$F$8:$N$8,7+COUNTIF(C$4:C119,C119)))-COUNTIF(C$4:C119,""Sell_""&amp;VLOOKUP(C119,Upgrades!$F$8:$N$8,7+COUNTIF(C$4:C119,C119)))&lt;15),1),IF(REGEXMATCH(C119,""_up""),IF(COUNTIF(C$4:C119,SUBSTITUTE(C119,"&amp;"""_up"",""""))&lt;IFERROR(VLOOKUP(C119,Upgrades!$L$3:$P$6,1+COUNTIF(C$4:C119,C119),0),999),1),IF(REGEXMATCH(C119,""Sell_""),IF(COUNTIF(C$4:C119,SUBSTITUTE(C119,""Sell_"",""""))-COUNTIF(C$4:C118,C119)&lt;1,1),FALSE)))))))))"),FALSE)</f>
        <v>0</v>
      </c>
      <c r="E119" s="71">
        <f>IFERROR(__xludf.DUMMYFUNCTION("IF(REGEXMATCH(C119,""^Sell_""),E118, IF(COUNTA(C119:C147)=0,"""",(COUNTIF(C$4:C119,""Cursor"")-COUNTIF(C$4:C119,""Sell_Cursor""))*(0.1*2^SWITCH(COUNTIF(C$4:C119,""Cursor_up""),0,0,1,1,2,2,3)+SWITCH(COUNTIF(C$4:C119,""Cursor_up""),4,0.1,0)*(ROW(C119)-4-COU"&amp;"NTIF(C$4:C119,""Cursor"")-COUNTIF(C$4:C119,""*""&amp;""_up"")-2*COUNTIF(C$4:C119,""Sell_""&amp;""*"")+COUNTIF(C$4:C119,""Sell_Cursor"")-COUNTIF(C$4:C119,"""")))+(COUNTIF(C$4:C119,""Grandma"")-COUNTIF(C$4:C119,""Sell_Grandma""))*(1*2^(COUNTIF(C$4:C119,""Grandma_up"&amp;""")+COUNTIF(C$4:C119,""Super_up"")))+(COUNTIF(C$4:C119,""Farm"")-COUNTIF(C$4:C119,""Sell_Farm""))*(8*2^COUNTIF(C$4:C119,""Farm_up""))*IF(COUNTIF(C$4:C119,""Super_up"")&gt;0,1+0.01*(COUNTIF(C$4:C119,""Grandma"")-COUNTIF(C$4:C119,""Sell_Grandma"")),1)+(COUNTIF"&amp;"(C$4:C119,""Mine"")-COUNTIF(C$4:C119,""Sell_Mine""))*((47*2^COUNTIF(C$4:C119,""Mine_up""))*IF(COUNTIF(C$4:C119,""Super_up"")&gt;1,1+0.005*(COUNTIF(C$4:C119,""Grandma"")-COUNTIF(C$4:C119,""Sell_Grandma"")),1))+(COUNTIF(C$4:C119,""Factory"")-COUNTIF(C$4:C119,"&amp;"""Sell_Factory""))*(260*2^COUNTIF(C$4:C119,""Factory_up""))))"),2500.0)</f>
        <v>2500</v>
      </c>
      <c r="F119" s="73">
        <f>IFERROR(__xludf.DUMMYFUNCTION("IF(COUNTA(C119:C147)=0,"""",IF(REGEXMATCH(INDEX(FILTER(C$4:C119,C$4:C119&lt;&gt;""""),ROWS(FILTER(C$4:C119,C$4:C119&lt;&gt;""""))),""^Sell_""),INDEX(FILTER(F$4:F118,C$4:C118&lt;&gt;""""),ROWS(FILTER(C$4:C118,C$4:C118&lt;&gt;""""))),$AC$5*(2^SWITCH(COUNTIF(C$4:C119,""Cursor_up"")"&amp;",0,0,1,1,2,2,3)+SWITCH(COUNTIF(C$4:C119,""Cursor_up""),4,0.1,0)*(ROW(C119)-4-COUNTIF(C$4:C119,""Cursor"")-COUNTIF(C$4:C119,""*""&amp;""_up"")-2*COUNTIF(C$4:C119,""Sell_""&amp;""*"")+COUNTIF(C$4:C119,""Sell_Cursor"")-COUNTIF(C$4:C119,""""))+0.01*E119*COUNTIF(C$4:C"&amp;"119,""Plastic_up""))+E119))"),3091.0)</f>
        <v>3091</v>
      </c>
      <c r="G119" s="14">
        <f>IFERROR(__xludf.DUMMYFUNCTION("IF(COUNTA(C119:C147)=0,"""",IF(REGEXMATCH(C119,""_up""),VLOOKUP(C119,Upgrades!$F$3:$J$8,1+COUNTIF(C$4:C119,C119),FALSE),IF(C119="""",0,IF(REGEXMATCH(C119,""^Sell_""),-ROUNDDOWN(ROUNDUP(INDEX(Upgrades!$C$3:$C$8,MATCH(SUBSTITUTE(C119,""Sell_"",""""),Upgrade"&amp;"s!$B$3:$B$8,0))*1.15^(COUNTIF(C$4:C118,SUBSTITUTE(C119,""Sell_"",""""))-COUNTIF(C$4:C118,""Sell_""&amp;SUBSTITUTE(C119,""Sell_"",""""))))/4),ROUNDUP(INDEX(Upgrades!$C$3:$C$7,MATCH(C119,Upgrades!$B$3:$B$7,0))*1.15^(COUNTIF(C$4:C118,C119)-COUNTIF(C$4:C118,""Sel"&amp;"l_""&amp;C119)))))))"),31921.0)</f>
        <v>31921</v>
      </c>
      <c r="H119" s="14">
        <f t="shared" si="3"/>
        <v>31921</v>
      </c>
      <c r="I119" s="75">
        <f t="shared" si="4"/>
        <v>16142475.1</v>
      </c>
      <c r="J119" s="76">
        <f t="shared" si="5"/>
        <v>1012.825114</v>
      </c>
      <c r="K119" s="71" t="str">
        <f t="shared" si="6"/>
        <v>16m 52s</v>
      </c>
      <c r="L119" s="77">
        <f t="shared" si="7"/>
        <v>864372</v>
      </c>
      <c r="M119" s="51">
        <f t="shared" si="8"/>
        <v>0</v>
      </c>
      <c r="N119" s="52">
        <f>IFERROR(__xludf.DUMMYFUNCTION("IFS(AND(COUNTA(C119:C147)=0,COUNTA(P119:P147)=0),"""",OR(AND(L119&gt;=1000000,OR(Y119&gt;=1000000,COUNTA(P119:P147)=0)),AND(Y119&gt;=1000000,COUNTA(C119:C147)=0),AND(COUNTA(P119:P147)=0,O$3=TRUE)),
ROUNDDOWN((AB$1-AC$1)*MAX(INDEX(S$4:S147,MATCH(LARGE(FILTER(Y$4:Y1"&amp;"47,Y$4:Y147&lt;1000000),1),Y$4:Y147)),INDEX(F$4:F147,MATCH(LARGE(FILTER(L$4:L147,L$4:L147&lt;1000000),1),L$4:L147)))),AND(L119&lt;1000000,COUNTA(C119:C147)&gt;0,O$3=FALSE),
ROUNDDOWN(INDEX(Y$4:Y147,MATCH(LARGE(FILTER(W$4:W147,W$4:W147&lt;=J119),1),W$4:W147))+(J119-LARGE"&amp;"(FILTER(W$4:W147,W$4:W147&lt;=J119),1))*INDEX(S$4:S147,MATCH(LARGE(FILTER(W$4:W147,W$4:W147&lt;=J119),1),W$4:W147))-L119),1,
ROUNDDOWN(Y119-INDEX(L$4:L147,MATCH(LARGE(FILTER(J$4:J147,J$4:J147&lt;=W119),1),J$4:J147))-(W119-LARGE(FILTER(J$4:J147,J$4:J147&lt;=W119),1))*"&amp;"INDEX(F$4:F147,MATCH(LARGE(FILTER(J$4:J147,J$4:J147&lt;=W119),1),J$4:J147))))"),0.0)</f>
        <v>0</v>
      </c>
      <c r="O119" s="65">
        <f t="shared" si="9"/>
        <v>8</v>
      </c>
      <c r="P119" s="66" t="s">
        <v>18</v>
      </c>
      <c r="Q119" s="14" t="b">
        <f>IFERROR(__xludf.DUMMYFUNCTION("IF(COUNTA(P119:P147)=0,"""",IFERROR(IF(ISBLANK(P119),FALSE,IF(ISBLANK(T119),1,IF(NOT(COUNTIF($AA$24:$AA$34,SUBSTITUTE(P119,""Sell_"",""""))),1,IF(P119=""Plastic_up"",IF(V119&lt;1000,1),IF(P119=""Super_Up"",IF(OR(COUNTIF(P$4:P119,""Grandma"")-COUNTIF(P$4:P119"&amp;",""Sell_Grandma"")&lt;1,COUNTIF(P$4:P119,VLOOKUP(P119,Upgrades!$F$8:$N$8,7+COUNTIF(P$4:P119,P119)))-COUNTIF(P$4:P119,""Sell_""&amp;VLOOKUP(P119,Upgrades!$F$8:$N$8,7+COUNTIF(P$4:P119,P119)))&lt;15),1),IF(REGEXMATCH(P119,""_up""),IF(COUNTIF(P$4:P119,SUBSTITUTE(P119,"&amp;"""_up"",""""))&lt;IFERROR(VLOOKUP(P119,Upgrades!$L$3:$P$6,1+COUNTIF(P$4:P119,P119),0),999),1),IF(REGEXMATCH(P119,""Sell_""),IF(COUNTIF(P$4:P119,SUBSTITUTE(P119,""Sell_"",""""))-COUNTIF(P$4:P118,P119)&lt;1,1),FALSE)))))))))"),FALSE)</f>
        <v>0</v>
      </c>
      <c r="R119" s="71">
        <f>IFERROR(__xludf.DUMMYFUNCTION("IF(REGEXMATCH(P119,""^Sell_""),R118, IF(COUNTA(P119:P147)=0,"""",(COUNTIF(P$4:P119,""Cursor"")-COUNTIF(P$4:P119,""Sell_Cursor""))*(0.1*2^SWITCH(COUNTIF(P$4:P119,""Cursor_up""),0,0,1,1,2,2,3)+SWITCH(COUNTIF(P$4:P119,""Cursor_up""),4,0.1,0)*(ROW(P119)-4-COU"&amp;"NTIF(P$4:P119,""Cursor"")-COUNTIF(P$4:P119,""*""&amp;""_up"")-2*COUNTIF(P$4:P119,""Sell_""&amp;""*"")+COUNTIF(P$4:P119,""Sell_Cursor"")-COUNTIF(P$4:P119,"""")))+(COUNTIF(P$4:P119,""Grandma"")-COUNTIF(P$4:P119,""Sell_Grandma""))*(1*2^(COUNTIF(P$4:P119,""Grandma_up"&amp;""")+COUNTIF(P$4:P119,""Super_up"")))+(COUNTIF(P$4:P119,""Farm"")-COUNTIF(P$4:P119,""Sell_Farm""))*(8*2^COUNTIF(P$4:P119,""Farm_up""))*IF(COUNTIF(P$4:P119,""Super_up"")&gt;0,1+0.01*(COUNTIF(P$4:P119,""Grandma"")-COUNTIF(P$4:P119,""Sell_Grandma"")),1)+(COUNTIF"&amp;"(P$4:P119,""Mine"")-COUNTIF(P$4:P119,""Sell_Mine""))*((47*2^COUNTIF(P$4:P119,""Mine_up""))*IF(COUNTIF(P$4:P119,""Super_up"")&gt;1,1+0.005*(COUNTIF(P$4:P119,""Grandma"")-COUNTIF(P$4:P119,""Sell_Grandma"")),1))+(COUNTIF(P$4:P119,""Factory"")-COUNTIF(P$4:P119,"&amp;"""Sell_Factory""))*(260*2^COUNTIF(P$4:P119,""Factory_up""))))"),2500.0)</f>
        <v>2500</v>
      </c>
      <c r="S119" s="73">
        <f>IFERROR(__xludf.DUMMYFUNCTION("IF(COUNTA(P119:P147)=0,"""",IF(REGEXMATCH(INDEX(FILTER(P$4:P119,P$4:P119&lt;&gt;""""),ROWS(FILTER(P$4:P119,P$4:P119&lt;&gt;""""))),""^Sell_""),INDEX(FILTER(S$4:S118,P$4:P118&lt;&gt;""""),ROWS(FILTER(P$4:P118,P$4:P118&lt;&gt;""""))),$AD$5*(2^SWITCH(COUNTIF(P$4:P119,""Cursor_up"")"&amp;",0,0,1,1,2,2,3)+SWITCH(COUNTIF(P$4:P119,""Cursor_up""),4,0.1,0)*(ROW(P119)-4-COUNTIF(P$4:P119,""Cursor"")-COUNTIF(P$4:P119,""*""&amp;""_up"")-2*COUNTIF(P$4:P119,""Sell_""&amp;""*"")+COUNTIF(P$4:P119,""Sell_Cursor"")-COUNTIF(P$4:P119,""""))+0.01*R119*COUNTIF(P$4:P"&amp;"119,""Plastic_up""))+R119))"),3091.0)</f>
        <v>3091</v>
      </c>
      <c r="T119" s="14">
        <f>IFERROR(__xludf.DUMMYFUNCTION("IF(COUNTA(P119:P147)=0,"""",IF(REGEXMATCH(P119,""_up""),VLOOKUP(P119,Upgrades!$F$3:$J$8,1+COUNTIF(P$4:P119,P119),FALSE),IF(P119="""",0,IF(REGEXMATCH(P119,""^Sell_""),-ROUNDDOWN(ROUNDUP(INDEX(Upgrades!$C$3:$C$8,MATCH(SUBSTITUTE(P119,""Sell_"",""""),Upgrade"&amp;"s!$B$3:$B$8,0))*1.15^(COUNTIF(P$4:P118,SUBSTITUTE(P119,""Sell_"",""""))-COUNTIF(P$4:P118,""Sell_""&amp;SUBSTITUTE(P119,""Sell_"",""""))))/4),ROUNDUP(INDEX(Upgrades!$C$3:$C$7,MATCH(P119,Upgrades!$B$3:$B$7,0))*1.15^(COUNTIF(P$4:P118,P119)-COUNTIF(P$4:P118,""Sel"&amp;"l_""&amp;P119)))))))"),31921.0)</f>
        <v>31921</v>
      </c>
      <c r="U119" s="14">
        <f t="shared" si="10"/>
        <v>31921</v>
      </c>
      <c r="V119" s="75">
        <f t="shared" si="11"/>
        <v>16142475.1</v>
      </c>
      <c r="W119" s="76">
        <f t="shared" si="12"/>
        <v>1012.825114</v>
      </c>
      <c r="X119" s="71" t="str">
        <f t="shared" si="13"/>
        <v>16m 52s</v>
      </c>
      <c r="Y119" s="77">
        <f t="shared" si="14"/>
        <v>864372</v>
      </c>
      <c r="Z119" s="17"/>
      <c r="AA119" s="13"/>
      <c r="AB119" s="13"/>
      <c r="AC119" s="13"/>
      <c r="AD119" s="13"/>
      <c r="AE119" s="13"/>
      <c r="AF119" s="13"/>
      <c r="AG119" s="13"/>
    </row>
    <row r="120">
      <c r="A120" s="12"/>
      <c r="B120" s="65">
        <f t="shared" si="2"/>
        <v>9</v>
      </c>
      <c r="C120" s="66" t="s">
        <v>18</v>
      </c>
      <c r="D120" s="14" t="b">
        <f>IFERROR(__xludf.DUMMYFUNCTION("IF(COUNTA(C120:C147)=0,"""",IFERROR(IF(ISBLANK(C120),FALSE,IF(ISBLANK(G120),1,IF(NOT(COUNTIF($AA$24:$AA$34,SUBSTITUTE(C120,""Sell_"",""""))),1,IF(C120=""Plastic_up"",IF(I120&lt;1000,1),IF(C120=""Super_Up"",IF(OR(COUNTIF(C$4:C120,""Grandma"")-COUNTIF(C$4:C120"&amp;",""Sell_Grandma"")&lt;1,COUNTIF(C$4:C120,VLOOKUP(C120,Upgrades!$F$8:$N$8,7+COUNTIF(C$4:C120,C120)))-COUNTIF(C$4:C120,""Sell_""&amp;VLOOKUP(C120,Upgrades!$F$8:$N$8,7+COUNTIF(C$4:C120,C120)))&lt;15),1),IF(REGEXMATCH(C120,""_up""),IF(COUNTIF(C$4:C120,SUBSTITUTE(C120,"&amp;"""_up"",""""))&lt;IFERROR(VLOOKUP(C120,Upgrades!$L$3:$P$6,1+COUNTIF(C$4:C120,C120),0),999),1),IF(REGEXMATCH(C120,""Sell_""),IF(COUNTIF(C$4:C120,SUBSTITUTE(C120,""Sell_"",""""))-COUNTIF(C$4:C119,C120)&lt;1,1),FALSE)))))))))"),FALSE)</f>
        <v>0</v>
      </c>
      <c r="E120" s="71">
        <f>IFERROR(__xludf.DUMMYFUNCTION("IF(REGEXMATCH(C120,""^Sell_""),E119, IF(COUNTA(C120:C147)=0,"""",(COUNTIF(C$4:C120,""Cursor"")-COUNTIF(C$4:C120,""Sell_Cursor""))*(0.1*2^SWITCH(COUNTIF(C$4:C120,""Cursor_up""),0,0,1,1,2,2,3)+SWITCH(COUNTIF(C$4:C120,""Cursor_up""),4,0.1,0)*(ROW(C120)-4-COU"&amp;"NTIF(C$4:C120,""Cursor"")-COUNTIF(C$4:C120,""*""&amp;""_up"")-2*COUNTIF(C$4:C120,""Sell_""&amp;""*"")+COUNTIF(C$4:C120,""Sell_Cursor"")-COUNTIF(C$4:C120,"""")))+(COUNTIF(C$4:C120,""Grandma"")-COUNTIF(C$4:C120,""Sell_Grandma""))*(1*2^(COUNTIF(C$4:C120,""Grandma_up"&amp;""")+COUNTIF(C$4:C120,""Super_up"")))+(COUNTIF(C$4:C120,""Farm"")-COUNTIF(C$4:C120,""Sell_Farm""))*(8*2^COUNTIF(C$4:C120,""Farm_up""))*IF(COUNTIF(C$4:C120,""Super_up"")&gt;0,1+0.01*(COUNTIF(C$4:C120,""Grandma"")-COUNTIF(C$4:C120,""Sell_Grandma"")),1)+(COUNTIF"&amp;"(C$4:C120,""Mine"")-COUNTIF(C$4:C120,""Sell_Mine""))*((47*2^COUNTIF(C$4:C120,""Mine_up""))*IF(COUNTIF(C$4:C120,""Super_up"")&gt;1,1+0.005*(COUNTIF(C$4:C120,""Grandma"")-COUNTIF(C$4:C120,""Sell_Grandma"")),1))+(COUNTIF(C$4:C120,""Factory"")-COUNTIF(C$4:C120,"&amp;"""Sell_Factory""))*(260*2^COUNTIF(C$4:C120,""Factory_up""))))"),2597.9)</f>
        <v>2597.9</v>
      </c>
      <c r="F120" s="73">
        <f>IFERROR(__xludf.DUMMYFUNCTION("IF(COUNTA(C120:C147)=0,"""",IF(REGEXMATCH(INDEX(FILTER(C$4:C120,C$4:C120&lt;&gt;""""),ROWS(FILTER(C$4:C120,C$4:C120&lt;&gt;""""))),""^Sell_""),INDEX(FILTER(F$4:F119,C$4:C119&lt;&gt;""""),ROWS(FILTER(C$4:C119,C$4:C119&lt;&gt;""""))),$AC$5*(2^SWITCH(COUNTIF(C$4:C120,""Cursor_up"")"&amp;",0,0,1,1,2,2,3)+SWITCH(COUNTIF(C$4:C120,""Cursor_up""),4,0.1,0)*(ROW(C120)-4-COUNTIF(C$4:C120,""Cursor"")-COUNTIF(C$4:C120,""*""&amp;""_up"")-2*COUNTIF(C$4:C120,""Sell_""&amp;""*"")+COUNTIF(C$4:C120,""Sell_Cursor"")-COUNTIF(C$4:C120,""""))+0.01*E120*COUNTIF(C$4:C"&amp;"120,""Plastic_up""))+E120))"),3205.085)</f>
        <v>3205.085</v>
      </c>
      <c r="G120" s="14">
        <f>IFERROR(__xludf.DUMMYFUNCTION("IF(COUNTA(C120:C147)=0,"""",IF(REGEXMATCH(C120,""_up""),VLOOKUP(C120,Upgrades!$F$3:$J$8,1+COUNTIF(C$4:C120,C120),FALSE),IF(C120="""",0,IF(REGEXMATCH(C120,""^Sell_""),-ROUNDDOWN(ROUNDUP(INDEX(Upgrades!$C$3:$C$8,MATCH(SUBSTITUTE(C120,""Sell_"",""""),Upgrade"&amp;"s!$B$3:$B$8,0))*1.15^(COUNTIF(C$4:C119,SUBSTITUTE(C120,""Sell_"",""""))-COUNTIF(C$4:C119,""Sell_""&amp;SUBSTITUTE(C120,""Sell_"",""""))))/4),ROUNDUP(INDEX(Upgrades!$C$3:$C$7,MATCH(C120,Upgrades!$B$3:$B$7,0))*1.15^(COUNTIF(C$4:C119,C120)-COUNTIF(C$4:C119,""Sel"&amp;"l_""&amp;C120)))))))"),36709.0)</f>
        <v>36709</v>
      </c>
      <c r="H120" s="14">
        <f t="shared" si="3"/>
        <v>36709</v>
      </c>
      <c r="I120" s="75">
        <f t="shared" si="4"/>
        <v>16748073.51</v>
      </c>
      <c r="J120" s="76">
        <f t="shared" si="5"/>
        <v>1024.701206</v>
      </c>
      <c r="K120" s="71" t="str">
        <f t="shared" si="6"/>
        <v>17m 04s</v>
      </c>
      <c r="L120" s="77">
        <f t="shared" si="7"/>
        <v>901081</v>
      </c>
      <c r="M120" s="51">
        <f t="shared" si="8"/>
        <v>0</v>
      </c>
      <c r="N120" s="52">
        <f>IFERROR(__xludf.DUMMYFUNCTION("IFS(AND(COUNTA(C120:C147)=0,COUNTA(P120:P147)=0),"""",OR(AND(L120&gt;=1000000,OR(Y120&gt;=1000000,COUNTA(P120:P147)=0)),AND(Y120&gt;=1000000,COUNTA(C120:C147)=0),AND(COUNTA(P120:P147)=0,O$3=TRUE)),
ROUNDDOWN((AB$1-AC$1)*MAX(INDEX(S$4:S147,MATCH(LARGE(FILTER(Y$4:Y1"&amp;"47,Y$4:Y147&lt;1000000),1),Y$4:Y147)),INDEX(F$4:F147,MATCH(LARGE(FILTER(L$4:L147,L$4:L147&lt;1000000),1),L$4:L147)))),AND(L120&lt;1000000,COUNTA(C120:C147)&gt;0,O$3=FALSE),
ROUNDDOWN(INDEX(Y$4:Y147,MATCH(LARGE(FILTER(W$4:W147,W$4:W147&lt;=J120),1),W$4:W147))+(J120-LARGE"&amp;"(FILTER(W$4:W147,W$4:W147&lt;=J120),1))*INDEX(S$4:S147,MATCH(LARGE(FILTER(W$4:W147,W$4:W147&lt;=J120),1),W$4:W147))-L120),1,
ROUNDDOWN(Y120-INDEX(L$4:L147,MATCH(LARGE(FILTER(J$4:J147,J$4:J147&lt;=W120),1),J$4:J147))-(W120-LARGE(FILTER(J$4:J147,J$4:J147&lt;=W120),1))*"&amp;"INDEX(F$4:F147,MATCH(LARGE(FILTER(J$4:J147,J$4:J147&lt;=W120),1),J$4:J147))))"),0.0)</f>
        <v>0</v>
      </c>
      <c r="O120" s="65">
        <f t="shared" si="9"/>
        <v>9</v>
      </c>
      <c r="P120" s="66" t="s">
        <v>18</v>
      </c>
      <c r="Q120" s="14" t="b">
        <f>IFERROR(__xludf.DUMMYFUNCTION("IF(COUNTA(P120:P147)=0,"""",IFERROR(IF(ISBLANK(P120),FALSE,IF(ISBLANK(T120),1,IF(NOT(COUNTIF($AA$24:$AA$34,SUBSTITUTE(P120,""Sell_"",""""))),1,IF(P120=""Plastic_up"",IF(V120&lt;1000,1),IF(P120=""Super_Up"",IF(OR(COUNTIF(P$4:P120,""Grandma"")-COUNTIF(P$4:P120"&amp;",""Sell_Grandma"")&lt;1,COUNTIF(P$4:P120,VLOOKUP(P120,Upgrades!$F$8:$N$8,7+COUNTIF(P$4:P120,P120)))-COUNTIF(P$4:P120,""Sell_""&amp;VLOOKUP(P120,Upgrades!$F$8:$N$8,7+COUNTIF(P$4:P120,P120)))&lt;15),1),IF(REGEXMATCH(P120,""_up""),IF(COUNTIF(P$4:P120,SUBSTITUTE(P120,"&amp;"""_up"",""""))&lt;IFERROR(VLOOKUP(P120,Upgrades!$L$3:$P$6,1+COUNTIF(P$4:P120,P120),0),999),1),IF(REGEXMATCH(P120,""Sell_""),IF(COUNTIF(P$4:P120,SUBSTITUTE(P120,""Sell_"",""""))-COUNTIF(P$4:P119,P120)&lt;1,1),FALSE)))))))))"),FALSE)</f>
        <v>0</v>
      </c>
      <c r="R120" s="71">
        <f>IFERROR(__xludf.DUMMYFUNCTION("IF(REGEXMATCH(P120,""^Sell_""),R119, IF(COUNTA(P120:P147)=0,"""",(COUNTIF(P$4:P120,""Cursor"")-COUNTIF(P$4:P120,""Sell_Cursor""))*(0.1*2^SWITCH(COUNTIF(P$4:P120,""Cursor_up""),0,0,1,1,2,2,3)+SWITCH(COUNTIF(P$4:P120,""Cursor_up""),4,0.1,0)*(ROW(P120)-4-COU"&amp;"NTIF(P$4:P120,""Cursor"")-COUNTIF(P$4:P120,""*""&amp;""_up"")-2*COUNTIF(P$4:P120,""Sell_""&amp;""*"")+COUNTIF(P$4:P120,""Sell_Cursor"")-COUNTIF(P$4:P120,"""")))+(COUNTIF(P$4:P120,""Grandma"")-COUNTIF(P$4:P120,""Sell_Grandma""))*(1*2^(COUNTIF(P$4:P120,""Grandma_up"&amp;""")+COUNTIF(P$4:P120,""Super_up"")))+(COUNTIF(P$4:P120,""Farm"")-COUNTIF(P$4:P120,""Sell_Farm""))*(8*2^COUNTIF(P$4:P120,""Farm_up""))*IF(COUNTIF(P$4:P120,""Super_up"")&gt;0,1+0.01*(COUNTIF(P$4:P120,""Grandma"")-COUNTIF(P$4:P120,""Sell_Grandma"")),1)+(COUNTIF"&amp;"(P$4:P120,""Mine"")-COUNTIF(P$4:P120,""Sell_Mine""))*((47*2^COUNTIF(P$4:P120,""Mine_up""))*IF(COUNTIF(P$4:P120,""Super_up"")&gt;1,1+0.005*(COUNTIF(P$4:P120,""Grandma"")-COUNTIF(P$4:P120,""Sell_Grandma"")),1))+(COUNTIF(P$4:P120,""Factory"")-COUNTIF(P$4:P120,"&amp;"""Sell_Factory""))*(260*2^COUNTIF(P$4:P120,""Factory_up""))))"),2597.9)</f>
        <v>2597.9</v>
      </c>
      <c r="S120" s="73">
        <f>IFERROR(__xludf.DUMMYFUNCTION("IF(COUNTA(P120:P147)=0,"""",IF(REGEXMATCH(INDEX(FILTER(P$4:P120,P$4:P120&lt;&gt;""""),ROWS(FILTER(P$4:P120,P$4:P120&lt;&gt;""""))),""^Sell_""),INDEX(FILTER(S$4:S119,P$4:P119&lt;&gt;""""),ROWS(FILTER(P$4:P119,P$4:P119&lt;&gt;""""))),$AD$5*(2^SWITCH(COUNTIF(P$4:P120,""Cursor_up"")"&amp;",0,0,1,1,2,2,3)+SWITCH(COUNTIF(P$4:P120,""Cursor_up""),4,0.1,0)*(ROW(P120)-4-COUNTIF(P$4:P120,""Cursor"")-COUNTIF(P$4:P120,""*""&amp;""_up"")-2*COUNTIF(P$4:P120,""Sell_""&amp;""*"")+COUNTIF(P$4:P120,""Sell_Cursor"")-COUNTIF(P$4:P120,""""))+0.01*R120*COUNTIF(P$4:P"&amp;"120,""Plastic_up""))+R120))"),3205.085)</f>
        <v>3205.085</v>
      </c>
      <c r="T120" s="14">
        <f>IFERROR(__xludf.DUMMYFUNCTION("IF(COUNTA(P120:P147)=0,"""",IF(REGEXMATCH(P120,""_up""),VLOOKUP(P120,Upgrades!$F$3:$J$8,1+COUNTIF(P$4:P120,P120),FALSE),IF(P120="""",0,IF(REGEXMATCH(P120,""^Sell_""),-ROUNDDOWN(ROUNDUP(INDEX(Upgrades!$C$3:$C$8,MATCH(SUBSTITUTE(P120,""Sell_"",""""),Upgrade"&amp;"s!$B$3:$B$8,0))*1.15^(COUNTIF(P$4:P119,SUBSTITUTE(P120,""Sell_"",""""))-COUNTIF(P$4:P119,""Sell_""&amp;SUBSTITUTE(P120,""Sell_"",""""))))/4),ROUNDUP(INDEX(Upgrades!$C$3:$C$7,MATCH(P120,Upgrades!$B$3:$B$7,0))*1.15^(COUNTIF(P$4:P119,P120)-COUNTIF(P$4:P119,""Sel"&amp;"l_""&amp;P120)))))))"),36709.0)</f>
        <v>36709</v>
      </c>
      <c r="U120" s="14">
        <f t="shared" si="10"/>
        <v>36709</v>
      </c>
      <c r="V120" s="75">
        <f t="shared" si="11"/>
        <v>16748073.51</v>
      </c>
      <c r="W120" s="76">
        <f t="shared" si="12"/>
        <v>1024.701206</v>
      </c>
      <c r="X120" s="71" t="str">
        <f t="shared" si="13"/>
        <v>17m 04s</v>
      </c>
      <c r="Y120" s="77">
        <f t="shared" si="14"/>
        <v>901081</v>
      </c>
      <c r="Z120" s="17"/>
      <c r="AA120" s="13"/>
      <c r="AB120" s="13"/>
      <c r="AC120" s="13"/>
      <c r="AD120" s="13"/>
      <c r="AE120" s="13"/>
      <c r="AF120" s="13"/>
      <c r="AG120" s="13"/>
    </row>
    <row r="121">
      <c r="A121" s="12"/>
      <c r="B121" s="65">
        <f t="shared" si="2"/>
        <v>22</v>
      </c>
      <c r="C121" s="66" t="s">
        <v>16</v>
      </c>
      <c r="D121" s="14" t="b">
        <f>IFERROR(__xludf.DUMMYFUNCTION("IF(COUNTA(C121:C147)=0,"""",IFERROR(IF(ISBLANK(C121),FALSE,IF(ISBLANK(G121),1,IF(NOT(COUNTIF($AA$24:$AA$34,SUBSTITUTE(C121,""Sell_"",""""))),1,IF(C121=""Plastic_up"",IF(I121&lt;1000,1),IF(C121=""Super_Up"",IF(OR(COUNTIF(C$4:C121,""Grandma"")-COUNTIF(C$4:C121"&amp;",""Sell_Grandma"")&lt;1,COUNTIF(C$4:C121,VLOOKUP(C121,Upgrades!$F$8:$N$8,7+COUNTIF(C$4:C121,C121)))-COUNTIF(C$4:C121,""Sell_""&amp;VLOOKUP(C121,Upgrades!$F$8:$N$8,7+COUNTIF(C$4:C121,C121)))&lt;15),1),IF(REGEXMATCH(C121,""_up""),IF(COUNTIF(C$4:C121,SUBSTITUTE(C121,"&amp;"""_up"",""""))&lt;IFERROR(VLOOKUP(C121,Upgrades!$L$3:$P$6,1+COUNTIF(C$4:C121,C121),0),999),1),IF(REGEXMATCH(C121,""Sell_""),IF(COUNTIF(C$4:C121,SUBSTITUTE(C121,""Sell_"",""""))-COUNTIF(C$4:C120,C121)&lt;1,1),FALSE)))))))))"),FALSE)</f>
        <v>0</v>
      </c>
      <c r="E121" s="71">
        <f>IFERROR(__xludf.DUMMYFUNCTION("IF(REGEXMATCH(C121,""^Sell_""),E120, IF(COUNTA(C121:C147)=0,"""",(COUNTIF(C$4:C121,""Cursor"")-COUNTIF(C$4:C121,""Sell_Cursor""))*(0.1*2^SWITCH(COUNTIF(C$4:C121,""Cursor_up""),0,0,1,1,2,2,3)+SWITCH(COUNTIF(C$4:C121,""Cursor_up""),4,0.1,0)*(ROW(C121)-4-COU"&amp;"NTIF(C$4:C121,""Cursor"")-COUNTIF(C$4:C121,""*""&amp;""_up"")-2*COUNTIF(C$4:C121,""Sell_""&amp;""*"")+COUNTIF(C$4:C121,""Sell_Cursor"")-COUNTIF(C$4:C121,"""")))+(COUNTIF(C$4:C121,""Grandma"")-COUNTIF(C$4:C121,""Sell_Grandma""))*(1*2^(COUNTIF(C$4:C121,""Grandma_up"&amp;""")+COUNTIF(C$4:C121,""Super_up"")))+(COUNTIF(C$4:C121,""Farm"")-COUNTIF(C$4:C121,""Sell_Farm""))*(8*2^COUNTIF(C$4:C121,""Farm_up""))*IF(COUNTIF(C$4:C121,""Super_up"")&gt;0,1+0.01*(COUNTIF(C$4:C121,""Grandma"")-COUNTIF(C$4:C121,""Sell_Grandma"")),1)+(COUNTIF"&amp;"(C$4:C121,""Mine"")-COUNTIF(C$4:C121,""Sell_Mine""))*((47*2^COUNTIF(C$4:C121,""Mine_up""))*IF(COUNTIF(C$4:C121,""Super_up"")&gt;1,1+0.005*(COUNTIF(C$4:C121,""Grandma"")-COUNTIF(C$4:C121,""Sell_Grandma"")),1))+(COUNTIF(C$4:C121,""Factory"")-COUNTIF(C$4:C121,"&amp;"""Sell_Factory""))*(260*2^COUNTIF(C$4:C121,""Factory_up""))))"),2645.0)</f>
        <v>2645</v>
      </c>
      <c r="F121" s="73">
        <f>IFERROR(__xludf.DUMMYFUNCTION("IF(COUNTA(C121:C147)=0,"""",IF(REGEXMATCH(INDEX(FILTER(C$4:C121,C$4:C121&lt;&gt;""""),ROWS(FILTER(C$4:C121,C$4:C121&lt;&gt;""""))),""^Sell_""),INDEX(FILTER(F$4:F120,C$4:C120&lt;&gt;""""),ROWS(FILTER(C$4:C120,C$4:C120&lt;&gt;""""))),$AC$5*(2^SWITCH(COUNTIF(C$4:C121,""Cursor_up"")"&amp;",0,0,1,1,2,2,3)+SWITCH(COUNTIF(C$4:C121,""Cursor_up""),4,0.1,0)*(ROW(C121)-4-COUNTIF(C$4:C121,""Cursor"")-COUNTIF(C$4:C121,""*""&amp;""_up"")-2*COUNTIF(C$4:C121,""Sell_""&amp;""*"")+COUNTIF(C$4:C121,""Sell_Cursor"")-COUNTIF(C$4:C121,""""))+0.01*E121*COUNTIF(C$4:C"&amp;"121,""Plastic_up""))+E121))"),3260.75)</f>
        <v>3260.75</v>
      </c>
      <c r="G121" s="14">
        <f>IFERROR(__xludf.DUMMYFUNCTION("IF(COUNTA(C121:C147)=0,"""",IF(REGEXMATCH(C121,""_up""),VLOOKUP(C121,Upgrades!$F$3:$J$8,1+COUNTIF(C$4:C121,C121),FALSE),IF(C121="""",0,IF(REGEXMATCH(C121,""^Sell_""),-ROUNDDOWN(ROUNDUP(INDEX(Upgrades!$C$3:$C$8,MATCH(SUBSTITUTE(C121,""Sell_"",""""),Upgrade"&amp;"s!$B$3:$B$8,0))*1.15^(COUNTIF(C$4:C120,SUBSTITUTE(C121,""Sell_"",""""))-COUNTIF(C$4:C120,""Sell_""&amp;SUBSTITUTE(C121,""Sell_"",""""))))/4),ROUNDUP(INDEX(Upgrades!$C$3:$C$7,MATCH(C121,Upgrades!$B$3:$B$7,0))*1.15^(COUNTIF(C$4:C120,C121)-COUNTIF(C$4:C120,""Sel"&amp;"l_""&amp;C121)))))))"),20704.0)</f>
        <v>20704</v>
      </c>
      <c r="H121" s="14">
        <f t="shared" si="3"/>
        <v>20704</v>
      </c>
      <c r="I121" s="75">
        <f t="shared" si="4"/>
        <v>17374178.97</v>
      </c>
      <c r="J121" s="76">
        <f t="shared" si="5"/>
        <v>1031.160941</v>
      </c>
      <c r="K121" s="71" t="str">
        <f t="shared" si="6"/>
        <v>17m 11s</v>
      </c>
      <c r="L121" s="77">
        <f t="shared" si="7"/>
        <v>921785</v>
      </c>
      <c r="M121" s="51">
        <f t="shared" si="8"/>
        <v>0</v>
      </c>
      <c r="N121" s="52">
        <f>IFERROR(__xludf.DUMMYFUNCTION("IFS(AND(COUNTA(C121:C147)=0,COUNTA(P121:P147)=0),"""",OR(AND(L121&gt;=1000000,OR(Y121&gt;=1000000,COUNTA(P121:P147)=0)),AND(Y121&gt;=1000000,COUNTA(C121:C147)=0),AND(COUNTA(P121:P147)=0,O$3=TRUE)),
ROUNDDOWN((AB$1-AC$1)*MAX(INDEX(S$4:S147,MATCH(LARGE(FILTER(Y$4:Y1"&amp;"47,Y$4:Y147&lt;1000000),1),Y$4:Y147)),INDEX(F$4:F147,MATCH(LARGE(FILTER(L$4:L147,L$4:L147&lt;1000000),1),L$4:L147)))),AND(L121&lt;1000000,COUNTA(C121:C147)&gt;0,O$3=FALSE),
ROUNDDOWN(INDEX(Y$4:Y147,MATCH(LARGE(FILTER(W$4:W147,W$4:W147&lt;=J121),1),W$4:W147))+(J121-LARGE"&amp;"(FILTER(W$4:W147,W$4:W147&lt;=J121),1))*INDEX(S$4:S147,MATCH(LARGE(FILTER(W$4:W147,W$4:W147&lt;=J121),1),W$4:W147))-L121),1,
ROUNDDOWN(Y121-INDEX(L$4:L147,MATCH(LARGE(FILTER(J$4:J147,J$4:J147&lt;=W121),1),J$4:J147))-(W121-LARGE(FILTER(J$4:J147,J$4:J147&lt;=W121),1))*"&amp;"INDEX(F$4:F147,MATCH(LARGE(FILTER(J$4:J147,J$4:J147&lt;=W121),1),J$4:J147))))"),0.0)</f>
        <v>0</v>
      </c>
      <c r="O121" s="65">
        <f t="shared" si="9"/>
        <v>22</v>
      </c>
      <c r="P121" s="66" t="s">
        <v>16</v>
      </c>
      <c r="Q121" s="14" t="b">
        <f>IFERROR(__xludf.DUMMYFUNCTION("IF(COUNTA(P121:P147)=0,"""",IFERROR(IF(ISBLANK(P121),FALSE,IF(ISBLANK(T121),1,IF(NOT(COUNTIF($AA$24:$AA$34,SUBSTITUTE(P121,""Sell_"",""""))),1,IF(P121=""Plastic_up"",IF(V121&lt;1000,1),IF(P121=""Super_Up"",IF(OR(COUNTIF(P$4:P121,""Grandma"")-COUNTIF(P$4:P121"&amp;",""Sell_Grandma"")&lt;1,COUNTIF(P$4:P121,VLOOKUP(P121,Upgrades!$F$8:$N$8,7+COUNTIF(P$4:P121,P121)))-COUNTIF(P$4:P121,""Sell_""&amp;VLOOKUP(P121,Upgrades!$F$8:$N$8,7+COUNTIF(P$4:P121,P121)))&lt;15),1),IF(REGEXMATCH(P121,""_up""),IF(COUNTIF(P$4:P121,SUBSTITUTE(P121,"&amp;"""_up"",""""))&lt;IFERROR(VLOOKUP(P121,Upgrades!$L$3:$P$6,1+COUNTIF(P$4:P121,P121),0),999),1),IF(REGEXMATCH(P121,""Sell_""),IF(COUNTIF(P$4:P121,SUBSTITUTE(P121,""Sell_"",""""))-COUNTIF(P$4:P120,P121)&lt;1,1),FALSE)))))))))"),FALSE)</f>
        <v>0</v>
      </c>
      <c r="R121" s="71">
        <f>IFERROR(__xludf.DUMMYFUNCTION("IF(REGEXMATCH(P121,""^Sell_""),R120, IF(COUNTA(P121:P147)=0,"""",(COUNTIF(P$4:P121,""Cursor"")-COUNTIF(P$4:P121,""Sell_Cursor""))*(0.1*2^SWITCH(COUNTIF(P$4:P121,""Cursor_up""),0,0,1,1,2,2,3)+SWITCH(COUNTIF(P$4:P121,""Cursor_up""),4,0.1,0)*(ROW(P121)-4-COU"&amp;"NTIF(P$4:P121,""Cursor"")-COUNTIF(P$4:P121,""*""&amp;""_up"")-2*COUNTIF(P$4:P121,""Sell_""&amp;""*"")+COUNTIF(P$4:P121,""Sell_Cursor"")-COUNTIF(P$4:P121,"""")))+(COUNTIF(P$4:P121,""Grandma"")-COUNTIF(P$4:P121,""Sell_Grandma""))*(1*2^(COUNTIF(P$4:P121,""Grandma_up"&amp;""")+COUNTIF(P$4:P121,""Super_up"")))+(COUNTIF(P$4:P121,""Farm"")-COUNTIF(P$4:P121,""Sell_Farm""))*(8*2^COUNTIF(P$4:P121,""Farm_up""))*IF(COUNTIF(P$4:P121,""Super_up"")&gt;0,1+0.01*(COUNTIF(P$4:P121,""Grandma"")-COUNTIF(P$4:P121,""Sell_Grandma"")),1)+(COUNTIF"&amp;"(P$4:P121,""Mine"")-COUNTIF(P$4:P121,""Sell_Mine""))*((47*2^COUNTIF(P$4:P121,""Mine_up""))*IF(COUNTIF(P$4:P121,""Super_up"")&gt;1,1+0.005*(COUNTIF(P$4:P121,""Grandma"")-COUNTIF(P$4:P121,""Sell_Grandma"")),1))+(COUNTIF(P$4:P121,""Factory"")-COUNTIF(P$4:P121,"&amp;"""Sell_Factory""))*(260*2^COUNTIF(P$4:P121,""Factory_up""))))"),2645.0)</f>
        <v>2645</v>
      </c>
      <c r="S121" s="73">
        <f>IFERROR(__xludf.DUMMYFUNCTION("IF(COUNTA(P121:P147)=0,"""",IF(REGEXMATCH(INDEX(FILTER(P$4:P121,P$4:P121&lt;&gt;""""),ROWS(FILTER(P$4:P121,P$4:P121&lt;&gt;""""))),""^Sell_""),INDEX(FILTER(S$4:S120,P$4:P120&lt;&gt;""""),ROWS(FILTER(P$4:P120,P$4:P120&lt;&gt;""""))),$AD$5*(2^SWITCH(COUNTIF(P$4:P121,""Cursor_up"")"&amp;",0,0,1,1,2,2,3)+SWITCH(COUNTIF(P$4:P121,""Cursor_up""),4,0.1,0)*(ROW(P121)-4-COUNTIF(P$4:P121,""Cursor"")-COUNTIF(P$4:P121,""*""&amp;""_up"")-2*COUNTIF(P$4:P121,""Sell_""&amp;""*"")+COUNTIF(P$4:P121,""Sell_Cursor"")-COUNTIF(P$4:P121,""""))+0.01*R121*COUNTIF(P$4:P"&amp;"121,""Plastic_up""))+R121))"),3260.75)</f>
        <v>3260.75</v>
      </c>
      <c r="T121" s="14">
        <f>IFERROR(__xludf.DUMMYFUNCTION("IF(COUNTA(P121:P147)=0,"""",IF(REGEXMATCH(P121,""_up""),VLOOKUP(P121,Upgrades!$F$3:$J$8,1+COUNTIF(P$4:P121,P121),FALSE),IF(P121="""",0,IF(REGEXMATCH(P121,""^Sell_""),-ROUNDDOWN(ROUNDUP(INDEX(Upgrades!$C$3:$C$8,MATCH(SUBSTITUTE(P121,""Sell_"",""""),Upgrade"&amp;"s!$B$3:$B$8,0))*1.15^(COUNTIF(P$4:P120,SUBSTITUTE(P121,""Sell_"",""""))-COUNTIF(P$4:P120,""Sell_""&amp;SUBSTITUTE(P121,""Sell_"",""""))))/4),ROUNDUP(INDEX(Upgrades!$C$3:$C$7,MATCH(P121,Upgrades!$B$3:$B$7,0))*1.15^(COUNTIF(P$4:P120,P121)-COUNTIF(P$4:P120,""Sel"&amp;"l_""&amp;P121)))))))"),20704.0)</f>
        <v>20704</v>
      </c>
      <c r="U121" s="14">
        <f t="shared" si="10"/>
        <v>20704</v>
      </c>
      <c r="V121" s="75">
        <f t="shared" si="11"/>
        <v>17374178.97</v>
      </c>
      <c r="W121" s="76">
        <f t="shared" si="12"/>
        <v>1031.160941</v>
      </c>
      <c r="X121" s="71" t="str">
        <f t="shared" si="13"/>
        <v>17m 11s</v>
      </c>
      <c r="Y121" s="77">
        <f t="shared" si="14"/>
        <v>921785</v>
      </c>
      <c r="Z121" s="17"/>
      <c r="AA121" s="13"/>
      <c r="AB121" s="13"/>
      <c r="AC121" s="13"/>
      <c r="AD121" s="13"/>
      <c r="AE121" s="13"/>
      <c r="AF121" s="13"/>
      <c r="AG121" s="13"/>
    </row>
    <row r="122">
      <c r="A122" s="12"/>
      <c r="B122" s="65">
        <f t="shared" si="2"/>
        <v>23</v>
      </c>
      <c r="C122" s="66" t="s">
        <v>16</v>
      </c>
      <c r="D122" s="14" t="b">
        <f>IFERROR(__xludf.DUMMYFUNCTION("IF(COUNTA(C122:C147)=0,"""",IFERROR(IF(ISBLANK(C122),FALSE,IF(ISBLANK(G122),1,IF(NOT(COUNTIF($AA$24:$AA$34,SUBSTITUTE(C122,""Sell_"",""""))),1,IF(C122=""Plastic_up"",IF(I122&lt;1000,1),IF(C122=""Super_Up"",IF(OR(COUNTIF(C$4:C122,""Grandma"")-COUNTIF(C$4:C122"&amp;",""Sell_Grandma"")&lt;1,COUNTIF(C$4:C122,VLOOKUP(C122,Upgrades!$F$8:$N$8,7+COUNTIF(C$4:C122,C122)))-COUNTIF(C$4:C122,""Sell_""&amp;VLOOKUP(C122,Upgrades!$F$8:$N$8,7+COUNTIF(C$4:C122,C122)))&lt;15),1),IF(REGEXMATCH(C122,""_up""),IF(COUNTIF(C$4:C122,SUBSTITUTE(C122,"&amp;"""_up"",""""))&lt;IFERROR(VLOOKUP(C122,Upgrades!$L$3:$P$6,1+COUNTIF(C$4:C122,C122),0),999),1),IF(REGEXMATCH(C122,""Sell_""),IF(COUNTIF(C$4:C122,SUBSTITUTE(C122,""Sell_"",""""))-COUNTIF(C$4:C121,C122)&lt;1,1),FALSE)))))))))"),FALSE)</f>
        <v>0</v>
      </c>
      <c r="E122" s="71">
        <f>IFERROR(__xludf.DUMMYFUNCTION("IF(REGEXMATCH(C122,""^Sell_""),E121, IF(COUNTA(C122:C147)=0,"""",(COUNTIF(C$4:C122,""Cursor"")-COUNTIF(C$4:C122,""Sell_Cursor""))*(0.1*2^SWITCH(COUNTIF(C$4:C122,""Cursor_up""),0,0,1,1,2,2,3)+SWITCH(COUNTIF(C$4:C122,""Cursor_up""),4,0.1,0)*(ROW(C122)-4-COU"&amp;"NTIF(C$4:C122,""Cursor"")-COUNTIF(C$4:C122,""*""&amp;""_up"")-2*COUNTIF(C$4:C122,""Sell_""&amp;""*"")+COUNTIF(C$4:C122,""Sell_Cursor"")-COUNTIF(C$4:C122,"""")))+(COUNTIF(C$4:C122,""Grandma"")-COUNTIF(C$4:C122,""Sell_Grandma""))*(1*2^(COUNTIF(C$4:C122,""Grandma_up"&amp;""")+COUNTIF(C$4:C122,""Super_up"")))+(COUNTIF(C$4:C122,""Farm"")-COUNTIF(C$4:C122,""Sell_Farm""))*(8*2^COUNTIF(C$4:C122,""Farm_up""))*IF(COUNTIF(C$4:C122,""Super_up"")&gt;0,1+0.01*(COUNTIF(C$4:C122,""Grandma"")-COUNTIF(C$4:C122,""Sell_Grandma"")),1)+(COUNTIF"&amp;"(C$4:C122,""Mine"")-COUNTIF(C$4:C122,""Sell_Mine""))*((47*2^COUNTIF(C$4:C122,""Mine_up""))*IF(COUNTIF(C$4:C122,""Super_up"")&gt;1,1+0.005*(COUNTIF(C$4:C122,""Grandma"")-COUNTIF(C$4:C122,""Sell_Grandma"")),1))+(COUNTIF(C$4:C122,""Factory"")-COUNTIF(C$4:C122,"&amp;"""Sell_Factory""))*(260*2^COUNTIF(C$4:C122,""Factory_up""))))"),2692.1)</f>
        <v>2692.1</v>
      </c>
      <c r="F122" s="73">
        <f>IFERROR(__xludf.DUMMYFUNCTION("IF(COUNTA(C122:C147)=0,"""",IF(REGEXMATCH(INDEX(FILTER(C$4:C122,C$4:C122&lt;&gt;""""),ROWS(FILTER(C$4:C122,C$4:C122&lt;&gt;""""))),""^Sell_""),INDEX(FILTER(F$4:F121,C$4:C121&lt;&gt;""""),ROWS(FILTER(C$4:C121,C$4:C121&lt;&gt;""""))),$AC$5*(2^SWITCH(COUNTIF(C$4:C122,""Cursor_up"")"&amp;",0,0,1,1,2,2,3)+SWITCH(COUNTIF(C$4:C122,""Cursor_up""),4,0.1,0)*(ROW(C122)-4-COUNTIF(C$4:C122,""Cursor"")-COUNTIF(C$4:C122,""*""&amp;""_up"")-2*COUNTIF(C$4:C122,""Sell_""&amp;""*"")+COUNTIF(C$4:C122,""Sell_Cursor"")-COUNTIF(C$4:C122,""""))+0.01*E122*COUNTIF(C$4:C"&amp;"122,""Plastic_up""))+E122))"),3316.415)</f>
        <v>3316.415</v>
      </c>
      <c r="G122" s="14">
        <f>IFERROR(__xludf.DUMMYFUNCTION("IF(COUNTA(C122:C147)=0,"""",IF(REGEXMATCH(C122,""_up""),VLOOKUP(C122,Upgrades!$F$3:$J$8,1+COUNTIF(C$4:C122,C122),FALSE),IF(C122="""",0,IF(REGEXMATCH(C122,""^Sell_""),-ROUNDDOWN(ROUNDUP(INDEX(Upgrades!$C$3:$C$8,MATCH(SUBSTITUTE(C122,""Sell_"",""""),Upgrade"&amp;"s!$B$3:$B$8,0))*1.15^(COUNTIF(C$4:C121,SUBSTITUTE(C122,""Sell_"",""""))-COUNTIF(C$4:C121,""Sell_""&amp;SUBSTITUTE(C122,""Sell_"",""""))))/4),ROUNDUP(INDEX(Upgrades!$C$3:$C$7,MATCH(C122,Upgrades!$B$3:$B$7,0))*1.15^(COUNTIF(C$4:C121,C122)-COUNTIF(C$4:C121,""Sel"&amp;"l_""&amp;C122)))))))"),23810.0)</f>
        <v>23810</v>
      </c>
      <c r="H122" s="14">
        <f t="shared" si="3"/>
        <v>23810</v>
      </c>
      <c r="I122" s="75">
        <f t="shared" si="4"/>
        <v>18013612.53</v>
      </c>
      <c r="J122" s="76">
        <f t="shared" si="5"/>
        <v>1038.462942</v>
      </c>
      <c r="K122" s="71" t="str">
        <f t="shared" si="6"/>
        <v>17m 18s</v>
      </c>
      <c r="L122" s="77">
        <f t="shared" si="7"/>
        <v>945595</v>
      </c>
      <c r="M122" s="51">
        <f t="shared" si="8"/>
        <v>0</v>
      </c>
      <c r="N122" s="52">
        <f>IFERROR(__xludf.DUMMYFUNCTION("IFS(AND(COUNTA(C122:C147)=0,COUNTA(P122:P147)=0),"""",OR(AND(L122&gt;=1000000,OR(Y122&gt;=1000000,COUNTA(P122:P147)=0)),AND(Y122&gt;=1000000,COUNTA(C122:C147)=0),AND(COUNTA(P122:P147)=0,O$3=TRUE)),
ROUNDDOWN((AB$1-AC$1)*MAX(INDEX(S$4:S147,MATCH(LARGE(FILTER(Y$4:Y1"&amp;"47,Y$4:Y147&lt;1000000),1),Y$4:Y147)),INDEX(F$4:F147,MATCH(LARGE(FILTER(L$4:L147,L$4:L147&lt;1000000),1),L$4:L147)))),AND(L122&lt;1000000,COUNTA(C122:C147)&gt;0,O$3=FALSE),
ROUNDDOWN(INDEX(Y$4:Y147,MATCH(LARGE(FILTER(W$4:W147,W$4:W147&lt;=J122),1),W$4:W147))+(J122-LARGE"&amp;"(FILTER(W$4:W147,W$4:W147&lt;=J122),1))*INDEX(S$4:S147,MATCH(LARGE(FILTER(W$4:W147,W$4:W147&lt;=J122),1),W$4:W147))-L122),1,
ROUNDDOWN(Y122-INDEX(L$4:L147,MATCH(LARGE(FILTER(J$4:J147,J$4:J147&lt;=W122),1),J$4:J147))-(W122-LARGE(FILTER(J$4:J147,J$4:J147&lt;=W122),1))*"&amp;"INDEX(F$4:F147,MATCH(LARGE(FILTER(J$4:J147,J$4:J147&lt;=W122),1),J$4:J147))))"),0.0)</f>
        <v>0</v>
      </c>
      <c r="O122" s="65">
        <f t="shared" si="9"/>
        <v>23</v>
      </c>
      <c r="P122" s="66" t="s">
        <v>16</v>
      </c>
      <c r="Q122" s="14" t="b">
        <f>IFERROR(__xludf.DUMMYFUNCTION("IF(COUNTA(P122:P147)=0,"""",IFERROR(IF(ISBLANK(P122),FALSE,IF(ISBLANK(T122),1,IF(NOT(COUNTIF($AA$24:$AA$34,SUBSTITUTE(P122,""Sell_"",""""))),1,IF(P122=""Plastic_up"",IF(V122&lt;1000,1),IF(P122=""Super_Up"",IF(OR(COUNTIF(P$4:P122,""Grandma"")-COUNTIF(P$4:P122"&amp;",""Sell_Grandma"")&lt;1,COUNTIF(P$4:P122,VLOOKUP(P122,Upgrades!$F$8:$N$8,7+COUNTIF(P$4:P122,P122)))-COUNTIF(P$4:P122,""Sell_""&amp;VLOOKUP(P122,Upgrades!$F$8:$N$8,7+COUNTIF(P$4:P122,P122)))&lt;15),1),IF(REGEXMATCH(P122,""_up""),IF(COUNTIF(P$4:P122,SUBSTITUTE(P122,"&amp;"""_up"",""""))&lt;IFERROR(VLOOKUP(P122,Upgrades!$L$3:$P$6,1+COUNTIF(P$4:P122,P122),0),999),1),IF(REGEXMATCH(P122,""Sell_""),IF(COUNTIF(P$4:P122,SUBSTITUTE(P122,""Sell_"",""""))-COUNTIF(P$4:P121,P122)&lt;1,1),FALSE)))))))))"),FALSE)</f>
        <v>0</v>
      </c>
      <c r="R122" s="71">
        <f>IFERROR(__xludf.DUMMYFUNCTION("IF(REGEXMATCH(P122,""^Sell_""),R121, IF(COUNTA(P122:P147)=0,"""",(COUNTIF(P$4:P122,""Cursor"")-COUNTIF(P$4:P122,""Sell_Cursor""))*(0.1*2^SWITCH(COUNTIF(P$4:P122,""Cursor_up""),0,0,1,1,2,2,3)+SWITCH(COUNTIF(P$4:P122,""Cursor_up""),4,0.1,0)*(ROW(P122)-4-COU"&amp;"NTIF(P$4:P122,""Cursor"")-COUNTIF(P$4:P122,""*""&amp;""_up"")-2*COUNTIF(P$4:P122,""Sell_""&amp;""*"")+COUNTIF(P$4:P122,""Sell_Cursor"")-COUNTIF(P$4:P122,"""")))+(COUNTIF(P$4:P122,""Grandma"")-COUNTIF(P$4:P122,""Sell_Grandma""))*(1*2^(COUNTIF(P$4:P122,""Grandma_up"&amp;""")+COUNTIF(P$4:P122,""Super_up"")))+(COUNTIF(P$4:P122,""Farm"")-COUNTIF(P$4:P122,""Sell_Farm""))*(8*2^COUNTIF(P$4:P122,""Farm_up""))*IF(COUNTIF(P$4:P122,""Super_up"")&gt;0,1+0.01*(COUNTIF(P$4:P122,""Grandma"")-COUNTIF(P$4:P122,""Sell_Grandma"")),1)+(COUNTIF"&amp;"(P$4:P122,""Mine"")-COUNTIF(P$4:P122,""Sell_Mine""))*((47*2^COUNTIF(P$4:P122,""Mine_up""))*IF(COUNTIF(P$4:P122,""Super_up"")&gt;1,1+0.005*(COUNTIF(P$4:P122,""Grandma"")-COUNTIF(P$4:P122,""Sell_Grandma"")),1))+(COUNTIF(P$4:P122,""Factory"")-COUNTIF(P$4:P122,"&amp;"""Sell_Factory""))*(260*2^COUNTIF(P$4:P122,""Factory_up""))))"),2692.1)</f>
        <v>2692.1</v>
      </c>
      <c r="S122" s="73">
        <f>IFERROR(__xludf.DUMMYFUNCTION("IF(COUNTA(P122:P147)=0,"""",IF(REGEXMATCH(INDEX(FILTER(P$4:P122,P$4:P122&lt;&gt;""""),ROWS(FILTER(P$4:P122,P$4:P122&lt;&gt;""""))),""^Sell_""),INDEX(FILTER(S$4:S121,P$4:P121&lt;&gt;""""),ROWS(FILTER(P$4:P121,P$4:P121&lt;&gt;""""))),$AD$5*(2^SWITCH(COUNTIF(P$4:P122,""Cursor_up"")"&amp;",0,0,1,1,2,2,3)+SWITCH(COUNTIF(P$4:P122,""Cursor_up""),4,0.1,0)*(ROW(P122)-4-COUNTIF(P$4:P122,""Cursor"")-COUNTIF(P$4:P122,""*""&amp;""_up"")-2*COUNTIF(P$4:P122,""Sell_""&amp;""*"")+COUNTIF(P$4:P122,""Sell_Cursor"")-COUNTIF(P$4:P122,""""))+0.01*R122*COUNTIF(P$4:P"&amp;"122,""Plastic_up""))+R122))"),3316.415)</f>
        <v>3316.415</v>
      </c>
      <c r="T122" s="14">
        <f>IFERROR(__xludf.DUMMYFUNCTION("IF(COUNTA(P122:P147)=0,"""",IF(REGEXMATCH(P122,""_up""),VLOOKUP(P122,Upgrades!$F$3:$J$8,1+COUNTIF(P$4:P122,P122),FALSE),IF(P122="""",0,IF(REGEXMATCH(P122,""^Sell_""),-ROUNDDOWN(ROUNDUP(INDEX(Upgrades!$C$3:$C$8,MATCH(SUBSTITUTE(P122,""Sell_"",""""),Upgrade"&amp;"s!$B$3:$B$8,0))*1.15^(COUNTIF(P$4:P121,SUBSTITUTE(P122,""Sell_"",""""))-COUNTIF(P$4:P121,""Sell_""&amp;SUBSTITUTE(P122,""Sell_"",""""))))/4),ROUNDUP(INDEX(Upgrades!$C$3:$C$7,MATCH(P122,Upgrades!$B$3:$B$7,0))*1.15^(COUNTIF(P$4:P121,P122)-COUNTIF(P$4:P121,""Sel"&amp;"l_""&amp;P122)))))))"),23810.0)</f>
        <v>23810</v>
      </c>
      <c r="U122" s="14">
        <f t="shared" si="10"/>
        <v>23810</v>
      </c>
      <c r="V122" s="75">
        <f t="shared" si="11"/>
        <v>18013612.53</v>
      </c>
      <c r="W122" s="76">
        <f t="shared" si="12"/>
        <v>1038.462942</v>
      </c>
      <c r="X122" s="71" t="str">
        <f t="shared" si="13"/>
        <v>17m 18s</v>
      </c>
      <c r="Y122" s="77">
        <f t="shared" si="14"/>
        <v>945595</v>
      </c>
      <c r="Z122" s="17"/>
      <c r="AA122" s="13"/>
      <c r="AB122" s="13"/>
      <c r="AC122" s="13"/>
      <c r="AD122" s="13"/>
      <c r="AE122" s="13"/>
      <c r="AF122" s="13"/>
      <c r="AG122" s="13"/>
    </row>
    <row r="123">
      <c r="A123" s="12"/>
      <c r="B123" s="65">
        <f t="shared" si="2"/>
        <v>40</v>
      </c>
      <c r="C123" s="66" t="s">
        <v>10</v>
      </c>
      <c r="D123" s="14" t="b">
        <f>IFERROR(__xludf.DUMMYFUNCTION("IF(COUNTA(C123:C147)=0,"""",IFERROR(IF(ISBLANK(C123),FALSE,IF(ISBLANK(G123),1,IF(NOT(COUNTIF($AA$24:$AA$34,SUBSTITUTE(C123,""Sell_"",""""))),1,IF(C123=""Plastic_up"",IF(I123&lt;1000,1),IF(C123=""Super_Up"",IF(OR(COUNTIF(C$4:C123,""Grandma"")-COUNTIF(C$4:C123"&amp;",""Sell_Grandma"")&lt;1,COUNTIF(C$4:C123,VLOOKUP(C123,Upgrades!$F$8:$N$8,7+COUNTIF(C$4:C123,C123)))-COUNTIF(C$4:C123,""Sell_""&amp;VLOOKUP(C123,Upgrades!$F$8:$N$8,7+COUNTIF(C$4:C123,C123)))&lt;15),1),IF(REGEXMATCH(C123,""_up""),IF(COUNTIF(C$4:C123,SUBSTITUTE(C123,"&amp;"""_up"",""""))&lt;IFERROR(VLOOKUP(C123,Upgrades!$L$3:$P$6,1+COUNTIF(C$4:C123,C123),0),999),1),IF(REGEXMATCH(C123,""Sell_""),IF(COUNTIF(C$4:C123,SUBSTITUTE(C123,""Sell_"",""""))-COUNTIF(C$4:C122,C123)&lt;1,1),FALSE)))))))))"),FALSE)</f>
        <v>0</v>
      </c>
      <c r="E123" s="71">
        <f>IFERROR(__xludf.DUMMYFUNCTION("IF(REGEXMATCH(C123,""^Sell_""),E122, IF(COUNTA(C123:C147)=0,"""",(COUNTIF(C$4:C123,""Cursor"")-COUNTIF(C$4:C123,""Sell_Cursor""))*(0.1*2^SWITCH(COUNTIF(C$4:C123,""Cursor_up""),0,0,1,1,2,2,3)+SWITCH(COUNTIF(C$4:C123,""Cursor_up""),4,0.1,0)*(ROW(C123)-4-COU"&amp;"NTIF(C$4:C123,""Cursor"")-COUNTIF(C$4:C123,""*""&amp;""_up"")-2*COUNTIF(C$4:C123,""Sell_""&amp;""*"")+COUNTIF(C$4:C123,""Sell_Cursor"")-COUNTIF(C$4:C123,"""")))+(COUNTIF(C$4:C123,""Grandma"")-COUNTIF(C$4:C123,""Sell_Grandma""))*(1*2^(COUNTIF(C$4:C123,""Grandma_up"&amp;""")+COUNTIF(C$4:C123,""Super_up"")))+(COUNTIF(C$4:C123,""Farm"")-COUNTIF(C$4:C123,""Sell_Farm""))*(8*2^COUNTIF(C$4:C123,""Farm_up""))*IF(COUNTIF(C$4:C123,""Super_up"")&gt;0,1+0.01*(COUNTIF(C$4:C123,""Grandma"")-COUNTIF(C$4:C123,""Sell_Grandma"")),1)+(COUNTIF"&amp;"(C$4:C123,""Mine"")-COUNTIF(C$4:C123,""Sell_Mine""))*((47*2^COUNTIF(C$4:C123,""Mine_up""))*IF(COUNTIF(C$4:C123,""Super_up"")&gt;1,1+0.005*(COUNTIF(C$4:C123,""Grandma"")-COUNTIF(C$4:C123,""Sell_Grandma"")),1))+(COUNTIF(C$4:C123,""Factory"")-COUNTIF(C$4:C123,"&amp;"""Sell_Factory""))*(260*2^COUNTIF(C$4:C123,""Factory_up""))))"),2699.6)</f>
        <v>2699.6</v>
      </c>
      <c r="F123" s="73">
        <f>IFERROR(__xludf.DUMMYFUNCTION("IF(COUNTA(C123:C147)=0,"""",IF(REGEXMATCH(INDEX(FILTER(C$4:C123,C$4:C123&lt;&gt;""""),ROWS(FILTER(C$4:C123,C$4:C123&lt;&gt;""""))),""^Sell_""),INDEX(FILTER(F$4:F122,C$4:C122&lt;&gt;""""),ROWS(FILTER(C$4:C122,C$4:C122&lt;&gt;""""))),$AC$5*(2^SWITCH(COUNTIF(C$4:C123,""Cursor_up"")"&amp;",0,0,1,1,2,2,3)+SWITCH(COUNTIF(C$4:C123,""Cursor_up""),4,0.1,0)*(ROW(C123)-4-COUNTIF(C$4:C123,""Cursor"")-COUNTIF(C$4:C123,""*""&amp;""_up"")-2*COUNTIF(C$4:C123,""Sell_""&amp;""*"")+COUNTIF(C$4:C123,""Sell_Cursor"")-COUNTIF(C$4:C123,""""))+0.01*E123*COUNTIF(C$4:C"&amp;"123,""Plastic_up""))+E123))"),3325.04)</f>
        <v>3325.04</v>
      </c>
      <c r="G123" s="14">
        <f>IFERROR(__xludf.DUMMYFUNCTION("IF(COUNTA(C123:C147)=0,"""",IF(REGEXMATCH(C123,""_up""),VLOOKUP(C123,Upgrades!$F$3:$J$8,1+COUNTIF(C$4:C123,C123),FALSE),IF(C123="""",0,IF(REGEXMATCH(C123,""^Sell_""),-ROUNDDOWN(ROUNDUP(INDEX(Upgrades!$C$3:$C$8,MATCH(SUBSTITUTE(C123,""Sell_"",""""),Upgrade"&amp;"s!$B$3:$B$8,0))*1.15^(COUNTIF(C$4:C122,SUBSTITUTE(C123,""Sell_"",""""))-COUNTIF(C$4:C122,""Sell_""&amp;SUBSTITUTE(C123,""Sell_"",""""))))/4),ROUNDUP(INDEX(Upgrades!$C$3:$C$7,MATCH(C123,Upgrades!$B$3:$B$7,0))*1.15^(COUNTIF(C$4:C122,C123)-COUNTIF(C$4:C122,""Sel"&amp;"l_""&amp;C123)))))))"),3494.0)</f>
        <v>3494</v>
      </c>
      <c r="H123" s="14">
        <f t="shared" si="3"/>
        <v>3494</v>
      </c>
      <c r="I123" s="75">
        <f t="shared" si="4"/>
        <v>18662598.26</v>
      </c>
      <c r="J123" s="76">
        <f t="shared" si="5"/>
        <v>1039.516489</v>
      </c>
      <c r="K123" s="71" t="str">
        <f t="shared" si="6"/>
        <v>17m 19s</v>
      </c>
      <c r="L123" s="77">
        <f t="shared" si="7"/>
        <v>949089</v>
      </c>
      <c r="M123" s="51">
        <f t="shared" si="8"/>
        <v>0</v>
      </c>
      <c r="N123" s="52">
        <f>IFERROR(__xludf.DUMMYFUNCTION("IFS(AND(COUNTA(C123:C147)=0,COUNTA(P123:P147)=0),"""",OR(AND(L123&gt;=1000000,OR(Y123&gt;=1000000,COUNTA(P123:P147)=0)),AND(Y123&gt;=1000000,COUNTA(C123:C147)=0),AND(COUNTA(P123:P147)=0,O$3=TRUE)),
ROUNDDOWN((AB$1-AC$1)*MAX(INDEX(S$4:S147,MATCH(LARGE(FILTER(Y$4:Y1"&amp;"47,Y$4:Y147&lt;1000000),1),Y$4:Y147)),INDEX(F$4:F147,MATCH(LARGE(FILTER(L$4:L147,L$4:L147&lt;1000000),1),L$4:L147)))),AND(L123&lt;1000000,COUNTA(C123:C147)&gt;0,O$3=FALSE),
ROUNDDOWN(INDEX(Y$4:Y147,MATCH(LARGE(FILTER(W$4:W147,W$4:W147&lt;=J123),1),W$4:W147))+(J123-LARGE"&amp;"(FILTER(W$4:W147,W$4:W147&lt;=J123),1))*INDEX(S$4:S147,MATCH(LARGE(FILTER(W$4:W147,W$4:W147&lt;=J123),1),W$4:W147))-L123),1,
ROUNDDOWN(Y123-INDEX(L$4:L147,MATCH(LARGE(FILTER(J$4:J147,J$4:J147&lt;=W123),1),J$4:J147))-(W123-LARGE(FILTER(J$4:J147,J$4:J147&lt;=W123),1))*"&amp;"INDEX(F$4:F147,MATCH(LARGE(FILTER(J$4:J147,J$4:J147&lt;=W123),1),J$4:J147))))"),0.0)</f>
        <v>0</v>
      </c>
      <c r="O123" s="65">
        <f t="shared" si="9"/>
        <v>40</v>
      </c>
      <c r="P123" s="66" t="s">
        <v>10</v>
      </c>
      <c r="Q123" s="14" t="b">
        <f>IFERROR(__xludf.DUMMYFUNCTION("IF(COUNTA(P123:P147)=0,"""",IFERROR(IF(ISBLANK(P123),FALSE,IF(ISBLANK(T123),1,IF(NOT(COUNTIF($AA$24:$AA$34,SUBSTITUTE(P123,""Sell_"",""""))),1,IF(P123=""Plastic_up"",IF(V123&lt;1000,1),IF(P123=""Super_Up"",IF(OR(COUNTIF(P$4:P123,""Grandma"")-COUNTIF(P$4:P123"&amp;",""Sell_Grandma"")&lt;1,COUNTIF(P$4:P123,VLOOKUP(P123,Upgrades!$F$8:$N$8,7+COUNTIF(P$4:P123,P123)))-COUNTIF(P$4:P123,""Sell_""&amp;VLOOKUP(P123,Upgrades!$F$8:$N$8,7+COUNTIF(P$4:P123,P123)))&lt;15),1),IF(REGEXMATCH(P123,""_up""),IF(COUNTIF(P$4:P123,SUBSTITUTE(P123,"&amp;"""_up"",""""))&lt;IFERROR(VLOOKUP(P123,Upgrades!$L$3:$P$6,1+COUNTIF(P$4:P123,P123),0),999),1),IF(REGEXMATCH(P123,""Sell_""),IF(COUNTIF(P$4:P123,SUBSTITUTE(P123,""Sell_"",""""))-COUNTIF(P$4:P122,P123)&lt;1,1),FALSE)))))))))"),FALSE)</f>
        <v>0</v>
      </c>
      <c r="R123" s="71">
        <f>IFERROR(__xludf.DUMMYFUNCTION("IF(REGEXMATCH(P123,""^Sell_""),R122, IF(COUNTA(P123:P147)=0,"""",(COUNTIF(P$4:P123,""Cursor"")-COUNTIF(P$4:P123,""Sell_Cursor""))*(0.1*2^SWITCH(COUNTIF(P$4:P123,""Cursor_up""),0,0,1,1,2,2,3)+SWITCH(COUNTIF(P$4:P123,""Cursor_up""),4,0.1,0)*(ROW(P123)-4-COU"&amp;"NTIF(P$4:P123,""Cursor"")-COUNTIF(P$4:P123,""*""&amp;""_up"")-2*COUNTIF(P$4:P123,""Sell_""&amp;""*"")+COUNTIF(P$4:P123,""Sell_Cursor"")-COUNTIF(P$4:P123,"""")))+(COUNTIF(P$4:P123,""Grandma"")-COUNTIF(P$4:P123,""Sell_Grandma""))*(1*2^(COUNTIF(P$4:P123,""Grandma_up"&amp;""")+COUNTIF(P$4:P123,""Super_up"")))+(COUNTIF(P$4:P123,""Farm"")-COUNTIF(P$4:P123,""Sell_Farm""))*(8*2^COUNTIF(P$4:P123,""Farm_up""))*IF(COUNTIF(P$4:P123,""Super_up"")&gt;0,1+0.01*(COUNTIF(P$4:P123,""Grandma"")-COUNTIF(P$4:P123,""Sell_Grandma"")),1)+(COUNTIF"&amp;"(P$4:P123,""Mine"")-COUNTIF(P$4:P123,""Sell_Mine""))*((47*2^COUNTIF(P$4:P123,""Mine_up""))*IF(COUNTIF(P$4:P123,""Super_up"")&gt;1,1+0.005*(COUNTIF(P$4:P123,""Grandma"")-COUNTIF(P$4:P123,""Sell_Grandma"")),1))+(COUNTIF(P$4:P123,""Factory"")-COUNTIF(P$4:P123,"&amp;"""Sell_Factory""))*(260*2^COUNTIF(P$4:P123,""Factory_up""))))"),2699.6)</f>
        <v>2699.6</v>
      </c>
      <c r="S123" s="73">
        <f>IFERROR(__xludf.DUMMYFUNCTION("IF(COUNTA(P123:P147)=0,"""",IF(REGEXMATCH(INDEX(FILTER(P$4:P123,P$4:P123&lt;&gt;""""),ROWS(FILTER(P$4:P123,P$4:P123&lt;&gt;""""))),""^Sell_""),INDEX(FILTER(S$4:S122,P$4:P122&lt;&gt;""""),ROWS(FILTER(P$4:P122,P$4:P122&lt;&gt;""""))),$AD$5*(2^SWITCH(COUNTIF(P$4:P123,""Cursor_up"")"&amp;",0,0,1,1,2,2,3)+SWITCH(COUNTIF(P$4:P123,""Cursor_up""),4,0.1,0)*(ROW(P123)-4-COUNTIF(P$4:P123,""Cursor"")-COUNTIF(P$4:P123,""*""&amp;""_up"")-2*COUNTIF(P$4:P123,""Sell_""&amp;""*"")+COUNTIF(P$4:P123,""Sell_Cursor"")-COUNTIF(P$4:P123,""""))+0.01*R123*COUNTIF(P$4:P"&amp;"123,""Plastic_up""))+R123))"),3325.04)</f>
        <v>3325.04</v>
      </c>
      <c r="T123" s="14">
        <f>IFERROR(__xludf.DUMMYFUNCTION("IF(COUNTA(P123:P147)=0,"""",IF(REGEXMATCH(P123,""_up""),VLOOKUP(P123,Upgrades!$F$3:$J$8,1+COUNTIF(P$4:P123,P123),FALSE),IF(P123="""",0,IF(REGEXMATCH(P123,""^Sell_""),-ROUNDDOWN(ROUNDUP(INDEX(Upgrades!$C$3:$C$8,MATCH(SUBSTITUTE(P123,""Sell_"",""""),Upgrade"&amp;"s!$B$3:$B$8,0))*1.15^(COUNTIF(P$4:P122,SUBSTITUTE(P123,""Sell_"",""""))-COUNTIF(P$4:P122,""Sell_""&amp;SUBSTITUTE(P123,""Sell_"",""""))))/4),ROUNDUP(INDEX(Upgrades!$C$3:$C$7,MATCH(P123,Upgrades!$B$3:$B$7,0))*1.15^(COUNTIF(P$4:P122,P123)-COUNTIF(P$4:P122,""Sel"&amp;"l_""&amp;P123)))))))"),3494.0)</f>
        <v>3494</v>
      </c>
      <c r="U123" s="14">
        <f t="shared" si="10"/>
        <v>3494</v>
      </c>
      <c r="V123" s="75">
        <f t="shared" si="11"/>
        <v>18662598.26</v>
      </c>
      <c r="W123" s="76">
        <f t="shared" si="12"/>
        <v>1039.516489</v>
      </c>
      <c r="X123" s="71" t="str">
        <f t="shared" si="13"/>
        <v>17m 19s</v>
      </c>
      <c r="Y123" s="77">
        <f t="shared" si="14"/>
        <v>949089</v>
      </c>
      <c r="Z123" s="17"/>
      <c r="AA123" s="13"/>
      <c r="AB123" s="13"/>
      <c r="AC123" s="13"/>
      <c r="AD123" s="13"/>
      <c r="AE123" s="13"/>
      <c r="AF123" s="13"/>
      <c r="AG123" s="13"/>
    </row>
    <row r="124">
      <c r="A124" s="12"/>
      <c r="B124" s="65">
        <f t="shared" si="2"/>
        <v>41</v>
      </c>
      <c r="C124" s="66" t="s">
        <v>10</v>
      </c>
      <c r="D124" s="14" t="b">
        <f>IFERROR(__xludf.DUMMYFUNCTION("IF(COUNTA(C124:C147)=0,"""",IFERROR(IF(ISBLANK(C124),FALSE,IF(ISBLANK(G124),1,IF(NOT(COUNTIF($AA$24:$AA$34,SUBSTITUTE(C124,""Sell_"",""""))),1,IF(C124=""Plastic_up"",IF(I124&lt;1000,1),IF(C124=""Super_Up"",IF(OR(COUNTIF(C$4:C124,""Grandma"")-COUNTIF(C$4:C124"&amp;",""Sell_Grandma"")&lt;1,COUNTIF(C$4:C124,VLOOKUP(C124,Upgrades!$F$8:$N$8,7+COUNTIF(C$4:C124,C124)))-COUNTIF(C$4:C124,""Sell_""&amp;VLOOKUP(C124,Upgrades!$F$8:$N$8,7+COUNTIF(C$4:C124,C124)))&lt;15),1),IF(REGEXMATCH(C124,""_up""),IF(COUNTIF(C$4:C124,SUBSTITUTE(C124,"&amp;"""_up"",""""))&lt;IFERROR(VLOOKUP(C124,Upgrades!$L$3:$P$6,1+COUNTIF(C$4:C124,C124),0),999),1),IF(REGEXMATCH(C124,""Sell_""),IF(COUNTIF(C$4:C124,SUBSTITUTE(C124,""Sell_"",""""))-COUNTIF(C$4:C123,C124)&lt;1,1),FALSE)))))))))"),FALSE)</f>
        <v>0</v>
      </c>
      <c r="E124" s="71">
        <f>IFERROR(__xludf.DUMMYFUNCTION("IF(REGEXMATCH(C124,""^Sell_""),E123, IF(COUNTA(C124:C147)=0,"""",(COUNTIF(C$4:C124,""Cursor"")-COUNTIF(C$4:C124,""Sell_Cursor""))*(0.1*2^SWITCH(COUNTIF(C$4:C124,""Cursor_up""),0,0,1,1,2,2,3)+SWITCH(COUNTIF(C$4:C124,""Cursor_up""),4,0.1,0)*(ROW(C124)-4-COU"&amp;"NTIF(C$4:C124,""Cursor"")-COUNTIF(C$4:C124,""*""&amp;""_up"")-2*COUNTIF(C$4:C124,""Sell_""&amp;""*"")+COUNTIF(C$4:C124,""Sell_Cursor"")-COUNTIF(C$4:C124,"""")))+(COUNTIF(C$4:C124,""Grandma"")-COUNTIF(C$4:C124,""Sell_Grandma""))*(1*2^(COUNTIF(C$4:C124,""Grandma_up"&amp;""")+COUNTIF(C$4:C124,""Super_up"")))+(COUNTIF(C$4:C124,""Farm"")-COUNTIF(C$4:C124,""Sell_Farm""))*(8*2^COUNTIF(C$4:C124,""Farm_up""))*IF(COUNTIF(C$4:C124,""Super_up"")&gt;0,1+0.01*(COUNTIF(C$4:C124,""Grandma"")-COUNTIF(C$4:C124,""Sell_Grandma"")),1)+(COUNTIF"&amp;"(C$4:C124,""Mine"")-COUNTIF(C$4:C124,""Sell_Mine""))*((47*2^COUNTIF(C$4:C124,""Mine_up""))*IF(COUNTIF(C$4:C124,""Super_up"")&gt;1,1+0.005*(COUNTIF(C$4:C124,""Grandma"")-COUNTIF(C$4:C124,""Sell_Grandma"")),1))+(COUNTIF(C$4:C124,""Factory"")-COUNTIF(C$4:C124,"&amp;"""Sell_Factory""))*(260*2^COUNTIF(C$4:C124,""Factory_up""))))"),2707.1)</f>
        <v>2707.1</v>
      </c>
      <c r="F124" s="73">
        <f>IFERROR(__xludf.DUMMYFUNCTION("IF(COUNTA(C124:C147)=0,"""",IF(REGEXMATCH(INDEX(FILTER(C$4:C124,C$4:C124&lt;&gt;""""),ROWS(FILTER(C$4:C124,C$4:C124&lt;&gt;""""))),""^Sell_""),INDEX(FILTER(F$4:F123,C$4:C123&lt;&gt;""""),ROWS(FILTER(C$4:C123,C$4:C123&lt;&gt;""""))),$AC$5*(2^SWITCH(COUNTIF(C$4:C124,""Cursor_up"")"&amp;",0,0,1,1,2,2,3)+SWITCH(COUNTIF(C$4:C124,""Cursor_up""),4,0.1,0)*(ROW(C124)-4-COUNTIF(C$4:C124,""Cursor"")-COUNTIF(C$4:C124,""*""&amp;""_up"")-2*COUNTIF(C$4:C124,""Sell_""&amp;""*"")+COUNTIF(C$4:C124,""Sell_Cursor"")-COUNTIF(C$4:C124,""""))+0.01*E124*COUNTIF(C$4:C"&amp;"124,""Plastic_up""))+E124))"),3333.665)</f>
        <v>3333.665</v>
      </c>
      <c r="G124" s="14">
        <f>IFERROR(__xludf.DUMMYFUNCTION("IF(COUNTA(C124:C147)=0,"""",IF(REGEXMATCH(C124,""_up""),VLOOKUP(C124,Upgrades!$F$3:$J$8,1+COUNTIF(C$4:C124,C124),FALSE),IF(C124="""",0,IF(REGEXMATCH(C124,""^Sell_""),-ROUNDDOWN(ROUNDUP(INDEX(Upgrades!$C$3:$C$8,MATCH(SUBSTITUTE(C124,""Sell_"",""""),Upgrade"&amp;"s!$B$3:$B$8,0))*1.15^(COUNTIF(C$4:C123,SUBSTITUTE(C124,""Sell_"",""""))-COUNTIF(C$4:C123,""Sell_""&amp;SUBSTITUTE(C124,""Sell_"",""""))))/4),ROUNDUP(INDEX(Upgrades!$C$3:$C$7,MATCH(C124,Upgrades!$B$3:$B$7,0))*1.15^(COUNTIF(C$4:C123,C124)-COUNTIF(C$4:C123,""Sel"&amp;"l_""&amp;C124)))))))"),4018.0)</f>
        <v>4018</v>
      </c>
      <c r="H124" s="14">
        <f t="shared" si="3"/>
        <v>4018</v>
      </c>
      <c r="I124" s="75">
        <f t="shared" si="4"/>
        <v>19313509.24</v>
      </c>
      <c r="J124" s="76">
        <f t="shared" si="5"/>
        <v>1040.724896</v>
      </c>
      <c r="K124" s="71" t="str">
        <f t="shared" si="6"/>
        <v>17m 20s</v>
      </c>
      <c r="L124" s="77">
        <f t="shared" si="7"/>
        <v>953107</v>
      </c>
      <c r="M124" s="51">
        <f t="shared" si="8"/>
        <v>0</v>
      </c>
      <c r="N124" s="52">
        <f>IFERROR(__xludf.DUMMYFUNCTION("IFS(AND(COUNTA(C124:C147)=0,COUNTA(P124:P147)=0),"""",OR(AND(L124&gt;=1000000,OR(Y124&gt;=1000000,COUNTA(P124:P147)=0)),AND(Y124&gt;=1000000,COUNTA(C124:C147)=0),AND(COUNTA(P124:P147)=0,O$3=TRUE)),
ROUNDDOWN((AB$1-AC$1)*MAX(INDEX(S$4:S147,MATCH(LARGE(FILTER(Y$4:Y1"&amp;"47,Y$4:Y147&lt;1000000),1),Y$4:Y147)),INDEX(F$4:F147,MATCH(LARGE(FILTER(L$4:L147,L$4:L147&lt;1000000),1),L$4:L147)))),AND(L124&lt;1000000,COUNTA(C124:C147)&gt;0,O$3=FALSE),
ROUNDDOWN(INDEX(Y$4:Y147,MATCH(LARGE(FILTER(W$4:W147,W$4:W147&lt;=J124),1),W$4:W147))+(J124-LARGE"&amp;"(FILTER(W$4:W147,W$4:W147&lt;=J124),1))*INDEX(S$4:S147,MATCH(LARGE(FILTER(W$4:W147,W$4:W147&lt;=J124),1),W$4:W147))-L124),1,
ROUNDDOWN(Y124-INDEX(L$4:L147,MATCH(LARGE(FILTER(J$4:J147,J$4:J147&lt;=W124),1),J$4:J147))-(W124-LARGE(FILTER(J$4:J147,J$4:J147&lt;=W124),1))*"&amp;"INDEX(F$4:F147,MATCH(LARGE(FILTER(J$4:J147,J$4:J147&lt;=W124),1),J$4:J147))))"),0.0)</f>
        <v>0</v>
      </c>
      <c r="O124" s="65">
        <f t="shared" si="9"/>
        <v>41</v>
      </c>
      <c r="P124" s="66" t="s">
        <v>10</v>
      </c>
      <c r="Q124" s="14" t="b">
        <f>IFERROR(__xludf.DUMMYFUNCTION("IF(COUNTA(P124:P147)=0,"""",IFERROR(IF(ISBLANK(P124),FALSE,IF(ISBLANK(T124),1,IF(NOT(COUNTIF($AA$24:$AA$34,SUBSTITUTE(P124,""Sell_"",""""))),1,IF(P124=""Plastic_up"",IF(V124&lt;1000,1),IF(P124=""Super_Up"",IF(OR(COUNTIF(P$4:P124,""Grandma"")-COUNTIF(P$4:P124"&amp;",""Sell_Grandma"")&lt;1,COUNTIF(P$4:P124,VLOOKUP(P124,Upgrades!$F$8:$N$8,7+COUNTIF(P$4:P124,P124)))-COUNTIF(P$4:P124,""Sell_""&amp;VLOOKUP(P124,Upgrades!$F$8:$N$8,7+COUNTIF(P$4:P124,P124)))&lt;15),1),IF(REGEXMATCH(P124,""_up""),IF(COUNTIF(P$4:P124,SUBSTITUTE(P124,"&amp;"""_up"",""""))&lt;IFERROR(VLOOKUP(P124,Upgrades!$L$3:$P$6,1+COUNTIF(P$4:P124,P124),0),999),1),IF(REGEXMATCH(P124,""Sell_""),IF(COUNTIF(P$4:P124,SUBSTITUTE(P124,""Sell_"",""""))-COUNTIF(P$4:P123,P124)&lt;1,1),FALSE)))))))))"),FALSE)</f>
        <v>0</v>
      </c>
      <c r="R124" s="71">
        <f>IFERROR(__xludf.DUMMYFUNCTION("IF(REGEXMATCH(P124,""^Sell_""),R123, IF(COUNTA(P124:P147)=0,"""",(COUNTIF(P$4:P124,""Cursor"")-COUNTIF(P$4:P124,""Sell_Cursor""))*(0.1*2^SWITCH(COUNTIF(P$4:P124,""Cursor_up""),0,0,1,1,2,2,3)+SWITCH(COUNTIF(P$4:P124,""Cursor_up""),4,0.1,0)*(ROW(P124)-4-COU"&amp;"NTIF(P$4:P124,""Cursor"")-COUNTIF(P$4:P124,""*""&amp;""_up"")-2*COUNTIF(P$4:P124,""Sell_""&amp;""*"")+COUNTIF(P$4:P124,""Sell_Cursor"")-COUNTIF(P$4:P124,"""")))+(COUNTIF(P$4:P124,""Grandma"")-COUNTIF(P$4:P124,""Sell_Grandma""))*(1*2^(COUNTIF(P$4:P124,""Grandma_up"&amp;""")+COUNTIF(P$4:P124,""Super_up"")))+(COUNTIF(P$4:P124,""Farm"")-COUNTIF(P$4:P124,""Sell_Farm""))*(8*2^COUNTIF(P$4:P124,""Farm_up""))*IF(COUNTIF(P$4:P124,""Super_up"")&gt;0,1+0.01*(COUNTIF(P$4:P124,""Grandma"")-COUNTIF(P$4:P124,""Sell_Grandma"")),1)+(COUNTIF"&amp;"(P$4:P124,""Mine"")-COUNTIF(P$4:P124,""Sell_Mine""))*((47*2^COUNTIF(P$4:P124,""Mine_up""))*IF(COUNTIF(P$4:P124,""Super_up"")&gt;1,1+0.005*(COUNTIF(P$4:P124,""Grandma"")-COUNTIF(P$4:P124,""Sell_Grandma"")),1))+(COUNTIF(P$4:P124,""Factory"")-COUNTIF(P$4:P124,"&amp;"""Sell_Factory""))*(260*2^COUNTIF(P$4:P124,""Factory_up""))))"),2707.1)</f>
        <v>2707.1</v>
      </c>
      <c r="S124" s="73">
        <f>IFERROR(__xludf.DUMMYFUNCTION("IF(COUNTA(P124:P147)=0,"""",IF(REGEXMATCH(INDEX(FILTER(P$4:P124,P$4:P124&lt;&gt;""""),ROWS(FILTER(P$4:P124,P$4:P124&lt;&gt;""""))),""^Sell_""),INDEX(FILTER(S$4:S123,P$4:P123&lt;&gt;""""),ROWS(FILTER(P$4:P123,P$4:P123&lt;&gt;""""))),$AD$5*(2^SWITCH(COUNTIF(P$4:P124,""Cursor_up"")"&amp;",0,0,1,1,2,2,3)+SWITCH(COUNTIF(P$4:P124,""Cursor_up""),4,0.1,0)*(ROW(P124)-4-COUNTIF(P$4:P124,""Cursor"")-COUNTIF(P$4:P124,""*""&amp;""_up"")-2*COUNTIF(P$4:P124,""Sell_""&amp;""*"")+COUNTIF(P$4:P124,""Sell_Cursor"")-COUNTIF(P$4:P124,""""))+0.01*R124*COUNTIF(P$4:P"&amp;"124,""Plastic_up""))+R124))"),3333.665)</f>
        <v>3333.665</v>
      </c>
      <c r="T124" s="14">
        <f>IFERROR(__xludf.DUMMYFUNCTION("IF(COUNTA(P124:P147)=0,"""",IF(REGEXMATCH(P124,""_up""),VLOOKUP(P124,Upgrades!$F$3:$J$8,1+COUNTIF(P$4:P124,P124),FALSE),IF(P124="""",0,IF(REGEXMATCH(P124,""^Sell_""),-ROUNDDOWN(ROUNDUP(INDEX(Upgrades!$C$3:$C$8,MATCH(SUBSTITUTE(P124,""Sell_"",""""),Upgrade"&amp;"s!$B$3:$B$8,0))*1.15^(COUNTIF(P$4:P123,SUBSTITUTE(P124,""Sell_"",""""))-COUNTIF(P$4:P123,""Sell_""&amp;SUBSTITUTE(P124,""Sell_"",""""))))/4),ROUNDUP(INDEX(Upgrades!$C$3:$C$7,MATCH(P124,Upgrades!$B$3:$B$7,0))*1.15^(COUNTIF(P$4:P123,P124)-COUNTIF(P$4:P123,""Sel"&amp;"l_""&amp;P124)))))))"),4018.0)</f>
        <v>4018</v>
      </c>
      <c r="U124" s="14">
        <f t="shared" si="10"/>
        <v>4018</v>
      </c>
      <c r="V124" s="75">
        <f t="shared" si="11"/>
        <v>19313509.24</v>
      </c>
      <c r="W124" s="76">
        <f t="shared" si="12"/>
        <v>1040.724896</v>
      </c>
      <c r="X124" s="71" t="str">
        <f t="shared" si="13"/>
        <v>17m 20s</v>
      </c>
      <c r="Y124" s="77">
        <f t="shared" si="14"/>
        <v>953107</v>
      </c>
      <c r="Z124" s="17"/>
      <c r="AA124" s="13"/>
      <c r="AB124" s="13"/>
      <c r="AC124" s="13"/>
      <c r="AD124" s="13"/>
      <c r="AE124" s="13"/>
      <c r="AF124" s="13"/>
      <c r="AG124" s="13"/>
    </row>
    <row r="125">
      <c r="A125" s="12"/>
      <c r="B125" s="65">
        <f t="shared" si="2"/>
        <v>36</v>
      </c>
      <c r="C125" s="66" t="s">
        <v>13</v>
      </c>
      <c r="D125" s="14" t="b">
        <f>IFERROR(__xludf.DUMMYFUNCTION("IF(COUNTA(C125:C147)=0,"""",IFERROR(IF(ISBLANK(C125),FALSE,IF(ISBLANK(G125),1,IF(NOT(COUNTIF($AA$24:$AA$34,SUBSTITUTE(C125,""Sell_"",""""))),1,IF(C125=""Plastic_up"",IF(I125&lt;1000,1),IF(C125=""Super_Up"",IF(OR(COUNTIF(C$4:C125,""Grandma"")-COUNTIF(C$4:C125"&amp;",""Sell_Grandma"")&lt;1,COUNTIF(C$4:C125,VLOOKUP(C125,Upgrades!$F$8:$N$8,7+COUNTIF(C$4:C125,C125)))-COUNTIF(C$4:C125,""Sell_""&amp;VLOOKUP(C125,Upgrades!$F$8:$N$8,7+COUNTIF(C$4:C125,C125)))&lt;15),1),IF(REGEXMATCH(C125,""_up""),IF(COUNTIF(C$4:C125,SUBSTITUTE(C125,"&amp;"""_up"",""""))&lt;IFERROR(VLOOKUP(C125,Upgrades!$L$3:$P$6,1+COUNTIF(C$4:C125,C125),0),999),1),IF(REGEXMATCH(C125,""Sell_""),IF(COUNTIF(C$4:C125,SUBSTITUTE(C125,""Sell_"",""""))-COUNTIF(C$4:C124,C125)&lt;1,1),FALSE)))))))))"),FALSE)</f>
        <v>0</v>
      </c>
      <c r="E125" s="71">
        <f>IFERROR(__xludf.DUMMYFUNCTION("IF(REGEXMATCH(C125,""^Sell_""),E124, IF(COUNTA(C125:C147)=0,"""",(COUNTIF(C$4:C125,""Cursor"")-COUNTIF(C$4:C125,""Sell_Cursor""))*(0.1*2^SWITCH(COUNTIF(C$4:C125,""Cursor_up""),0,0,1,1,2,2,3)+SWITCH(COUNTIF(C$4:C125,""Cursor_up""),4,0.1,0)*(ROW(C125)-4-COU"&amp;"NTIF(C$4:C125,""Cursor"")-COUNTIF(C$4:C125,""*""&amp;""_up"")-2*COUNTIF(C$4:C125,""Sell_""&amp;""*"")+COUNTIF(C$4:C125,""Sell_Cursor"")-COUNTIF(C$4:C125,"""")))+(COUNTIF(C$4:C125,""Grandma"")-COUNTIF(C$4:C125,""Sell_Grandma""))*(1*2^(COUNTIF(C$4:C125,""Grandma_up"&amp;""")+COUNTIF(C$4:C125,""Super_up"")))+(COUNTIF(C$4:C125,""Farm"")-COUNTIF(C$4:C125,""Sell_Farm""))*(8*2^COUNTIF(C$4:C125,""Farm_up""))*IF(COUNTIF(C$4:C125,""Super_up"")&gt;0,1+0.01*(COUNTIF(C$4:C125,""Grandma"")-COUNTIF(C$4:C125,""Sell_Grandma"")),1)+(COUNTIF"&amp;"(C$4:C125,""Mine"")-COUNTIF(C$4:C125,""Sell_Mine""))*((47*2^COUNTIF(C$4:C125,""Mine_up""))*IF(COUNTIF(C$4:C125,""Super_up"")&gt;1,1+0.005*(COUNTIF(C$4:C125,""Grandma"")-COUNTIF(C$4:C125,""Sell_Grandma"")),1))+(COUNTIF(C$4:C125,""Factory"")-COUNTIF(C$4:C125,"&amp;"""Sell_Factory""))*(260*2^COUNTIF(C$4:C125,""Factory_up""))))"),2734.56)</f>
        <v>2734.56</v>
      </c>
      <c r="F125" s="73">
        <f>IFERROR(__xludf.DUMMYFUNCTION("IF(COUNTA(C125:C147)=0,"""",IF(REGEXMATCH(INDEX(FILTER(C$4:C125,C$4:C125&lt;&gt;""""),ROWS(FILTER(C$4:C125,C$4:C125&lt;&gt;""""))),""^Sell_""),INDEX(FILTER(F$4:F124,C$4:C124&lt;&gt;""""),ROWS(FILTER(C$4:C124,C$4:C124&lt;&gt;""""))),$AC$5*(2^SWITCH(COUNTIF(C$4:C125,""Cursor_up"")"&amp;",0,0,1,1,2,2,3)+SWITCH(COUNTIF(C$4:C125,""Cursor_up""),4,0.1,0)*(ROW(C125)-4-COUNTIF(C$4:C125,""Cursor"")-COUNTIF(C$4:C125,""*""&amp;""_up"")-2*COUNTIF(C$4:C125,""Sell_""&amp;""*"")+COUNTIF(C$4:C125,""Sell_Cursor"")-COUNTIF(C$4:C125,""""))+0.01*E125*COUNTIF(C$4:C"&amp;"125,""Plastic_up""))+E125))"),3366.7439999999997)</f>
        <v>3366.744</v>
      </c>
      <c r="G125" s="14">
        <f>IFERROR(__xludf.DUMMYFUNCTION("IF(COUNTA(C125:C147)=0,"""",IF(REGEXMATCH(C125,""_up""),VLOOKUP(C125,Upgrades!$F$3:$J$8,1+COUNTIF(C$4:C125,C125),FALSE),IF(C125="""",0,IF(REGEXMATCH(C125,""^Sell_""),-ROUNDDOWN(ROUNDUP(INDEX(Upgrades!$C$3:$C$8,MATCH(SUBSTITUTE(C125,""Sell_"",""""),Upgrade"&amp;"s!$B$3:$B$8,0))*1.15^(COUNTIF(C$4:C124,SUBSTITUTE(C125,""Sell_"",""""))-COUNTIF(C$4:C124,""Sell_""&amp;SUBSTITUTE(C125,""Sell_"",""""))))/4),ROUNDUP(INDEX(Upgrades!$C$3:$C$7,MATCH(C125,Upgrades!$B$3:$B$7,0))*1.15^(COUNTIF(C$4:C124,C125)-COUNTIF(C$4:C124,""Sel"&amp;"l_""&amp;C125)))))))"),13318.0)</f>
        <v>13318</v>
      </c>
      <c r="H125" s="14">
        <f t="shared" si="3"/>
        <v>13318</v>
      </c>
      <c r="I125" s="75">
        <f t="shared" si="4"/>
        <v>19968094.16</v>
      </c>
      <c r="J125" s="76">
        <f t="shared" si="5"/>
        <v>1044.719898</v>
      </c>
      <c r="K125" s="71" t="str">
        <f t="shared" si="6"/>
        <v>17m 24s</v>
      </c>
      <c r="L125" s="77">
        <f t="shared" si="7"/>
        <v>966425</v>
      </c>
      <c r="M125" s="51">
        <f t="shared" si="8"/>
        <v>0</v>
      </c>
      <c r="N125" s="52">
        <f>IFERROR(__xludf.DUMMYFUNCTION("IFS(AND(COUNTA(C125:C147)=0,COUNTA(P125:P147)=0),"""",OR(AND(L125&gt;=1000000,OR(Y125&gt;=1000000,COUNTA(P125:P147)=0)),AND(Y125&gt;=1000000,COUNTA(C125:C147)=0),AND(COUNTA(P125:P147)=0,O$3=TRUE)),
ROUNDDOWN((AB$1-AC$1)*MAX(INDEX(S$4:S147,MATCH(LARGE(FILTER(Y$4:Y1"&amp;"47,Y$4:Y147&lt;1000000),1),Y$4:Y147)),INDEX(F$4:F147,MATCH(LARGE(FILTER(L$4:L147,L$4:L147&lt;1000000),1),L$4:L147)))),AND(L125&lt;1000000,COUNTA(C125:C147)&gt;0,O$3=FALSE),
ROUNDDOWN(INDEX(Y$4:Y147,MATCH(LARGE(FILTER(W$4:W147,W$4:W147&lt;=J125),1),W$4:W147))+(J125-LARGE"&amp;"(FILTER(W$4:W147,W$4:W147&lt;=J125),1))*INDEX(S$4:S147,MATCH(LARGE(FILTER(W$4:W147,W$4:W147&lt;=J125),1),W$4:W147))-L125),1,
ROUNDDOWN(Y125-INDEX(L$4:L147,MATCH(LARGE(FILTER(J$4:J147,J$4:J147&lt;=W125),1),J$4:J147))-(W125-LARGE(FILTER(J$4:J147,J$4:J147&lt;=W125),1))*"&amp;"INDEX(F$4:F147,MATCH(LARGE(FILTER(J$4:J147,J$4:J147&lt;=W125),1),J$4:J147))))"),0.0)</f>
        <v>0</v>
      </c>
      <c r="O125" s="65">
        <f t="shared" si="9"/>
        <v>36</v>
      </c>
      <c r="P125" s="66" t="s">
        <v>13</v>
      </c>
      <c r="Q125" s="14" t="b">
        <f>IFERROR(__xludf.DUMMYFUNCTION("IF(COUNTA(P125:P147)=0,"""",IFERROR(IF(ISBLANK(P125),FALSE,IF(ISBLANK(T125),1,IF(NOT(COUNTIF($AA$24:$AA$34,SUBSTITUTE(P125,""Sell_"",""""))),1,IF(P125=""Plastic_up"",IF(V125&lt;1000,1),IF(P125=""Super_Up"",IF(OR(COUNTIF(P$4:P125,""Grandma"")-COUNTIF(P$4:P125"&amp;",""Sell_Grandma"")&lt;1,COUNTIF(P$4:P125,VLOOKUP(P125,Upgrades!$F$8:$N$8,7+COUNTIF(P$4:P125,P125)))-COUNTIF(P$4:P125,""Sell_""&amp;VLOOKUP(P125,Upgrades!$F$8:$N$8,7+COUNTIF(P$4:P125,P125)))&lt;15),1),IF(REGEXMATCH(P125,""_up""),IF(COUNTIF(P$4:P125,SUBSTITUTE(P125,"&amp;"""_up"",""""))&lt;IFERROR(VLOOKUP(P125,Upgrades!$L$3:$P$6,1+COUNTIF(P$4:P125,P125),0),999),1),IF(REGEXMATCH(P125,""Sell_""),IF(COUNTIF(P$4:P125,SUBSTITUTE(P125,""Sell_"",""""))-COUNTIF(P$4:P124,P125)&lt;1,1),FALSE)))))))))"),FALSE)</f>
        <v>0</v>
      </c>
      <c r="R125" s="71">
        <f>IFERROR(__xludf.DUMMYFUNCTION("IF(REGEXMATCH(P125,""^Sell_""),R124, IF(COUNTA(P125:P147)=0,"""",(COUNTIF(P$4:P125,""Cursor"")-COUNTIF(P$4:P125,""Sell_Cursor""))*(0.1*2^SWITCH(COUNTIF(P$4:P125,""Cursor_up""),0,0,1,1,2,2,3)+SWITCH(COUNTIF(P$4:P125,""Cursor_up""),4,0.1,0)*(ROW(P125)-4-COU"&amp;"NTIF(P$4:P125,""Cursor"")-COUNTIF(P$4:P125,""*""&amp;""_up"")-2*COUNTIF(P$4:P125,""Sell_""&amp;""*"")+COUNTIF(P$4:P125,""Sell_Cursor"")-COUNTIF(P$4:P125,"""")))+(COUNTIF(P$4:P125,""Grandma"")-COUNTIF(P$4:P125,""Sell_Grandma""))*(1*2^(COUNTIF(P$4:P125,""Grandma_up"&amp;""")+COUNTIF(P$4:P125,""Super_up"")))+(COUNTIF(P$4:P125,""Farm"")-COUNTIF(P$4:P125,""Sell_Farm""))*(8*2^COUNTIF(P$4:P125,""Farm_up""))*IF(COUNTIF(P$4:P125,""Super_up"")&gt;0,1+0.01*(COUNTIF(P$4:P125,""Grandma"")-COUNTIF(P$4:P125,""Sell_Grandma"")),1)+(COUNTIF"&amp;"(P$4:P125,""Mine"")-COUNTIF(P$4:P125,""Sell_Mine""))*((47*2^COUNTIF(P$4:P125,""Mine_up""))*IF(COUNTIF(P$4:P125,""Super_up"")&gt;1,1+0.005*(COUNTIF(P$4:P125,""Grandma"")-COUNTIF(P$4:P125,""Sell_Grandma"")),1))+(COUNTIF(P$4:P125,""Factory"")-COUNTIF(P$4:P125,"&amp;"""Sell_Factory""))*(260*2^COUNTIF(P$4:P125,""Factory_up""))))"),2734.56)</f>
        <v>2734.56</v>
      </c>
      <c r="S125" s="73">
        <f>IFERROR(__xludf.DUMMYFUNCTION("IF(COUNTA(P125:P147)=0,"""",IF(REGEXMATCH(INDEX(FILTER(P$4:P125,P$4:P125&lt;&gt;""""),ROWS(FILTER(P$4:P125,P$4:P125&lt;&gt;""""))),""^Sell_""),INDEX(FILTER(S$4:S124,P$4:P124&lt;&gt;""""),ROWS(FILTER(P$4:P124,P$4:P124&lt;&gt;""""))),$AD$5*(2^SWITCH(COUNTIF(P$4:P125,""Cursor_up"")"&amp;",0,0,1,1,2,2,3)+SWITCH(COUNTIF(P$4:P125,""Cursor_up""),4,0.1,0)*(ROW(P125)-4-COUNTIF(P$4:P125,""Cursor"")-COUNTIF(P$4:P125,""*""&amp;""_up"")-2*COUNTIF(P$4:P125,""Sell_""&amp;""*"")+COUNTIF(P$4:P125,""Sell_Cursor"")-COUNTIF(P$4:P125,""""))+0.01*R125*COUNTIF(P$4:P"&amp;"125,""Plastic_up""))+R125))"),3366.7439999999997)</f>
        <v>3366.744</v>
      </c>
      <c r="T125" s="14">
        <f>IFERROR(__xludf.DUMMYFUNCTION("IF(COUNTA(P125:P147)=0,"""",IF(REGEXMATCH(P125,""_up""),VLOOKUP(P125,Upgrades!$F$3:$J$8,1+COUNTIF(P$4:P125,P125),FALSE),IF(P125="""",0,IF(REGEXMATCH(P125,""^Sell_""),-ROUNDDOWN(ROUNDUP(INDEX(Upgrades!$C$3:$C$8,MATCH(SUBSTITUTE(P125,""Sell_"",""""),Upgrade"&amp;"s!$B$3:$B$8,0))*1.15^(COUNTIF(P$4:P124,SUBSTITUTE(P125,""Sell_"",""""))-COUNTIF(P$4:P124,""Sell_""&amp;SUBSTITUTE(P125,""Sell_"",""""))))/4),ROUNDUP(INDEX(Upgrades!$C$3:$C$7,MATCH(P125,Upgrades!$B$3:$B$7,0))*1.15^(COUNTIF(P$4:P124,P125)-COUNTIF(P$4:P124,""Sel"&amp;"l_""&amp;P125)))))))"),13318.0)</f>
        <v>13318</v>
      </c>
      <c r="U125" s="14">
        <f t="shared" si="10"/>
        <v>13318</v>
      </c>
      <c r="V125" s="75">
        <f t="shared" si="11"/>
        <v>19968094.16</v>
      </c>
      <c r="W125" s="76">
        <f t="shared" si="12"/>
        <v>1044.719898</v>
      </c>
      <c r="X125" s="71" t="str">
        <f t="shared" si="13"/>
        <v>17m 24s</v>
      </c>
      <c r="Y125" s="77">
        <f t="shared" si="14"/>
        <v>966425</v>
      </c>
      <c r="Z125" s="17"/>
      <c r="AA125" s="13"/>
      <c r="AB125" s="13"/>
      <c r="AC125" s="13"/>
      <c r="AD125" s="13"/>
      <c r="AE125" s="13"/>
      <c r="AF125" s="13"/>
      <c r="AG125" s="13"/>
    </row>
    <row r="126">
      <c r="A126" s="12"/>
      <c r="B126" s="65">
        <f t="shared" si="2"/>
        <v>37</v>
      </c>
      <c r="C126" s="66" t="s">
        <v>13</v>
      </c>
      <c r="D126" s="14" t="b">
        <f>IFERROR(__xludf.DUMMYFUNCTION("IF(COUNTA(C126:C147)=0,"""",IFERROR(IF(ISBLANK(C126),FALSE,IF(ISBLANK(G126),1,IF(NOT(COUNTIF($AA$24:$AA$34,SUBSTITUTE(C126,""Sell_"",""""))),1,IF(C126=""Plastic_up"",IF(I126&lt;1000,1),IF(C126=""Super_Up"",IF(OR(COUNTIF(C$4:C126,""Grandma"")-COUNTIF(C$4:C126"&amp;",""Sell_Grandma"")&lt;1,COUNTIF(C$4:C126,VLOOKUP(C126,Upgrades!$F$8:$N$8,7+COUNTIF(C$4:C126,C126)))-COUNTIF(C$4:C126,""Sell_""&amp;VLOOKUP(C126,Upgrades!$F$8:$N$8,7+COUNTIF(C$4:C126,C126)))&lt;15),1),IF(REGEXMATCH(C126,""_up""),IF(COUNTIF(C$4:C126,SUBSTITUTE(C126,"&amp;"""_up"",""""))&lt;IFERROR(VLOOKUP(C126,Upgrades!$L$3:$P$6,1+COUNTIF(C$4:C126,C126),0),999),1),IF(REGEXMATCH(C126,""Sell_""),IF(COUNTIF(C$4:C126,SUBSTITUTE(C126,""Sell_"",""""))-COUNTIF(C$4:C125,C126)&lt;1,1),FALSE)))))))))"),FALSE)</f>
        <v>0</v>
      </c>
      <c r="E126" s="71">
        <f>IFERROR(__xludf.DUMMYFUNCTION("IF(REGEXMATCH(C126,""^Sell_""),E125, IF(COUNTA(C126:C147)=0,"""",(COUNTIF(C$4:C126,""Cursor"")-COUNTIF(C$4:C126,""Sell_Cursor""))*(0.1*2^SWITCH(COUNTIF(C$4:C126,""Cursor_up""),0,0,1,1,2,2,3)+SWITCH(COUNTIF(C$4:C126,""Cursor_up""),4,0.1,0)*(ROW(C126)-4-COU"&amp;"NTIF(C$4:C126,""Cursor"")-COUNTIF(C$4:C126,""*""&amp;""_up"")-2*COUNTIF(C$4:C126,""Sell_""&amp;""*"")+COUNTIF(C$4:C126,""Sell_Cursor"")-COUNTIF(C$4:C126,"""")))+(COUNTIF(C$4:C126,""Grandma"")-COUNTIF(C$4:C126,""Sell_Grandma""))*(1*2^(COUNTIF(C$4:C126,""Grandma_up"&amp;""")+COUNTIF(C$4:C126,""Super_up"")))+(COUNTIF(C$4:C126,""Farm"")-COUNTIF(C$4:C126,""Sell_Farm""))*(8*2^COUNTIF(C$4:C126,""Farm_up""))*IF(COUNTIF(C$4:C126,""Super_up"")&gt;0,1+0.01*(COUNTIF(C$4:C126,""Grandma"")-COUNTIF(C$4:C126,""Sell_Grandma"")),1)+(COUNTIF"&amp;"(C$4:C126,""Mine"")-COUNTIF(C$4:C126,""Sell_Mine""))*((47*2^COUNTIF(C$4:C126,""Mine_up""))*IF(COUNTIF(C$4:C126,""Super_up"")&gt;1,1+0.005*(COUNTIF(C$4:C126,""Grandma"")-COUNTIF(C$4:C126,""Sell_Grandma"")),1))+(COUNTIF(C$4:C126,""Factory"")-COUNTIF(C$4:C126,"&amp;"""Sell_Factory""))*(260*2^COUNTIF(C$4:C126,""Factory_up""))))"),2762.02)</f>
        <v>2762.02</v>
      </c>
      <c r="F126" s="73">
        <f>IFERROR(__xludf.DUMMYFUNCTION("IF(COUNTA(C126:C147)=0,"""",IF(REGEXMATCH(INDEX(FILTER(C$4:C126,C$4:C126&lt;&gt;""""),ROWS(FILTER(C$4:C126,C$4:C126&lt;&gt;""""))),""^Sell_""),INDEX(FILTER(F$4:F125,C$4:C125&lt;&gt;""""),ROWS(FILTER(C$4:C125,C$4:C125&lt;&gt;""""))),$AC$5*(2^SWITCH(COUNTIF(C$4:C126,""Cursor_up"")"&amp;",0,0,1,1,2,2,3)+SWITCH(COUNTIF(C$4:C126,""Cursor_up""),4,0.1,0)*(ROW(C126)-4-COUNTIF(C$4:C126,""Cursor"")-COUNTIF(C$4:C126,""*""&amp;""_up"")-2*COUNTIF(C$4:C126,""Sell_""&amp;""*"")+COUNTIF(C$4:C126,""Sell_Cursor"")-COUNTIF(C$4:C126,""""))+0.01*E126*COUNTIF(C$4:C"&amp;"126,""Plastic_up""))+E126))"),3399.823)</f>
        <v>3399.823</v>
      </c>
      <c r="G126" s="14">
        <f>IFERROR(__xludf.DUMMYFUNCTION("IF(COUNTA(C126:C147)=0,"""",IF(REGEXMATCH(C126,""_up""),VLOOKUP(C126,Upgrades!$F$3:$J$8,1+COUNTIF(C$4:C126,C126),FALSE),IF(C126="""",0,IF(REGEXMATCH(C126,""^Sell_""),-ROUNDDOWN(ROUNDUP(INDEX(Upgrades!$C$3:$C$8,MATCH(SUBSTITUTE(C126,""Sell_"",""""),Upgrade"&amp;"s!$B$3:$B$8,0))*1.15^(COUNTIF(C$4:C125,SUBSTITUTE(C126,""Sell_"",""""))-COUNTIF(C$4:C125,""Sell_""&amp;SUBSTITUTE(C126,""Sell_"",""""))))/4),ROUNDUP(INDEX(Upgrades!$C$3:$C$7,MATCH(C126,Upgrades!$B$3:$B$7,0))*1.15^(COUNTIF(C$4:C125,C126)-COUNTIF(C$4:C125,""Sel"&amp;"l_""&amp;C126)))))))"),15316.0)</f>
        <v>15316</v>
      </c>
      <c r="H126" s="14">
        <f t="shared" si="3"/>
        <v>15316</v>
      </c>
      <c r="I126" s="75">
        <f t="shared" si="4"/>
        <v>20631425.3</v>
      </c>
      <c r="J126" s="76">
        <f t="shared" si="5"/>
        <v>1049.269101</v>
      </c>
      <c r="K126" s="71" t="str">
        <f t="shared" si="6"/>
        <v>17m 29s</v>
      </c>
      <c r="L126" s="77">
        <f t="shared" si="7"/>
        <v>981741</v>
      </c>
      <c r="M126" s="51">
        <f t="shared" si="8"/>
        <v>0</v>
      </c>
      <c r="N126" s="52">
        <f>IFERROR(__xludf.DUMMYFUNCTION("IFS(AND(COUNTA(C126:C147)=0,COUNTA(P126:P147)=0),"""",OR(AND(L126&gt;=1000000,OR(Y126&gt;=1000000,COUNTA(P126:P147)=0)),AND(Y126&gt;=1000000,COUNTA(C126:C147)=0),AND(COUNTA(P126:P147)=0,O$3=TRUE)),
ROUNDDOWN((AB$1-AC$1)*MAX(INDEX(S$4:S147,MATCH(LARGE(FILTER(Y$4:Y1"&amp;"47,Y$4:Y147&lt;1000000),1),Y$4:Y147)),INDEX(F$4:F147,MATCH(LARGE(FILTER(L$4:L147,L$4:L147&lt;1000000),1),L$4:L147)))),AND(L126&lt;1000000,COUNTA(C126:C147)&gt;0,O$3=FALSE),
ROUNDDOWN(INDEX(Y$4:Y147,MATCH(LARGE(FILTER(W$4:W147,W$4:W147&lt;=J126),1),W$4:W147))+(J126-LARGE"&amp;"(FILTER(W$4:W147,W$4:W147&lt;=J126),1))*INDEX(S$4:S147,MATCH(LARGE(FILTER(W$4:W147,W$4:W147&lt;=J126),1),W$4:W147))-L126),1,
ROUNDDOWN(Y126-INDEX(L$4:L147,MATCH(LARGE(FILTER(J$4:J147,J$4:J147&lt;=W126),1),J$4:J147))-(W126-LARGE(FILTER(J$4:J147,J$4:J147&lt;=W126),1))*"&amp;"INDEX(F$4:F147,MATCH(LARGE(FILTER(J$4:J147,J$4:J147&lt;=W126),1),J$4:J147))))"),0.0)</f>
        <v>0</v>
      </c>
      <c r="O126" s="65">
        <f t="shared" si="9"/>
        <v>37</v>
      </c>
      <c r="P126" s="66" t="s">
        <v>13</v>
      </c>
      <c r="Q126" s="14" t="b">
        <f>IFERROR(__xludf.DUMMYFUNCTION("IF(COUNTA(P126:P147)=0,"""",IFERROR(IF(ISBLANK(P126),FALSE,IF(ISBLANK(T126),1,IF(NOT(COUNTIF($AA$24:$AA$34,SUBSTITUTE(P126,""Sell_"",""""))),1,IF(P126=""Plastic_up"",IF(V126&lt;1000,1),IF(P126=""Super_Up"",IF(OR(COUNTIF(P$4:P126,""Grandma"")-COUNTIF(P$4:P126"&amp;",""Sell_Grandma"")&lt;1,COUNTIF(P$4:P126,VLOOKUP(P126,Upgrades!$F$8:$N$8,7+COUNTIF(P$4:P126,P126)))-COUNTIF(P$4:P126,""Sell_""&amp;VLOOKUP(P126,Upgrades!$F$8:$N$8,7+COUNTIF(P$4:P126,P126)))&lt;15),1),IF(REGEXMATCH(P126,""_up""),IF(COUNTIF(P$4:P126,SUBSTITUTE(P126,"&amp;"""_up"",""""))&lt;IFERROR(VLOOKUP(P126,Upgrades!$L$3:$P$6,1+COUNTIF(P$4:P126,P126),0),999),1),IF(REGEXMATCH(P126,""Sell_""),IF(COUNTIF(P$4:P126,SUBSTITUTE(P126,""Sell_"",""""))-COUNTIF(P$4:P125,P126)&lt;1,1),FALSE)))))))))"),FALSE)</f>
        <v>0</v>
      </c>
      <c r="R126" s="71">
        <f>IFERROR(__xludf.DUMMYFUNCTION("IF(REGEXMATCH(P126,""^Sell_""),R125, IF(COUNTA(P126:P147)=0,"""",(COUNTIF(P$4:P126,""Cursor"")-COUNTIF(P$4:P126,""Sell_Cursor""))*(0.1*2^SWITCH(COUNTIF(P$4:P126,""Cursor_up""),0,0,1,1,2,2,3)+SWITCH(COUNTIF(P$4:P126,""Cursor_up""),4,0.1,0)*(ROW(P126)-4-COU"&amp;"NTIF(P$4:P126,""Cursor"")-COUNTIF(P$4:P126,""*""&amp;""_up"")-2*COUNTIF(P$4:P126,""Sell_""&amp;""*"")+COUNTIF(P$4:P126,""Sell_Cursor"")-COUNTIF(P$4:P126,"""")))+(COUNTIF(P$4:P126,""Grandma"")-COUNTIF(P$4:P126,""Sell_Grandma""))*(1*2^(COUNTIF(P$4:P126,""Grandma_up"&amp;""")+COUNTIF(P$4:P126,""Super_up"")))+(COUNTIF(P$4:P126,""Farm"")-COUNTIF(P$4:P126,""Sell_Farm""))*(8*2^COUNTIF(P$4:P126,""Farm_up""))*IF(COUNTIF(P$4:P126,""Super_up"")&gt;0,1+0.01*(COUNTIF(P$4:P126,""Grandma"")-COUNTIF(P$4:P126,""Sell_Grandma"")),1)+(COUNTIF"&amp;"(P$4:P126,""Mine"")-COUNTIF(P$4:P126,""Sell_Mine""))*((47*2^COUNTIF(P$4:P126,""Mine_up""))*IF(COUNTIF(P$4:P126,""Super_up"")&gt;1,1+0.005*(COUNTIF(P$4:P126,""Grandma"")-COUNTIF(P$4:P126,""Sell_Grandma"")),1))+(COUNTIF(P$4:P126,""Factory"")-COUNTIF(P$4:P126,"&amp;"""Sell_Factory""))*(260*2^COUNTIF(P$4:P126,""Factory_up""))))"),2762.02)</f>
        <v>2762.02</v>
      </c>
      <c r="S126" s="73">
        <f>IFERROR(__xludf.DUMMYFUNCTION("IF(COUNTA(P126:P147)=0,"""",IF(REGEXMATCH(INDEX(FILTER(P$4:P126,P$4:P126&lt;&gt;""""),ROWS(FILTER(P$4:P126,P$4:P126&lt;&gt;""""))),""^Sell_""),INDEX(FILTER(S$4:S125,P$4:P125&lt;&gt;""""),ROWS(FILTER(P$4:P125,P$4:P125&lt;&gt;""""))),$AD$5*(2^SWITCH(COUNTIF(P$4:P126,""Cursor_up"")"&amp;",0,0,1,1,2,2,3)+SWITCH(COUNTIF(P$4:P126,""Cursor_up""),4,0.1,0)*(ROW(P126)-4-COUNTIF(P$4:P126,""Cursor"")-COUNTIF(P$4:P126,""*""&amp;""_up"")-2*COUNTIF(P$4:P126,""Sell_""&amp;""*"")+COUNTIF(P$4:P126,""Sell_Cursor"")-COUNTIF(P$4:P126,""""))+0.01*R126*COUNTIF(P$4:P"&amp;"126,""Plastic_up""))+R126))"),3399.823)</f>
        <v>3399.823</v>
      </c>
      <c r="T126" s="14">
        <f>IFERROR(__xludf.DUMMYFUNCTION("IF(COUNTA(P126:P147)=0,"""",IF(REGEXMATCH(P126,""_up""),VLOOKUP(P126,Upgrades!$F$3:$J$8,1+COUNTIF(P$4:P126,P126),FALSE),IF(P126="""",0,IF(REGEXMATCH(P126,""^Sell_""),-ROUNDDOWN(ROUNDUP(INDEX(Upgrades!$C$3:$C$8,MATCH(SUBSTITUTE(P126,""Sell_"",""""),Upgrade"&amp;"s!$B$3:$B$8,0))*1.15^(COUNTIF(P$4:P125,SUBSTITUTE(P126,""Sell_"",""""))-COUNTIF(P$4:P125,""Sell_""&amp;SUBSTITUTE(P126,""Sell_"",""""))))/4),ROUNDUP(INDEX(Upgrades!$C$3:$C$7,MATCH(P126,Upgrades!$B$3:$B$7,0))*1.15^(COUNTIF(P$4:P125,P126)-COUNTIF(P$4:P125,""Sel"&amp;"l_""&amp;P126)))))))"),15316.0)</f>
        <v>15316</v>
      </c>
      <c r="U126" s="14">
        <f t="shared" si="10"/>
        <v>15316</v>
      </c>
      <c r="V126" s="75">
        <f t="shared" si="11"/>
        <v>20631425.3</v>
      </c>
      <c r="W126" s="76">
        <f t="shared" si="12"/>
        <v>1049.269101</v>
      </c>
      <c r="X126" s="71" t="str">
        <f t="shared" si="13"/>
        <v>17m 29s</v>
      </c>
      <c r="Y126" s="77">
        <f t="shared" si="14"/>
        <v>981741</v>
      </c>
      <c r="Z126" s="17"/>
      <c r="AA126" s="13"/>
      <c r="AB126" s="13"/>
      <c r="AC126" s="13"/>
      <c r="AD126" s="13"/>
      <c r="AE126" s="13"/>
      <c r="AF126" s="13"/>
      <c r="AG126" s="13"/>
    </row>
    <row r="127">
      <c r="A127" s="12"/>
      <c r="B127" s="65">
        <f t="shared" si="2"/>
        <v>42</v>
      </c>
      <c r="C127" s="66" t="s">
        <v>10</v>
      </c>
      <c r="D127" s="14" t="b">
        <f>IFERROR(__xludf.DUMMYFUNCTION("IF(COUNTA(C127:C147)=0,"""",IFERROR(IF(ISBLANK(C127),FALSE,IF(ISBLANK(G127),1,IF(NOT(COUNTIF($AA$24:$AA$34,SUBSTITUTE(C127,""Sell_"",""""))),1,IF(C127=""Plastic_up"",IF(I127&lt;1000,1),IF(C127=""Super_Up"",IF(OR(COUNTIF(C$4:C127,""Grandma"")-COUNTIF(C$4:C127"&amp;",""Sell_Grandma"")&lt;1,COUNTIF(C$4:C127,VLOOKUP(C127,Upgrades!$F$8:$N$8,7+COUNTIF(C$4:C127,C127)))-COUNTIF(C$4:C127,""Sell_""&amp;VLOOKUP(C127,Upgrades!$F$8:$N$8,7+COUNTIF(C$4:C127,C127)))&lt;15),1),IF(REGEXMATCH(C127,""_up""),IF(COUNTIF(C$4:C127,SUBSTITUTE(C127,"&amp;"""_up"",""""))&lt;IFERROR(VLOOKUP(C127,Upgrades!$L$3:$P$6,1+COUNTIF(C$4:C127,C127),0),999),1),IF(REGEXMATCH(C127,""Sell_""),IF(COUNTIF(C$4:C127,SUBSTITUTE(C127,""Sell_"",""""))-COUNTIF(C$4:C126,C127)&lt;1,1),FALSE)))))))))"),FALSE)</f>
        <v>0</v>
      </c>
      <c r="E127" s="71">
        <f>IFERROR(__xludf.DUMMYFUNCTION("IF(REGEXMATCH(C127,""^Sell_""),E126, IF(COUNTA(C127:C147)=0,"""",(COUNTIF(C$4:C127,""Cursor"")-COUNTIF(C$4:C127,""Sell_Cursor""))*(0.1*2^SWITCH(COUNTIF(C$4:C127,""Cursor_up""),0,0,1,1,2,2,3)+SWITCH(COUNTIF(C$4:C127,""Cursor_up""),4,0.1,0)*(ROW(C127)-4-COU"&amp;"NTIF(C$4:C127,""Cursor"")-COUNTIF(C$4:C127,""*""&amp;""_up"")-2*COUNTIF(C$4:C127,""Sell_""&amp;""*"")+COUNTIF(C$4:C127,""Sell_Cursor"")-COUNTIF(C$4:C127,"""")))+(COUNTIF(C$4:C127,""Grandma"")-COUNTIF(C$4:C127,""Sell_Grandma""))*(1*2^(COUNTIF(C$4:C127,""Grandma_up"&amp;""")+COUNTIF(C$4:C127,""Super_up"")))+(COUNTIF(C$4:C127,""Farm"")-COUNTIF(C$4:C127,""Sell_Farm""))*(8*2^COUNTIF(C$4:C127,""Farm_up""))*IF(COUNTIF(C$4:C127,""Super_up"")&gt;0,1+0.01*(COUNTIF(C$4:C127,""Grandma"")-COUNTIF(C$4:C127,""Sell_Grandma"")),1)+(COUNTIF"&amp;"(C$4:C127,""Mine"")-COUNTIF(C$4:C127,""Sell_Mine""))*((47*2^COUNTIF(C$4:C127,""Mine_up""))*IF(COUNTIF(C$4:C127,""Super_up"")&gt;1,1+0.005*(COUNTIF(C$4:C127,""Grandma"")-COUNTIF(C$4:C127,""Sell_Grandma"")),1))+(COUNTIF(C$4:C127,""Factory"")-COUNTIF(C$4:C127,"&amp;"""Sell_Factory""))*(260*2^COUNTIF(C$4:C127,""Factory_up""))))"),2769.7200000000003)</f>
        <v>2769.72</v>
      </c>
      <c r="F127" s="73">
        <f>IFERROR(__xludf.DUMMYFUNCTION("IF(COUNTA(C127:C147)=0,"""",IF(REGEXMATCH(INDEX(FILTER(C$4:C127,C$4:C127&lt;&gt;""""),ROWS(FILTER(C$4:C127,C$4:C127&lt;&gt;""""))),""^Sell_""),INDEX(FILTER(F$4:F126,C$4:C126&lt;&gt;""""),ROWS(FILTER(C$4:C126,C$4:C126&lt;&gt;""""))),$AC$5*(2^SWITCH(COUNTIF(C$4:C127,""Cursor_up"")"&amp;",0,0,1,1,2,2,3)+SWITCH(COUNTIF(C$4:C127,""Cursor_up""),4,0.1,0)*(ROW(C127)-4-COUNTIF(C$4:C127,""Cursor"")-COUNTIF(C$4:C127,""*""&amp;""_up"")-2*COUNTIF(C$4:C127,""Sell_""&amp;""*"")+COUNTIF(C$4:C127,""Sell_Cursor"")-COUNTIF(C$4:C127,""""))+0.01*E127*COUNTIF(C$4:C"&amp;"127,""Plastic_up""))+E127))"),3408.6780000000003)</f>
        <v>3408.678</v>
      </c>
      <c r="G127" s="14">
        <f>IFERROR(__xludf.DUMMYFUNCTION("IF(COUNTA(C127:C147)=0,"""",IF(REGEXMATCH(C127,""_up""),VLOOKUP(C127,Upgrades!$F$3:$J$8,1+COUNTIF(C$4:C127,C127),FALSE),IF(C127="""",0,IF(REGEXMATCH(C127,""^Sell_""),-ROUNDDOWN(ROUNDUP(INDEX(Upgrades!$C$3:$C$8,MATCH(SUBSTITUTE(C127,""Sell_"",""""),Upgrade"&amp;"s!$B$3:$B$8,0))*1.15^(COUNTIF(C$4:C126,SUBSTITUTE(C127,""Sell_"",""""))-COUNTIF(C$4:C126,""Sell_""&amp;SUBSTITUTE(C127,""Sell_"",""""))))/4),ROUNDUP(INDEX(Upgrades!$C$3:$C$7,MATCH(C127,Upgrades!$B$3:$B$7,0))*1.15^(COUNTIF(C$4:C126,C127)-COUNTIF(C$4:C126,""Sel"&amp;"l_""&amp;C127)))))))"),4621.0)</f>
        <v>4621</v>
      </c>
      <c r="H127" s="14">
        <f t="shared" si="3"/>
        <v>4621</v>
      </c>
      <c r="I127" s="75">
        <f t="shared" si="4"/>
        <v>21301519.18</v>
      </c>
      <c r="J127" s="76">
        <f t="shared" si="5"/>
        <v>1050.628289</v>
      </c>
      <c r="K127" s="71" t="str">
        <f t="shared" si="6"/>
        <v>17m 30s</v>
      </c>
      <c r="L127" s="77">
        <f t="shared" si="7"/>
        <v>986362</v>
      </c>
      <c r="M127" s="51">
        <f t="shared" si="8"/>
        <v>0</v>
      </c>
      <c r="N127" s="52">
        <f>IFERROR(__xludf.DUMMYFUNCTION("IFS(AND(COUNTA(C127:C147)=0,COUNTA(P127:P147)=0),"""",OR(AND(L127&gt;=1000000,OR(Y127&gt;=1000000,COUNTA(P127:P147)=0)),AND(Y127&gt;=1000000,COUNTA(C127:C147)=0),AND(COUNTA(P127:P147)=0,O$3=TRUE)),
ROUNDDOWN((AB$1-AC$1)*MAX(INDEX(S$4:S147,MATCH(LARGE(FILTER(Y$4:Y1"&amp;"47,Y$4:Y147&lt;1000000),1),Y$4:Y147)),INDEX(F$4:F147,MATCH(LARGE(FILTER(L$4:L147,L$4:L147&lt;1000000),1),L$4:L147)))),AND(L127&lt;1000000,COUNTA(C127:C147)&gt;0,O$3=FALSE),
ROUNDDOWN(INDEX(Y$4:Y147,MATCH(LARGE(FILTER(W$4:W147,W$4:W147&lt;=J127),1),W$4:W147))+(J127-LARGE"&amp;"(FILTER(W$4:W147,W$4:W147&lt;=J127),1))*INDEX(S$4:S147,MATCH(LARGE(FILTER(W$4:W147,W$4:W147&lt;=J127),1),W$4:W147))-L127),1,
ROUNDDOWN(Y127-INDEX(L$4:L147,MATCH(LARGE(FILTER(J$4:J147,J$4:J147&lt;=W127),1),J$4:J147))-(W127-LARGE(FILTER(J$4:J147,J$4:J147&lt;=W127),1))*"&amp;"INDEX(F$4:F147,MATCH(LARGE(FILTER(J$4:J147,J$4:J147&lt;=W127),1),J$4:J147))))"),0.0)</f>
        <v>0</v>
      </c>
      <c r="O127" s="65">
        <f t="shared" si="9"/>
        <v>42</v>
      </c>
      <c r="P127" s="66" t="s">
        <v>10</v>
      </c>
      <c r="Q127" s="14" t="b">
        <f>IFERROR(__xludf.DUMMYFUNCTION("IF(COUNTA(P127:P147)=0,"""",IFERROR(IF(ISBLANK(P127),FALSE,IF(ISBLANK(T127),1,IF(NOT(COUNTIF($AA$24:$AA$34,SUBSTITUTE(P127,""Sell_"",""""))),1,IF(P127=""Plastic_up"",IF(V127&lt;1000,1),IF(P127=""Super_Up"",IF(OR(COUNTIF(P$4:P127,""Grandma"")-COUNTIF(P$4:P127"&amp;",""Sell_Grandma"")&lt;1,COUNTIF(P$4:P127,VLOOKUP(P127,Upgrades!$F$8:$N$8,7+COUNTIF(P$4:P127,P127)))-COUNTIF(P$4:P127,""Sell_""&amp;VLOOKUP(P127,Upgrades!$F$8:$N$8,7+COUNTIF(P$4:P127,P127)))&lt;15),1),IF(REGEXMATCH(P127,""_up""),IF(COUNTIF(P$4:P127,SUBSTITUTE(P127,"&amp;"""_up"",""""))&lt;IFERROR(VLOOKUP(P127,Upgrades!$L$3:$P$6,1+COUNTIF(P$4:P127,P127),0),999),1),IF(REGEXMATCH(P127,""Sell_""),IF(COUNTIF(P$4:P127,SUBSTITUTE(P127,""Sell_"",""""))-COUNTIF(P$4:P126,P127)&lt;1,1),FALSE)))))))))"),FALSE)</f>
        <v>0</v>
      </c>
      <c r="R127" s="71">
        <f>IFERROR(__xludf.DUMMYFUNCTION("IF(REGEXMATCH(P127,""^Sell_""),R126, IF(COUNTA(P127:P147)=0,"""",(COUNTIF(P$4:P127,""Cursor"")-COUNTIF(P$4:P127,""Sell_Cursor""))*(0.1*2^SWITCH(COUNTIF(P$4:P127,""Cursor_up""),0,0,1,1,2,2,3)+SWITCH(COUNTIF(P$4:P127,""Cursor_up""),4,0.1,0)*(ROW(P127)-4-COU"&amp;"NTIF(P$4:P127,""Cursor"")-COUNTIF(P$4:P127,""*""&amp;""_up"")-2*COUNTIF(P$4:P127,""Sell_""&amp;""*"")+COUNTIF(P$4:P127,""Sell_Cursor"")-COUNTIF(P$4:P127,"""")))+(COUNTIF(P$4:P127,""Grandma"")-COUNTIF(P$4:P127,""Sell_Grandma""))*(1*2^(COUNTIF(P$4:P127,""Grandma_up"&amp;""")+COUNTIF(P$4:P127,""Super_up"")))+(COUNTIF(P$4:P127,""Farm"")-COUNTIF(P$4:P127,""Sell_Farm""))*(8*2^COUNTIF(P$4:P127,""Farm_up""))*IF(COUNTIF(P$4:P127,""Super_up"")&gt;0,1+0.01*(COUNTIF(P$4:P127,""Grandma"")-COUNTIF(P$4:P127,""Sell_Grandma"")),1)+(COUNTIF"&amp;"(P$4:P127,""Mine"")-COUNTIF(P$4:P127,""Sell_Mine""))*((47*2^COUNTIF(P$4:P127,""Mine_up""))*IF(COUNTIF(P$4:P127,""Super_up"")&gt;1,1+0.005*(COUNTIF(P$4:P127,""Grandma"")-COUNTIF(P$4:P127,""Sell_Grandma"")),1))+(COUNTIF(P$4:P127,""Factory"")-COUNTIF(P$4:P127,"&amp;"""Sell_Factory""))*(260*2^COUNTIF(P$4:P127,""Factory_up""))))"),2769.7200000000003)</f>
        <v>2769.72</v>
      </c>
      <c r="S127" s="73">
        <f>IFERROR(__xludf.DUMMYFUNCTION("IF(COUNTA(P127:P147)=0,"""",IF(REGEXMATCH(INDEX(FILTER(P$4:P127,P$4:P127&lt;&gt;""""),ROWS(FILTER(P$4:P127,P$4:P127&lt;&gt;""""))),""^Sell_""),INDEX(FILTER(S$4:S126,P$4:P126&lt;&gt;""""),ROWS(FILTER(P$4:P126,P$4:P126&lt;&gt;""""))),$AD$5*(2^SWITCH(COUNTIF(P$4:P127,""Cursor_up"")"&amp;",0,0,1,1,2,2,3)+SWITCH(COUNTIF(P$4:P127,""Cursor_up""),4,0.1,0)*(ROW(P127)-4-COUNTIF(P$4:P127,""Cursor"")-COUNTIF(P$4:P127,""*""&amp;""_up"")-2*COUNTIF(P$4:P127,""Sell_""&amp;""*"")+COUNTIF(P$4:P127,""Sell_Cursor"")-COUNTIF(P$4:P127,""""))+0.01*R127*COUNTIF(P$4:P"&amp;"127,""Plastic_up""))+R127))"),3408.6780000000003)</f>
        <v>3408.678</v>
      </c>
      <c r="T127" s="14">
        <f>IFERROR(__xludf.DUMMYFUNCTION("IF(COUNTA(P127:P147)=0,"""",IF(REGEXMATCH(P127,""_up""),VLOOKUP(P127,Upgrades!$F$3:$J$8,1+COUNTIF(P$4:P127,P127),FALSE),IF(P127="""",0,IF(REGEXMATCH(P127,""^Sell_""),-ROUNDDOWN(ROUNDUP(INDEX(Upgrades!$C$3:$C$8,MATCH(SUBSTITUTE(P127,""Sell_"",""""),Upgrade"&amp;"s!$B$3:$B$8,0))*1.15^(COUNTIF(P$4:P126,SUBSTITUTE(P127,""Sell_"",""""))-COUNTIF(P$4:P126,""Sell_""&amp;SUBSTITUTE(P127,""Sell_"",""""))))/4),ROUNDUP(INDEX(Upgrades!$C$3:$C$7,MATCH(P127,Upgrades!$B$3:$B$7,0))*1.15^(COUNTIF(P$4:P126,P127)-COUNTIF(P$4:P126,""Sel"&amp;"l_""&amp;P127)))))))"),4621.0)</f>
        <v>4621</v>
      </c>
      <c r="U127" s="14">
        <f t="shared" si="10"/>
        <v>4621</v>
      </c>
      <c r="V127" s="75">
        <f t="shared" si="11"/>
        <v>21301519.18</v>
      </c>
      <c r="W127" s="76">
        <f t="shared" si="12"/>
        <v>1050.628289</v>
      </c>
      <c r="X127" s="71" t="str">
        <f t="shared" si="13"/>
        <v>17m 30s</v>
      </c>
      <c r="Y127" s="77">
        <f t="shared" si="14"/>
        <v>986362</v>
      </c>
      <c r="Z127" s="17"/>
      <c r="AA127" s="13"/>
      <c r="AB127" s="13"/>
      <c r="AC127" s="13"/>
      <c r="AD127" s="13"/>
      <c r="AE127" s="13"/>
      <c r="AF127" s="13"/>
      <c r="AG127" s="13"/>
    </row>
    <row r="128">
      <c r="A128" s="12"/>
      <c r="B128" s="65">
        <f t="shared" si="2"/>
        <v>43</v>
      </c>
      <c r="C128" s="66" t="s">
        <v>10</v>
      </c>
      <c r="D128" s="14" t="b">
        <f>IFERROR(__xludf.DUMMYFUNCTION("IF(COUNTA(C128:C147)=0,"""",IFERROR(IF(ISBLANK(C128),FALSE,IF(ISBLANK(G128),1,IF(NOT(COUNTIF($AA$24:$AA$34,SUBSTITUTE(C128,""Sell_"",""""))),1,IF(C128=""Plastic_up"",IF(I128&lt;1000,1),IF(C128=""Super_Up"",IF(OR(COUNTIF(C$4:C128,""Grandma"")-COUNTIF(C$4:C128"&amp;",""Sell_Grandma"")&lt;1,COUNTIF(C$4:C128,VLOOKUP(C128,Upgrades!$F$8:$N$8,7+COUNTIF(C$4:C128,C128)))-COUNTIF(C$4:C128,""Sell_""&amp;VLOOKUP(C128,Upgrades!$F$8:$N$8,7+COUNTIF(C$4:C128,C128)))&lt;15),1),IF(REGEXMATCH(C128,""_up""),IF(COUNTIF(C$4:C128,SUBSTITUTE(C128,"&amp;"""_up"",""""))&lt;IFERROR(VLOOKUP(C128,Upgrades!$L$3:$P$6,1+COUNTIF(C$4:C128,C128),0),999),1),IF(REGEXMATCH(C128,""Sell_""),IF(COUNTIF(C$4:C128,SUBSTITUTE(C128,""Sell_"",""""))-COUNTIF(C$4:C127,C128)&lt;1,1),FALSE)))))))))"),FALSE)</f>
        <v>0</v>
      </c>
      <c r="E128" s="71">
        <f>IFERROR(__xludf.DUMMYFUNCTION("IF(REGEXMATCH(C128,""^Sell_""),E127, IF(COUNTA(C128:C147)=0,"""",(COUNTIF(C$4:C128,""Cursor"")-COUNTIF(C$4:C128,""Sell_Cursor""))*(0.1*2^SWITCH(COUNTIF(C$4:C128,""Cursor_up""),0,0,1,1,2,2,3)+SWITCH(COUNTIF(C$4:C128,""Cursor_up""),4,0.1,0)*(ROW(C128)-4-COU"&amp;"NTIF(C$4:C128,""Cursor"")-COUNTIF(C$4:C128,""*""&amp;""_up"")-2*COUNTIF(C$4:C128,""Sell_""&amp;""*"")+COUNTIF(C$4:C128,""Sell_Cursor"")-COUNTIF(C$4:C128,"""")))+(COUNTIF(C$4:C128,""Grandma"")-COUNTIF(C$4:C128,""Sell_Grandma""))*(1*2^(COUNTIF(C$4:C128,""Grandma_up"&amp;""")+COUNTIF(C$4:C128,""Super_up"")))+(COUNTIF(C$4:C128,""Farm"")-COUNTIF(C$4:C128,""Sell_Farm""))*(8*2^COUNTIF(C$4:C128,""Farm_up""))*IF(COUNTIF(C$4:C128,""Super_up"")&gt;0,1+0.01*(COUNTIF(C$4:C128,""Grandma"")-COUNTIF(C$4:C128,""Sell_Grandma"")),1)+(COUNTIF"&amp;"(C$4:C128,""Mine"")-COUNTIF(C$4:C128,""Sell_Mine""))*((47*2^COUNTIF(C$4:C128,""Mine_up""))*IF(COUNTIF(C$4:C128,""Super_up"")&gt;1,1+0.005*(COUNTIF(C$4:C128,""Grandma"")-COUNTIF(C$4:C128,""Sell_Grandma"")),1))+(COUNTIF(C$4:C128,""Factory"")-COUNTIF(C$4:C128,"&amp;"""Sell_Factory""))*(260*2^COUNTIF(C$4:C128,""Factory_up""))))"),2777.42)</f>
        <v>2777.42</v>
      </c>
      <c r="F128" s="73">
        <f>IFERROR(__xludf.DUMMYFUNCTION("IF(COUNTA(C128:C147)=0,"""",IF(REGEXMATCH(INDEX(FILTER(C$4:C128,C$4:C128&lt;&gt;""""),ROWS(FILTER(C$4:C128,C$4:C128&lt;&gt;""""))),""^Sell_""),INDEX(FILTER(F$4:F127,C$4:C127&lt;&gt;""""),ROWS(FILTER(C$4:C127,C$4:C127&lt;&gt;""""))),$AC$5*(2^SWITCH(COUNTIF(C$4:C128,""Cursor_up"")"&amp;",0,0,1,1,2,2,3)+SWITCH(COUNTIF(C$4:C128,""Cursor_up""),4,0.1,0)*(ROW(C128)-4-COUNTIF(C$4:C128,""Cursor"")-COUNTIF(C$4:C128,""*""&amp;""_up"")-2*COUNTIF(C$4:C128,""Sell_""&amp;""*"")+COUNTIF(C$4:C128,""Sell_Cursor"")-COUNTIF(C$4:C128,""""))+0.01*E128*COUNTIF(C$4:C"&amp;"128,""Plastic_up""))+E128))"),3417.533)</f>
        <v>3417.533</v>
      </c>
      <c r="G128" s="14">
        <f>IFERROR(__xludf.DUMMYFUNCTION("IF(COUNTA(C128:C147)=0,"""",IF(REGEXMATCH(C128,""_up""),VLOOKUP(C128,Upgrades!$F$3:$J$8,1+COUNTIF(C$4:C128,C128),FALSE),IF(C128="""",0,IF(REGEXMATCH(C128,""^Sell_""),-ROUNDDOWN(ROUNDUP(INDEX(Upgrades!$C$3:$C$8,MATCH(SUBSTITUTE(C128,""Sell_"",""""),Upgrade"&amp;"s!$B$3:$B$8,0))*1.15^(COUNTIF(C$4:C127,SUBSTITUTE(C128,""Sell_"",""""))-COUNTIF(C$4:C127,""Sell_""&amp;SUBSTITUTE(C128,""Sell_"",""""))))/4),ROUNDUP(INDEX(Upgrades!$C$3:$C$7,MATCH(C128,Upgrades!$B$3:$B$7,0))*1.15^(COUNTIF(C$4:C127,C128)-COUNTIF(C$4:C127,""Sel"&amp;"l_""&amp;C128)))))))"),5314.0)</f>
        <v>5314</v>
      </c>
      <c r="H128" s="14">
        <f t="shared" si="3"/>
        <v>5314</v>
      </c>
      <c r="I128" s="75">
        <f t="shared" si="4"/>
        <v>21973822.64</v>
      </c>
      <c r="J128" s="76">
        <f t="shared" si="5"/>
        <v>1052.187251</v>
      </c>
      <c r="K128" s="71" t="str">
        <f t="shared" si="6"/>
        <v>17m 32s</v>
      </c>
      <c r="L128" s="77">
        <f t="shared" si="7"/>
        <v>991676</v>
      </c>
      <c r="M128" s="51">
        <f t="shared" si="8"/>
        <v>0</v>
      </c>
      <c r="N128" s="52">
        <f>IFERROR(__xludf.DUMMYFUNCTION("IFS(AND(COUNTA(C128:C147)=0,COUNTA(P128:P147)=0),"""",OR(AND(L128&gt;=1000000,OR(Y128&gt;=1000000,COUNTA(P128:P147)=0)),AND(Y128&gt;=1000000,COUNTA(C128:C147)=0),AND(COUNTA(P128:P147)=0,O$3=TRUE)),
ROUNDDOWN((AB$1-AC$1)*MAX(INDEX(S$4:S147,MATCH(LARGE(FILTER(Y$4:Y1"&amp;"47,Y$4:Y147&lt;1000000),1),Y$4:Y147)),INDEX(F$4:F147,MATCH(LARGE(FILTER(L$4:L147,L$4:L147&lt;1000000),1),L$4:L147)))),AND(L128&lt;1000000,COUNTA(C128:C147)&gt;0,O$3=FALSE),
ROUNDDOWN(INDEX(Y$4:Y147,MATCH(LARGE(FILTER(W$4:W147,W$4:W147&lt;=J128),1),W$4:W147))+(J128-LARGE"&amp;"(FILTER(W$4:W147,W$4:W147&lt;=J128),1))*INDEX(S$4:S147,MATCH(LARGE(FILTER(W$4:W147,W$4:W147&lt;=J128),1),W$4:W147))-L128),1,
ROUNDDOWN(Y128-INDEX(L$4:L147,MATCH(LARGE(FILTER(J$4:J147,J$4:J147&lt;=W128),1),J$4:J147))-(W128-LARGE(FILTER(J$4:J147,J$4:J147&lt;=W128),1))*"&amp;"INDEX(F$4:F147,MATCH(LARGE(FILTER(J$4:J147,J$4:J147&lt;=W128),1),J$4:J147))))"),0.0)</f>
        <v>0</v>
      </c>
      <c r="O128" s="65">
        <f t="shared" si="9"/>
        <v>43</v>
      </c>
      <c r="P128" s="66" t="s">
        <v>10</v>
      </c>
      <c r="Q128" s="14" t="b">
        <f>IFERROR(__xludf.DUMMYFUNCTION("IF(COUNTA(P128:P147)=0,"""",IFERROR(IF(ISBLANK(P128),FALSE,IF(ISBLANK(T128),1,IF(NOT(COUNTIF($AA$24:$AA$34,SUBSTITUTE(P128,""Sell_"",""""))),1,IF(P128=""Plastic_up"",IF(V128&lt;1000,1),IF(P128=""Super_Up"",IF(OR(COUNTIF(P$4:P128,""Grandma"")-COUNTIF(P$4:P128"&amp;",""Sell_Grandma"")&lt;1,COUNTIF(P$4:P128,VLOOKUP(P128,Upgrades!$F$8:$N$8,7+COUNTIF(P$4:P128,P128)))-COUNTIF(P$4:P128,""Sell_""&amp;VLOOKUP(P128,Upgrades!$F$8:$N$8,7+COUNTIF(P$4:P128,P128)))&lt;15),1),IF(REGEXMATCH(P128,""_up""),IF(COUNTIF(P$4:P128,SUBSTITUTE(P128,"&amp;"""_up"",""""))&lt;IFERROR(VLOOKUP(P128,Upgrades!$L$3:$P$6,1+COUNTIF(P$4:P128,P128),0),999),1),IF(REGEXMATCH(P128,""Sell_""),IF(COUNTIF(P$4:P128,SUBSTITUTE(P128,""Sell_"",""""))-COUNTIF(P$4:P127,P128)&lt;1,1),FALSE)))))))))"),FALSE)</f>
        <v>0</v>
      </c>
      <c r="R128" s="71">
        <f>IFERROR(__xludf.DUMMYFUNCTION("IF(REGEXMATCH(P128,""^Sell_""),R127, IF(COUNTA(P128:P147)=0,"""",(COUNTIF(P$4:P128,""Cursor"")-COUNTIF(P$4:P128,""Sell_Cursor""))*(0.1*2^SWITCH(COUNTIF(P$4:P128,""Cursor_up""),0,0,1,1,2,2,3)+SWITCH(COUNTIF(P$4:P128,""Cursor_up""),4,0.1,0)*(ROW(P128)-4-COU"&amp;"NTIF(P$4:P128,""Cursor"")-COUNTIF(P$4:P128,""*""&amp;""_up"")-2*COUNTIF(P$4:P128,""Sell_""&amp;""*"")+COUNTIF(P$4:P128,""Sell_Cursor"")-COUNTIF(P$4:P128,"""")))+(COUNTIF(P$4:P128,""Grandma"")-COUNTIF(P$4:P128,""Sell_Grandma""))*(1*2^(COUNTIF(P$4:P128,""Grandma_up"&amp;""")+COUNTIF(P$4:P128,""Super_up"")))+(COUNTIF(P$4:P128,""Farm"")-COUNTIF(P$4:P128,""Sell_Farm""))*(8*2^COUNTIF(P$4:P128,""Farm_up""))*IF(COUNTIF(P$4:P128,""Super_up"")&gt;0,1+0.01*(COUNTIF(P$4:P128,""Grandma"")-COUNTIF(P$4:P128,""Sell_Grandma"")),1)+(COUNTIF"&amp;"(P$4:P128,""Mine"")-COUNTIF(P$4:P128,""Sell_Mine""))*((47*2^COUNTIF(P$4:P128,""Mine_up""))*IF(COUNTIF(P$4:P128,""Super_up"")&gt;1,1+0.005*(COUNTIF(P$4:P128,""Grandma"")-COUNTIF(P$4:P128,""Sell_Grandma"")),1))+(COUNTIF(P$4:P128,""Factory"")-COUNTIF(P$4:P128,"&amp;"""Sell_Factory""))*(260*2^COUNTIF(P$4:P128,""Factory_up""))))"),2777.42)</f>
        <v>2777.42</v>
      </c>
      <c r="S128" s="73">
        <f>IFERROR(__xludf.DUMMYFUNCTION("IF(COUNTA(P128:P147)=0,"""",IF(REGEXMATCH(INDEX(FILTER(P$4:P128,P$4:P128&lt;&gt;""""),ROWS(FILTER(P$4:P128,P$4:P128&lt;&gt;""""))),""^Sell_""),INDEX(FILTER(S$4:S127,P$4:P127&lt;&gt;""""),ROWS(FILTER(P$4:P127,P$4:P127&lt;&gt;""""))),$AD$5*(2^SWITCH(COUNTIF(P$4:P128,""Cursor_up"")"&amp;",0,0,1,1,2,2,3)+SWITCH(COUNTIF(P$4:P128,""Cursor_up""),4,0.1,0)*(ROW(P128)-4-COUNTIF(P$4:P128,""Cursor"")-COUNTIF(P$4:P128,""*""&amp;""_up"")-2*COUNTIF(P$4:P128,""Sell_""&amp;""*"")+COUNTIF(P$4:P128,""Sell_Cursor"")-COUNTIF(P$4:P128,""""))+0.01*R128*COUNTIF(P$4:P"&amp;"128,""Plastic_up""))+R128))"),3417.533)</f>
        <v>3417.533</v>
      </c>
      <c r="T128" s="14">
        <f>IFERROR(__xludf.DUMMYFUNCTION("IF(COUNTA(P128:P147)=0,"""",IF(REGEXMATCH(P128,""_up""),VLOOKUP(P128,Upgrades!$F$3:$J$8,1+COUNTIF(P$4:P128,P128),FALSE),IF(P128="""",0,IF(REGEXMATCH(P128,""^Sell_""),-ROUNDDOWN(ROUNDUP(INDEX(Upgrades!$C$3:$C$8,MATCH(SUBSTITUTE(P128,""Sell_"",""""),Upgrade"&amp;"s!$B$3:$B$8,0))*1.15^(COUNTIF(P$4:P127,SUBSTITUTE(P128,""Sell_"",""""))-COUNTIF(P$4:P127,""Sell_""&amp;SUBSTITUTE(P128,""Sell_"",""""))))/4),ROUNDUP(INDEX(Upgrades!$C$3:$C$7,MATCH(P128,Upgrades!$B$3:$B$7,0))*1.15^(COUNTIF(P$4:P127,P128)-COUNTIF(P$4:P127,""Sel"&amp;"l_""&amp;P128)))))))"),5314.0)</f>
        <v>5314</v>
      </c>
      <c r="U128" s="14">
        <f t="shared" si="10"/>
        <v>5314</v>
      </c>
      <c r="V128" s="75">
        <f t="shared" si="11"/>
        <v>21973822.64</v>
      </c>
      <c r="W128" s="76">
        <f t="shared" si="12"/>
        <v>1052.187251</v>
      </c>
      <c r="X128" s="71" t="str">
        <f t="shared" si="13"/>
        <v>17m 32s</v>
      </c>
      <c r="Y128" s="77">
        <f t="shared" si="14"/>
        <v>991676</v>
      </c>
      <c r="Z128" s="17"/>
      <c r="AA128" s="13"/>
      <c r="AB128" s="13"/>
      <c r="AC128" s="13"/>
      <c r="AD128" s="13"/>
      <c r="AE128" s="13"/>
      <c r="AF128" s="13"/>
      <c r="AG128" s="13"/>
    </row>
    <row r="129">
      <c r="A129" s="12"/>
      <c r="B129" s="65">
        <f t="shared" si="2"/>
        <v>44</v>
      </c>
      <c r="C129" s="66" t="s">
        <v>10</v>
      </c>
      <c r="D129" s="14" t="b">
        <f>IFERROR(__xludf.DUMMYFUNCTION("IF(COUNTA(C129:C147)=0,"""",IFERROR(IF(ISBLANK(C129),FALSE,IF(ISBLANK(G129),1,IF(NOT(COUNTIF($AA$24:$AA$34,SUBSTITUTE(C129,""Sell_"",""""))),1,IF(C129=""Plastic_up"",IF(I129&lt;1000,1),IF(C129=""Super_Up"",IF(OR(COUNTIF(C$4:C129,""Grandma"")-COUNTIF(C$4:C129"&amp;",""Sell_Grandma"")&lt;1,COUNTIF(C$4:C129,VLOOKUP(C129,Upgrades!$F$8:$N$8,7+COUNTIF(C$4:C129,C129)))-COUNTIF(C$4:C129,""Sell_""&amp;VLOOKUP(C129,Upgrades!$F$8:$N$8,7+COUNTIF(C$4:C129,C129)))&lt;15),1),IF(REGEXMATCH(C129,""_up""),IF(COUNTIF(C$4:C129,SUBSTITUTE(C129,"&amp;"""_up"",""""))&lt;IFERROR(VLOOKUP(C129,Upgrades!$L$3:$P$6,1+COUNTIF(C$4:C129,C129),0),999),1),IF(REGEXMATCH(C129,""Sell_""),IF(COUNTIF(C$4:C129,SUBSTITUTE(C129,""Sell_"",""""))-COUNTIF(C$4:C128,C129)&lt;1,1),FALSE)))))))))"),FALSE)</f>
        <v>0</v>
      </c>
      <c r="E129" s="71">
        <f>IFERROR(__xludf.DUMMYFUNCTION("IF(REGEXMATCH(C129,""^Sell_""),E128, IF(COUNTA(C129:C147)=0,"""",(COUNTIF(C$4:C129,""Cursor"")-COUNTIF(C$4:C129,""Sell_Cursor""))*(0.1*2^SWITCH(COUNTIF(C$4:C129,""Cursor_up""),0,0,1,1,2,2,3)+SWITCH(COUNTIF(C$4:C129,""Cursor_up""),4,0.1,0)*(ROW(C129)-4-COU"&amp;"NTIF(C$4:C129,""Cursor"")-COUNTIF(C$4:C129,""*""&amp;""_up"")-2*COUNTIF(C$4:C129,""Sell_""&amp;""*"")+COUNTIF(C$4:C129,""Sell_Cursor"")-COUNTIF(C$4:C129,"""")))+(COUNTIF(C$4:C129,""Grandma"")-COUNTIF(C$4:C129,""Sell_Grandma""))*(1*2^(COUNTIF(C$4:C129,""Grandma_up"&amp;""")+COUNTIF(C$4:C129,""Super_up"")))+(COUNTIF(C$4:C129,""Farm"")-COUNTIF(C$4:C129,""Sell_Farm""))*(8*2^COUNTIF(C$4:C129,""Farm_up""))*IF(COUNTIF(C$4:C129,""Super_up"")&gt;0,1+0.01*(COUNTIF(C$4:C129,""Grandma"")-COUNTIF(C$4:C129,""Sell_Grandma"")),1)+(COUNTIF"&amp;"(C$4:C129,""Mine"")-COUNTIF(C$4:C129,""Sell_Mine""))*((47*2^COUNTIF(C$4:C129,""Mine_up""))*IF(COUNTIF(C$4:C129,""Super_up"")&gt;1,1+0.005*(COUNTIF(C$4:C129,""Grandma"")-COUNTIF(C$4:C129,""Sell_Grandma"")),1))+(COUNTIF(C$4:C129,""Factory"")-COUNTIF(C$4:C129,"&amp;"""Sell_Factory""))*(260*2^COUNTIF(C$4:C129,""Factory_up""))))"),2785.12)</f>
        <v>2785.12</v>
      </c>
      <c r="F129" s="73">
        <f>IFERROR(__xludf.DUMMYFUNCTION("IF(COUNTA(C129:C147)=0,"""",IF(REGEXMATCH(INDEX(FILTER(C$4:C129,C$4:C129&lt;&gt;""""),ROWS(FILTER(C$4:C129,C$4:C129&lt;&gt;""""))),""^Sell_""),INDEX(FILTER(F$4:F128,C$4:C128&lt;&gt;""""),ROWS(FILTER(C$4:C128,C$4:C128&lt;&gt;""""))),$AC$5*(2^SWITCH(COUNTIF(C$4:C129,""Cursor_up"")"&amp;",0,0,1,1,2,2,3)+SWITCH(COUNTIF(C$4:C129,""Cursor_up""),4,0.1,0)*(ROW(C129)-4-COUNTIF(C$4:C129,""Cursor"")-COUNTIF(C$4:C129,""*""&amp;""_up"")-2*COUNTIF(C$4:C129,""Sell_""&amp;""*"")+COUNTIF(C$4:C129,""Sell_Cursor"")-COUNTIF(C$4:C129,""""))+0.01*E129*COUNTIF(C$4:C"&amp;"129,""Plastic_up""))+E129))"),3426.388)</f>
        <v>3426.388</v>
      </c>
      <c r="G129" s="14">
        <f>IFERROR(__xludf.DUMMYFUNCTION("IF(COUNTA(C129:C147)=0,"""",IF(REGEXMATCH(C129,""_up""),VLOOKUP(C129,Upgrades!$F$3:$J$8,1+COUNTIF(C$4:C129,C129),FALSE),IF(C129="""",0,IF(REGEXMATCH(C129,""^Sell_""),-ROUNDDOWN(ROUNDUP(INDEX(Upgrades!$C$3:$C$8,MATCH(SUBSTITUTE(C129,""Sell_"",""""),Upgrade"&amp;"s!$B$3:$B$8,0))*1.15^(COUNTIF(C$4:C128,SUBSTITUTE(C129,""Sell_"",""""))-COUNTIF(C$4:C128,""Sell_""&amp;SUBSTITUTE(C129,""Sell_"",""""))))/4),ROUNDUP(INDEX(Upgrades!$C$3:$C$7,MATCH(C129,Upgrades!$B$3:$B$7,0))*1.15^(COUNTIF(C$4:C128,C129)-COUNTIF(C$4:C128,""Sel"&amp;"l_""&amp;C129)))))))"),6111.0)</f>
        <v>6111</v>
      </c>
      <c r="H129" s="14">
        <f t="shared" si="3"/>
        <v>6111</v>
      </c>
      <c r="I129" s="75">
        <f t="shared" si="4"/>
        <v>22648485.98</v>
      </c>
      <c r="J129" s="76">
        <f t="shared" si="5"/>
        <v>1053.975383</v>
      </c>
      <c r="K129" s="71" t="str">
        <f t="shared" si="6"/>
        <v>17m 33s</v>
      </c>
      <c r="L129" s="77">
        <f t="shared" si="7"/>
        <v>997787</v>
      </c>
      <c r="M129" s="51">
        <f t="shared" si="8"/>
        <v>0</v>
      </c>
      <c r="N129" s="52">
        <f>IFERROR(__xludf.DUMMYFUNCTION("IFS(AND(COUNTA(C129:C147)=0,COUNTA(P129:P147)=0),"""",OR(AND(L129&gt;=1000000,OR(Y129&gt;=1000000,COUNTA(P129:P147)=0)),AND(Y129&gt;=1000000,COUNTA(C129:C147)=0),AND(COUNTA(P129:P147)=0,O$3=TRUE)),
ROUNDDOWN((AB$1-AC$1)*MAX(INDEX(S$4:S147,MATCH(LARGE(FILTER(Y$4:Y1"&amp;"47,Y$4:Y147&lt;1000000),1),Y$4:Y147)),INDEX(F$4:F147,MATCH(LARGE(FILTER(L$4:L147,L$4:L147&lt;1000000),1),L$4:L147)))),AND(L129&lt;1000000,COUNTA(C129:C147)&gt;0,O$3=FALSE),
ROUNDDOWN(INDEX(Y$4:Y147,MATCH(LARGE(FILTER(W$4:W147,W$4:W147&lt;=J129),1),W$4:W147))+(J129-LARGE"&amp;"(FILTER(W$4:W147,W$4:W147&lt;=J129),1))*INDEX(S$4:S147,MATCH(LARGE(FILTER(W$4:W147,W$4:W147&lt;=J129),1),W$4:W147))-L129),1,
ROUNDDOWN(Y129-INDEX(L$4:L147,MATCH(LARGE(FILTER(J$4:J147,J$4:J147&lt;=W129),1),J$4:J147))-(W129-LARGE(FILTER(J$4:J147,J$4:J147&lt;=W129),1))*"&amp;"INDEX(F$4:F147,MATCH(LARGE(FILTER(J$4:J147,J$4:J147&lt;=W129),1),J$4:J147))))"),0.0)</f>
        <v>0</v>
      </c>
      <c r="O129" s="65">
        <f t="shared" si="9"/>
        <v>44</v>
      </c>
      <c r="P129" s="66" t="s">
        <v>10</v>
      </c>
      <c r="Q129" s="14" t="b">
        <f>IFERROR(__xludf.DUMMYFUNCTION("IF(COUNTA(P129:P147)=0,"""",IFERROR(IF(ISBLANK(P129),FALSE,IF(ISBLANK(T129),1,IF(NOT(COUNTIF($AA$24:$AA$34,SUBSTITUTE(P129,""Sell_"",""""))),1,IF(P129=""Plastic_up"",IF(V129&lt;1000,1),IF(P129=""Super_Up"",IF(OR(COUNTIF(P$4:P129,""Grandma"")-COUNTIF(P$4:P129"&amp;",""Sell_Grandma"")&lt;1,COUNTIF(P$4:P129,VLOOKUP(P129,Upgrades!$F$8:$N$8,7+COUNTIF(P$4:P129,P129)))-COUNTIF(P$4:P129,""Sell_""&amp;VLOOKUP(P129,Upgrades!$F$8:$N$8,7+COUNTIF(P$4:P129,P129)))&lt;15),1),IF(REGEXMATCH(P129,""_up""),IF(COUNTIF(P$4:P129,SUBSTITUTE(P129,"&amp;"""_up"",""""))&lt;IFERROR(VLOOKUP(P129,Upgrades!$L$3:$P$6,1+COUNTIF(P$4:P129,P129),0),999),1),IF(REGEXMATCH(P129,""Sell_""),IF(COUNTIF(P$4:P129,SUBSTITUTE(P129,""Sell_"",""""))-COUNTIF(P$4:P128,P129)&lt;1,1),FALSE)))))))))"),FALSE)</f>
        <v>0</v>
      </c>
      <c r="R129" s="71">
        <f>IFERROR(__xludf.DUMMYFUNCTION("IF(REGEXMATCH(P129,""^Sell_""),R128, IF(COUNTA(P129:P147)=0,"""",(COUNTIF(P$4:P129,""Cursor"")-COUNTIF(P$4:P129,""Sell_Cursor""))*(0.1*2^SWITCH(COUNTIF(P$4:P129,""Cursor_up""),0,0,1,1,2,2,3)+SWITCH(COUNTIF(P$4:P129,""Cursor_up""),4,0.1,0)*(ROW(P129)-4-COU"&amp;"NTIF(P$4:P129,""Cursor"")-COUNTIF(P$4:P129,""*""&amp;""_up"")-2*COUNTIF(P$4:P129,""Sell_""&amp;""*"")+COUNTIF(P$4:P129,""Sell_Cursor"")-COUNTIF(P$4:P129,"""")))+(COUNTIF(P$4:P129,""Grandma"")-COUNTIF(P$4:P129,""Sell_Grandma""))*(1*2^(COUNTIF(P$4:P129,""Grandma_up"&amp;""")+COUNTIF(P$4:P129,""Super_up"")))+(COUNTIF(P$4:P129,""Farm"")-COUNTIF(P$4:P129,""Sell_Farm""))*(8*2^COUNTIF(P$4:P129,""Farm_up""))*IF(COUNTIF(P$4:P129,""Super_up"")&gt;0,1+0.01*(COUNTIF(P$4:P129,""Grandma"")-COUNTIF(P$4:P129,""Sell_Grandma"")),1)+(COUNTIF"&amp;"(P$4:P129,""Mine"")-COUNTIF(P$4:P129,""Sell_Mine""))*((47*2^COUNTIF(P$4:P129,""Mine_up""))*IF(COUNTIF(P$4:P129,""Super_up"")&gt;1,1+0.005*(COUNTIF(P$4:P129,""Grandma"")-COUNTIF(P$4:P129,""Sell_Grandma"")),1))+(COUNTIF(P$4:P129,""Factory"")-COUNTIF(P$4:P129,"&amp;"""Sell_Factory""))*(260*2^COUNTIF(P$4:P129,""Factory_up""))))"),2785.12)</f>
        <v>2785.12</v>
      </c>
      <c r="S129" s="73">
        <f>IFERROR(__xludf.DUMMYFUNCTION("IF(COUNTA(P129:P147)=0,"""",IF(REGEXMATCH(INDEX(FILTER(P$4:P129,P$4:P129&lt;&gt;""""),ROWS(FILTER(P$4:P129,P$4:P129&lt;&gt;""""))),""^Sell_""),INDEX(FILTER(S$4:S128,P$4:P128&lt;&gt;""""),ROWS(FILTER(P$4:P128,P$4:P128&lt;&gt;""""))),$AD$5*(2^SWITCH(COUNTIF(P$4:P129,""Cursor_up"")"&amp;",0,0,1,1,2,2,3)+SWITCH(COUNTIF(P$4:P129,""Cursor_up""),4,0.1,0)*(ROW(P129)-4-COUNTIF(P$4:P129,""Cursor"")-COUNTIF(P$4:P129,""*""&amp;""_up"")-2*COUNTIF(P$4:P129,""Sell_""&amp;""*"")+COUNTIF(P$4:P129,""Sell_Cursor"")-COUNTIF(P$4:P129,""""))+0.01*R129*COUNTIF(P$4:P"&amp;"129,""Plastic_up""))+R129))"),3426.388)</f>
        <v>3426.388</v>
      </c>
      <c r="T129" s="14">
        <f>IFERROR(__xludf.DUMMYFUNCTION("IF(COUNTA(P129:P147)=0,"""",IF(REGEXMATCH(P129,""_up""),VLOOKUP(P129,Upgrades!$F$3:$J$8,1+COUNTIF(P$4:P129,P129),FALSE),IF(P129="""",0,IF(REGEXMATCH(P129,""^Sell_""),-ROUNDDOWN(ROUNDUP(INDEX(Upgrades!$C$3:$C$8,MATCH(SUBSTITUTE(P129,""Sell_"",""""),Upgrade"&amp;"s!$B$3:$B$8,0))*1.15^(COUNTIF(P$4:P128,SUBSTITUTE(P129,""Sell_"",""""))-COUNTIF(P$4:P128,""Sell_""&amp;SUBSTITUTE(P129,""Sell_"",""""))))/4),ROUNDUP(INDEX(Upgrades!$C$3:$C$7,MATCH(P129,Upgrades!$B$3:$B$7,0))*1.15^(COUNTIF(P$4:P128,P129)-COUNTIF(P$4:P128,""Sel"&amp;"l_""&amp;P129)))))))"),6111.0)</f>
        <v>6111</v>
      </c>
      <c r="U129" s="14">
        <f t="shared" si="10"/>
        <v>6111</v>
      </c>
      <c r="V129" s="75">
        <f t="shared" si="11"/>
        <v>22648485.98</v>
      </c>
      <c r="W129" s="76">
        <f t="shared" si="12"/>
        <v>1053.975383</v>
      </c>
      <c r="X129" s="71" t="str">
        <f t="shared" si="13"/>
        <v>17m 33s</v>
      </c>
      <c r="Y129" s="77">
        <f t="shared" si="14"/>
        <v>997787</v>
      </c>
      <c r="Z129" s="17"/>
      <c r="AA129" s="13"/>
      <c r="AB129" s="15"/>
      <c r="AC129" s="13"/>
      <c r="AD129" s="13"/>
      <c r="AE129" s="13"/>
      <c r="AF129" s="13"/>
      <c r="AG129" s="13"/>
    </row>
    <row r="130">
      <c r="A130" s="12"/>
      <c r="B130" s="65">
        <f t="shared" si="2"/>
        <v>45</v>
      </c>
      <c r="C130" s="66" t="s">
        <v>10</v>
      </c>
      <c r="D130" s="14" t="b">
        <f>IFERROR(__xludf.DUMMYFUNCTION("IF(COUNTA(C130:C147)=0,"""",IFERROR(IF(ISBLANK(C130),FALSE,IF(ISBLANK(G130),1,IF(NOT(COUNTIF($AA$24:$AA$34,SUBSTITUTE(C130,""Sell_"",""""))),1,IF(C130=""Plastic_up"",IF(I130&lt;1000,1),IF(C130=""Super_Up"",IF(OR(COUNTIF(C$4:C130,""Grandma"")-COUNTIF(C$4:C130"&amp;",""Sell_Grandma"")&lt;1,COUNTIF(C$4:C130,VLOOKUP(C130,Upgrades!$F$8:$N$8,7+COUNTIF(C$4:C130,C130)))-COUNTIF(C$4:C130,""Sell_""&amp;VLOOKUP(C130,Upgrades!$F$8:$N$8,7+COUNTIF(C$4:C130,C130)))&lt;15),1),IF(REGEXMATCH(C130,""_up""),IF(COUNTIF(C$4:C130,SUBSTITUTE(C130,"&amp;"""_up"",""""))&lt;IFERROR(VLOOKUP(C130,Upgrades!$L$3:$P$6,1+COUNTIF(C$4:C130,C130),0),999),1),IF(REGEXMATCH(C130,""Sell_""),IF(COUNTIF(C$4:C130,SUBSTITUTE(C130,""Sell_"",""""))-COUNTIF(C$4:C129,C130)&lt;1,1),FALSE)))))))))"),FALSE)</f>
        <v>0</v>
      </c>
      <c r="E130" s="71">
        <f>IFERROR(__xludf.DUMMYFUNCTION("IF(REGEXMATCH(C130,""^Sell_""),E129, IF(COUNTA(C130:C147)=0,"""",(COUNTIF(C$4:C130,""Cursor"")-COUNTIF(C$4:C130,""Sell_Cursor""))*(0.1*2^SWITCH(COUNTIF(C$4:C130,""Cursor_up""),0,0,1,1,2,2,3)+SWITCH(COUNTIF(C$4:C130,""Cursor_up""),4,0.1,0)*(ROW(C130)-4-COU"&amp;"NTIF(C$4:C130,""Cursor"")-COUNTIF(C$4:C130,""*""&amp;""_up"")-2*COUNTIF(C$4:C130,""Sell_""&amp;""*"")+COUNTIF(C$4:C130,""Sell_Cursor"")-COUNTIF(C$4:C130,"""")))+(COUNTIF(C$4:C130,""Grandma"")-COUNTIF(C$4:C130,""Sell_Grandma""))*(1*2^(COUNTIF(C$4:C130,""Grandma_up"&amp;""")+COUNTIF(C$4:C130,""Super_up"")))+(COUNTIF(C$4:C130,""Farm"")-COUNTIF(C$4:C130,""Sell_Farm""))*(8*2^COUNTIF(C$4:C130,""Farm_up""))*IF(COUNTIF(C$4:C130,""Super_up"")&gt;0,1+0.01*(COUNTIF(C$4:C130,""Grandma"")-COUNTIF(C$4:C130,""Sell_Grandma"")),1)+(COUNTIF"&amp;"(C$4:C130,""Mine"")-COUNTIF(C$4:C130,""Sell_Mine""))*((47*2^COUNTIF(C$4:C130,""Mine_up""))*IF(COUNTIF(C$4:C130,""Super_up"")&gt;1,1+0.005*(COUNTIF(C$4:C130,""Grandma"")-COUNTIF(C$4:C130,""Sell_Grandma"")),1))+(COUNTIF(C$4:C130,""Factory"")-COUNTIF(C$4:C130,"&amp;"""Sell_Factory""))*(260*2^COUNTIF(C$4:C130,""Factory_up""))))"),2792.82)</f>
        <v>2792.82</v>
      </c>
      <c r="F130" s="73">
        <f>IFERROR(__xludf.DUMMYFUNCTION("IF(COUNTA(C130:C147)=0,"""",IF(REGEXMATCH(INDEX(FILTER(C$4:C130,C$4:C130&lt;&gt;""""),ROWS(FILTER(C$4:C130,C$4:C130&lt;&gt;""""))),""^Sell_""),INDEX(FILTER(F$4:F129,C$4:C129&lt;&gt;""""),ROWS(FILTER(C$4:C129,C$4:C129&lt;&gt;""""))),$AC$5*(2^SWITCH(COUNTIF(C$4:C130,""Cursor_up"")"&amp;",0,0,1,1,2,2,3)+SWITCH(COUNTIF(C$4:C130,""Cursor_up""),4,0.1,0)*(ROW(C130)-4-COUNTIF(C$4:C130,""Cursor"")-COUNTIF(C$4:C130,""*""&amp;""_up"")-2*COUNTIF(C$4:C130,""Sell_""&amp;""*"")+COUNTIF(C$4:C130,""Sell_Cursor"")-COUNTIF(C$4:C130,""""))+0.01*E130*COUNTIF(C$4:C"&amp;"130,""Plastic_up""))+E130))"),3435.2430000000004)</f>
        <v>3435.243</v>
      </c>
      <c r="G130" s="14">
        <f>IFERROR(__xludf.DUMMYFUNCTION("IF(COUNTA(C130:C147)=0,"""",IF(REGEXMATCH(C130,""_up""),VLOOKUP(C130,Upgrades!$F$3:$J$8,1+COUNTIF(C$4:C130,C130),FALSE),IF(C130="""",0,IF(REGEXMATCH(C130,""^Sell_""),-ROUNDDOWN(ROUNDUP(INDEX(Upgrades!$C$3:$C$8,MATCH(SUBSTITUTE(C130,""Sell_"",""""),Upgrade"&amp;"s!$B$3:$B$8,0))*1.15^(COUNTIF(C$4:C129,SUBSTITUTE(C130,""Sell_"",""""))-COUNTIF(C$4:C129,""Sell_""&amp;SUBSTITUTE(C130,""Sell_"",""""))))/4),ROUNDUP(INDEX(Upgrades!$C$3:$C$7,MATCH(C130,Upgrades!$B$3:$B$7,0))*1.15^(COUNTIF(C$4:C129,C130)-COUNTIF(C$4:C129,""Sel"&amp;"l_""&amp;C130)))))))"),7028.0)</f>
        <v>7028</v>
      </c>
      <c r="H130" s="14">
        <f t="shared" si="3"/>
        <v>7028</v>
      </c>
      <c r="I130" s="75">
        <f t="shared" si="4"/>
        <v>23325682</v>
      </c>
      <c r="J130" s="76">
        <f t="shared" si="5"/>
        <v>1056.026523</v>
      </c>
      <c r="K130" s="71" t="str">
        <f t="shared" si="6"/>
        <v>17m 36s</v>
      </c>
      <c r="L130" s="77">
        <f t="shared" si="7"/>
        <v>1004815</v>
      </c>
      <c r="M130" s="51">
        <f t="shared" si="8"/>
        <v>0</v>
      </c>
      <c r="N130" s="52">
        <f>IFERROR(__xludf.DUMMYFUNCTION("IFS(AND(COUNTA(C130:C147)=0,COUNTA(P130:P147)=0),"""",OR(AND(L130&gt;=1000000,OR(Y130&gt;=1000000,COUNTA(P130:P147)=0)),AND(Y130&gt;=1000000,COUNTA(C130:C147)=0),AND(COUNTA(P130:P147)=0,O$3=TRUE)),
ROUNDDOWN((AB$1-AC$1)*MAX(INDEX(S$4:S147,MATCH(LARGE(FILTER(Y$4:Y1"&amp;"47,Y$4:Y147&lt;1000000),1),Y$4:Y147)),INDEX(F$4:F147,MATCH(LARGE(FILTER(L$4:L147,L$4:L147&lt;1000000),1),L$4:L147)))),AND(L130&lt;1000000,COUNTA(C130:C147)&gt;0,O$3=FALSE),
ROUNDDOWN(INDEX(Y$4:Y147,MATCH(LARGE(FILTER(W$4:W147,W$4:W147&lt;=J130),1),W$4:W147))+(J130-LARGE"&amp;"(FILTER(W$4:W147,W$4:W147&lt;=J130),1))*INDEX(S$4:S147,MATCH(LARGE(FILTER(W$4:W147,W$4:W147&lt;=J130),1),W$4:W147))-L130),1,
ROUNDDOWN(Y130-INDEX(L$4:L147,MATCH(LARGE(FILTER(J$4:J147,J$4:J147&lt;=W130),1),J$4:J147))-(W130-LARGE(FILTER(J$4:J147,J$4:J147&lt;=W130),1))*"&amp;"INDEX(F$4:F147,MATCH(LARGE(FILTER(J$4:J147,J$4:J147&lt;=W130),1),J$4:J147))))"),0.0)</f>
        <v>0</v>
      </c>
      <c r="O130" s="65">
        <f t="shared" si="9"/>
        <v>45</v>
      </c>
      <c r="P130" s="66" t="s">
        <v>10</v>
      </c>
      <c r="Q130" s="14" t="b">
        <f>IFERROR(__xludf.DUMMYFUNCTION("IF(COUNTA(P130:P147)=0,"""",IFERROR(IF(ISBLANK(P130),FALSE,IF(ISBLANK(T130),1,IF(NOT(COUNTIF($AA$24:$AA$34,SUBSTITUTE(P130,""Sell_"",""""))),1,IF(P130=""Plastic_up"",IF(V130&lt;1000,1),IF(P130=""Super_Up"",IF(OR(COUNTIF(P$4:P130,""Grandma"")-COUNTIF(P$4:P130"&amp;",""Sell_Grandma"")&lt;1,COUNTIF(P$4:P130,VLOOKUP(P130,Upgrades!$F$8:$N$8,7+COUNTIF(P$4:P130,P130)))-COUNTIF(P$4:P130,""Sell_""&amp;VLOOKUP(P130,Upgrades!$F$8:$N$8,7+COUNTIF(P$4:P130,P130)))&lt;15),1),IF(REGEXMATCH(P130,""_up""),IF(COUNTIF(P$4:P130,SUBSTITUTE(P130,"&amp;"""_up"",""""))&lt;IFERROR(VLOOKUP(P130,Upgrades!$L$3:$P$6,1+COUNTIF(P$4:P130,P130),0),999),1),IF(REGEXMATCH(P130,""Sell_""),IF(COUNTIF(P$4:P130,SUBSTITUTE(P130,""Sell_"",""""))-COUNTIF(P$4:P129,P130)&lt;1,1),FALSE)))))))))"),FALSE)</f>
        <v>0</v>
      </c>
      <c r="R130" s="71">
        <f>IFERROR(__xludf.DUMMYFUNCTION("IF(REGEXMATCH(P130,""^Sell_""),R129, IF(COUNTA(P130:P147)=0,"""",(COUNTIF(P$4:P130,""Cursor"")-COUNTIF(P$4:P130,""Sell_Cursor""))*(0.1*2^SWITCH(COUNTIF(P$4:P130,""Cursor_up""),0,0,1,1,2,2,3)+SWITCH(COUNTIF(P$4:P130,""Cursor_up""),4,0.1,0)*(ROW(P130)-4-COU"&amp;"NTIF(P$4:P130,""Cursor"")-COUNTIF(P$4:P130,""*""&amp;""_up"")-2*COUNTIF(P$4:P130,""Sell_""&amp;""*"")+COUNTIF(P$4:P130,""Sell_Cursor"")-COUNTIF(P$4:P130,"""")))+(COUNTIF(P$4:P130,""Grandma"")-COUNTIF(P$4:P130,""Sell_Grandma""))*(1*2^(COUNTIF(P$4:P130,""Grandma_up"&amp;""")+COUNTIF(P$4:P130,""Super_up"")))+(COUNTIF(P$4:P130,""Farm"")-COUNTIF(P$4:P130,""Sell_Farm""))*(8*2^COUNTIF(P$4:P130,""Farm_up""))*IF(COUNTIF(P$4:P130,""Super_up"")&gt;0,1+0.01*(COUNTIF(P$4:P130,""Grandma"")-COUNTIF(P$4:P130,""Sell_Grandma"")),1)+(COUNTIF"&amp;"(P$4:P130,""Mine"")-COUNTIF(P$4:P130,""Sell_Mine""))*((47*2^COUNTIF(P$4:P130,""Mine_up""))*IF(COUNTIF(P$4:P130,""Super_up"")&gt;1,1+0.005*(COUNTIF(P$4:P130,""Grandma"")-COUNTIF(P$4:P130,""Sell_Grandma"")),1))+(COUNTIF(P$4:P130,""Factory"")-COUNTIF(P$4:P130,"&amp;"""Sell_Factory""))*(260*2^COUNTIF(P$4:P130,""Factory_up""))))"),2792.82)</f>
        <v>2792.82</v>
      </c>
      <c r="S130" s="73">
        <f>IFERROR(__xludf.DUMMYFUNCTION("IF(COUNTA(P130:P147)=0,"""",IF(REGEXMATCH(INDEX(FILTER(P$4:P130,P$4:P130&lt;&gt;""""),ROWS(FILTER(P$4:P130,P$4:P130&lt;&gt;""""))),""^Sell_""),INDEX(FILTER(S$4:S129,P$4:P129&lt;&gt;""""),ROWS(FILTER(P$4:P129,P$4:P129&lt;&gt;""""))),$AD$5*(2^SWITCH(COUNTIF(P$4:P130,""Cursor_up"")"&amp;",0,0,1,1,2,2,3)+SWITCH(COUNTIF(P$4:P130,""Cursor_up""),4,0.1,0)*(ROW(P130)-4-COUNTIF(P$4:P130,""Cursor"")-COUNTIF(P$4:P130,""*""&amp;""_up"")-2*COUNTIF(P$4:P130,""Sell_""&amp;""*"")+COUNTIF(P$4:P130,""Sell_Cursor"")-COUNTIF(P$4:P130,""""))+0.01*R130*COUNTIF(P$4:P"&amp;"130,""Plastic_up""))+R130))"),3435.2430000000004)</f>
        <v>3435.243</v>
      </c>
      <c r="T130" s="14">
        <f>IFERROR(__xludf.DUMMYFUNCTION("IF(COUNTA(P130:P147)=0,"""",IF(REGEXMATCH(P130,""_up""),VLOOKUP(P130,Upgrades!$F$3:$J$8,1+COUNTIF(P$4:P130,P130),FALSE),IF(P130="""",0,IF(REGEXMATCH(P130,""^Sell_""),-ROUNDDOWN(ROUNDUP(INDEX(Upgrades!$C$3:$C$8,MATCH(SUBSTITUTE(P130,""Sell_"",""""),Upgrade"&amp;"s!$B$3:$B$8,0))*1.15^(COUNTIF(P$4:P129,SUBSTITUTE(P130,""Sell_"",""""))-COUNTIF(P$4:P129,""Sell_""&amp;SUBSTITUTE(P130,""Sell_"",""""))))/4),ROUNDUP(INDEX(Upgrades!$C$3:$C$7,MATCH(P130,Upgrades!$B$3:$B$7,0))*1.15^(COUNTIF(P$4:P129,P130)-COUNTIF(P$4:P129,""Sel"&amp;"l_""&amp;P130)))))))"),7028.0)</f>
        <v>7028</v>
      </c>
      <c r="U130" s="14">
        <f t="shared" si="10"/>
        <v>7028</v>
      </c>
      <c r="V130" s="75">
        <f t="shared" si="11"/>
        <v>23325682</v>
      </c>
      <c r="W130" s="76">
        <f t="shared" si="12"/>
        <v>1056.026523</v>
      </c>
      <c r="X130" s="71" t="str">
        <f t="shared" si="13"/>
        <v>17m 36s</v>
      </c>
      <c r="Y130" s="77">
        <f t="shared" si="14"/>
        <v>1004815</v>
      </c>
      <c r="Z130" s="17"/>
      <c r="AA130" s="13"/>
      <c r="AB130" s="13"/>
      <c r="AC130" s="13"/>
      <c r="AD130" s="13"/>
      <c r="AE130" s="13"/>
      <c r="AF130" s="13"/>
      <c r="AG130" s="13"/>
    </row>
    <row r="131">
      <c r="A131" s="12"/>
      <c r="B131" s="65" t="str">
        <f t="shared" si="2"/>
        <v/>
      </c>
      <c r="C131" s="66"/>
      <c r="D131" s="14" t="str">
        <f>IFERROR(__xludf.DUMMYFUNCTION("IF(COUNTA(C131:C147)=0,"""",IFERROR(IF(ISBLANK(C131),FALSE,IF(ISBLANK(G131),1,IF(NOT(COUNTIF($AA$24:$AA$34,SUBSTITUTE(C131,""Sell_"",""""))),1,IF(C131=""Plastic_up"",IF(I131&lt;1000,1),IF(C131=""Super_Up"",IF(OR(COUNTIF(C$4:C131,""Grandma"")-COUNTIF(C$4:C131"&amp;",""Sell_Grandma"")&lt;1,COUNTIF(C$4:C131,VLOOKUP(C131,Upgrades!$F$8:$N$8,7+COUNTIF(C$4:C131,C131)))-COUNTIF(C$4:C131,""Sell_""&amp;VLOOKUP(C131,Upgrades!$F$8:$N$8,7+COUNTIF(C$4:C131,C131)))&lt;15),1),IF(REGEXMATCH(C131,""_up""),IF(COUNTIF(C$4:C131,SUBSTITUTE(C131,"&amp;"""_up"",""""))&lt;IFERROR(VLOOKUP(C131,Upgrades!$L$3:$P$6,1+COUNTIF(C$4:C131,C131),0),999),1),IF(REGEXMATCH(C131,""Sell_""),IF(COUNTIF(C$4:C131,SUBSTITUTE(C131,""Sell_"",""""))-COUNTIF(C$4:C130,C131)&lt;1,1),FALSE)))))))))"),"")</f>
        <v/>
      </c>
      <c r="E131" s="71" t="str">
        <f>IFERROR(__xludf.DUMMYFUNCTION("IF(REGEXMATCH(C131,""^Sell_""),E130, IF(COUNTA(C131:C147)=0,"""",(COUNTIF(C$4:C131,""Cursor"")-COUNTIF(C$4:C131,""Sell_Cursor""))*(0.1*2^SWITCH(COUNTIF(C$4:C131,""Cursor_up""),0,0,1,1,2,2,3)+SWITCH(COUNTIF(C$4:C131,""Cursor_up""),4,0.1,0)*(ROW(C131)-4-COU"&amp;"NTIF(C$4:C131,""Cursor"")-COUNTIF(C$4:C131,""*""&amp;""_up"")-2*COUNTIF(C$4:C131,""Sell_""&amp;""*"")+COUNTIF(C$4:C131,""Sell_Cursor"")-COUNTIF(C$4:C131,"""")))+(COUNTIF(C$4:C131,""Grandma"")-COUNTIF(C$4:C131,""Sell_Grandma""))*(1*2^(COUNTIF(C$4:C131,""Grandma_up"&amp;""")+COUNTIF(C$4:C131,""Super_up"")))+(COUNTIF(C$4:C131,""Farm"")-COUNTIF(C$4:C131,""Sell_Farm""))*(8*2^COUNTIF(C$4:C131,""Farm_up""))*IF(COUNTIF(C$4:C131,""Super_up"")&gt;0,1+0.01*(COUNTIF(C$4:C131,""Grandma"")-COUNTIF(C$4:C131,""Sell_Grandma"")),1)+(COUNTIF"&amp;"(C$4:C131,""Mine"")-COUNTIF(C$4:C131,""Sell_Mine""))*((47*2^COUNTIF(C$4:C131,""Mine_up""))*IF(COUNTIF(C$4:C131,""Super_up"")&gt;1,1+0.005*(COUNTIF(C$4:C131,""Grandma"")-COUNTIF(C$4:C131,""Sell_Grandma"")),1))+(COUNTIF(C$4:C131,""Factory"")-COUNTIF(C$4:C131,"&amp;"""Sell_Factory""))*(260*2^COUNTIF(C$4:C131,""Factory_up""))))"),"")</f>
        <v/>
      </c>
      <c r="F131" s="73" t="str">
        <f>IFERROR(__xludf.DUMMYFUNCTION("IF(COUNTA(C131:C147)=0,"""",IF(REGEXMATCH(INDEX(FILTER(C$4:C131,C$4:C131&lt;&gt;""""),ROWS(FILTER(C$4:C131,C$4:C131&lt;&gt;""""))),""^Sell_""),INDEX(FILTER(F$4:F130,C$4:C130&lt;&gt;""""),ROWS(FILTER(C$4:C130,C$4:C130&lt;&gt;""""))),$AC$5*(2^SWITCH(COUNTIF(C$4:C131,""Cursor_up"")"&amp;",0,0,1,1,2,2,3)+SWITCH(COUNTIF(C$4:C131,""Cursor_up""),4,0.1,0)*(ROW(C131)-4-COUNTIF(C$4:C131,""Cursor"")-COUNTIF(C$4:C131,""*""&amp;""_up"")-2*COUNTIF(C$4:C131,""Sell_""&amp;""*"")+COUNTIF(C$4:C131,""Sell_Cursor"")-COUNTIF(C$4:C131,""""))+0.01*E131*COUNTIF(C$4:C"&amp;"131,""Plastic_up""))+E131))"),"")</f>
        <v/>
      </c>
      <c r="G131" s="14" t="str">
        <f>IFERROR(__xludf.DUMMYFUNCTION("IF(COUNTA(C131:C147)=0,"""",IF(REGEXMATCH(C131,""_up""),VLOOKUP(C131,Upgrades!$F$3:$J$8,1+COUNTIF(C$4:C131,C131),FALSE),IF(C131="""",0,IF(REGEXMATCH(C131,""^Sell_""),-ROUNDDOWN(ROUNDUP(INDEX(Upgrades!$C$3:$C$8,MATCH(SUBSTITUTE(C131,""Sell_"",""""),Upgrade"&amp;"s!$B$3:$B$8,0))*1.15^(COUNTIF(C$4:C130,SUBSTITUTE(C131,""Sell_"",""""))-COUNTIF(C$4:C130,""Sell_""&amp;SUBSTITUTE(C131,""Sell_"",""""))))/4),ROUNDUP(INDEX(Upgrades!$C$3:$C$7,MATCH(C131,Upgrades!$B$3:$B$7,0))*1.15^(COUNTIF(C$4:C130,C131)-COUNTIF(C$4:C130,""Sel"&amp;"l_""&amp;C131)))))))"),"")</f>
        <v/>
      </c>
      <c r="H131" s="14" t="str">
        <f t="shared" si="3"/>
        <v/>
      </c>
      <c r="I131" s="75" t="str">
        <f t="shared" si="4"/>
        <v/>
      </c>
      <c r="J131" s="76" t="str">
        <f t="shared" si="5"/>
        <v/>
      </c>
      <c r="K131" s="71" t="str">
        <f t="shared" si="6"/>
        <v/>
      </c>
      <c r="L131" s="77" t="str">
        <f t="shared" si="7"/>
        <v/>
      </c>
      <c r="M131" s="51" t="str">
        <f t="shared" si="8"/>
        <v/>
      </c>
      <c r="N131" s="52" t="str">
        <f>IFERROR(__xludf.DUMMYFUNCTION("IFS(AND(COUNTA(C131:C147)=0,COUNTA(P131:P147)=0),"""",OR(AND(L131&gt;=1000000,OR(Y131&gt;=1000000,COUNTA(P131:P147)=0)),AND(Y131&gt;=1000000,COUNTA(C131:C147)=0),AND(COUNTA(P131:P147)=0,O$3=TRUE)),
ROUNDDOWN((AB$1-AC$1)*MAX(INDEX(S$4:S147,MATCH(LARGE(FILTER(Y$4:Y1"&amp;"47,Y$4:Y147&lt;1000000),1),Y$4:Y147)),INDEX(F$4:F147,MATCH(LARGE(FILTER(L$4:L147,L$4:L147&lt;1000000),1),L$4:L147)))),AND(L131&lt;1000000,COUNTA(C131:C147)&gt;0,O$3=FALSE),
ROUNDDOWN(INDEX(Y$4:Y147,MATCH(LARGE(FILTER(W$4:W147,W$4:W147&lt;=J131),1),W$4:W147))+(J131-LARGE"&amp;"(FILTER(W$4:W147,W$4:W147&lt;=J131),1))*INDEX(S$4:S147,MATCH(LARGE(FILTER(W$4:W147,W$4:W147&lt;=J131),1),W$4:W147))-L131),1,
ROUNDDOWN(Y131-INDEX(L$4:L147,MATCH(LARGE(FILTER(J$4:J147,J$4:J147&lt;=W131),1),J$4:J147))-(W131-LARGE(FILTER(J$4:J147,J$4:J147&lt;=W131),1))*"&amp;"INDEX(F$4:F147,MATCH(LARGE(FILTER(J$4:J147,J$4:J147&lt;=W131),1),J$4:J147))))"),"")</f>
        <v/>
      </c>
      <c r="O131" s="65" t="str">
        <f t="shared" si="9"/>
        <v/>
      </c>
      <c r="P131" s="66"/>
      <c r="Q131" s="14" t="str">
        <f>IFERROR(__xludf.DUMMYFUNCTION("IF(COUNTA(P131:P147)=0,"""",IFERROR(IF(ISBLANK(P131),FALSE,IF(ISBLANK(T131),1,IF(NOT(COUNTIF($AA$24:$AA$34,SUBSTITUTE(P131,""Sell_"",""""))),1,IF(P131=""Plastic_up"",IF(V131&lt;1000,1),IF(P131=""Super_Up"",IF(OR(COUNTIF(P$4:P131,""Grandma"")-COUNTIF(P$4:P131"&amp;",""Sell_Grandma"")&lt;1,COUNTIF(P$4:P131,VLOOKUP(P131,Upgrades!$F$8:$N$8,7+COUNTIF(P$4:P131,P131)))-COUNTIF(P$4:P131,""Sell_""&amp;VLOOKUP(P131,Upgrades!$F$8:$N$8,7+COUNTIF(P$4:P131,P131)))&lt;15),1),IF(REGEXMATCH(P131,""_up""),IF(COUNTIF(P$4:P131,SUBSTITUTE(P131,"&amp;"""_up"",""""))&lt;IFERROR(VLOOKUP(P131,Upgrades!$L$3:$P$6,1+COUNTIF(P$4:P131,P131),0),999),1),IF(REGEXMATCH(P131,""Sell_""),IF(COUNTIF(P$4:P131,SUBSTITUTE(P131,""Sell_"",""""))-COUNTIF(P$4:P130,P131)&lt;1,1),FALSE)))))))))"),"")</f>
        <v/>
      </c>
      <c r="R131" s="71" t="str">
        <f>IFERROR(__xludf.DUMMYFUNCTION("IF(REGEXMATCH(P131,""^Sell_""),R130, IF(COUNTA(P131:P147)=0,"""",(COUNTIF(P$4:P131,""Cursor"")-COUNTIF(P$4:P131,""Sell_Cursor""))*(0.1*2^SWITCH(COUNTIF(P$4:P131,""Cursor_up""),0,0,1,1,2,2,3)+SWITCH(COUNTIF(P$4:P131,""Cursor_up""),4,0.1,0)*(ROW(P131)-4-COU"&amp;"NTIF(P$4:P131,""Cursor"")-COUNTIF(P$4:P131,""*""&amp;""_up"")-2*COUNTIF(P$4:P131,""Sell_""&amp;""*"")+COUNTIF(P$4:P131,""Sell_Cursor"")-COUNTIF(P$4:P131,"""")))+(COUNTIF(P$4:P131,""Grandma"")-COUNTIF(P$4:P131,""Sell_Grandma""))*(1*2^(COUNTIF(P$4:P131,""Grandma_up"&amp;""")+COUNTIF(P$4:P131,""Super_up"")))+(COUNTIF(P$4:P131,""Farm"")-COUNTIF(P$4:P131,""Sell_Farm""))*(8*2^COUNTIF(P$4:P131,""Farm_up""))*IF(COUNTIF(P$4:P131,""Super_up"")&gt;0,1+0.01*(COUNTIF(P$4:P131,""Grandma"")-COUNTIF(P$4:P131,""Sell_Grandma"")),1)+(COUNTIF"&amp;"(P$4:P131,""Mine"")-COUNTIF(P$4:P131,""Sell_Mine""))*((47*2^COUNTIF(P$4:P131,""Mine_up""))*IF(COUNTIF(P$4:P131,""Super_up"")&gt;1,1+0.005*(COUNTIF(P$4:P131,""Grandma"")-COUNTIF(P$4:P131,""Sell_Grandma"")),1))+(COUNTIF(P$4:P131,""Factory"")-COUNTIF(P$4:P131,"&amp;"""Sell_Factory""))*(260*2^COUNTIF(P$4:P131,""Factory_up""))))"),"")</f>
        <v/>
      </c>
      <c r="S131" s="73" t="str">
        <f>IFERROR(__xludf.DUMMYFUNCTION("IF(COUNTA(P131:P147)=0,"""",IF(REGEXMATCH(INDEX(FILTER(P$4:P131,P$4:P131&lt;&gt;""""),ROWS(FILTER(P$4:P131,P$4:P131&lt;&gt;""""))),""^Sell_""),INDEX(FILTER(S$4:S130,P$4:P130&lt;&gt;""""),ROWS(FILTER(P$4:P130,P$4:P130&lt;&gt;""""))),$AD$5*(2^SWITCH(COUNTIF(P$4:P131,""Cursor_up"")"&amp;",0,0,1,1,2,2,3)+SWITCH(COUNTIF(P$4:P131,""Cursor_up""),4,0.1,0)*(ROW(P131)-4-COUNTIF(P$4:P131,""Cursor"")-COUNTIF(P$4:P131,""*""&amp;""_up"")-2*COUNTIF(P$4:P131,""Sell_""&amp;""*"")+COUNTIF(P$4:P131,""Sell_Cursor"")-COUNTIF(P$4:P131,""""))+0.01*R131*COUNTIF(P$4:P"&amp;"131,""Plastic_up""))+R131))"),"")</f>
        <v/>
      </c>
      <c r="T131" s="14" t="str">
        <f>IFERROR(__xludf.DUMMYFUNCTION("IF(COUNTA(P131:P147)=0,"""",IF(REGEXMATCH(P131,""_up""),VLOOKUP(P131,Upgrades!$F$3:$J$8,1+COUNTIF(P$4:P131,P131),FALSE),IF(P131="""",0,IF(REGEXMATCH(P131,""^Sell_""),-ROUNDDOWN(ROUNDUP(INDEX(Upgrades!$C$3:$C$8,MATCH(SUBSTITUTE(P131,""Sell_"",""""),Upgrade"&amp;"s!$B$3:$B$8,0))*1.15^(COUNTIF(P$4:P130,SUBSTITUTE(P131,""Sell_"",""""))-COUNTIF(P$4:P130,""Sell_""&amp;SUBSTITUTE(P131,""Sell_"",""""))))/4),ROUNDUP(INDEX(Upgrades!$C$3:$C$7,MATCH(P131,Upgrades!$B$3:$B$7,0))*1.15^(COUNTIF(P$4:P130,P131)-COUNTIF(P$4:P130,""Sel"&amp;"l_""&amp;P131)))))))"),"")</f>
        <v/>
      </c>
      <c r="U131" s="14" t="str">
        <f t="shared" si="10"/>
        <v/>
      </c>
      <c r="V131" s="75" t="str">
        <f t="shared" si="11"/>
        <v/>
      </c>
      <c r="W131" s="76" t="str">
        <f t="shared" si="12"/>
        <v/>
      </c>
      <c r="X131" s="71" t="str">
        <f t="shared" si="13"/>
        <v/>
      </c>
      <c r="Y131" s="77" t="str">
        <f t="shared" si="14"/>
        <v/>
      </c>
      <c r="Z131" s="17"/>
      <c r="AA131" s="13"/>
      <c r="AB131" s="13"/>
      <c r="AC131" s="13"/>
      <c r="AD131" s="13"/>
      <c r="AE131" s="13"/>
      <c r="AF131" s="13"/>
      <c r="AG131" s="13"/>
    </row>
    <row r="132">
      <c r="A132" s="12"/>
      <c r="B132" s="65" t="str">
        <f t="shared" si="2"/>
        <v/>
      </c>
      <c r="C132" s="66"/>
      <c r="D132" s="14" t="str">
        <f>IFERROR(__xludf.DUMMYFUNCTION("IF(COUNTA(C132:C147)=0,"""",IFERROR(IF(ISBLANK(C132),FALSE,IF(ISBLANK(G132),1,IF(NOT(COUNTIF($AA$24:$AA$34,SUBSTITUTE(C132,""Sell_"",""""))),1,IF(C132=""Plastic_up"",IF(I132&lt;1000,1),IF(C132=""Super_Up"",IF(OR(COUNTIF(C$4:C132,""Grandma"")-COUNTIF(C$4:C132"&amp;",""Sell_Grandma"")&lt;1,COUNTIF(C$4:C132,VLOOKUP(C132,Upgrades!$F$8:$N$8,7+COUNTIF(C$4:C132,C132)))-COUNTIF(C$4:C132,""Sell_""&amp;VLOOKUP(C132,Upgrades!$F$8:$N$8,7+COUNTIF(C$4:C132,C132)))&lt;15),1),IF(REGEXMATCH(C132,""_up""),IF(COUNTIF(C$4:C132,SUBSTITUTE(C132,"&amp;"""_up"",""""))&lt;IFERROR(VLOOKUP(C132,Upgrades!$L$3:$P$6,1+COUNTIF(C$4:C132,C132),0),999),1),IF(REGEXMATCH(C132,""Sell_""),IF(COUNTIF(C$4:C132,SUBSTITUTE(C132,""Sell_"",""""))-COUNTIF(C$4:C131,C132)&lt;1,1),FALSE)))))))))"),"")</f>
        <v/>
      </c>
      <c r="E132" s="71" t="str">
        <f>IFERROR(__xludf.DUMMYFUNCTION("IF(REGEXMATCH(C132,""^Sell_""),E131, IF(COUNTA(C132:C147)=0,"""",(COUNTIF(C$4:C132,""Cursor"")-COUNTIF(C$4:C132,""Sell_Cursor""))*(0.1*2^SWITCH(COUNTIF(C$4:C132,""Cursor_up""),0,0,1,1,2,2,3)+SWITCH(COUNTIF(C$4:C132,""Cursor_up""),4,0.1,0)*(ROW(C132)-4-COU"&amp;"NTIF(C$4:C132,""Cursor"")-COUNTIF(C$4:C132,""*""&amp;""_up"")-2*COUNTIF(C$4:C132,""Sell_""&amp;""*"")+COUNTIF(C$4:C132,""Sell_Cursor"")-COUNTIF(C$4:C132,"""")))+(COUNTIF(C$4:C132,""Grandma"")-COUNTIF(C$4:C132,""Sell_Grandma""))*(1*2^(COUNTIF(C$4:C132,""Grandma_up"&amp;""")+COUNTIF(C$4:C132,""Super_up"")))+(COUNTIF(C$4:C132,""Farm"")-COUNTIF(C$4:C132,""Sell_Farm""))*(8*2^COUNTIF(C$4:C132,""Farm_up""))*IF(COUNTIF(C$4:C132,""Super_up"")&gt;0,1+0.01*(COUNTIF(C$4:C132,""Grandma"")-COUNTIF(C$4:C132,""Sell_Grandma"")),1)+(COUNTIF"&amp;"(C$4:C132,""Mine"")-COUNTIF(C$4:C132,""Sell_Mine""))*((47*2^COUNTIF(C$4:C132,""Mine_up""))*IF(COUNTIF(C$4:C132,""Super_up"")&gt;1,1+0.005*(COUNTIF(C$4:C132,""Grandma"")-COUNTIF(C$4:C132,""Sell_Grandma"")),1))+(COUNTIF(C$4:C132,""Factory"")-COUNTIF(C$4:C132,"&amp;"""Sell_Factory""))*(260*2^COUNTIF(C$4:C132,""Factory_up""))))"),"")</f>
        <v/>
      </c>
      <c r="F132" s="73" t="str">
        <f>IFERROR(__xludf.DUMMYFUNCTION("IF(COUNTA(C132:C147)=0,"""",IF(REGEXMATCH(INDEX(FILTER(C$4:C132,C$4:C132&lt;&gt;""""),ROWS(FILTER(C$4:C132,C$4:C132&lt;&gt;""""))),""^Sell_""),INDEX(FILTER(F$4:F131,C$4:C131&lt;&gt;""""),ROWS(FILTER(C$4:C131,C$4:C131&lt;&gt;""""))),$AC$5*(2^SWITCH(COUNTIF(C$4:C132,""Cursor_up"")"&amp;",0,0,1,1,2,2,3)+SWITCH(COUNTIF(C$4:C132,""Cursor_up""),4,0.1,0)*(ROW(C132)-4-COUNTIF(C$4:C132,""Cursor"")-COUNTIF(C$4:C132,""*""&amp;""_up"")-2*COUNTIF(C$4:C132,""Sell_""&amp;""*"")+COUNTIF(C$4:C132,""Sell_Cursor"")-COUNTIF(C$4:C132,""""))+0.01*E132*COUNTIF(C$4:C"&amp;"132,""Plastic_up""))+E132))"),"")</f>
        <v/>
      </c>
      <c r="G132" s="14" t="str">
        <f>IFERROR(__xludf.DUMMYFUNCTION("IF(COUNTA(C132:C147)=0,"""",IF(REGEXMATCH(C132,""_up""),VLOOKUP(C132,Upgrades!$F$3:$J$8,1+COUNTIF(C$4:C132,C132),FALSE),IF(C132="""",0,IF(REGEXMATCH(C132,""^Sell_""),-ROUNDDOWN(ROUNDUP(INDEX(Upgrades!$C$3:$C$8,MATCH(SUBSTITUTE(C132,""Sell_"",""""),Upgrade"&amp;"s!$B$3:$B$8,0))*1.15^(COUNTIF(C$4:C131,SUBSTITUTE(C132,""Sell_"",""""))-COUNTIF(C$4:C131,""Sell_""&amp;SUBSTITUTE(C132,""Sell_"",""""))))/4),ROUNDUP(INDEX(Upgrades!$C$3:$C$7,MATCH(C132,Upgrades!$B$3:$B$7,0))*1.15^(COUNTIF(C$4:C131,C132)-COUNTIF(C$4:C131,""Sel"&amp;"l_""&amp;C132)))))))"),"")</f>
        <v/>
      </c>
      <c r="H132" s="14" t="str">
        <f t="shared" si="3"/>
        <v/>
      </c>
      <c r="I132" s="75" t="str">
        <f t="shared" si="4"/>
        <v/>
      </c>
      <c r="J132" s="76" t="str">
        <f t="shared" si="5"/>
        <v/>
      </c>
      <c r="K132" s="71" t="str">
        <f t="shared" si="6"/>
        <v/>
      </c>
      <c r="L132" s="77" t="str">
        <f t="shared" si="7"/>
        <v/>
      </c>
      <c r="M132" s="51" t="str">
        <f t="shared" si="8"/>
        <v/>
      </c>
      <c r="N132" s="52" t="str">
        <f>IFERROR(__xludf.DUMMYFUNCTION("IFS(AND(COUNTA(C132:C147)=0,COUNTA(P132:P147)=0),"""",OR(AND(L132&gt;=1000000,OR(Y132&gt;=1000000,COUNTA(P132:P147)=0)),AND(Y132&gt;=1000000,COUNTA(C132:C147)=0),AND(COUNTA(P132:P147)=0,O$3=TRUE)),
ROUNDDOWN((AB$1-AC$1)*MAX(INDEX(S$4:S147,MATCH(LARGE(FILTER(Y$4:Y1"&amp;"47,Y$4:Y147&lt;1000000),1),Y$4:Y147)),INDEX(F$4:F147,MATCH(LARGE(FILTER(L$4:L147,L$4:L147&lt;1000000),1),L$4:L147)))),AND(L132&lt;1000000,COUNTA(C132:C147)&gt;0,O$3=FALSE),
ROUNDDOWN(INDEX(Y$4:Y147,MATCH(LARGE(FILTER(W$4:W147,W$4:W147&lt;=J132),1),W$4:W147))+(J132-LARGE"&amp;"(FILTER(W$4:W147,W$4:W147&lt;=J132),1))*INDEX(S$4:S147,MATCH(LARGE(FILTER(W$4:W147,W$4:W147&lt;=J132),1),W$4:W147))-L132),1,
ROUNDDOWN(Y132-INDEX(L$4:L147,MATCH(LARGE(FILTER(J$4:J147,J$4:J147&lt;=W132),1),J$4:J147))-(W132-LARGE(FILTER(J$4:J147,J$4:J147&lt;=W132),1))*"&amp;"INDEX(F$4:F147,MATCH(LARGE(FILTER(J$4:J147,J$4:J147&lt;=W132),1),J$4:J147))))"),"")</f>
        <v/>
      </c>
      <c r="O132" s="65" t="str">
        <f t="shared" si="9"/>
        <v/>
      </c>
      <c r="P132" s="15"/>
      <c r="Q132" s="14" t="str">
        <f>IFERROR(__xludf.DUMMYFUNCTION("IF(COUNTA(P132:P147)=0,"""",IFERROR(IF(ISBLANK(P132),FALSE,IF(ISBLANK(T132),1,IF(NOT(COUNTIF($AA$24:$AA$34,SUBSTITUTE(P132,""Sell_"",""""))),1,IF(P132=""Plastic_up"",IF(V132&lt;1000,1),IF(P132=""Super_Up"",IF(OR(COUNTIF(P$4:P132,""Grandma"")-COUNTIF(P$4:P132"&amp;",""Sell_Grandma"")&lt;1,COUNTIF(P$4:P132,VLOOKUP(P132,Upgrades!$F$8:$N$8,7+COUNTIF(P$4:P132,P132)))-COUNTIF(P$4:P132,""Sell_""&amp;VLOOKUP(P132,Upgrades!$F$8:$N$8,7+COUNTIF(P$4:P132,P132)))&lt;15),1),IF(REGEXMATCH(P132,""_up""),IF(COUNTIF(P$4:P132,SUBSTITUTE(P132,"&amp;"""_up"",""""))&lt;IFERROR(VLOOKUP(P132,Upgrades!$L$3:$P$6,1+COUNTIF(P$4:P132,P132),0),999),1),IF(REGEXMATCH(P132,""Sell_""),IF(COUNTIF(P$4:P132,SUBSTITUTE(P132,""Sell_"",""""))-COUNTIF(P$4:P131,P132)&lt;1,1),FALSE)))))))))"),"")</f>
        <v/>
      </c>
      <c r="R132" s="71" t="str">
        <f>IFERROR(__xludf.DUMMYFUNCTION("IF(REGEXMATCH(P132,""^Sell_""),R131, IF(COUNTA(P132:P147)=0,"""",(COUNTIF(P$4:P132,""Cursor"")-COUNTIF(P$4:P132,""Sell_Cursor""))*(0.1*2^SWITCH(COUNTIF(P$4:P132,""Cursor_up""),0,0,1,1,2,2,3)+SWITCH(COUNTIF(P$4:P132,""Cursor_up""),4,0.1,0)*(ROW(P132)-4-COU"&amp;"NTIF(P$4:P132,""Cursor"")-COUNTIF(P$4:P132,""*""&amp;""_up"")-2*COUNTIF(P$4:P132,""Sell_""&amp;""*"")+COUNTIF(P$4:P132,""Sell_Cursor"")-COUNTIF(P$4:P132,"""")))+(COUNTIF(P$4:P132,""Grandma"")-COUNTIF(P$4:P132,""Sell_Grandma""))*(1*2^(COUNTIF(P$4:P132,""Grandma_up"&amp;""")+COUNTIF(P$4:P132,""Super_up"")))+(COUNTIF(P$4:P132,""Farm"")-COUNTIF(P$4:P132,""Sell_Farm""))*(8*2^COUNTIF(P$4:P132,""Farm_up""))*IF(COUNTIF(P$4:P132,""Super_up"")&gt;0,1+0.01*(COUNTIF(P$4:P132,""Grandma"")-COUNTIF(P$4:P132,""Sell_Grandma"")),1)+(COUNTIF"&amp;"(P$4:P132,""Mine"")-COUNTIF(P$4:P132,""Sell_Mine""))*((47*2^COUNTIF(P$4:P132,""Mine_up""))*IF(COUNTIF(P$4:P132,""Super_up"")&gt;1,1+0.005*(COUNTIF(P$4:P132,""Grandma"")-COUNTIF(P$4:P132,""Sell_Grandma"")),1))+(COUNTIF(P$4:P132,""Factory"")-COUNTIF(P$4:P132,"&amp;"""Sell_Factory""))*(260*2^COUNTIF(P$4:P132,""Factory_up""))))"),"")</f>
        <v/>
      </c>
      <c r="S132" s="73" t="str">
        <f>IFERROR(__xludf.DUMMYFUNCTION("IF(COUNTA(P132:P147)=0,"""",IF(REGEXMATCH(INDEX(FILTER(P$4:P132,P$4:P132&lt;&gt;""""),ROWS(FILTER(P$4:P132,P$4:P132&lt;&gt;""""))),""^Sell_""),INDEX(FILTER(S$4:S131,P$4:P131&lt;&gt;""""),ROWS(FILTER(P$4:P131,P$4:P131&lt;&gt;""""))),$AD$5*(2^SWITCH(COUNTIF(P$4:P132,""Cursor_up"")"&amp;",0,0,1,1,2,2,3)+SWITCH(COUNTIF(P$4:P132,""Cursor_up""),4,0.1,0)*(ROW(P132)-4-COUNTIF(P$4:P132,""Cursor"")-COUNTIF(P$4:P132,""*""&amp;""_up"")-2*COUNTIF(P$4:P132,""Sell_""&amp;""*"")+COUNTIF(P$4:P132,""Sell_Cursor"")-COUNTIF(P$4:P132,""""))+0.01*R132*COUNTIF(P$4:P"&amp;"132,""Plastic_up""))+R132))"),"")</f>
        <v/>
      </c>
      <c r="T132" s="14" t="str">
        <f>IFERROR(__xludf.DUMMYFUNCTION("IF(COUNTA(P132:P147)=0,"""",IF(REGEXMATCH(P132,""_up""),VLOOKUP(P132,Upgrades!$F$3:$J$8,1+COUNTIF(P$4:P132,P132),FALSE),IF(P132="""",0,IF(REGEXMATCH(P132,""^Sell_""),-ROUNDDOWN(ROUNDUP(INDEX(Upgrades!$C$3:$C$8,MATCH(SUBSTITUTE(P132,""Sell_"",""""),Upgrade"&amp;"s!$B$3:$B$8,0))*1.15^(COUNTIF(P$4:P131,SUBSTITUTE(P132,""Sell_"",""""))-COUNTIF(P$4:P131,""Sell_""&amp;SUBSTITUTE(P132,""Sell_"",""""))))/4),ROUNDUP(INDEX(Upgrades!$C$3:$C$7,MATCH(P132,Upgrades!$B$3:$B$7,0))*1.15^(COUNTIF(P$4:P131,P132)-COUNTIF(P$4:P131,""Sel"&amp;"l_""&amp;P132)))))))"),"")</f>
        <v/>
      </c>
      <c r="U132" s="14" t="str">
        <f t="shared" si="10"/>
        <v/>
      </c>
      <c r="V132" s="75" t="str">
        <f t="shared" si="11"/>
        <v/>
      </c>
      <c r="W132" s="76" t="str">
        <f t="shared" si="12"/>
        <v/>
      </c>
      <c r="X132" s="71" t="str">
        <f t="shared" si="13"/>
        <v/>
      </c>
      <c r="Y132" s="77" t="str">
        <f t="shared" si="14"/>
        <v/>
      </c>
      <c r="Z132" s="17"/>
      <c r="AA132" s="13"/>
      <c r="AB132" s="13"/>
      <c r="AC132" s="13"/>
      <c r="AD132" s="13"/>
      <c r="AE132" s="13"/>
      <c r="AF132" s="13"/>
      <c r="AG132" s="13"/>
    </row>
    <row r="133">
      <c r="A133" s="12"/>
      <c r="B133" s="65" t="str">
        <f t="shared" si="2"/>
        <v/>
      </c>
      <c r="C133" s="66"/>
      <c r="D133" s="14" t="str">
        <f>IFERROR(__xludf.DUMMYFUNCTION("IF(COUNTA(C133:C147)=0,"""",IFERROR(IF(ISBLANK(C133),FALSE,IF(ISBLANK(G133),1,IF(NOT(COUNTIF($AA$24:$AA$34,SUBSTITUTE(C133,""Sell_"",""""))),1,IF(C133=""Plastic_up"",IF(I133&lt;1000,1),IF(C133=""Super_Up"",IF(OR(COUNTIF(C$4:C133,""Grandma"")-COUNTIF(C$4:C133"&amp;",""Sell_Grandma"")&lt;1,COUNTIF(C$4:C133,VLOOKUP(C133,Upgrades!$F$8:$N$8,7+COUNTIF(C$4:C133,C133)))-COUNTIF(C$4:C133,""Sell_""&amp;VLOOKUP(C133,Upgrades!$F$8:$N$8,7+COUNTIF(C$4:C133,C133)))&lt;15),1),IF(REGEXMATCH(C133,""_up""),IF(COUNTIF(C$4:C133,SUBSTITUTE(C133,"&amp;"""_up"",""""))&lt;IFERROR(VLOOKUP(C133,Upgrades!$L$3:$P$6,1+COUNTIF(C$4:C133,C133),0),999),1),IF(REGEXMATCH(C133,""Sell_""),IF(COUNTIF(C$4:C133,SUBSTITUTE(C133,""Sell_"",""""))-COUNTIF(C$4:C132,C133)&lt;1,1),FALSE)))))))))"),"")</f>
        <v/>
      </c>
      <c r="E133" s="71" t="str">
        <f>IFERROR(__xludf.DUMMYFUNCTION("IF(REGEXMATCH(C133,""^Sell_""),E132, IF(COUNTA(C133:C147)=0,"""",(COUNTIF(C$4:C133,""Cursor"")-COUNTIF(C$4:C133,""Sell_Cursor""))*(0.1*2^SWITCH(COUNTIF(C$4:C133,""Cursor_up""),0,0,1,1,2,2,3)+SWITCH(COUNTIF(C$4:C133,""Cursor_up""),4,0.1,0)*(ROW(C133)-4-COU"&amp;"NTIF(C$4:C133,""Cursor"")-COUNTIF(C$4:C133,""*""&amp;""_up"")-2*COUNTIF(C$4:C133,""Sell_""&amp;""*"")+COUNTIF(C$4:C133,""Sell_Cursor"")-COUNTIF(C$4:C133,"""")))+(COUNTIF(C$4:C133,""Grandma"")-COUNTIF(C$4:C133,""Sell_Grandma""))*(1*2^(COUNTIF(C$4:C133,""Grandma_up"&amp;""")+COUNTIF(C$4:C133,""Super_up"")))+(COUNTIF(C$4:C133,""Farm"")-COUNTIF(C$4:C133,""Sell_Farm""))*(8*2^COUNTIF(C$4:C133,""Farm_up""))*IF(COUNTIF(C$4:C133,""Super_up"")&gt;0,1+0.01*(COUNTIF(C$4:C133,""Grandma"")-COUNTIF(C$4:C133,""Sell_Grandma"")),1)+(COUNTIF"&amp;"(C$4:C133,""Mine"")-COUNTIF(C$4:C133,""Sell_Mine""))*((47*2^COUNTIF(C$4:C133,""Mine_up""))*IF(COUNTIF(C$4:C133,""Super_up"")&gt;1,1+0.005*(COUNTIF(C$4:C133,""Grandma"")-COUNTIF(C$4:C133,""Sell_Grandma"")),1))+(COUNTIF(C$4:C133,""Factory"")-COUNTIF(C$4:C133,"&amp;"""Sell_Factory""))*(260*2^COUNTIF(C$4:C133,""Factory_up""))))"),"")</f>
        <v/>
      </c>
      <c r="F133" s="73" t="str">
        <f>IFERROR(__xludf.DUMMYFUNCTION("IF(COUNTA(C133:C147)=0,"""",IF(REGEXMATCH(INDEX(FILTER(C$4:C133,C$4:C133&lt;&gt;""""),ROWS(FILTER(C$4:C133,C$4:C133&lt;&gt;""""))),""^Sell_""),INDEX(FILTER(F$4:F132,C$4:C132&lt;&gt;""""),ROWS(FILTER(C$4:C132,C$4:C132&lt;&gt;""""))),$AC$5*(2^SWITCH(COUNTIF(C$4:C133,""Cursor_up"")"&amp;",0,0,1,1,2,2,3)+SWITCH(COUNTIF(C$4:C133,""Cursor_up""),4,0.1,0)*(ROW(C133)-4-COUNTIF(C$4:C133,""Cursor"")-COUNTIF(C$4:C133,""*""&amp;""_up"")-2*COUNTIF(C$4:C133,""Sell_""&amp;""*"")+COUNTIF(C$4:C133,""Sell_Cursor"")-COUNTIF(C$4:C133,""""))+0.01*E133*COUNTIF(C$4:C"&amp;"133,""Plastic_up""))+E133))"),"")</f>
        <v/>
      </c>
      <c r="G133" s="14" t="str">
        <f>IFERROR(__xludf.DUMMYFUNCTION("IF(COUNTA(C133:C147)=0,"""",IF(REGEXMATCH(C133,""_up""),VLOOKUP(C133,Upgrades!$F$3:$J$8,1+COUNTIF(C$4:C133,C133),FALSE),IF(C133="""",0,IF(REGEXMATCH(C133,""^Sell_""),-ROUNDDOWN(ROUNDUP(INDEX(Upgrades!$C$3:$C$8,MATCH(SUBSTITUTE(C133,""Sell_"",""""),Upgrade"&amp;"s!$B$3:$B$8,0))*1.15^(COUNTIF(C$4:C132,SUBSTITUTE(C133,""Sell_"",""""))-COUNTIF(C$4:C132,""Sell_""&amp;SUBSTITUTE(C133,""Sell_"",""""))))/4),ROUNDUP(INDEX(Upgrades!$C$3:$C$7,MATCH(C133,Upgrades!$B$3:$B$7,0))*1.15^(COUNTIF(C$4:C132,C133)-COUNTIF(C$4:C132,""Sel"&amp;"l_""&amp;C133)))))))"),"")</f>
        <v/>
      </c>
      <c r="H133" s="14" t="str">
        <f t="shared" si="3"/>
        <v/>
      </c>
      <c r="I133" s="75" t="str">
        <f t="shared" si="4"/>
        <v/>
      </c>
      <c r="J133" s="76" t="str">
        <f t="shared" si="5"/>
        <v/>
      </c>
      <c r="K133" s="71" t="str">
        <f t="shared" si="6"/>
        <v/>
      </c>
      <c r="L133" s="77" t="str">
        <f t="shared" si="7"/>
        <v/>
      </c>
      <c r="M133" s="51" t="str">
        <f t="shared" si="8"/>
        <v/>
      </c>
      <c r="N133" s="52" t="str">
        <f>IFERROR(__xludf.DUMMYFUNCTION("IFS(AND(COUNTA(C133:C147)=0,COUNTA(P133:P147)=0),"""",OR(AND(L133&gt;=1000000,OR(Y133&gt;=1000000,COUNTA(P133:P147)=0)),AND(Y133&gt;=1000000,COUNTA(C133:C147)=0),AND(COUNTA(P133:P147)=0,O$3=TRUE)),
ROUNDDOWN((AB$1-AC$1)*MAX(INDEX(S$4:S147,MATCH(LARGE(FILTER(Y$4:Y1"&amp;"47,Y$4:Y147&lt;1000000),1),Y$4:Y147)),INDEX(F$4:F147,MATCH(LARGE(FILTER(L$4:L147,L$4:L147&lt;1000000),1),L$4:L147)))),AND(L133&lt;1000000,COUNTA(C133:C147)&gt;0,O$3=FALSE),
ROUNDDOWN(INDEX(Y$4:Y147,MATCH(LARGE(FILTER(W$4:W147,W$4:W147&lt;=J133),1),W$4:W147))+(J133-LARGE"&amp;"(FILTER(W$4:W147,W$4:W147&lt;=J133),1))*INDEX(S$4:S147,MATCH(LARGE(FILTER(W$4:W147,W$4:W147&lt;=J133),1),W$4:W147))-L133),1,
ROUNDDOWN(Y133-INDEX(L$4:L147,MATCH(LARGE(FILTER(J$4:J147,J$4:J147&lt;=W133),1),J$4:J147))-(W133-LARGE(FILTER(J$4:J147,J$4:J147&lt;=W133),1))*"&amp;"INDEX(F$4:F147,MATCH(LARGE(FILTER(J$4:J147,J$4:J147&lt;=W133),1),J$4:J147))))"),"")</f>
        <v/>
      </c>
      <c r="O133" s="65" t="str">
        <f t="shared" si="9"/>
        <v/>
      </c>
      <c r="P133" s="15"/>
      <c r="Q133" s="14" t="str">
        <f>IFERROR(__xludf.DUMMYFUNCTION("IF(COUNTA(P133:P147)=0,"""",IFERROR(IF(ISBLANK(P133),FALSE,IF(ISBLANK(T133),1,IF(NOT(COUNTIF($AA$24:$AA$34,SUBSTITUTE(P133,""Sell_"",""""))),1,IF(P133=""Plastic_up"",IF(V133&lt;1000,1),IF(P133=""Super_Up"",IF(OR(COUNTIF(P$4:P133,""Grandma"")-COUNTIF(P$4:P133"&amp;",""Sell_Grandma"")&lt;1,COUNTIF(P$4:P133,VLOOKUP(P133,Upgrades!$F$8:$N$8,7+COUNTIF(P$4:P133,P133)))-COUNTIF(P$4:P133,""Sell_""&amp;VLOOKUP(P133,Upgrades!$F$8:$N$8,7+COUNTIF(P$4:P133,P133)))&lt;15),1),IF(REGEXMATCH(P133,""_up""),IF(COUNTIF(P$4:P133,SUBSTITUTE(P133,"&amp;"""_up"",""""))&lt;IFERROR(VLOOKUP(P133,Upgrades!$L$3:$P$6,1+COUNTIF(P$4:P133,P133),0),999),1),IF(REGEXMATCH(P133,""Sell_""),IF(COUNTIF(P$4:P133,SUBSTITUTE(P133,""Sell_"",""""))-COUNTIF(P$4:P132,P133)&lt;1,1),FALSE)))))))))"),"")</f>
        <v/>
      </c>
      <c r="R133" s="71" t="str">
        <f>IFERROR(__xludf.DUMMYFUNCTION("IF(REGEXMATCH(P133,""^Sell_""),R132, IF(COUNTA(P133:P147)=0,"""",(COUNTIF(P$4:P133,""Cursor"")-COUNTIF(P$4:P133,""Sell_Cursor""))*(0.1*2^SWITCH(COUNTIF(P$4:P133,""Cursor_up""),0,0,1,1,2,2,3)+SWITCH(COUNTIF(P$4:P133,""Cursor_up""),4,0.1,0)*(ROW(P133)-4-COU"&amp;"NTIF(P$4:P133,""Cursor"")-COUNTIF(P$4:P133,""*""&amp;""_up"")-2*COUNTIF(P$4:P133,""Sell_""&amp;""*"")+COUNTIF(P$4:P133,""Sell_Cursor"")-COUNTIF(P$4:P133,"""")))+(COUNTIF(P$4:P133,""Grandma"")-COUNTIF(P$4:P133,""Sell_Grandma""))*(1*2^(COUNTIF(P$4:P133,""Grandma_up"&amp;""")+COUNTIF(P$4:P133,""Super_up"")))+(COUNTIF(P$4:P133,""Farm"")-COUNTIF(P$4:P133,""Sell_Farm""))*(8*2^COUNTIF(P$4:P133,""Farm_up""))*IF(COUNTIF(P$4:P133,""Super_up"")&gt;0,1+0.01*(COUNTIF(P$4:P133,""Grandma"")-COUNTIF(P$4:P133,""Sell_Grandma"")),1)+(COUNTIF"&amp;"(P$4:P133,""Mine"")-COUNTIF(P$4:P133,""Sell_Mine""))*((47*2^COUNTIF(P$4:P133,""Mine_up""))*IF(COUNTIF(P$4:P133,""Super_up"")&gt;1,1+0.005*(COUNTIF(P$4:P133,""Grandma"")-COUNTIF(P$4:P133,""Sell_Grandma"")),1))+(COUNTIF(P$4:P133,""Factory"")-COUNTIF(P$4:P133,"&amp;"""Sell_Factory""))*(260*2^COUNTIF(P$4:P133,""Factory_up""))))"),"")</f>
        <v/>
      </c>
      <c r="S133" s="73" t="str">
        <f>IFERROR(__xludf.DUMMYFUNCTION("IF(COUNTA(P133:P147)=0,"""",IF(REGEXMATCH(INDEX(FILTER(P$4:P133,P$4:P133&lt;&gt;""""),ROWS(FILTER(P$4:P133,P$4:P133&lt;&gt;""""))),""^Sell_""),INDEX(FILTER(S$4:S132,P$4:P132&lt;&gt;""""),ROWS(FILTER(P$4:P132,P$4:P132&lt;&gt;""""))),$AD$5*(2^SWITCH(COUNTIF(P$4:P133,""Cursor_up"")"&amp;",0,0,1,1,2,2,3)+SWITCH(COUNTIF(P$4:P133,""Cursor_up""),4,0.1,0)*(ROW(P133)-4-COUNTIF(P$4:P133,""Cursor"")-COUNTIF(P$4:P133,""*""&amp;""_up"")-2*COUNTIF(P$4:P133,""Sell_""&amp;""*"")+COUNTIF(P$4:P133,""Sell_Cursor"")-COUNTIF(P$4:P133,""""))+0.01*R133*COUNTIF(P$4:P"&amp;"133,""Plastic_up""))+R133))"),"")</f>
        <v/>
      </c>
      <c r="T133" s="14" t="str">
        <f>IFERROR(__xludf.DUMMYFUNCTION("IF(COUNTA(P133:P147)=0,"""",IF(REGEXMATCH(P133,""_up""),VLOOKUP(P133,Upgrades!$F$3:$J$8,1+COUNTIF(P$4:P133,P133),FALSE),IF(P133="""",0,IF(REGEXMATCH(P133,""^Sell_""),-ROUNDDOWN(ROUNDUP(INDEX(Upgrades!$C$3:$C$8,MATCH(SUBSTITUTE(P133,""Sell_"",""""),Upgrade"&amp;"s!$B$3:$B$8,0))*1.15^(COUNTIF(P$4:P132,SUBSTITUTE(P133,""Sell_"",""""))-COUNTIF(P$4:P132,""Sell_""&amp;SUBSTITUTE(P133,""Sell_"",""""))))/4),ROUNDUP(INDEX(Upgrades!$C$3:$C$7,MATCH(P133,Upgrades!$B$3:$B$7,0))*1.15^(COUNTIF(P$4:P132,P133)-COUNTIF(P$4:P132,""Sel"&amp;"l_""&amp;P133)))))))"),"")</f>
        <v/>
      </c>
      <c r="U133" s="14" t="str">
        <f t="shared" si="10"/>
        <v/>
      </c>
      <c r="V133" s="75" t="str">
        <f t="shared" si="11"/>
        <v/>
      </c>
      <c r="W133" s="76" t="str">
        <f t="shared" si="12"/>
        <v/>
      </c>
      <c r="X133" s="71" t="str">
        <f t="shared" si="13"/>
        <v/>
      </c>
      <c r="Y133" s="77" t="str">
        <f t="shared" si="14"/>
        <v/>
      </c>
      <c r="Z133" s="17"/>
      <c r="AA133" s="13"/>
      <c r="AB133" s="13"/>
      <c r="AC133" s="13"/>
      <c r="AD133" s="13"/>
      <c r="AE133" s="13"/>
      <c r="AF133" s="13"/>
      <c r="AG133" s="13"/>
    </row>
    <row r="134">
      <c r="A134" s="12"/>
      <c r="B134" s="65" t="str">
        <f t="shared" si="2"/>
        <v/>
      </c>
      <c r="C134" s="66"/>
      <c r="D134" s="14" t="str">
        <f>IFERROR(__xludf.DUMMYFUNCTION("IF(COUNTA(C134:C147)=0,"""",IFERROR(IF(ISBLANK(C134),FALSE,IF(ISBLANK(G134),1,IF(NOT(COUNTIF($AA$24:$AA$34,SUBSTITUTE(C134,""Sell_"",""""))),1,IF(C134=""Plastic_up"",IF(I134&lt;1000,1),IF(C134=""Super_Up"",IF(OR(COUNTIF(C$4:C134,""Grandma"")-COUNTIF(C$4:C134"&amp;",""Sell_Grandma"")&lt;1,COUNTIF(C$4:C134,VLOOKUP(C134,Upgrades!$F$8:$N$8,7+COUNTIF(C$4:C134,C134)))-COUNTIF(C$4:C134,""Sell_""&amp;VLOOKUP(C134,Upgrades!$F$8:$N$8,7+COUNTIF(C$4:C134,C134)))&lt;15),1),IF(REGEXMATCH(C134,""_up""),IF(COUNTIF(C$4:C134,SUBSTITUTE(C134,"&amp;"""_up"",""""))&lt;IFERROR(VLOOKUP(C134,Upgrades!$L$3:$P$6,1+COUNTIF(C$4:C134,C134),0),999),1),IF(REGEXMATCH(C134,""Sell_""),IF(COUNTIF(C$4:C134,SUBSTITUTE(C134,""Sell_"",""""))-COUNTIF(C$4:C133,C134)&lt;1,1),FALSE)))))))))"),"")</f>
        <v/>
      </c>
      <c r="E134" s="71" t="str">
        <f>IFERROR(__xludf.DUMMYFUNCTION("IF(REGEXMATCH(C134,""^Sell_""),E133, IF(COUNTA(C134:C147)=0,"""",(COUNTIF(C$4:C134,""Cursor"")-COUNTIF(C$4:C134,""Sell_Cursor""))*(0.1*2^SWITCH(COUNTIF(C$4:C134,""Cursor_up""),0,0,1,1,2,2,3)+SWITCH(COUNTIF(C$4:C134,""Cursor_up""),4,0.1,0)*(ROW(C134)-4-COU"&amp;"NTIF(C$4:C134,""Cursor"")-COUNTIF(C$4:C134,""*""&amp;""_up"")-2*COUNTIF(C$4:C134,""Sell_""&amp;""*"")+COUNTIF(C$4:C134,""Sell_Cursor"")-COUNTIF(C$4:C134,"""")))+(COUNTIF(C$4:C134,""Grandma"")-COUNTIF(C$4:C134,""Sell_Grandma""))*(1*2^(COUNTIF(C$4:C134,""Grandma_up"&amp;""")+COUNTIF(C$4:C134,""Super_up"")))+(COUNTIF(C$4:C134,""Farm"")-COUNTIF(C$4:C134,""Sell_Farm""))*(8*2^COUNTIF(C$4:C134,""Farm_up""))*IF(COUNTIF(C$4:C134,""Super_up"")&gt;0,1+0.01*(COUNTIF(C$4:C134,""Grandma"")-COUNTIF(C$4:C134,""Sell_Grandma"")),1)+(COUNTIF"&amp;"(C$4:C134,""Mine"")-COUNTIF(C$4:C134,""Sell_Mine""))*((47*2^COUNTIF(C$4:C134,""Mine_up""))*IF(COUNTIF(C$4:C134,""Super_up"")&gt;1,1+0.005*(COUNTIF(C$4:C134,""Grandma"")-COUNTIF(C$4:C134,""Sell_Grandma"")),1))+(COUNTIF(C$4:C134,""Factory"")-COUNTIF(C$4:C134,"&amp;"""Sell_Factory""))*(260*2^COUNTIF(C$4:C134,""Factory_up""))))"),"")</f>
        <v/>
      </c>
      <c r="F134" s="73" t="str">
        <f>IFERROR(__xludf.DUMMYFUNCTION("IF(COUNTA(C134:C147)=0,"""",IF(REGEXMATCH(INDEX(FILTER(C$4:C134,C$4:C134&lt;&gt;""""),ROWS(FILTER(C$4:C134,C$4:C134&lt;&gt;""""))),""^Sell_""),INDEX(FILTER(F$4:F133,C$4:C133&lt;&gt;""""),ROWS(FILTER(C$4:C133,C$4:C133&lt;&gt;""""))),$AC$5*(2^SWITCH(COUNTIF(C$4:C134,""Cursor_up"")"&amp;",0,0,1,1,2,2,3)+SWITCH(COUNTIF(C$4:C134,""Cursor_up""),4,0.1,0)*(ROW(C134)-4-COUNTIF(C$4:C134,""Cursor"")-COUNTIF(C$4:C134,""*""&amp;""_up"")-2*COUNTIF(C$4:C134,""Sell_""&amp;""*"")+COUNTIF(C$4:C134,""Sell_Cursor"")-COUNTIF(C$4:C134,""""))+0.01*E134*COUNTIF(C$4:C"&amp;"134,""Plastic_up""))+E134))"),"")</f>
        <v/>
      </c>
      <c r="G134" s="14" t="str">
        <f>IFERROR(__xludf.DUMMYFUNCTION("IF(COUNTA(C134:C147)=0,"""",IF(REGEXMATCH(C134,""_up""),VLOOKUP(C134,Upgrades!$F$3:$J$8,1+COUNTIF(C$4:C134,C134),FALSE),IF(C134="""",0,IF(REGEXMATCH(C134,""^Sell_""),-ROUNDDOWN(ROUNDUP(INDEX(Upgrades!$C$3:$C$8,MATCH(SUBSTITUTE(C134,""Sell_"",""""),Upgrade"&amp;"s!$B$3:$B$8,0))*1.15^(COUNTIF(C$4:C133,SUBSTITUTE(C134,""Sell_"",""""))-COUNTIF(C$4:C133,""Sell_""&amp;SUBSTITUTE(C134,""Sell_"",""""))))/4),ROUNDUP(INDEX(Upgrades!$C$3:$C$7,MATCH(C134,Upgrades!$B$3:$B$7,0))*1.15^(COUNTIF(C$4:C133,C134)-COUNTIF(C$4:C133,""Sel"&amp;"l_""&amp;C134)))))))"),"")</f>
        <v/>
      </c>
      <c r="H134" s="14" t="str">
        <f t="shared" si="3"/>
        <v/>
      </c>
      <c r="I134" s="75" t="str">
        <f t="shared" si="4"/>
        <v/>
      </c>
      <c r="J134" s="76" t="str">
        <f t="shared" si="5"/>
        <v/>
      </c>
      <c r="K134" s="71" t="str">
        <f t="shared" si="6"/>
        <v/>
      </c>
      <c r="L134" s="77" t="str">
        <f t="shared" si="7"/>
        <v/>
      </c>
      <c r="M134" s="51" t="str">
        <f t="shared" si="8"/>
        <v/>
      </c>
      <c r="N134" s="52" t="str">
        <f>IFERROR(__xludf.DUMMYFUNCTION("IFS(AND(COUNTA(C134:C147)=0,COUNTA(P134:P147)=0),"""",OR(AND(L134&gt;=1000000,OR(Y134&gt;=1000000,COUNTA(P134:P147)=0)),AND(Y134&gt;=1000000,COUNTA(C134:C147)=0),AND(COUNTA(P134:P147)=0,O$3=TRUE)),
ROUNDDOWN((AB$1-AC$1)*MAX(INDEX(S$4:S147,MATCH(LARGE(FILTER(Y$4:Y1"&amp;"47,Y$4:Y147&lt;1000000),1),Y$4:Y147)),INDEX(F$4:F147,MATCH(LARGE(FILTER(L$4:L147,L$4:L147&lt;1000000),1),L$4:L147)))),AND(L134&lt;1000000,COUNTA(C134:C147)&gt;0,O$3=FALSE),
ROUNDDOWN(INDEX(Y$4:Y147,MATCH(LARGE(FILTER(W$4:W147,W$4:W147&lt;=J134),1),W$4:W147))+(J134-LARGE"&amp;"(FILTER(W$4:W147,W$4:W147&lt;=J134),1))*INDEX(S$4:S147,MATCH(LARGE(FILTER(W$4:W147,W$4:W147&lt;=J134),1),W$4:W147))-L134),1,
ROUNDDOWN(Y134-INDEX(L$4:L147,MATCH(LARGE(FILTER(J$4:J147,J$4:J147&lt;=W134),1),J$4:J147))-(W134-LARGE(FILTER(J$4:J147,J$4:J147&lt;=W134),1))*"&amp;"INDEX(F$4:F147,MATCH(LARGE(FILTER(J$4:J147,J$4:J147&lt;=W134),1),J$4:J147))))"),"")</f>
        <v/>
      </c>
      <c r="O134" s="65" t="str">
        <f t="shared" si="9"/>
        <v/>
      </c>
      <c r="P134" s="15"/>
      <c r="Q134" s="14" t="str">
        <f>IFERROR(__xludf.DUMMYFUNCTION("IF(COUNTA(P134:P147)=0,"""",IFERROR(IF(ISBLANK(P134),FALSE,IF(ISBLANK(T134),1,IF(NOT(COUNTIF($AA$24:$AA$34,SUBSTITUTE(P134,""Sell_"",""""))),1,IF(P134=""Plastic_up"",IF(V134&lt;1000,1),IF(P134=""Super_Up"",IF(OR(COUNTIF(P$4:P134,""Grandma"")-COUNTIF(P$4:P134"&amp;",""Sell_Grandma"")&lt;1,COUNTIF(P$4:P134,VLOOKUP(P134,Upgrades!$F$8:$N$8,7+COUNTIF(P$4:P134,P134)))-COUNTIF(P$4:P134,""Sell_""&amp;VLOOKUP(P134,Upgrades!$F$8:$N$8,7+COUNTIF(P$4:P134,P134)))&lt;15),1),IF(REGEXMATCH(P134,""_up""),IF(COUNTIF(P$4:P134,SUBSTITUTE(P134,"&amp;"""_up"",""""))&lt;IFERROR(VLOOKUP(P134,Upgrades!$L$3:$P$6,1+COUNTIF(P$4:P134,P134),0),999),1),IF(REGEXMATCH(P134,""Sell_""),IF(COUNTIF(P$4:P134,SUBSTITUTE(P134,""Sell_"",""""))-COUNTIF(P$4:P133,P134)&lt;1,1),FALSE)))))))))"),"")</f>
        <v/>
      </c>
      <c r="R134" s="71" t="str">
        <f>IFERROR(__xludf.DUMMYFUNCTION("IF(REGEXMATCH(P134,""^Sell_""),R133, IF(COUNTA(P134:P147)=0,"""",(COUNTIF(P$4:P134,""Cursor"")-COUNTIF(P$4:P134,""Sell_Cursor""))*(0.1*2^SWITCH(COUNTIF(P$4:P134,""Cursor_up""),0,0,1,1,2,2,3)+SWITCH(COUNTIF(P$4:P134,""Cursor_up""),4,0.1,0)*(ROW(P134)-4-COU"&amp;"NTIF(P$4:P134,""Cursor"")-COUNTIF(P$4:P134,""*""&amp;""_up"")-2*COUNTIF(P$4:P134,""Sell_""&amp;""*"")+COUNTIF(P$4:P134,""Sell_Cursor"")-COUNTIF(P$4:P134,"""")))+(COUNTIF(P$4:P134,""Grandma"")-COUNTIF(P$4:P134,""Sell_Grandma""))*(1*2^(COUNTIF(P$4:P134,""Grandma_up"&amp;""")+COUNTIF(P$4:P134,""Super_up"")))+(COUNTIF(P$4:P134,""Farm"")-COUNTIF(P$4:P134,""Sell_Farm""))*(8*2^COUNTIF(P$4:P134,""Farm_up""))*IF(COUNTIF(P$4:P134,""Super_up"")&gt;0,1+0.01*(COUNTIF(P$4:P134,""Grandma"")-COUNTIF(P$4:P134,""Sell_Grandma"")),1)+(COUNTIF"&amp;"(P$4:P134,""Mine"")-COUNTIF(P$4:P134,""Sell_Mine""))*((47*2^COUNTIF(P$4:P134,""Mine_up""))*IF(COUNTIF(P$4:P134,""Super_up"")&gt;1,1+0.005*(COUNTIF(P$4:P134,""Grandma"")-COUNTIF(P$4:P134,""Sell_Grandma"")),1))+(COUNTIF(P$4:P134,""Factory"")-COUNTIF(P$4:P134,"&amp;"""Sell_Factory""))*(260*2^COUNTIF(P$4:P134,""Factory_up""))))"),"")</f>
        <v/>
      </c>
      <c r="S134" s="73" t="str">
        <f>IFERROR(__xludf.DUMMYFUNCTION("IF(COUNTA(P134:P147)=0,"""",IF(REGEXMATCH(INDEX(FILTER(P$4:P134,P$4:P134&lt;&gt;""""),ROWS(FILTER(P$4:P134,P$4:P134&lt;&gt;""""))),""^Sell_""),INDEX(FILTER(S$4:S133,P$4:P133&lt;&gt;""""),ROWS(FILTER(P$4:P133,P$4:P133&lt;&gt;""""))),$AD$5*(2^SWITCH(COUNTIF(P$4:P134,""Cursor_up"")"&amp;",0,0,1,1,2,2,3)+SWITCH(COUNTIF(P$4:P134,""Cursor_up""),4,0.1,0)*(ROW(P134)-4-COUNTIF(P$4:P134,""Cursor"")-COUNTIF(P$4:P134,""*""&amp;""_up"")-2*COUNTIF(P$4:P134,""Sell_""&amp;""*"")+COUNTIF(P$4:P134,""Sell_Cursor"")-COUNTIF(P$4:P134,""""))+0.01*R134*COUNTIF(P$4:P"&amp;"134,""Plastic_up""))+R134))"),"")</f>
        <v/>
      </c>
      <c r="T134" s="14" t="str">
        <f>IFERROR(__xludf.DUMMYFUNCTION("IF(COUNTA(P134:P147)=0,"""",IF(REGEXMATCH(P134,""_up""),VLOOKUP(P134,Upgrades!$F$3:$J$8,1+COUNTIF(P$4:P134,P134),FALSE),IF(P134="""",0,IF(REGEXMATCH(P134,""^Sell_""),-ROUNDDOWN(ROUNDUP(INDEX(Upgrades!$C$3:$C$8,MATCH(SUBSTITUTE(P134,""Sell_"",""""),Upgrade"&amp;"s!$B$3:$B$8,0))*1.15^(COUNTIF(P$4:P133,SUBSTITUTE(P134,""Sell_"",""""))-COUNTIF(P$4:P133,""Sell_""&amp;SUBSTITUTE(P134,""Sell_"",""""))))/4),ROUNDUP(INDEX(Upgrades!$C$3:$C$7,MATCH(P134,Upgrades!$B$3:$B$7,0))*1.15^(COUNTIF(P$4:P133,P134)-COUNTIF(P$4:P133,""Sel"&amp;"l_""&amp;P134)))))))"),"")</f>
        <v/>
      </c>
      <c r="U134" s="14" t="str">
        <f t="shared" si="10"/>
        <v/>
      </c>
      <c r="V134" s="75" t="str">
        <f t="shared" si="11"/>
        <v/>
      </c>
      <c r="W134" s="76" t="str">
        <f t="shared" si="12"/>
        <v/>
      </c>
      <c r="X134" s="71" t="str">
        <f t="shared" si="13"/>
        <v/>
      </c>
      <c r="Y134" s="77" t="str">
        <f t="shared" si="14"/>
        <v/>
      </c>
      <c r="Z134" s="17"/>
      <c r="AA134" s="13"/>
      <c r="AB134" s="13"/>
      <c r="AC134" s="13"/>
      <c r="AD134" s="13"/>
      <c r="AE134" s="13"/>
      <c r="AF134" s="13"/>
      <c r="AG134" s="13"/>
    </row>
    <row r="135">
      <c r="A135" s="12"/>
      <c r="B135" s="65" t="str">
        <f t="shared" si="2"/>
        <v/>
      </c>
      <c r="C135" s="66"/>
      <c r="D135" s="14" t="str">
        <f>IFERROR(__xludf.DUMMYFUNCTION("IF(COUNTA(C135:C147)=0,"""",IFERROR(IF(ISBLANK(C135),FALSE,IF(ISBLANK(G135),1,IF(NOT(COUNTIF($AA$24:$AA$34,SUBSTITUTE(C135,""Sell_"",""""))),1,IF(C135=""Plastic_up"",IF(I135&lt;1000,1),IF(C135=""Super_Up"",IF(OR(COUNTIF(C$4:C135,""Grandma"")-COUNTIF(C$4:C135"&amp;",""Sell_Grandma"")&lt;1,COUNTIF(C$4:C135,VLOOKUP(C135,Upgrades!$F$8:$N$8,7+COUNTIF(C$4:C135,C135)))-COUNTIF(C$4:C135,""Sell_""&amp;VLOOKUP(C135,Upgrades!$F$8:$N$8,7+COUNTIF(C$4:C135,C135)))&lt;15),1),IF(REGEXMATCH(C135,""_up""),IF(COUNTIF(C$4:C135,SUBSTITUTE(C135,"&amp;"""_up"",""""))&lt;IFERROR(VLOOKUP(C135,Upgrades!$L$3:$P$6,1+COUNTIF(C$4:C135,C135),0),999),1),IF(REGEXMATCH(C135,""Sell_""),IF(COUNTIF(C$4:C135,SUBSTITUTE(C135,""Sell_"",""""))-COUNTIF(C$4:C134,C135)&lt;1,1),FALSE)))))))))"),"")</f>
        <v/>
      </c>
      <c r="E135" s="71" t="str">
        <f>IFERROR(__xludf.DUMMYFUNCTION("IF(REGEXMATCH(C135,""^Sell_""),E134, IF(COUNTA(C135:C147)=0,"""",(COUNTIF(C$4:C135,""Cursor"")-COUNTIF(C$4:C135,""Sell_Cursor""))*(0.1*2^SWITCH(COUNTIF(C$4:C135,""Cursor_up""),0,0,1,1,2,2,3)+SWITCH(COUNTIF(C$4:C135,""Cursor_up""),4,0.1,0)*(ROW(C135)-4-COU"&amp;"NTIF(C$4:C135,""Cursor"")-COUNTIF(C$4:C135,""*""&amp;""_up"")-2*COUNTIF(C$4:C135,""Sell_""&amp;""*"")+COUNTIF(C$4:C135,""Sell_Cursor"")-COUNTIF(C$4:C135,"""")))+(COUNTIF(C$4:C135,""Grandma"")-COUNTIF(C$4:C135,""Sell_Grandma""))*(1*2^(COUNTIF(C$4:C135,""Grandma_up"&amp;""")+COUNTIF(C$4:C135,""Super_up"")))+(COUNTIF(C$4:C135,""Farm"")-COUNTIF(C$4:C135,""Sell_Farm""))*(8*2^COUNTIF(C$4:C135,""Farm_up""))*IF(COUNTIF(C$4:C135,""Super_up"")&gt;0,1+0.01*(COUNTIF(C$4:C135,""Grandma"")-COUNTIF(C$4:C135,""Sell_Grandma"")),1)+(COUNTIF"&amp;"(C$4:C135,""Mine"")-COUNTIF(C$4:C135,""Sell_Mine""))*((47*2^COUNTIF(C$4:C135,""Mine_up""))*IF(COUNTIF(C$4:C135,""Super_up"")&gt;1,1+0.005*(COUNTIF(C$4:C135,""Grandma"")-COUNTIF(C$4:C135,""Sell_Grandma"")),1))+(COUNTIF(C$4:C135,""Factory"")-COUNTIF(C$4:C135,"&amp;"""Sell_Factory""))*(260*2^COUNTIF(C$4:C135,""Factory_up""))))"),"")</f>
        <v/>
      </c>
      <c r="F135" s="73" t="str">
        <f>IFERROR(__xludf.DUMMYFUNCTION("IF(COUNTA(C135:C147)=0,"""",IF(REGEXMATCH(INDEX(FILTER(C$4:C135,C$4:C135&lt;&gt;""""),ROWS(FILTER(C$4:C135,C$4:C135&lt;&gt;""""))),""^Sell_""),INDEX(FILTER(F$4:F134,C$4:C134&lt;&gt;""""),ROWS(FILTER(C$4:C134,C$4:C134&lt;&gt;""""))),$AC$5*(2^SWITCH(COUNTIF(C$4:C135,""Cursor_up"")"&amp;",0,0,1,1,2,2,3)+SWITCH(COUNTIF(C$4:C135,""Cursor_up""),4,0.1,0)*(ROW(C135)-4-COUNTIF(C$4:C135,""Cursor"")-COUNTIF(C$4:C135,""*""&amp;""_up"")-2*COUNTIF(C$4:C135,""Sell_""&amp;""*"")+COUNTIF(C$4:C135,""Sell_Cursor"")-COUNTIF(C$4:C135,""""))+0.01*E135*COUNTIF(C$4:C"&amp;"135,""Plastic_up""))+E135))"),"")</f>
        <v/>
      </c>
      <c r="G135" s="14" t="str">
        <f>IFERROR(__xludf.DUMMYFUNCTION("IF(COUNTA(C135:C147)=0,"""",IF(REGEXMATCH(C135,""_up""),VLOOKUP(C135,Upgrades!$F$3:$J$8,1+COUNTIF(C$4:C135,C135),FALSE),IF(C135="""",0,IF(REGEXMATCH(C135,""^Sell_""),-ROUNDDOWN(ROUNDUP(INDEX(Upgrades!$C$3:$C$8,MATCH(SUBSTITUTE(C135,""Sell_"",""""),Upgrade"&amp;"s!$B$3:$B$8,0))*1.15^(COUNTIF(C$4:C134,SUBSTITUTE(C135,""Sell_"",""""))-COUNTIF(C$4:C134,""Sell_""&amp;SUBSTITUTE(C135,""Sell_"",""""))))/4),ROUNDUP(INDEX(Upgrades!$C$3:$C$7,MATCH(C135,Upgrades!$B$3:$B$7,0))*1.15^(COUNTIF(C$4:C134,C135)-COUNTIF(C$4:C134,""Sel"&amp;"l_""&amp;C135)))))))"),"")</f>
        <v/>
      </c>
      <c r="H135" s="14" t="str">
        <f t="shared" si="3"/>
        <v/>
      </c>
      <c r="I135" s="75" t="str">
        <f t="shared" si="4"/>
        <v/>
      </c>
      <c r="J135" s="76" t="str">
        <f t="shared" si="5"/>
        <v/>
      </c>
      <c r="K135" s="71" t="str">
        <f t="shared" si="6"/>
        <v/>
      </c>
      <c r="L135" s="77" t="str">
        <f t="shared" si="7"/>
        <v/>
      </c>
      <c r="M135" s="51" t="str">
        <f t="shared" si="8"/>
        <v/>
      </c>
      <c r="N135" s="52" t="str">
        <f>IFERROR(__xludf.DUMMYFUNCTION("IFS(AND(COUNTA(C135:C147)=0,COUNTA(P135:P147)=0),"""",OR(AND(L135&gt;=1000000,OR(Y135&gt;=1000000,COUNTA(P135:P147)=0)),AND(Y135&gt;=1000000,COUNTA(C135:C147)=0),AND(COUNTA(P135:P147)=0,O$3=TRUE)),
ROUNDDOWN((AB$1-AC$1)*MAX(INDEX(S$4:S147,MATCH(LARGE(FILTER(Y$4:Y1"&amp;"47,Y$4:Y147&lt;1000000),1),Y$4:Y147)),INDEX(F$4:F147,MATCH(LARGE(FILTER(L$4:L147,L$4:L147&lt;1000000),1),L$4:L147)))),AND(L135&lt;1000000,COUNTA(C135:C147)&gt;0,O$3=FALSE),
ROUNDDOWN(INDEX(Y$4:Y147,MATCH(LARGE(FILTER(W$4:W147,W$4:W147&lt;=J135),1),W$4:W147))+(J135-LARGE"&amp;"(FILTER(W$4:W147,W$4:W147&lt;=J135),1))*INDEX(S$4:S147,MATCH(LARGE(FILTER(W$4:W147,W$4:W147&lt;=J135),1),W$4:W147))-L135),1,
ROUNDDOWN(Y135-INDEX(L$4:L147,MATCH(LARGE(FILTER(J$4:J147,J$4:J147&lt;=W135),1),J$4:J147))-(W135-LARGE(FILTER(J$4:J147,J$4:J147&lt;=W135),1))*"&amp;"INDEX(F$4:F147,MATCH(LARGE(FILTER(J$4:J147,J$4:J147&lt;=W135),1),J$4:J147))))"),"")</f>
        <v/>
      </c>
      <c r="O135" s="65" t="str">
        <f t="shared" si="9"/>
        <v/>
      </c>
      <c r="P135" s="15"/>
      <c r="Q135" s="14" t="str">
        <f>IFERROR(__xludf.DUMMYFUNCTION("IF(COUNTA(P135:P147)=0,"""",IFERROR(IF(ISBLANK(P135),FALSE,IF(ISBLANK(T135),1,IF(NOT(COUNTIF($AA$24:$AA$34,SUBSTITUTE(P135,""Sell_"",""""))),1,IF(P135=""Plastic_up"",IF(V135&lt;1000,1),IF(P135=""Super_Up"",IF(OR(COUNTIF(P$4:P135,""Grandma"")-COUNTIF(P$4:P135"&amp;",""Sell_Grandma"")&lt;1,COUNTIF(P$4:P135,VLOOKUP(P135,Upgrades!$F$8:$N$8,7+COUNTIF(P$4:P135,P135)))-COUNTIF(P$4:P135,""Sell_""&amp;VLOOKUP(P135,Upgrades!$F$8:$N$8,7+COUNTIF(P$4:P135,P135)))&lt;15),1),IF(REGEXMATCH(P135,""_up""),IF(COUNTIF(P$4:P135,SUBSTITUTE(P135,"&amp;"""_up"",""""))&lt;IFERROR(VLOOKUP(P135,Upgrades!$L$3:$P$6,1+COUNTIF(P$4:P135,P135),0),999),1),IF(REGEXMATCH(P135,""Sell_""),IF(COUNTIF(P$4:P135,SUBSTITUTE(P135,""Sell_"",""""))-COUNTIF(P$4:P134,P135)&lt;1,1),FALSE)))))))))"),"")</f>
        <v/>
      </c>
      <c r="R135" s="71" t="str">
        <f>IFERROR(__xludf.DUMMYFUNCTION("IF(REGEXMATCH(P135,""^Sell_""),R134, IF(COUNTA(P135:P147)=0,"""",(COUNTIF(P$4:P135,""Cursor"")-COUNTIF(P$4:P135,""Sell_Cursor""))*(0.1*2^SWITCH(COUNTIF(P$4:P135,""Cursor_up""),0,0,1,1,2,2,3)+SWITCH(COUNTIF(P$4:P135,""Cursor_up""),4,0.1,0)*(ROW(P135)-4-COU"&amp;"NTIF(P$4:P135,""Cursor"")-COUNTIF(P$4:P135,""*""&amp;""_up"")-2*COUNTIF(P$4:P135,""Sell_""&amp;""*"")+COUNTIF(P$4:P135,""Sell_Cursor"")-COUNTIF(P$4:P135,"""")))+(COUNTIF(P$4:P135,""Grandma"")-COUNTIF(P$4:P135,""Sell_Grandma""))*(1*2^(COUNTIF(P$4:P135,""Grandma_up"&amp;""")+COUNTIF(P$4:P135,""Super_up"")))+(COUNTIF(P$4:P135,""Farm"")-COUNTIF(P$4:P135,""Sell_Farm""))*(8*2^COUNTIF(P$4:P135,""Farm_up""))*IF(COUNTIF(P$4:P135,""Super_up"")&gt;0,1+0.01*(COUNTIF(P$4:P135,""Grandma"")-COUNTIF(P$4:P135,""Sell_Grandma"")),1)+(COUNTIF"&amp;"(P$4:P135,""Mine"")-COUNTIF(P$4:P135,""Sell_Mine""))*((47*2^COUNTIF(P$4:P135,""Mine_up""))*IF(COUNTIF(P$4:P135,""Super_up"")&gt;1,1+0.005*(COUNTIF(P$4:P135,""Grandma"")-COUNTIF(P$4:P135,""Sell_Grandma"")),1))+(COUNTIF(P$4:P135,""Factory"")-COUNTIF(P$4:P135,"&amp;"""Sell_Factory""))*(260*2^COUNTIF(P$4:P135,""Factory_up""))))"),"")</f>
        <v/>
      </c>
      <c r="S135" s="73" t="str">
        <f>IFERROR(__xludf.DUMMYFUNCTION("IF(COUNTA(P135:P147)=0,"""",IF(REGEXMATCH(INDEX(FILTER(P$4:P135,P$4:P135&lt;&gt;""""),ROWS(FILTER(P$4:P135,P$4:P135&lt;&gt;""""))),""^Sell_""),INDEX(FILTER(S$4:S134,P$4:P134&lt;&gt;""""),ROWS(FILTER(P$4:P134,P$4:P134&lt;&gt;""""))),$AD$5*(2^SWITCH(COUNTIF(P$4:P135,""Cursor_up"")"&amp;",0,0,1,1,2,2,3)+SWITCH(COUNTIF(P$4:P135,""Cursor_up""),4,0.1,0)*(ROW(P135)-4-COUNTIF(P$4:P135,""Cursor"")-COUNTIF(P$4:P135,""*""&amp;""_up"")-2*COUNTIF(P$4:P135,""Sell_""&amp;""*"")+COUNTIF(P$4:P135,""Sell_Cursor"")-COUNTIF(P$4:P135,""""))+0.01*R135*COUNTIF(P$4:P"&amp;"135,""Plastic_up""))+R135))"),"")</f>
        <v/>
      </c>
      <c r="T135" s="14" t="str">
        <f>IFERROR(__xludf.DUMMYFUNCTION("IF(COUNTA(P135:P147)=0,"""",IF(REGEXMATCH(P135,""_up""),VLOOKUP(P135,Upgrades!$F$3:$J$8,1+COUNTIF(P$4:P135,P135),FALSE),IF(P135="""",0,IF(REGEXMATCH(P135,""^Sell_""),-ROUNDDOWN(ROUNDUP(INDEX(Upgrades!$C$3:$C$8,MATCH(SUBSTITUTE(P135,""Sell_"",""""),Upgrade"&amp;"s!$B$3:$B$8,0))*1.15^(COUNTIF(P$4:P134,SUBSTITUTE(P135,""Sell_"",""""))-COUNTIF(P$4:P134,""Sell_""&amp;SUBSTITUTE(P135,""Sell_"",""""))))/4),ROUNDUP(INDEX(Upgrades!$C$3:$C$7,MATCH(P135,Upgrades!$B$3:$B$7,0))*1.15^(COUNTIF(P$4:P134,P135)-COUNTIF(P$4:P134,""Sel"&amp;"l_""&amp;P135)))))))"),"")</f>
        <v/>
      </c>
      <c r="U135" s="14" t="str">
        <f t="shared" si="10"/>
        <v/>
      </c>
      <c r="V135" s="75" t="str">
        <f t="shared" si="11"/>
        <v/>
      </c>
      <c r="W135" s="76" t="str">
        <f t="shared" si="12"/>
        <v/>
      </c>
      <c r="X135" s="71" t="str">
        <f t="shared" si="13"/>
        <v/>
      </c>
      <c r="Y135" s="77" t="str">
        <f t="shared" si="14"/>
        <v/>
      </c>
      <c r="Z135" s="17"/>
      <c r="AA135" s="13"/>
      <c r="AB135" s="15"/>
      <c r="AC135" s="13"/>
      <c r="AD135" s="13"/>
      <c r="AE135" s="13"/>
      <c r="AF135" s="13"/>
      <c r="AG135" s="13"/>
    </row>
    <row r="136">
      <c r="A136" s="12"/>
      <c r="B136" s="65" t="str">
        <f t="shared" si="2"/>
        <v/>
      </c>
      <c r="C136" s="66"/>
      <c r="D136" s="14" t="str">
        <f>IFERROR(__xludf.DUMMYFUNCTION("IF(COUNTA(C136:C147)=0,"""",IFERROR(IF(ISBLANK(C136),FALSE,IF(ISBLANK(G136),1,IF(NOT(COUNTIF($AA$24:$AA$34,SUBSTITUTE(C136,""Sell_"",""""))),1,IF(C136=""Plastic_up"",IF(I136&lt;1000,1),IF(C136=""Super_Up"",IF(OR(COUNTIF(C$4:C136,""Grandma"")-COUNTIF(C$4:C136"&amp;",""Sell_Grandma"")&lt;1,COUNTIF(C$4:C136,VLOOKUP(C136,Upgrades!$F$8:$N$8,7+COUNTIF(C$4:C136,C136)))-COUNTIF(C$4:C136,""Sell_""&amp;VLOOKUP(C136,Upgrades!$F$8:$N$8,7+COUNTIF(C$4:C136,C136)))&lt;15),1),IF(REGEXMATCH(C136,""_up""),IF(COUNTIF(C$4:C136,SUBSTITUTE(C136,"&amp;"""_up"",""""))&lt;IFERROR(VLOOKUP(C136,Upgrades!$L$3:$P$6,1+COUNTIF(C$4:C136,C136),0),999),1),IF(REGEXMATCH(C136,""Sell_""),IF(COUNTIF(C$4:C136,SUBSTITUTE(C136,""Sell_"",""""))-COUNTIF(C$4:C135,C136)&lt;1,1),FALSE)))))))))"),"")</f>
        <v/>
      </c>
      <c r="E136" s="71" t="str">
        <f>IFERROR(__xludf.DUMMYFUNCTION("IF(REGEXMATCH(C136,""^Sell_""),E135, IF(COUNTA(C136:C147)=0,"""",(COUNTIF(C$4:C136,""Cursor"")-COUNTIF(C$4:C136,""Sell_Cursor""))*(0.1*2^SWITCH(COUNTIF(C$4:C136,""Cursor_up""),0,0,1,1,2,2,3)+SWITCH(COUNTIF(C$4:C136,""Cursor_up""),4,0.1,0)*(ROW(C136)-4-COU"&amp;"NTIF(C$4:C136,""Cursor"")-COUNTIF(C$4:C136,""*""&amp;""_up"")-2*COUNTIF(C$4:C136,""Sell_""&amp;""*"")+COUNTIF(C$4:C136,""Sell_Cursor"")-COUNTIF(C$4:C136,"""")))+(COUNTIF(C$4:C136,""Grandma"")-COUNTIF(C$4:C136,""Sell_Grandma""))*(1*2^(COUNTIF(C$4:C136,""Grandma_up"&amp;""")+COUNTIF(C$4:C136,""Super_up"")))+(COUNTIF(C$4:C136,""Farm"")-COUNTIF(C$4:C136,""Sell_Farm""))*(8*2^COUNTIF(C$4:C136,""Farm_up""))*IF(COUNTIF(C$4:C136,""Super_up"")&gt;0,1+0.01*(COUNTIF(C$4:C136,""Grandma"")-COUNTIF(C$4:C136,""Sell_Grandma"")),1)+(COUNTIF"&amp;"(C$4:C136,""Mine"")-COUNTIF(C$4:C136,""Sell_Mine""))*((47*2^COUNTIF(C$4:C136,""Mine_up""))*IF(COUNTIF(C$4:C136,""Super_up"")&gt;1,1+0.005*(COUNTIF(C$4:C136,""Grandma"")-COUNTIF(C$4:C136,""Sell_Grandma"")),1))+(COUNTIF(C$4:C136,""Factory"")-COUNTIF(C$4:C136,"&amp;"""Sell_Factory""))*(260*2^COUNTIF(C$4:C136,""Factory_up""))))"),"")</f>
        <v/>
      </c>
      <c r="F136" s="73" t="str">
        <f>IFERROR(__xludf.DUMMYFUNCTION("IF(COUNTA(C136:C147)=0,"""",IF(REGEXMATCH(INDEX(FILTER(C$4:C136,C$4:C136&lt;&gt;""""),ROWS(FILTER(C$4:C136,C$4:C136&lt;&gt;""""))),""^Sell_""),INDEX(FILTER(F$4:F135,C$4:C135&lt;&gt;""""),ROWS(FILTER(C$4:C135,C$4:C135&lt;&gt;""""))),$AC$5*(2^SWITCH(COUNTIF(C$4:C136,""Cursor_up"")"&amp;",0,0,1,1,2,2,3)+SWITCH(COUNTIF(C$4:C136,""Cursor_up""),4,0.1,0)*(ROW(C136)-4-COUNTIF(C$4:C136,""Cursor"")-COUNTIF(C$4:C136,""*""&amp;""_up"")-2*COUNTIF(C$4:C136,""Sell_""&amp;""*"")+COUNTIF(C$4:C136,""Sell_Cursor"")-COUNTIF(C$4:C136,""""))+0.01*E136*COUNTIF(C$4:C"&amp;"136,""Plastic_up""))+E136))"),"")</f>
        <v/>
      </c>
      <c r="G136" s="14" t="str">
        <f>IFERROR(__xludf.DUMMYFUNCTION("IF(COUNTA(C136:C147)=0,"""",IF(REGEXMATCH(C136,""_up""),VLOOKUP(C136,Upgrades!$F$3:$J$8,1+COUNTIF(C$4:C136,C136),FALSE),IF(C136="""",0,IF(REGEXMATCH(C136,""^Sell_""),-ROUNDDOWN(ROUNDUP(INDEX(Upgrades!$C$3:$C$8,MATCH(SUBSTITUTE(C136,""Sell_"",""""),Upgrade"&amp;"s!$B$3:$B$8,0))*1.15^(COUNTIF(C$4:C135,SUBSTITUTE(C136,""Sell_"",""""))-COUNTIF(C$4:C135,""Sell_""&amp;SUBSTITUTE(C136,""Sell_"",""""))))/4),ROUNDUP(INDEX(Upgrades!$C$3:$C$7,MATCH(C136,Upgrades!$B$3:$B$7,0))*1.15^(COUNTIF(C$4:C135,C136)-COUNTIF(C$4:C135,""Sel"&amp;"l_""&amp;C136)))))))"),"")</f>
        <v/>
      </c>
      <c r="H136" s="14" t="str">
        <f t="shared" si="3"/>
        <v/>
      </c>
      <c r="I136" s="75" t="str">
        <f t="shared" si="4"/>
        <v/>
      </c>
      <c r="J136" s="76" t="str">
        <f t="shared" si="5"/>
        <v/>
      </c>
      <c r="K136" s="71" t="str">
        <f t="shared" si="6"/>
        <v/>
      </c>
      <c r="L136" s="77" t="str">
        <f t="shared" si="7"/>
        <v/>
      </c>
      <c r="M136" s="51" t="str">
        <f t="shared" si="8"/>
        <v/>
      </c>
      <c r="N136" s="52" t="str">
        <f>IFERROR(__xludf.DUMMYFUNCTION("IFS(AND(COUNTA(C136:C147)=0,COUNTA(P136:P147)=0),"""",OR(AND(L136&gt;=1000000,OR(Y136&gt;=1000000,COUNTA(P136:P147)=0)),AND(Y136&gt;=1000000,COUNTA(C136:C147)=0),AND(COUNTA(P136:P147)=0,O$3=TRUE)),
ROUNDDOWN((AB$1-AC$1)*MAX(INDEX(S$4:S147,MATCH(LARGE(FILTER(Y$4:Y1"&amp;"47,Y$4:Y147&lt;1000000),1),Y$4:Y147)),INDEX(F$4:F147,MATCH(LARGE(FILTER(L$4:L147,L$4:L147&lt;1000000),1),L$4:L147)))),AND(L136&lt;1000000,COUNTA(C136:C147)&gt;0,O$3=FALSE),
ROUNDDOWN(INDEX(Y$4:Y147,MATCH(LARGE(FILTER(W$4:W147,W$4:W147&lt;=J136),1),W$4:W147))+(J136-LARGE"&amp;"(FILTER(W$4:W147,W$4:W147&lt;=J136),1))*INDEX(S$4:S147,MATCH(LARGE(FILTER(W$4:W147,W$4:W147&lt;=J136),1),W$4:W147))-L136),1,
ROUNDDOWN(Y136-INDEX(L$4:L147,MATCH(LARGE(FILTER(J$4:J147,J$4:J147&lt;=W136),1),J$4:J147))-(W136-LARGE(FILTER(J$4:J147,J$4:J147&lt;=W136),1))*"&amp;"INDEX(F$4:F147,MATCH(LARGE(FILTER(J$4:J147,J$4:J147&lt;=W136),1),J$4:J147))))"),"")</f>
        <v/>
      </c>
      <c r="O136" s="65" t="str">
        <f t="shared" si="9"/>
        <v/>
      </c>
      <c r="P136" s="15"/>
      <c r="Q136" s="14" t="str">
        <f>IFERROR(__xludf.DUMMYFUNCTION("IF(COUNTA(P136:P147)=0,"""",IFERROR(IF(ISBLANK(P136),FALSE,IF(ISBLANK(T136),1,IF(NOT(COUNTIF($AA$24:$AA$34,SUBSTITUTE(P136,""Sell_"",""""))),1,IF(P136=""Plastic_up"",IF(V136&lt;1000,1),IF(P136=""Super_Up"",IF(OR(COUNTIF(P$4:P136,""Grandma"")-COUNTIF(P$4:P136"&amp;",""Sell_Grandma"")&lt;1,COUNTIF(P$4:P136,VLOOKUP(P136,Upgrades!$F$8:$N$8,7+COUNTIF(P$4:P136,P136)))-COUNTIF(P$4:P136,""Sell_""&amp;VLOOKUP(P136,Upgrades!$F$8:$N$8,7+COUNTIF(P$4:P136,P136)))&lt;15),1),IF(REGEXMATCH(P136,""_up""),IF(COUNTIF(P$4:P136,SUBSTITUTE(P136,"&amp;"""_up"",""""))&lt;IFERROR(VLOOKUP(P136,Upgrades!$L$3:$P$6,1+COUNTIF(P$4:P136,P136),0),999),1),IF(REGEXMATCH(P136,""Sell_""),IF(COUNTIF(P$4:P136,SUBSTITUTE(P136,""Sell_"",""""))-COUNTIF(P$4:P135,P136)&lt;1,1),FALSE)))))))))"),"")</f>
        <v/>
      </c>
      <c r="R136" s="71" t="str">
        <f>IFERROR(__xludf.DUMMYFUNCTION("IF(REGEXMATCH(P136,""^Sell_""),R135, IF(COUNTA(P136:P147)=0,"""",(COUNTIF(P$4:P136,""Cursor"")-COUNTIF(P$4:P136,""Sell_Cursor""))*(0.1*2^SWITCH(COUNTIF(P$4:P136,""Cursor_up""),0,0,1,1,2,2,3)+SWITCH(COUNTIF(P$4:P136,""Cursor_up""),4,0.1,0)*(ROW(P136)-4-COU"&amp;"NTIF(P$4:P136,""Cursor"")-COUNTIF(P$4:P136,""*""&amp;""_up"")-2*COUNTIF(P$4:P136,""Sell_""&amp;""*"")+COUNTIF(P$4:P136,""Sell_Cursor"")-COUNTIF(P$4:P136,"""")))+(COUNTIF(P$4:P136,""Grandma"")-COUNTIF(P$4:P136,""Sell_Grandma""))*(1*2^(COUNTIF(P$4:P136,""Grandma_up"&amp;""")+COUNTIF(P$4:P136,""Super_up"")))+(COUNTIF(P$4:P136,""Farm"")-COUNTIF(P$4:P136,""Sell_Farm""))*(8*2^COUNTIF(P$4:P136,""Farm_up""))*IF(COUNTIF(P$4:P136,""Super_up"")&gt;0,1+0.01*(COUNTIF(P$4:P136,""Grandma"")-COUNTIF(P$4:P136,""Sell_Grandma"")),1)+(COUNTIF"&amp;"(P$4:P136,""Mine"")-COUNTIF(P$4:P136,""Sell_Mine""))*((47*2^COUNTIF(P$4:P136,""Mine_up""))*IF(COUNTIF(P$4:P136,""Super_up"")&gt;1,1+0.005*(COUNTIF(P$4:P136,""Grandma"")-COUNTIF(P$4:P136,""Sell_Grandma"")),1))+(COUNTIF(P$4:P136,""Factory"")-COUNTIF(P$4:P136,"&amp;"""Sell_Factory""))*(260*2^COUNTIF(P$4:P136,""Factory_up""))))"),"")</f>
        <v/>
      </c>
      <c r="S136" s="73" t="str">
        <f>IFERROR(__xludf.DUMMYFUNCTION("IF(COUNTA(P136:P147)=0,"""",IF(REGEXMATCH(INDEX(FILTER(P$4:P136,P$4:P136&lt;&gt;""""),ROWS(FILTER(P$4:P136,P$4:P136&lt;&gt;""""))),""^Sell_""),INDEX(FILTER(S$4:S135,P$4:P135&lt;&gt;""""),ROWS(FILTER(P$4:P135,P$4:P135&lt;&gt;""""))),$AD$5*(2^SWITCH(COUNTIF(P$4:P136,""Cursor_up"")"&amp;",0,0,1,1,2,2,3)+SWITCH(COUNTIF(P$4:P136,""Cursor_up""),4,0.1,0)*(ROW(P136)-4-COUNTIF(P$4:P136,""Cursor"")-COUNTIF(P$4:P136,""*""&amp;""_up"")-2*COUNTIF(P$4:P136,""Sell_""&amp;""*"")+COUNTIF(P$4:P136,""Sell_Cursor"")-COUNTIF(P$4:P136,""""))+0.01*R136*COUNTIF(P$4:P"&amp;"136,""Plastic_up""))+R136))"),"")</f>
        <v/>
      </c>
      <c r="T136" s="14" t="str">
        <f>IFERROR(__xludf.DUMMYFUNCTION("IF(COUNTA(P136:P147)=0,"""",IF(REGEXMATCH(P136,""_up""),VLOOKUP(P136,Upgrades!$F$3:$J$8,1+COUNTIF(P$4:P136,P136),FALSE),IF(P136="""",0,IF(REGEXMATCH(P136,""^Sell_""),-ROUNDDOWN(ROUNDUP(INDEX(Upgrades!$C$3:$C$8,MATCH(SUBSTITUTE(P136,""Sell_"",""""),Upgrade"&amp;"s!$B$3:$B$8,0))*1.15^(COUNTIF(P$4:P135,SUBSTITUTE(P136,""Sell_"",""""))-COUNTIF(P$4:P135,""Sell_""&amp;SUBSTITUTE(P136,""Sell_"",""""))))/4),ROUNDUP(INDEX(Upgrades!$C$3:$C$7,MATCH(P136,Upgrades!$B$3:$B$7,0))*1.15^(COUNTIF(P$4:P135,P136)-COUNTIF(P$4:P135,""Sel"&amp;"l_""&amp;P136)))))))"),"")</f>
        <v/>
      </c>
      <c r="U136" s="14" t="str">
        <f t="shared" si="10"/>
        <v/>
      </c>
      <c r="V136" s="75" t="str">
        <f t="shared" si="11"/>
        <v/>
      </c>
      <c r="W136" s="76" t="str">
        <f t="shared" si="12"/>
        <v/>
      </c>
      <c r="X136" s="71" t="str">
        <f t="shared" si="13"/>
        <v/>
      </c>
      <c r="Y136" s="77" t="str">
        <f t="shared" si="14"/>
        <v/>
      </c>
      <c r="Z136" s="17"/>
      <c r="AA136" s="13"/>
      <c r="AB136" s="13"/>
      <c r="AC136" s="13"/>
      <c r="AD136" s="13"/>
      <c r="AE136" s="13"/>
      <c r="AF136" s="13"/>
      <c r="AG136" s="13"/>
    </row>
    <row r="137">
      <c r="A137" s="12"/>
      <c r="B137" s="65" t="str">
        <f t="shared" si="2"/>
        <v/>
      </c>
      <c r="C137" s="66"/>
      <c r="D137" s="14" t="str">
        <f>IFERROR(__xludf.DUMMYFUNCTION("IF(COUNTA(C137:C147)=0,"""",IFERROR(IF(ISBLANK(C137),FALSE,IF(ISBLANK(G137),1,IF(NOT(COUNTIF($AA$24:$AA$34,SUBSTITUTE(C137,""Sell_"",""""))),1,IF(C137=""Plastic_up"",IF(I137&lt;1000,1),IF(C137=""Super_Up"",IF(OR(COUNTIF(C$4:C137,""Grandma"")-COUNTIF(C$4:C137"&amp;",""Sell_Grandma"")&lt;1,COUNTIF(C$4:C137,VLOOKUP(C137,Upgrades!$F$8:$N$8,7+COUNTIF(C$4:C137,C137)))-COUNTIF(C$4:C137,""Sell_""&amp;VLOOKUP(C137,Upgrades!$F$8:$N$8,7+COUNTIF(C$4:C137,C137)))&lt;15),1),IF(REGEXMATCH(C137,""_up""),IF(COUNTIF(C$4:C137,SUBSTITUTE(C137,"&amp;"""_up"",""""))&lt;IFERROR(VLOOKUP(C137,Upgrades!$L$3:$P$6,1+COUNTIF(C$4:C137,C137),0),999),1),IF(REGEXMATCH(C137,""Sell_""),IF(COUNTIF(C$4:C137,SUBSTITUTE(C137,""Sell_"",""""))-COUNTIF(C$4:C136,C137)&lt;1,1),FALSE)))))))))"),"")</f>
        <v/>
      </c>
      <c r="E137" s="71" t="str">
        <f>IFERROR(__xludf.DUMMYFUNCTION("IF(REGEXMATCH(C137,""^Sell_""),E136, IF(COUNTA(C137:C147)=0,"""",(COUNTIF(C$4:C137,""Cursor"")-COUNTIF(C$4:C137,""Sell_Cursor""))*(0.1*2^SWITCH(COUNTIF(C$4:C137,""Cursor_up""),0,0,1,1,2,2,3)+SWITCH(COUNTIF(C$4:C137,""Cursor_up""),4,0.1,0)*(ROW(C137)-4-COU"&amp;"NTIF(C$4:C137,""Cursor"")-COUNTIF(C$4:C137,""*""&amp;""_up"")-2*COUNTIF(C$4:C137,""Sell_""&amp;""*"")+COUNTIF(C$4:C137,""Sell_Cursor"")-COUNTIF(C$4:C137,"""")))+(COUNTIF(C$4:C137,""Grandma"")-COUNTIF(C$4:C137,""Sell_Grandma""))*(1*2^(COUNTIF(C$4:C137,""Grandma_up"&amp;""")+COUNTIF(C$4:C137,""Super_up"")))+(COUNTIF(C$4:C137,""Farm"")-COUNTIF(C$4:C137,""Sell_Farm""))*(8*2^COUNTIF(C$4:C137,""Farm_up""))*IF(COUNTIF(C$4:C137,""Super_up"")&gt;0,1+0.01*(COUNTIF(C$4:C137,""Grandma"")-COUNTIF(C$4:C137,""Sell_Grandma"")),1)+(COUNTIF"&amp;"(C$4:C137,""Mine"")-COUNTIF(C$4:C137,""Sell_Mine""))*((47*2^COUNTIF(C$4:C137,""Mine_up""))*IF(COUNTIF(C$4:C137,""Super_up"")&gt;1,1+0.005*(COUNTIF(C$4:C137,""Grandma"")-COUNTIF(C$4:C137,""Sell_Grandma"")),1))+(COUNTIF(C$4:C137,""Factory"")-COUNTIF(C$4:C137,"&amp;"""Sell_Factory""))*(260*2^COUNTIF(C$4:C137,""Factory_up""))))"),"")</f>
        <v/>
      </c>
      <c r="F137" s="73" t="str">
        <f>IFERROR(__xludf.DUMMYFUNCTION("IF(COUNTA(C137:C147)=0,"""",IF(REGEXMATCH(INDEX(FILTER(C$4:C137,C$4:C137&lt;&gt;""""),ROWS(FILTER(C$4:C137,C$4:C137&lt;&gt;""""))),""^Sell_""),INDEX(FILTER(F$4:F136,C$4:C136&lt;&gt;""""),ROWS(FILTER(C$4:C136,C$4:C136&lt;&gt;""""))),$AC$5*(2^SWITCH(COUNTIF(C$4:C137,""Cursor_up"")"&amp;",0,0,1,1,2,2,3)+SWITCH(COUNTIF(C$4:C137,""Cursor_up""),4,0.1,0)*(ROW(C137)-4-COUNTIF(C$4:C137,""Cursor"")-COUNTIF(C$4:C137,""*""&amp;""_up"")-2*COUNTIF(C$4:C137,""Sell_""&amp;""*"")+COUNTIF(C$4:C137,""Sell_Cursor"")-COUNTIF(C$4:C137,""""))+0.01*E137*COUNTIF(C$4:C"&amp;"137,""Plastic_up""))+E137))"),"")</f>
        <v/>
      </c>
      <c r="G137" s="14" t="str">
        <f>IFERROR(__xludf.DUMMYFUNCTION("IF(COUNTA(C137:C147)=0,"""",IF(REGEXMATCH(C137,""_up""),VLOOKUP(C137,Upgrades!$F$3:$J$8,1+COUNTIF(C$4:C137,C137),FALSE),IF(C137="""",0,IF(REGEXMATCH(C137,""^Sell_""),-ROUNDDOWN(ROUNDUP(INDEX(Upgrades!$C$3:$C$8,MATCH(SUBSTITUTE(C137,""Sell_"",""""),Upgrade"&amp;"s!$B$3:$B$8,0))*1.15^(COUNTIF(C$4:C136,SUBSTITUTE(C137,""Sell_"",""""))-COUNTIF(C$4:C136,""Sell_""&amp;SUBSTITUTE(C137,""Sell_"",""""))))/4),ROUNDUP(INDEX(Upgrades!$C$3:$C$7,MATCH(C137,Upgrades!$B$3:$B$7,0))*1.15^(COUNTIF(C$4:C136,C137)-COUNTIF(C$4:C136,""Sel"&amp;"l_""&amp;C137)))))))"),"")</f>
        <v/>
      </c>
      <c r="H137" s="14" t="str">
        <f t="shared" si="3"/>
        <v/>
      </c>
      <c r="I137" s="75" t="str">
        <f t="shared" si="4"/>
        <v/>
      </c>
      <c r="J137" s="76" t="str">
        <f t="shared" si="5"/>
        <v/>
      </c>
      <c r="K137" s="71" t="str">
        <f t="shared" si="6"/>
        <v/>
      </c>
      <c r="L137" s="77" t="str">
        <f t="shared" si="7"/>
        <v/>
      </c>
      <c r="M137" s="51" t="str">
        <f t="shared" si="8"/>
        <v/>
      </c>
      <c r="N137" s="52" t="str">
        <f>IFERROR(__xludf.DUMMYFUNCTION("IFS(AND(COUNTA(C137:C147)=0,COUNTA(P137:P147)=0),"""",OR(AND(L137&gt;=1000000,OR(Y137&gt;=1000000,COUNTA(P137:P147)=0)),AND(Y137&gt;=1000000,COUNTA(C137:C147)=0),AND(COUNTA(P137:P147)=0,O$3=TRUE)),
ROUNDDOWN((AB$1-AC$1)*MAX(INDEX(S$4:S147,MATCH(LARGE(FILTER(Y$4:Y1"&amp;"47,Y$4:Y147&lt;1000000),1),Y$4:Y147)),INDEX(F$4:F147,MATCH(LARGE(FILTER(L$4:L147,L$4:L147&lt;1000000),1),L$4:L147)))),AND(L137&lt;1000000,COUNTA(C137:C147)&gt;0,O$3=FALSE),
ROUNDDOWN(INDEX(Y$4:Y147,MATCH(LARGE(FILTER(W$4:W147,W$4:W147&lt;=J137),1),W$4:W147))+(J137-LARGE"&amp;"(FILTER(W$4:W147,W$4:W147&lt;=J137),1))*INDEX(S$4:S147,MATCH(LARGE(FILTER(W$4:W147,W$4:W147&lt;=J137),1),W$4:W147))-L137),1,
ROUNDDOWN(Y137-INDEX(L$4:L147,MATCH(LARGE(FILTER(J$4:J147,J$4:J147&lt;=W137),1),J$4:J147))-(W137-LARGE(FILTER(J$4:J147,J$4:J147&lt;=W137),1))*"&amp;"INDEX(F$4:F147,MATCH(LARGE(FILTER(J$4:J147,J$4:J147&lt;=W137),1),J$4:J147))))"),"")</f>
        <v/>
      </c>
      <c r="O137" s="65" t="str">
        <f t="shared" si="9"/>
        <v/>
      </c>
      <c r="P137" s="15"/>
      <c r="Q137" s="14" t="str">
        <f>IFERROR(__xludf.DUMMYFUNCTION("IF(COUNTA(P137:P147)=0,"""",IFERROR(IF(ISBLANK(P137),FALSE,IF(ISBLANK(T137),1,IF(NOT(COUNTIF($AA$24:$AA$34,SUBSTITUTE(P137,""Sell_"",""""))),1,IF(P137=""Plastic_up"",IF(V137&lt;1000,1),IF(P137=""Super_Up"",IF(OR(COUNTIF(P$4:P137,""Grandma"")-COUNTIF(P$4:P137"&amp;",""Sell_Grandma"")&lt;1,COUNTIF(P$4:P137,VLOOKUP(P137,Upgrades!$F$8:$N$8,7+COUNTIF(P$4:P137,P137)))-COUNTIF(P$4:P137,""Sell_""&amp;VLOOKUP(P137,Upgrades!$F$8:$N$8,7+COUNTIF(P$4:P137,P137)))&lt;15),1),IF(REGEXMATCH(P137,""_up""),IF(COUNTIF(P$4:P137,SUBSTITUTE(P137,"&amp;"""_up"",""""))&lt;IFERROR(VLOOKUP(P137,Upgrades!$L$3:$P$6,1+COUNTIF(P$4:P137,P137),0),999),1),IF(REGEXMATCH(P137,""Sell_""),IF(COUNTIF(P$4:P137,SUBSTITUTE(P137,""Sell_"",""""))-COUNTIF(P$4:P136,P137)&lt;1,1),FALSE)))))))))"),"")</f>
        <v/>
      </c>
      <c r="R137" s="71" t="str">
        <f>IFERROR(__xludf.DUMMYFUNCTION("IF(REGEXMATCH(P137,""^Sell_""),R136, IF(COUNTA(P137:P147)=0,"""",(COUNTIF(P$4:P137,""Cursor"")-COUNTIF(P$4:P137,""Sell_Cursor""))*(0.1*2^SWITCH(COUNTIF(P$4:P137,""Cursor_up""),0,0,1,1,2,2,3)+SWITCH(COUNTIF(P$4:P137,""Cursor_up""),4,0.1,0)*(ROW(P137)-4-COU"&amp;"NTIF(P$4:P137,""Cursor"")-COUNTIF(P$4:P137,""*""&amp;""_up"")-2*COUNTIF(P$4:P137,""Sell_""&amp;""*"")+COUNTIF(P$4:P137,""Sell_Cursor"")-COUNTIF(P$4:P137,"""")))+(COUNTIF(P$4:P137,""Grandma"")-COUNTIF(P$4:P137,""Sell_Grandma""))*(1*2^(COUNTIF(P$4:P137,""Grandma_up"&amp;""")+COUNTIF(P$4:P137,""Super_up"")))+(COUNTIF(P$4:P137,""Farm"")-COUNTIF(P$4:P137,""Sell_Farm""))*(8*2^COUNTIF(P$4:P137,""Farm_up""))*IF(COUNTIF(P$4:P137,""Super_up"")&gt;0,1+0.01*(COUNTIF(P$4:P137,""Grandma"")-COUNTIF(P$4:P137,""Sell_Grandma"")),1)+(COUNTIF"&amp;"(P$4:P137,""Mine"")-COUNTIF(P$4:P137,""Sell_Mine""))*((47*2^COUNTIF(P$4:P137,""Mine_up""))*IF(COUNTIF(P$4:P137,""Super_up"")&gt;1,1+0.005*(COUNTIF(P$4:P137,""Grandma"")-COUNTIF(P$4:P137,""Sell_Grandma"")),1))+(COUNTIF(P$4:P137,""Factory"")-COUNTIF(P$4:P137,"&amp;"""Sell_Factory""))*(260*2^COUNTIF(P$4:P137,""Factory_up""))))"),"")</f>
        <v/>
      </c>
      <c r="S137" s="73" t="str">
        <f>IFERROR(__xludf.DUMMYFUNCTION("IF(COUNTA(P137:P147)=0,"""",IF(REGEXMATCH(INDEX(FILTER(P$4:P137,P$4:P137&lt;&gt;""""),ROWS(FILTER(P$4:P137,P$4:P137&lt;&gt;""""))),""^Sell_""),INDEX(FILTER(S$4:S136,P$4:P136&lt;&gt;""""),ROWS(FILTER(P$4:P136,P$4:P136&lt;&gt;""""))),$AD$5*(2^SWITCH(COUNTIF(P$4:P137,""Cursor_up"")"&amp;",0,0,1,1,2,2,3)+SWITCH(COUNTIF(P$4:P137,""Cursor_up""),4,0.1,0)*(ROW(P137)-4-COUNTIF(P$4:P137,""Cursor"")-COUNTIF(P$4:P137,""*""&amp;""_up"")-2*COUNTIF(P$4:P137,""Sell_""&amp;""*"")+COUNTIF(P$4:P137,""Sell_Cursor"")-COUNTIF(P$4:P137,""""))+0.01*R137*COUNTIF(P$4:P"&amp;"137,""Plastic_up""))+R137))"),"")</f>
        <v/>
      </c>
      <c r="T137" s="14" t="str">
        <f>IFERROR(__xludf.DUMMYFUNCTION("IF(COUNTA(P137:P147)=0,"""",IF(REGEXMATCH(P137,""_up""),VLOOKUP(P137,Upgrades!$F$3:$J$8,1+COUNTIF(P$4:P137,P137),FALSE),IF(P137="""",0,IF(REGEXMATCH(P137,""^Sell_""),-ROUNDDOWN(ROUNDUP(INDEX(Upgrades!$C$3:$C$8,MATCH(SUBSTITUTE(P137,""Sell_"",""""),Upgrade"&amp;"s!$B$3:$B$8,0))*1.15^(COUNTIF(P$4:P136,SUBSTITUTE(P137,""Sell_"",""""))-COUNTIF(P$4:P136,""Sell_""&amp;SUBSTITUTE(P137,""Sell_"",""""))))/4),ROUNDUP(INDEX(Upgrades!$C$3:$C$7,MATCH(P137,Upgrades!$B$3:$B$7,0))*1.15^(COUNTIF(P$4:P136,P137)-COUNTIF(P$4:P136,""Sel"&amp;"l_""&amp;P137)))))))"),"")</f>
        <v/>
      </c>
      <c r="U137" s="14" t="str">
        <f t="shared" si="10"/>
        <v/>
      </c>
      <c r="V137" s="75" t="str">
        <f t="shared" si="11"/>
        <v/>
      </c>
      <c r="W137" s="76" t="str">
        <f t="shared" si="12"/>
        <v/>
      </c>
      <c r="X137" s="71" t="str">
        <f t="shared" si="13"/>
        <v/>
      </c>
      <c r="Y137" s="77" t="str">
        <f t="shared" si="14"/>
        <v/>
      </c>
      <c r="Z137" s="17"/>
      <c r="AA137" s="13"/>
      <c r="AB137" s="13"/>
      <c r="AC137" s="13"/>
      <c r="AD137" s="13"/>
      <c r="AE137" s="13"/>
      <c r="AF137" s="13"/>
      <c r="AG137" s="13"/>
    </row>
    <row r="138">
      <c r="A138" s="12"/>
      <c r="B138" s="65" t="str">
        <f t="shared" si="2"/>
        <v/>
      </c>
      <c r="C138" s="66"/>
      <c r="D138" s="14" t="str">
        <f>IFERROR(__xludf.DUMMYFUNCTION("IF(COUNTA(C138:C147)=0,"""",IFERROR(IF(ISBLANK(C138),FALSE,IF(ISBLANK(G138),1,IF(NOT(COUNTIF($AA$24:$AA$34,SUBSTITUTE(C138,""Sell_"",""""))),1,IF(C138=""Plastic_up"",IF(I138&lt;1000,1),IF(C138=""Super_Up"",IF(OR(COUNTIF(C$4:C138,""Grandma"")-COUNTIF(C$4:C138"&amp;",""Sell_Grandma"")&lt;1,COUNTIF(C$4:C138,VLOOKUP(C138,Upgrades!$F$8:$N$8,7+COUNTIF(C$4:C138,C138)))-COUNTIF(C$4:C138,""Sell_""&amp;VLOOKUP(C138,Upgrades!$F$8:$N$8,7+COUNTIF(C$4:C138,C138)))&lt;15),1),IF(REGEXMATCH(C138,""_up""),IF(COUNTIF(C$4:C138,SUBSTITUTE(C138,"&amp;"""_up"",""""))&lt;IFERROR(VLOOKUP(C138,Upgrades!$L$3:$P$6,1+COUNTIF(C$4:C138,C138),0),999),1),IF(REGEXMATCH(C138,""Sell_""),IF(COUNTIF(C$4:C138,SUBSTITUTE(C138,""Sell_"",""""))-COUNTIF(C$4:C137,C138)&lt;1,1),FALSE)))))))))"),"")</f>
        <v/>
      </c>
      <c r="E138" s="71" t="str">
        <f>IFERROR(__xludf.DUMMYFUNCTION("IF(REGEXMATCH(C138,""^Sell_""),E137, IF(COUNTA(C138:C147)=0,"""",(COUNTIF(C$4:C138,""Cursor"")-COUNTIF(C$4:C138,""Sell_Cursor""))*(0.1*2^SWITCH(COUNTIF(C$4:C138,""Cursor_up""),0,0,1,1,2,2,3)+SWITCH(COUNTIF(C$4:C138,""Cursor_up""),4,0.1,0)*(ROW(C138)-4-COU"&amp;"NTIF(C$4:C138,""Cursor"")-COUNTIF(C$4:C138,""*""&amp;""_up"")-2*COUNTIF(C$4:C138,""Sell_""&amp;""*"")+COUNTIF(C$4:C138,""Sell_Cursor"")-COUNTIF(C$4:C138,"""")))+(COUNTIF(C$4:C138,""Grandma"")-COUNTIF(C$4:C138,""Sell_Grandma""))*(1*2^(COUNTIF(C$4:C138,""Grandma_up"&amp;""")+COUNTIF(C$4:C138,""Super_up"")))+(COUNTIF(C$4:C138,""Farm"")-COUNTIF(C$4:C138,""Sell_Farm""))*(8*2^COUNTIF(C$4:C138,""Farm_up""))*IF(COUNTIF(C$4:C138,""Super_up"")&gt;0,1+0.01*(COUNTIF(C$4:C138,""Grandma"")-COUNTIF(C$4:C138,""Sell_Grandma"")),1)+(COUNTIF"&amp;"(C$4:C138,""Mine"")-COUNTIF(C$4:C138,""Sell_Mine""))*((47*2^COUNTIF(C$4:C138,""Mine_up""))*IF(COUNTIF(C$4:C138,""Super_up"")&gt;1,1+0.005*(COUNTIF(C$4:C138,""Grandma"")-COUNTIF(C$4:C138,""Sell_Grandma"")),1))+(COUNTIF(C$4:C138,""Factory"")-COUNTIF(C$4:C138,"&amp;"""Sell_Factory""))*(260*2^COUNTIF(C$4:C138,""Factory_up""))))"),"")</f>
        <v/>
      </c>
      <c r="F138" s="73" t="str">
        <f>IFERROR(__xludf.DUMMYFUNCTION("IF(COUNTA(C138:C147)=0,"""",IF(REGEXMATCH(INDEX(FILTER(C$4:C138,C$4:C138&lt;&gt;""""),ROWS(FILTER(C$4:C138,C$4:C138&lt;&gt;""""))),""^Sell_""),INDEX(FILTER(F$4:F137,C$4:C137&lt;&gt;""""),ROWS(FILTER(C$4:C137,C$4:C137&lt;&gt;""""))),$AC$5*(2^SWITCH(COUNTIF(C$4:C138,""Cursor_up"")"&amp;",0,0,1,1,2,2,3)+SWITCH(COUNTIF(C$4:C138,""Cursor_up""),4,0.1,0)*(ROW(C138)-4-COUNTIF(C$4:C138,""Cursor"")-COUNTIF(C$4:C138,""*""&amp;""_up"")-2*COUNTIF(C$4:C138,""Sell_""&amp;""*"")+COUNTIF(C$4:C138,""Sell_Cursor"")-COUNTIF(C$4:C138,""""))+0.01*E138*COUNTIF(C$4:C"&amp;"138,""Plastic_up""))+E138))"),"")</f>
        <v/>
      </c>
      <c r="G138" s="14" t="str">
        <f>IFERROR(__xludf.DUMMYFUNCTION("IF(COUNTA(C138:C147)=0,"""",IF(REGEXMATCH(C138,""_up""),VLOOKUP(C138,Upgrades!$F$3:$J$8,1+COUNTIF(C$4:C138,C138),FALSE),IF(C138="""",0,IF(REGEXMATCH(C138,""^Sell_""),-ROUNDDOWN(ROUNDUP(INDEX(Upgrades!$C$3:$C$8,MATCH(SUBSTITUTE(C138,""Sell_"",""""),Upgrade"&amp;"s!$B$3:$B$8,0))*1.15^(COUNTIF(C$4:C137,SUBSTITUTE(C138,""Sell_"",""""))-COUNTIF(C$4:C137,""Sell_""&amp;SUBSTITUTE(C138,""Sell_"",""""))))/4),ROUNDUP(INDEX(Upgrades!$C$3:$C$7,MATCH(C138,Upgrades!$B$3:$B$7,0))*1.15^(COUNTIF(C$4:C137,C138)-COUNTIF(C$4:C137,""Sel"&amp;"l_""&amp;C138)))))))"),"")</f>
        <v/>
      </c>
      <c r="H138" s="14" t="str">
        <f t="shared" si="3"/>
        <v/>
      </c>
      <c r="I138" s="75" t="str">
        <f t="shared" si="4"/>
        <v/>
      </c>
      <c r="J138" s="76" t="str">
        <f t="shared" si="5"/>
        <v/>
      </c>
      <c r="K138" s="71" t="str">
        <f t="shared" si="6"/>
        <v/>
      </c>
      <c r="L138" s="77" t="str">
        <f t="shared" si="7"/>
        <v/>
      </c>
      <c r="M138" s="51" t="str">
        <f t="shared" si="8"/>
        <v/>
      </c>
      <c r="N138" s="52" t="str">
        <f>IFERROR(__xludf.DUMMYFUNCTION("IFS(AND(COUNTA(C138:C147)=0,COUNTA(P138:P147)=0),"""",OR(AND(L138&gt;=1000000,OR(Y138&gt;=1000000,COUNTA(P138:P147)=0)),AND(Y138&gt;=1000000,COUNTA(C138:C147)=0),AND(COUNTA(P138:P147)=0,O$3=TRUE)),
ROUNDDOWN((AB$1-AC$1)*MAX(INDEX(S$4:S147,MATCH(LARGE(FILTER(Y$4:Y1"&amp;"47,Y$4:Y147&lt;1000000),1),Y$4:Y147)),INDEX(F$4:F147,MATCH(LARGE(FILTER(L$4:L147,L$4:L147&lt;1000000),1),L$4:L147)))),AND(L138&lt;1000000,COUNTA(C138:C147)&gt;0,O$3=FALSE),
ROUNDDOWN(INDEX(Y$4:Y147,MATCH(LARGE(FILTER(W$4:W147,W$4:W147&lt;=J138),1),W$4:W147))+(J138-LARGE"&amp;"(FILTER(W$4:W147,W$4:W147&lt;=J138),1))*INDEX(S$4:S147,MATCH(LARGE(FILTER(W$4:W147,W$4:W147&lt;=J138),1),W$4:W147))-L138),1,
ROUNDDOWN(Y138-INDEX(L$4:L147,MATCH(LARGE(FILTER(J$4:J147,J$4:J147&lt;=W138),1),J$4:J147))-(W138-LARGE(FILTER(J$4:J147,J$4:J147&lt;=W138),1))*"&amp;"INDEX(F$4:F147,MATCH(LARGE(FILTER(J$4:J147,J$4:J147&lt;=W138),1),J$4:J147))))"),"")</f>
        <v/>
      </c>
      <c r="O138" s="65" t="str">
        <f t="shared" si="9"/>
        <v/>
      </c>
      <c r="P138" s="15"/>
      <c r="Q138" s="14" t="str">
        <f>IFERROR(__xludf.DUMMYFUNCTION("IF(COUNTA(P138:P147)=0,"""",IFERROR(IF(ISBLANK(P138),FALSE,IF(ISBLANK(T138),1,IF(NOT(COUNTIF($AA$24:$AA$34,SUBSTITUTE(P138,""Sell_"",""""))),1,IF(P138=""Plastic_up"",IF(V138&lt;1000,1),IF(P138=""Super_Up"",IF(OR(COUNTIF(P$4:P138,""Grandma"")-COUNTIF(P$4:P138"&amp;",""Sell_Grandma"")&lt;1,COUNTIF(P$4:P138,VLOOKUP(P138,Upgrades!$F$8:$N$8,7+COUNTIF(P$4:P138,P138)))-COUNTIF(P$4:P138,""Sell_""&amp;VLOOKUP(P138,Upgrades!$F$8:$N$8,7+COUNTIF(P$4:P138,P138)))&lt;15),1),IF(REGEXMATCH(P138,""_up""),IF(COUNTIF(P$4:P138,SUBSTITUTE(P138,"&amp;"""_up"",""""))&lt;IFERROR(VLOOKUP(P138,Upgrades!$L$3:$P$6,1+COUNTIF(P$4:P138,P138),0),999),1),IF(REGEXMATCH(P138,""Sell_""),IF(COUNTIF(P$4:P138,SUBSTITUTE(P138,""Sell_"",""""))-COUNTIF(P$4:P137,P138)&lt;1,1),FALSE)))))))))"),"")</f>
        <v/>
      </c>
      <c r="R138" s="71" t="str">
        <f>IFERROR(__xludf.DUMMYFUNCTION("IF(REGEXMATCH(P138,""^Sell_""),R137, IF(COUNTA(P138:P147)=0,"""",(COUNTIF(P$4:P138,""Cursor"")-COUNTIF(P$4:P138,""Sell_Cursor""))*(0.1*2^SWITCH(COUNTIF(P$4:P138,""Cursor_up""),0,0,1,1,2,2,3)+SWITCH(COUNTIF(P$4:P138,""Cursor_up""),4,0.1,0)*(ROW(P138)-4-COU"&amp;"NTIF(P$4:P138,""Cursor"")-COUNTIF(P$4:P138,""*""&amp;""_up"")-2*COUNTIF(P$4:P138,""Sell_""&amp;""*"")+COUNTIF(P$4:P138,""Sell_Cursor"")-COUNTIF(P$4:P138,"""")))+(COUNTIF(P$4:P138,""Grandma"")-COUNTIF(P$4:P138,""Sell_Grandma""))*(1*2^(COUNTIF(P$4:P138,""Grandma_up"&amp;""")+COUNTIF(P$4:P138,""Super_up"")))+(COUNTIF(P$4:P138,""Farm"")-COUNTIF(P$4:P138,""Sell_Farm""))*(8*2^COUNTIF(P$4:P138,""Farm_up""))*IF(COUNTIF(P$4:P138,""Super_up"")&gt;0,1+0.01*(COUNTIF(P$4:P138,""Grandma"")-COUNTIF(P$4:P138,""Sell_Grandma"")),1)+(COUNTIF"&amp;"(P$4:P138,""Mine"")-COUNTIF(P$4:P138,""Sell_Mine""))*((47*2^COUNTIF(P$4:P138,""Mine_up""))*IF(COUNTIF(P$4:P138,""Super_up"")&gt;1,1+0.005*(COUNTIF(P$4:P138,""Grandma"")-COUNTIF(P$4:P138,""Sell_Grandma"")),1))+(COUNTIF(P$4:P138,""Factory"")-COUNTIF(P$4:P138,"&amp;"""Sell_Factory""))*(260*2^COUNTIF(P$4:P138,""Factory_up""))))"),"")</f>
        <v/>
      </c>
      <c r="S138" s="73" t="str">
        <f>IFERROR(__xludf.DUMMYFUNCTION("IF(COUNTA(P138:P147)=0,"""",IF(REGEXMATCH(INDEX(FILTER(P$4:P138,P$4:P138&lt;&gt;""""),ROWS(FILTER(P$4:P138,P$4:P138&lt;&gt;""""))),""^Sell_""),INDEX(FILTER(S$4:S137,P$4:P137&lt;&gt;""""),ROWS(FILTER(P$4:P137,P$4:P137&lt;&gt;""""))),$AD$5*(2^SWITCH(COUNTIF(P$4:P138,""Cursor_up"")"&amp;",0,0,1,1,2,2,3)+SWITCH(COUNTIF(P$4:P138,""Cursor_up""),4,0.1,0)*(ROW(P138)-4-COUNTIF(P$4:P138,""Cursor"")-COUNTIF(P$4:P138,""*""&amp;""_up"")-2*COUNTIF(P$4:P138,""Sell_""&amp;""*"")+COUNTIF(P$4:P138,""Sell_Cursor"")-COUNTIF(P$4:P138,""""))+0.01*R138*COUNTIF(P$4:P"&amp;"138,""Plastic_up""))+R138))"),"")</f>
        <v/>
      </c>
      <c r="T138" s="14" t="str">
        <f>IFERROR(__xludf.DUMMYFUNCTION("IF(COUNTA(P138:P147)=0,"""",IF(REGEXMATCH(P138,""_up""),VLOOKUP(P138,Upgrades!$F$3:$J$8,1+COUNTIF(P$4:P138,P138),FALSE),IF(P138="""",0,IF(REGEXMATCH(P138,""^Sell_""),-ROUNDDOWN(ROUNDUP(INDEX(Upgrades!$C$3:$C$8,MATCH(SUBSTITUTE(P138,""Sell_"",""""),Upgrade"&amp;"s!$B$3:$B$8,0))*1.15^(COUNTIF(P$4:P137,SUBSTITUTE(P138,""Sell_"",""""))-COUNTIF(P$4:P137,""Sell_""&amp;SUBSTITUTE(P138,""Sell_"",""""))))/4),ROUNDUP(INDEX(Upgrades!$C$3:$C$7,MATCH(P138,Upgrades!$B$3:$B$7,0))*1.15^(COUNTIF(P$4:P137,P138)-COUNTIF(P$4:P137,""Sel"&amp;"l_""&amp;P138)))))))"),"")</f>
        <v/>
      </c>
      <c r="U138" s="14" t="str">
        <f t="shared" si="10"/>
        <v/>
      </c>
      <c r="V138" s="75" t="str">
        <f t="shared" si="11"/>
        <v/>
      </c>
      <c r="W138" s="76" t="str">
        <f t="shared" si="12"/>
        <v/>
      </c>
      <c r="X138" s="71" t="str">
        <f t="shared" si="13"/>
        <v/>
      </c>
      <c r="Y138" s="77" t="str">
        <f t="shared" si="14"/>
        <v/>
      </c>
      <c r="Z138" s="17"/>
      <c r="AA138" s="13"/>
      <c r="AB138" s="13"/>
      <c r="AC138" s="13"/>
      <c r="AD138" s="13"/>
      <c r="AE138" s="13"/>
      <c r="AF138" s="13"/>
      <c r="AG138" s="13"/>
    </row>
    <row r="139">
      <c r="A139" s="12"/>
      <c r="B139" s="65" t="str">
        <f t="shared" si="2"/>
        <v/>
      </c>
      <c r="C139" s="66"/>
      <c r="D139" s="14" t="str">
        <f>IFERROR(__xludf.DUMMYFUNCTION("IF(COUNTA(C139:C147)=0,"""",IFERROR(IF(ISBLANK(C139),FALSE,IF(ISBLANK(G139),1,IF(NOT(COUNTIF($AA$24:$AA$34,SUBSTITUTE(C139,""Sell_"",""""))),1,IF(C139=""Plastic_up"",IF(I139&lt;1000,1),IF(C139=""Super_Up"",IF(OR(COUNTIF(C$4:C139,""Grandma"")-COUNTIF(C$4:C139"&amp;",""Sell_Grandma"")&lt;1,COUNTIF(C$4:C139,VLOOKUP(C139,Upgrades!$F$8:$N$8,7+COUNTIF(C$4:C139,C139)))-COUNTIF(C$4:C139,""Sell_""&amp;VLOOKUP(C139,Upgrades!$F$8:$N$8,7+COUNTIF(C$4:C139,C139)))&lt;15),1),IF(REGEXMATCH(C139,""_up""),IF(COUNTIF(C$4:C139,SUBSTITUTE(C139,"&amp;"""_up"",""""))&lt;IFERROR(VLOOKUP(C139,Upgrades!$L$3:$P$6,1+COUNTIF(C$4:C139,C139),0),999),1),IF(REGEXMATCH(C139,""Sell_""),IF(COUNTIF(C$4:C139,SUBSTITUTE(C139,""Sell_"",""""))-COUNTIF(C$4:C138,C139)&lt;1,1),FALSE)))))))))"),"")</f>
        <v/>
      </c>
      <c r="E139" s="71" t="str">
        <f>IFERROR(__xludf.DUMMYFUNCTION("IF(REGEXMATCH(C139,""^Sell_""),E138, IF(COUNTA(C139:C147)=0,"""",(COUNTIF(C$4:C139,""Cursor"")-COUNTIF(C$4:C139,""Sell_Cursor""))*(0.1*2^SWITCH(COUNTIF(C$4:C139,""Cursor_up""),0,0,1,1,2,2,3)+SWITCH(COUNTIF(C$4:C139,""Cursor_up""),4,0.1,0)*(ROW(C139)-4-COU"&amp;"NTIF(C$4:C139,""Cursor"")-COUNTIF(C$4:C139,""*""&amp;""_up"")-2*COUNTIF(C$4:C139,""Sell_""&amp;""*"")+COUNTIF(C$4:C139,""Sell_Cursor"")-COUNTIF(C$4:C139,"""")))+(COUNTIF(C$4:C139,""Grandma"")-COUNTIF(C$4:C139,""Sell_Grandma""))*(1*2^(COUNTIF(C$4:C139,""Grandma_up"&amp;""")+COUNTIF(C$4:C139,""Super_up"")))+(COUNTIF(C$4:C139,""Farm"")-COUNTIF(C$4:C139,""Sell_Farm""))*(8*2^COUNTIF(C$4:C139,""Farm_up""))*IF(COUNTIF(C$4:C139,""Super_up"")&gt;0,1+0.01*(COUNTIF(C$4:C139,""Grandma"")-COUNTIF(C$4:C139,""Sell_Grandma"")),1)+(COUNTIF"&amp;"(C$4:C139,""Mine"")-COUNTIF(C$4:C139,""Sell_Mine""))*((47*2^COUNTIF(C$4:C139,""Mine_up""))*IF(COUNTIF(C$4:C139,""Super_up"")&gt;1,1+0.005*(COUNTIF(C$4:C139,""Grandma"")-COUNTIF(C$4:C139,""Sell_Grandma"")),1))+(COUNTIF(C$4:C139,""Factory"")-COUNTIF(C$4:C139,"&amp;"""Sell_Factory""))*(260*2^COUNTIF(C$4:C139,""Factory_up""))))"),"")</f>
        <v/>
      </c>
      <c r="F139" s="73" t="str">
        <f>IFERROR(__xludf.DUMMYFUNCTION("IF(COUNTA(C139:C147)=0,"""",IF(REGEXMATCH(INDEX(FILTER(C$4:C139,C$4:C139&lt;&gt;""""),ROWS(FILTER(C$4:C139,C$4:C139&lt;&gt;""""))),""^Sell_""),INDEX(FILTER(F$4:F138,C$4:C138&lt;&gt;""""),ROWS(FILTER(C$4:C138,C$4:C138&lt;&gt;""""))),$AC$5*(2^SWITCH(COUNTIF(C$4:C139,""Cursor_up"")"&amp;",0,0,1,1,2,2,3)+SWITCH(COUNTIF(C$4:C139,""Cursor_up""),4,0.1,0)*(ROW(C139)-4-COUNTIF(C$4:C139,""Cursor"")-COUNTIF(C$4:C139,""*""&amp;""_up"")-2*COUNTIF(C$4:C139,""Sell_""&amp;""*"")+COUNTIF(C$4:C139,""Sell_Cursor"")-COUNTIF(C$4:C139,""""))+0.01*E139*COUNTIF(C$4:C"&amp;"139,""Plastic_up""))+E139))"),"")</f>
        <v/>
      </c>
      <c r="G139" s="14" t="str">
        <f>IFERROR(__xludf.DUMMYFUNCTION("IF(COUNTA(C139:C147)=0,"""",IF(REGEXMATCH(C139,""_up""),VLOOKUP(C139,Upgrades!$F$3:$J$8,1+COUNTIF(C$4:C139,C139),FALSE),IF(C139="""",0,IF(REGEXMATCH(C139,""^Sell_""),-ROUNDDOWN(ROUNDUP(INDEX(Upgrades!$C$3:$C$8,MATCH(SUBSTITUTE(C139,""Sell_"",""""),Upgrade"&amp;"s!$B$3:$B$8,0))*1.15^(COUNTIF(C$4:C138,SUBSTITUTE(C139,""Sell_"",""""))-COUNTIF(C$4:C138,""Sell_""&amp;SUBSTITUTE(C139,""Sell_"",""""))))/4),ROUNDUP(INDEX(Upgrades!$C$3:$C$7,MATCH(C139,Upgrades!$B$3:$B$7,0))*1.15^(COUNTIF(C$4:C138,C139)-COUNTIF(C$4:C138,""Sel"&amp;"l_""&amp;C139)))))))"),"")</f>
        <v/>
      </c>
      <c r="H139" s="14" t="str">
        <f t="shared" si="3"/>
        <v/>
      </c>
      <c r="I139" s="75" t="str">
        <f t="shared" si="4"/>
        <v/>
      </c>
      <c r="J139" s="76" t="str">
        <f t="shared" si="5"/>
        <v/>
      </c>
      <c r="K139" s="71" t="str">
        <f t="shared" si="6"/>
        <v/>
      </c>
      <c r="L139" s="77" t="str">
        <f t="shared" si="7"/>
        <v/>
      </c>
      <c r="M139" s="51" t="str">
        <f t="shared" si="8"/>
        <v/>
      </c>
      <c r="N139" s="52" t="str">
        <f>IFERROR(__xludf.DUMMYFUNCTION("IFS(AND(COUNTA(C139:C147)=0,COUNTA(P139:P147)=0),"""",OR(AND(L139&gt;=1000000,OR(Y139&gt;=1000000,COUNTA(P139:P147)=0)),AND(Y139&gt;=1000000,COUNTA(C139:C147)=0),AND(COUNTA(P139:P147)=0,O$3=TRUE)),
ROUNDDOWN((AB$1-AC$1)*MAX(INDEX(S$4:S147,MATCH(LARGE(FILTER(Y$4:Y1"&amp;"47,Y$4:Y147&lt;1000000),1),Y$4:Y147)),INDEX(F$4:F147,MATCH(LARGE(FILTER(L$4:L147,L$4:L147&lt;1000000),1),L$4:L147)))),AND(L139&lt;1000000,COUNTA(C139:C147)&gt;0,O$3=FALSE),
ROUNDDOWN(INDEX(Y$4:Y147,MATCH(LARGE(FILTER(W$4:W147,W$4:W147&lt;=J139),1),W$4:W147))+(J139-LARGE"&amp;"(FILTER(W$4:W147,W$4:W147&lt;=J139),1))*INDEX(S$4:S147,MATCH(LARGE(FILTER(W$4:W147,W$4:W147&lt;=J139),1),W$4:W147))-L139),1,
ROUNDDOWN(Y139-INDEX(L$4:L147,MATCH(LARGE(FILTER(J$4:J147,J$4:J147&lt;=W139),1),J$4:J147))-(W139-LARGE(FILTER(J$4:J147,J$4:J147&lt;=W139),1))*"&amp;"INDEX(F$4:F147,MATCH(LARGE(FILTER(J$4:J147,J$4:J147&lt;=W139),1),J$4:J147))))"),"")</f>
        <v/>
      </c>
      <c r="O139" s="65" t="str">
        <f t="shared" si="9"/>
        <v/>
      </c>
      <c r="P139" s="15"/>
      <c r="Q139" s="14" t="str">
        <f>IFERROR(__xludf.DUMMYFUNCTION("IF(COUNTA(P139:P147)=0,"""",IFERROR(IF(ISBLANK(P139),FALSE,IF(ISBLANK(T139),1,IF(NOT(COUNTIF($AA$24:$AA$34,SUBSTITUTE(P139,""Sell_"",""""))),1,IF(P139=""Plastic_up"",IF(V139&lt;1000,1),IF(P139=""Super_Up"",IF(OR(COUNTIF(P$4:P139,""Grandma"")-COUNTIF(P$4:P139"&amp;",""Sell_Grandma"")&lt;1,COUNTIF(P$4:P139,VLOOKUP(P139,Upgrades!$F$8:$N$8,7+COUNTIF(P$4:P139,P139)))-COUNTIF(P$4:P139,""Sell_""&amp;VLOOKUP(P139,Upgrades!$F$8:$N$8,7+COUNTIF(P$4:P139,P139)))&lt;15),1),IF(REGEXMATCH(P139,""_up""),IF(COUNTIF(P$4:P139,SUBSTITUTE(P139,"&amp;"""_up"",""""))&lt;IFERROR(VLOOKUP(P139,Upgrades!$L$3:$P$6,1+COUNTIF(P$4:P139,P139),0),999),1),IF(REGEXMATCH(P139,""Sell_""),IF(COUNTIF(P$4:P139,SUBSTITUTE(P139,""Sell_"",""""))-COUNTIF(P$4:P138,P139)&lt;1,1),FALSE)))))))))"),"")</f>
        <v/>
      </c>
      <c r="R139" s="71" t="str">
        <f>IFERROR(__xludf.DUMMYFUNCTION("IF(REGEXMATCH(P139,""^Sell_""),R138, IF(COUNTA(P139:P147)=0,"""",(COUNTIF(P$4:P139,""Cursor"")-COUNTIF(P$4:P139,""Sell_Cursor""))*(0.1*2^SWITCH(COUNTIF(P$4:P139,""Cursor_up""),0,0,1,1,2,2,3)+SWITCH(COUNTIF(P$4:P139,""Cursor_up""),4,0.1,0)*(ROW(P139)-4-COU"&amp;"NTIF(P$4:P139,""Cursor"")-COUNTIF(P$4:P139,""*""&amp;""_up"")-2*COUNTIF(P$4:P139,""Sell_""&amp;""*"")+COUNTIF(P$4:P139,""Sell_Cursor"")-COUNTIF(P$4:P139,"""")))+(COUNTIF(P$4:P139,""Grandma"")-COUNTIF(P$4:P139,""Sell_Grandma""))*(1*2^(COUNTIF(P$4:P139,""Grandma_up"&amp;""")+COUNTIF(P$4:P139,""Super_up"")))+(COUNTIF(P$4:P139,""Farm"")-COUNTIF(P$4:P139,""Sell_Farm""))*(8*2^COUNTIF(P$4:P139,""Farm_up""))*IF(COUNTIF(P$4:P139,""Super_up"")&gt;0,1+0.01*(COUNTIF(P$4:P139,""Grandma"")-COUNTIF(P$4:P139,""Sell_Grandma"")),1)+(COUNTIF"&amp;"(P$4:P139,""Mine"")-COUNTIF(P$4:P139,""Sell_Mine""))*((47*2^COUNTIF(P$4:P139,""Mine_up""))*IF(COUNTIF(P$4:P139,""Super_up"")&gt;1,1+0.005*(COUNTIF(P$4:P139,""Grandma"")-COUNTIF(P$4:P139,""Sell_Grandma"")),1))+(COUNTIF(P$4:P139,""Factory"")-COUNTIF(P$4:P139,"&amp;"""Sell_Factory""))*(260*2^COUNTIF(P$4:P139,""Factory_up""))))"),"")</f>
        <v/>
      </c>
      <c r="S139" s="73" t="str">
        <f>IFERROR(__xludf.DUMMYFUNCTION("IF(COUNTA(P139:P147)=0,"""",IF(REGEXMATCH(INDEX(FILTER(P$4:P139,P$4:P139&lt;&gt;""""),ROWS(FILTER(P$4:P139,P$4:P139&lt;&gt;""""))),""^Sell_""),INDEX(FILTER(S$4:S138,P$4:P138&lt;&gt;""""),ROWS(FILTER(P$4:P138,P$4:P138&lt;&gt;""""))),$AD$5*(2^SWITCH(COUNTIF(P$4:P139,""Cursor_up"")"&amp;",0,0,1,1,2,2,3)+SWITCH(COUNTIF(P$4:P139,""Cursor_up""),4,0.1,0)*(ROW(P139)-4-COUNTIF(P$4:P139,""Cursor"")-COUNTIF(P$4:P139,""*""&amp;""_up"")-2*COUNTIF(P$4:P139,""Sell_""&amp;""*"")+COUNTIF(P$4:P139,""Sell_Cursor"")-COUNTIF(P$4:P139,""""))+0.01*R139*COUNTIF(P$4:P"&amp;"139,""Plastic_up""))+R139))"),"")</f>
        <v/>
      </c>
      <c r="T139" s="14" t="str">
        <f>IFERROR(__xludf.DUMMYFUNCTION("IF(COUNTA(P139:P147)=0,"""",IF(REGEXMATCH(P139,""_up""),VLOOKUP(P139,Upgrades!$F$3:$J$8,1+COUNTIF(P$4:P139,P139),FALSE),IF(P139="""",0,IF(REGEXMATCH(P139,""^Sell_""),-ROUNDDOWN(ROUNDUP(INDEX(Upgrades!$C$3:$C$8,MATCH(SUBSTITUTE(P139,""Sell_"",""""),Upgrade"&amp;"s!$B$3:$B$8,0))*1.15^(COUNTIF(P$4:P138,SUBSTITUTE(P139,""Sell_"",""""))-COUNTIF(P$4:P138,""Sell_""&amp;SUBSTITUTE(P139,""Sell_"",""""))))/4),ROUNDUP(INDEX(Upgrades!$C$3:$C$7,MATCH(P139,Upgrades!$B$3:$B$7,0))*1.15^(COUNTIF(P$4:P138,P139)-COUNTIF(P$4:P138,""Sel"&amp;"l_""&amp;P139)))))))"),"")</f>
        <v/>
      </c>
      <c r="U139" s="14" t="str">
        <f t="shared" si="10"/>
        <v/>
      </c>
      <c r="V139" s="75" t="str">
        <f t="shared" si="11"/>
        <v/>
      </c>
      <c r="W139" s="76" t="str">
        <f t="shared" si="12"/>
        <v/>
      </c>
      <c r="X139" s="71" t="str">
        <f t="shared" si="13"/>
        <v/>
      </c>
      <c r="Y139" s="77" t="str">
        <f t="shared" si="14"/>
        <v/>
      </c>
      <c r="Z139" s="17"/>
      <c r="AA139" s="13"/>
      <c r="AB139" s="13"/>
      <c r="AC139" s="13"/>
      <c r="AD139" s="13"/>
      <c r="AE139" s="13"/>
      <c r="AF139" s="13"/>
      <c r="AG139" s="13"/>
    </row>
    <row r="140">
      <c r="A140" s="12"/>
      <c r="B140" s="65" t="str">
        <f t="shared" si="2"/>
        <v/>
      </c>
      <c r="C140" s="66"/>
      <c r="D140" s="14" t="str">
        <f>IFERROR(__xludf.DUMMYFUNCTION("IF(COUNTA(C140:C147)=0,"""",IFERROR(IF(ISBLANK(C140),FALSE,IF(ISBLANK(G140),1,IF(NOT(COUNTIF($AA$24:$AA$34,SUBSTITUTE(C140,""Sell_"",""""))),1,IF(C140=""Plastic_up"",IF(I140&lt;1000,1),IF(C140=""Super_Up"",IF(OR(COUNTIF(C$4:C140,""Grandma"")-COUNTIF(C$4:C140"&amp;",""Sell_Grandma"")&lt;1,COUNTIF(C$4:C140,VLOOKUP(C140,Upgrades!$F$8:$N$8,7+COUNTIF(C$4:C140,C140)))-COUNTIF(C$4:C140,""Sell_""&amp;VLOOKUP(C140,Upgrades!$F$8:$N$8,7+COUNTIF(C$4:C140,C140)))&lt;15),1),IF(REGEXMATCH(C140,""_up""),IF(COUNTIF(C$4:C140,SUBSTITUTE(C140,"&amp;"""_up"",""""))&lt;IFERROR(VLOOKUP(C140,Upgrades!$L$3:$P$6,1+COUNTIF(C$4:C140,C140),0),999),1),IF(REGEXMATCH(C140,""Sell_""),IF(COUNTIF(C$4:C140,SUBSTITUTE(C140,""Sell_"",""""))-COUNTIF(C$4:C139,C140)&lt;1,1),FALSE)))))))))"),"")</f>
        <v/>
      </c>
      <c r="E140" s="71" t="str">
        <f>IFERROR(__xludf.DUMMYFUNCTION("IF(REGEXMATCH(C140,""^Sell_""),E139, IF(COUNTA(C140:C147)=0,"""",(COUNTIF(C$4:C140,""Cursor"")-COUNTIF(C$4:C140,""Sell_Cursor""))*(0.1*2^SWITCH(COUNTIF(C$4:C140,""Cursor_up""),0,0,1,1,2,2,3)+SWITCH(COUNTIF(C$4:C140,""Cursor_up""),4,0.1,0)*(ROW(C140)-4-COU"&amp;"NTIF(C$4:C140,""Cursor"")-COUNTIF(C$4:C140,""*""&amp;""_up"")-2*COUNTIF(C$4:C140,""Sell_""&amp;""*"")+COUNTIF(C$4:C140,""Sell_Cursor"")-COUNTIF(C$4:C140,"""")))+(COUNTIF(C$4:C140,""Grandma"")-COUNTIF(C$4:C140,""Sell_Grandma""))*(1*2^(COUNTIF(C$4:C140,""Grandma_up"&amp;""")+COUNTIF(C$4:C140,""Super_up"")))+(COUNTIF(C$4:C140,""Farm"")-COUNTIF(C$4:C140,""Sell_Farm""))*(8*2^COUNTIF(C$4:C140,""Farm_up""))*IF(COUNTIF(C$4:C140,""Super_up"")&gt;0,1+0.01*(COUNTIF(C$4:C140,""Grandma"")-COUNTIF(C$4:C140,""Sell_Grandma"")),1)+(COUNTIF"&amp;"(C$4:C140,""Mine"")-COUNTIF(C$4:C140,""Sell_Mine""))*((47*2^COUNTIF(C$4:C140,""Mine_up""))*IF(COUNTIF(C$4:C140,""Super_up"")&gt;1,1+0.005*(COUNTIF(C$4:C140,""Grandma"")-COUNTIF(C$4:C140,""Sell_Grandma"")),1))+(COUNTIF(C$4:C140,""Factory"")-COUNTIF(C$4:C140,"&amp;"""Sell_Factory""))*(260*2^COUNTIF(C$4:C140,""Factory_up""))))"),"")</f>
        <v/>
      </c>
      <c r="F140" s="73" t="str">
        <f>IFERROR(__xludf.DUMMYFUNCTION("IF(COUNTA(C140:C147)=0,"""",IF(REGEXMATCH(INDEX(FILTER(C$4:C140,C$4:C140&lt;&gt;""""),ROWS(FILTER(C$4:C140,C$4:C140&lt;&gt;""""))),""^Sell_""),INDEX(FILTER(F$4:F139,C$4:C139&lt;&gt;""""),ROWS(FILTER(C$4:C139,C$4:C139&lt;&gt;""""))),$AC$5*(2^SWITCH(COUNTIF(C$4:C140,""Cursor_up"")"&amp;",0,0,1,1,2,2,3)+SWITCH(COUNTIF(C$4:C140,""Cursor_up""),4,0.1,0)*(ROW(C140)-4-COUNTIF(C$4:C140,""Cursor"")-COUNTIF(C$4:C140,""*""&amp;""_up"")-2*COUNTIF(C$4:C140,""Sell_""&amp;""*"")+COUNTIF(C$4:C140,""Sell_Cursor"")-COUNTIF(C$4:C140,""""))+0.01*E140*COUNTIF(C$4:C"&amp;"140,""Plastic_up""))+E140))"),"")</f>
        <v/>
      </c>
      <c r="G140" s="14" t="str">
        <f>IFERROR(__xludf.DUMMYFUNCTION("IF(COUNTA(C140:C147)=0,"""",IF(REGEXMATCH(C140,""_up""),VLOOKUP(C140,Upgrades!$F$3:$J$8,1+COUNTIF(C$4:C140,C140),FALSE),IF(C140="""",0,IF(REGEXMATCH(C140,""^Sell_""),-ROUNDDOWN(ROUNDUP(INDEX(Upgrades!$C$3:$C$8,MATCH(SUBSTITUTE(C140,""Sell_"",""""),Upgrade"&amp;"s!$B$3:$B$8,0))*1.15^(COUNTIF(C$4:C139,SUBSTITUTE(C140,""Sell_"",""""))-COUNTIF(C$4:C139,""Sell_""&amp;SUBSTITUTE(C140,""Sell_"",""""))))/4),ROUNDUP(INDEX(Upgrades!$C$3:$C$7,MATCH(C140,Upgrades!$B$3:$B$7,0))*1.15^(COUNTIF(C$4:C139,C140)-COUNTIF(C$4:C139,""Sel"&amp;"l_""&amp;C140)))))))"),"")</f>
        <v/>
      </c>
      <c r="H140" s="14" t="str">
        <f t="shared" si="3"/>
        <v/>
      </c>
      <c r="I140" s="75" t="str">
        <f t="shared" si="4"/>
        <v/>
      </c>
      <c r="J140" s="76" t="str">
        <f t="shared" si="5"/>
        <v/>
      </c>
      <c r="K140" s="71" t="str">
        <f t="shared" si="6"/>
        <v/>
      </c>
      <c r="L140" s="77" t="str">
        <f t="shared" si="7"/>
        <v/>
      </c>
      <c r="M140" s="51" t="str">
        <f t="shared" si="8"/>
        <v/>
      </c>
      <c r="N140" s="52" t="str">
        <f>IFERROR(__xludf.DUMMYFUNCTION("IFS(AND(COUNTA(C140:C147)=0,COUNTA(P140:P147)=0),"""",OR(AND(L140&gt;=1000000,OR(Y140&gt;=1000000,COUNTA(P140:P147)=0)),AND(Y140&gt;=1000000,COUNTA(C140:C147)=0),AND(COUNTA(P140:P147)=0,O$3=TRUE)),
ROUNDDOWN((AB$1-AC$1)*MAX(INDEX(S$4:S147,MATCH(LARGE(FILTER(Y$4:Y1"&amp;"47,Y$4:Y147&lt;1000000),1),Y$4:Y147)),INDEX(F$4:F147,MATCH(LARGE(FILTER(L$4:L147,L$4:L147&lt;1000000),1),L$4:L147)))),AND(L140&lt;1000000,COUNTA(C140:C147)&gt;0,O$3=FALSE),
ROUNDDOWN(INDEX(Y$4:Y147,MATCH(LARGE(FILTER(W$4:W147,W$4:W147&lt;=J140),1),W$4:W147))+(J140-LARGE"&amp;"(FILTER(W$4:W147,W$4:W147&lt;=J140),1))*INDEX(S$4:S147,MATCH(LARGE(FILTER(W$4:W147,W$4:W147&lt;=J140),1),W$4:W147))-L140),1,
ROUNDDOWN(Y140-INDEX(L$4:L147,MATCH(LARGE(FILTER(J$4:J147,J$4:J147&lt;=W140),1),J$4:J147))-(W140-LARGE(FILTER(J$4:J147,J$4:J147&lt;=W140),1))*"&amp;"INDEX(F$4:F147,MATCH(LARGE(FILTER(J$4:J147,J$4:J147&lt;=W140),1),J$4:J147))))"),"")</f>
        <v/>
      </c>
      <c r="O140" s="65" t="str">
        <f t="shared" si="9"/>
        <v/>
      </c>
      <c r="P140" s="15"/>
      <c r="Q140" s="14" t="str">
        <f>IFERROR(__xludf.DUMMYFUNCTION("IF(COUNTA(P140:P147)=0,"""",IFERROR(IF(ISBLANK(P140),FALSE,IF(ISBLANK(T140),1,IF(NOT(COUNTIF($AA$24:$AA$34,SUBSTITUTE(P140,""Sell_"",""""))),1,IF(P140=""Plastic_up"",IF(V140&lt;1000,1),IF(P140=""Super_Up"",IF(OR(COUNTIF(P$4:P140,""Grandma"")-COUNTIF(P$4:P140"&amp;",""Sell_Grandma"")&lt;1,COUNTIF(P$4:P140,VLOOKUP(P140,Upgrades!$F$8:$N$8,7+COUNTIF(P$4:P140,P140)))-COUNTIF(P$4:P140,""Sell_""&amp;VLOOKUP(P140,Upgrades!$F$8:$N$8,7+COUNTIF(P$4:P140,P140)))&lt;15),1),IF(REGEXMATCH(P140,""_up""),IF(COUNTIF(P$4:P140,SUBSTITUTE(P140,"&amp;"""_up"",""""))&lt;IFERROR(VLOOKUP(P140,Upgrades!$L$3:$P$6,1+COUNTIF(P$4:P140,P140),0),999),1),IF(REGEXMATCH(P140,""Sell_""),IF(COUNTIF(P$4:P140,SUBSTITUTE(P140,""Sell_"",""""))-COUNTIF(P$4:P139,P140)&lt;1,1),FALSE)))))))))"),"")</f>
        <v/>
      </c>
      <c r="R140" s="71" t="str">
        <f>IFERROR(__xludf.DUMMYFUNCTION("IF(REGEXMATCH(P140,""^Sell_""),R139, IF(COUNTA(P140:P147)=0,"""",(COUNTIF(P$4:P140,""Cursor"")-COUNTIF(P$4:P140,""Sell_Cursor""))*(0.1*2^SWITCH(COUNTIF(P$4:P140,""Cursor_up""),0,0,1,1,2,2,3)+SWITCH(COUNTIF(P$4:P140,""Cursor_up""),4,0.1,0)*(ROW(P140)-4-COU"&amp;"NTIF(P$4:P140,""Cursor"")-COUNTIF(P$4:P140,""*""&amp;""_up"")-2*COUNTIF(P$4:P140,""Sell_""&amp;""*"")+COUNTIF(P$4:P140,""Sell_Cursor"")-COUNTIF(P$4:P140,"""")))+(COUNTIF(P$4:P140,""Grandma"")-COUNTIF(P$4:P140,""Sell_Grandma""))*(1*2^(COUNTIF(P$4:P140,""Grandma_up"&amp;""")+COUNTIF(P$4:P140,""Super_up"")))+(COUNTIF(P$4:P140,""Farm"")-COUNTIF(P$4:P140,""Sell_Farm""))*(8*2^COUNTIF(P$4:P140,""Farm_up""))*IF(COUNTIF(P$4:P140,""Super_up"")&gt;0,1+0.01*(COUNTIF(P$4:P140,""Grandma"")-COUNTIF(P$4:P140,""Sell_Grandma"")),1)+(COUNTIF"&amp;"(P$4:P140,""Mine"")-COUNTIF(P$4:P140,""Sell_Mine""))*((47*2^COUNTIF(P$4:P140,""Mine_up""))*IF(COUNTIF(P$4:P140,""Super_up"")&gt;1,1+0.005*(COUNTIF(P$4:P140,""Grandma"")-COUNTIF(P$4:P140,""Sell_Grandma"")),1))+(COUNTIF(P$4:P140,""Factory"")-COUNTIF(P$4:P140,"&amp;"""Sell_Factory""))*(260*2^COUNTIF(P$4:P140,""Factory_up""))))"),"")</f>
        <v/>
      </c>
      <c r="S140" s="73" t="str">
        <f>IFERROR(__xludf.DUMMYFUNCTION("IF(COUNTA(P140:P147)=0,"""",IF(REGEXMATCH(INDEX(FILTER(P$4:P140,P$4:P140&lt;&gt;""""),ROWS(FILTER(P$4:P140,P$4:P140&lt;&gt;""""))),""^Sell_""),INDEX(FILTER(S$4:S139,P$4:P139&lt;&gt;""""),ROWS(FILTER(P$4:P139,P$4:P139&lt;&gt;""""))),$AD$5*(2^SWITCH(COUNTIF(P$4:P140,""Cursor_up"")"&amp;",0,0,1,1,2,2,3)+SWITCH(COUNTIF(P$4:P140,""Cursor_up""),4,0.1,0)*(ROW(P140)-4-COUNTIF(P$4:P140,""Cursor"")-COUNTIF(P$4:P140,""*""&amp;""_up"")-2*COUNTIF(P$4:P140,""Sell_""&amp;""*"")+COUNTIF(P$4:P140,""Sell_Cursor"")-COUNTIF(P$4:P140,""""))+0.01*R140*COUNTIF(P$4:P"&amp;"140,""Plastic_up""))+R140))"),"")</f>
        <v/>
      </c>
      <c r="T140" s="14" t="str">
        <f>IFERROR(__xludf.DUMMYFUNCTION("IF(COUNTA(P140:P147)=0,"""",IF(REGEXMATCH(P140,""_up""),VLOOKUP(P140,Upgrades!$F$3:$J$8,1+COUNTIF(P$4:P140,P140),FALSE),IF(P140="""",0,IF(REGEXMATCH(P140,""^Sell_""),-ROUNDDOWN(ROUNDUP(INDEX(Upgrades!$C$3:$C$8,MATCH(SUBSTITUTE(P140,""Sell_"",""""),Upgrade"&amp;"s!$B$3:$B$8,0))*1.15^(COUNTIF(P$4:P139,SUBSTITUTE(P140,""Sell_"",""""))-COUNTIF(P$4:P139,""Sell_""&amp;SUBSTITUTE(P140,""Sell_"",""""))))/4),ROUNDUP(INDEX(Upgrades!$C$3:$C$7,MATCH(P140,Upgrades!$B$3:$B$7,0))*1.15^(COUNTIF(P$4:P139,P140)-COUNTIF(P$4:P139,""Sel"&amp;"l_""&amp;P140)))))))"),"")</f>
        <v/>
      </c>
      <c r="U140" s="14" t="str">
        <f t="shared" si="10"/>
        <v/>
      </c>
      <c r="V140" s="75" t="str">
        <f t="shared" si="11"/>
        <v/>
      </c>
      <c r="W140" s="76" t="str">
        <f t="shared" si="12"/>
        <v/>
      </c>
      <c r="X140" s="71" t="str">
        <f t="shared" si="13"/>
        <v/>
      </c>
      <c r="Y140" s="77" t="str">
        <f t="shared" si="14"/>
        <v/>
      </c>
      <c r="Z140" s="17"/>
      <c r="AA140" s="13"/>
      <c r="AB140" s="13"/>
      <c r="AC140" s="13"/>
      <c r="AD140" s="13"/>
      <c r="AE140" s="13"/>
      <c r="AF140" s="13"/>
      <c r="AG140" s="13"/>
    </row>
    <row r="141">
      <c r="A141" s="12"/>
      <c r="B141" s="65" t="str">
        <f t="shared" si="2"/>
        <v/>
      </c>
      <c r="C141" s="66"/>
      <c r="D141" s="14" t="str">
        <f>IFERROR(__xludf.DUMMYFUNCTION("IF(COUNTA(C141:C147)=0,"""",IFERROR(IF(ISBLANK(C141),FALSE,IF(ISBLANK(G141),1,IF(NOT(COUNTIF($AA$24:$AA$34,SUBSTITUTE(C141,""Sell_"",""""))),1,IF(C141=""Plastic_up"",IF(I141&lt;1000,1),IF(C141=""Super_Up"",IF(OR(COUNTIF(C$4:C141,""Grandma"")-COUNTIF(C$4:C141"&amp;",""Sell_Grandma"")&lt;1,COUNTIF(C$4:C141,VLOOKUP(C141,Upgrades!$F$8:$N$8,7+COUNTIF(C$4:C141,C141)))-COUNTIF(C$4:C141,""Sell_""&amp;VLOOKUP(C141,Upgrades!$F$8:$N$8,7+COUNTIF(C$4:C141,C141)))&lt;15),1),IF(REGEXMATCH(C141,""_up""),IF(COUNTIF(C$4:C141,SUBSTITUTE(C141,"&amp;"""_up"",""""))&lt;IFERROR(VLOOKUP(C141,Upgrades!$L$3:$P$6,1+COUNTIF(C$4:C141,C141),0),999),1),IF(REGEXMATCH(C141,""Sell_""),IF(COUNTIF(C$4:C141,SUBSTITUTE(C141,""Sell_"",""""))-COUNTIF(C$4:C140,C141)&lt;1,1),FALSE)))))))))"),"")</f>
        <v/>
      </c>
      <c r="E141" s="71" t="str">
        <f>IFERROR(__xludf.DUMMYFUNCTION("IF(REGEXMATCH(C141,""^Sell_""),E140, IF(COUNTA(C141:C147)=0,"""",(COUNTIF(C$4:C141,""Cursor"")-COUNTIF(C$4:C141,""Sell_Cursor""))*(0.1*2^SWITCH(COUNTIF(C$4:C141,""Cursor_up""),0,0,1,1,2,2,3)+SWITCH(COUNTIF(C$4:C141,""Cursor_up""),4,0.1,0)*(ROW(C141)-4-COU"&amp;"NTIF(C$4:C141,""Cursor"")-COUNTIF(C$4:C141,""*""&amp;""_up"")-2*COUNTIF(C$4:C141,""Sell_""&amp;""*"")+COUNTIF(C$4:C141,""Sell_Cursor"")-COUNTIF(C$4:C141,"""")))+(COUNTIF(C$4:C141,""Grandma"")-COUNTIF(C$4:C141,""Sell_Grandma""))*(1*2^(COUNTIF(C$4:C141,""Grandma_up"&amp;""")+COUNTIF(C$4:C141,""Super_up"")))+(COUNTIF(C$4:C141,""Farm"")-COUNTIF(C$4:C141,""Sell_Farm""))*(8*2^COUNTIF(C$4:C141,""Farm_up""))*IF(COUNTIF(C$4:C141,""Super_up"")&gt;0,1+0.01*(COUNTIF(C$4:C141,""Grandma"")-COUNTIF(C$4:C141,""Sell_Grandma"")),1)+(COUNTIF"&amp;"(C$4:C141,""Mine"")-COUNTIF(C$4:C141,""Sell_Mine""))*((47*2^COUNTIF(C$4:C141,""Mine_up""))*IF(COUNTIF(C$4:C141,""Super_up"")&gt;1,1+0.005*(COUNTIF(C$4:C141,""Grandma"")-COUNTIF(C$4:C141,""Sell_Grandma"")),1))+(COUNTIF(C$4:C141,""Factory"")-COUNTIF(C$4:C141,"&amp;"""Sell_Factory""))*(260*2^COUNTIF(C$4:C141,""Factory_up""))))"),"")</f>
        <v/>
      </c>
      <c r="F141" s="73" t="str">
        <f>IFERROR(__xludf.DUMMYFUNCTION("IF(COUNTA(C141:C147)=0,"""",IF(REGEXMATCH(INDEX(FILTER(C$4:C141,C$4:C141&lt;&gt;""""),ROWS(FILTER(C$4:C141,C$4:C141&lt;&gt;""""))),""^Sell_""),INDEX(FILTER(F$4:F140,C$4:C140&lt;&gt;""""),ROWS(FILTER(C$4:C140,C$4:C140&lt;&gt;""""))),$AC$5*(2^SWITCH(COUNTIF(C$4:C141,""Cursor_up"")"&amp;",0,0,1,1,2,2,3)+SWITCH(COUNTIF(C$4:C141,""Cursor_up""),4,0.1,0)*(ROW(C141)-4-COUNTIF(C$4:C141,""Cursor"")-COUNTIF(C$4:C141,""*""&amp;""_up"")-2*COUNTIF(C$4:C141,""Sell_""&amp;""*"")+COUNTIF(C$4:C141,""Sell_Cursor"")-COUNTIF(C$4:C141,""""))+0.01*E141*COUNTIF(C$4:C"&amp;"141,""Plastic_up""))+E141))"),"")</f>
        <v/>
      </c>
      <c r="G141" s="14" t="str">
        <f>IFERROR(__xludf.DUMMYFUNCTION("IF(COUNTA(C141:C147)=0,"""",IF(REGEXMATCH(C141,""_up""),VLOOKUP(C141,Upgrades!$F$3:$J$8,1+COUNTIF(C$4:C141,C141),FALSE),IF(C141="""",0,IF(REGEXMATCH(C141,""^Sell_""),-ROUNDDOWN(ROUNDUP(INDEX(Upgrades!$C$3:$C$8,MATCH(SUBSTITUTE(C141,""Sell_"",""""),Upgrade"&amp;"s!$B$3:$B$8,0))*1.15^(COUNTIF(C$4:C140,SUBSTITUTE(C141,""Sell_"",""""))-COUNTIF(C$4:C140,""Sell_""&amp;SUBSTITUTE(C141,""Sell_"",""""))))/4),ROUNDUP(INDEX(Upgrades!$C$3:$C$7,MATCH(C141,Upgrades!$B$3:$B$7,0))*1.15^(COUNTIF(C$4:C140,C141)-COUNTIF(C$4:C140,""Sel"&amp;"l_""&amp;C141)))))))"),"")</f>
        <v/>
      </c>
      <c r="H141" s="14" t="str">
        <f t="shared" si="3"/>
        <v/>
      </c>
      <c r="I141" s="75" t="str">
        <f t="shared" si="4"/>
        <v/>
      </c>
      <c r="J141" s="76" t="str">
        <f t="shared" si="5"/>
        <v/>
      </c>
      <c r="K141" s="71" t="str">
        <f t="shared" si="6"/>
        <v/>
      </c>
      <c r="L141" s="77" t="str">
        <f t="shared" si="7"/>
        <v/>
      </c>
      <c r="M141" s="51" t="str">
        <f t="shared" si="8"/>
        <v/>
      </c>
      <c r="N141" s="52" t="str">
        <f>IFERROR(__xludf.DUMMYFUNCTION("IFS(AND(COUNTA(C141:C147)=0,COUNTA(P141:P147)=0),"""",OR(AND(L141&gt;=1000000,OR(Y141&gt;=1000000,COUNTA(P141:P147)=0)),AND(Y141&gt;=1000000,COUNTA(C141:C147)=0),AND(COUNTA(P141:P147)=0,O$3=TRUE)),
ROUNDDOWN((AB$1-AC$1)*MAX(INDEX(S$4:S147,MATCH(LARGE(FILTER(Y$4:Y1"&amp;"47,Y$4:Y147&lt;1000000),1),Y$4:Y147)),INDEX(F$4:F147,MATCH(LARGE(FILTER(L$4:L147,L$4:L147&lt;1000000),1),L$4:L147)))),AND(L141&lt;1000000,COUNTA(C141:C147)&gt;0,O$3=FALSE),
ROUNDDOWN(INDEX(Y$4:Y147,MATCH(LARGE(FILTER(W$4:W147,W$4:W147&lt;=J141),1),W$4:W147))+(J141-LARGE"&amp;"(FILTER(W$4:W147,W$4:W147&lt;=J141),1))*INDEX(S$4:S147,MATCH(LARGE(FILTER(W$4:W147,W$4:W147&lt;=J141),1),W$4:W147))-L141),1,
ROUNDDOWN(Y141-INDEX(L$4:L147,MATCH(LARGE(FILTER(J$4:J147,J$4:J147&lt;=W141),1),J$4:J147))-(W141-LARGE(FILTER(J$4:J147,J$4:J147&lt;=W141),1))*"&amp;"INDEX(F$4:F147,MATCH(LARGE(FILTER(J$4:J147,J$4:J147&lt;=W141),1),J$4:J147))))"),"")</f>
        <v/>
      </c>
      <c r="O141" s="65" t="str">
        <f t="shared" si="9"/>
        <v/>
      </c>
      <c r="P141" s="15"/>
      <c r="Q141" s="14" t="str">
        <f>IFERROR(__xludf.DUMMYFUNCTION("IF(COUNTA(P141:P147)=0,"""",IFERROR(IF(ISBLANK(P141),FALSE,IF(ISBLANK(T141),1,IF(NOT(COUNTIF($AA$24:$AA$34,SUBSTITUTE(P141,""Sell_"",""""))),1,IF(P141=""Plastic_up"",IF(V141&lt;1000,1),IF(P141=""Super_Up"",IF(OR(COUNTIF(P$4:P141,""Grandma"")-COUNTIF(P$4:P141"&amp;",""Sell_Grandma"")&lt;1,COUNTIF(P$4:P141,VLOOKUP(P141,Upgrades!$F$8:$N$8,7+COUNTIF(P$4:P141,P141)))-COUNTIF(P$4:P141,""Sell_""&amp;VLOOKUP(P141,Upgrades!$F$8:$N$8,7+COUNTIF(P$4:P141,P141)))&lt;15),1),IF(REGEXMATCH(P141,""_up""),IF(COUNTIF(P$4:P141,SUBSTITUTE(P141,"&amp;"""_up"",""""))&lt;IFERROR(VLOOKUP(P141,Upgrades!$L$3:$P$6,1+COUNTIF(P$4:P141,P141),0),999),1),IF(REGEXMATCH(P141,""Sell_""),IF(COUNTIF(P$4:P141,SUBSTITUTE(P141,""Sell_"",""""))-COUNTIF(P$4:P140,P141)&lt;1,1),FALSE)))))))))"),"")</f>
        <v/>
      </c>
      <c r="R141" s="71" t="str">
        <f>IFERROR(__xludf.DUMMYFUNCTION("IF(REGEXMATCH(P141,""^Sell_""),R140, IF(COUNTA(P141:P147)=0,"""",(COUNTIF(P$4:P141,""Cursor"")-COUNTIF(P$4:P141,""Sell_Cursor""))*(0.1*2^SWITCH(COUNTIF(P$4:P141,""Cursor_up""),0,0,1,1,2,2,3)+SWITCH(COUNTIF(P$4:P141,""Cursor_up""),4,0.1,0)*(ROW(P141)-4-COU"&amp;"NTIF(P$4:P141,""Cursor"")-COUNTIF(P$4:P141,""*""&amp;""_up"")-2*COUNTIF(P$4:P141,""Sell_""&amp;""*"")+COUNTIF(P$4:P141,""Sell_Cursor"")-COUNTIF(P$4:P141,"""")))+(COUNTIF(P$4:P141,""Grandma"")-COUNTIF(P$4:P141,""Sell_Grandma""))*(1*2^(COUNTIF(P$4:P141,""Grandma_up"&amp;""")+COUNTIF(P$4:P141,""Super_up"")))+(COUNTIF(P$4:P141,""Farm"")-COUNTIF(P$4:P141,""Sell_Farm""))*(8*2^COUNTIF(P$4:P141,""Farm_up""))*IF(COUNTIF(P$4:P141,""Super_up"")&gt;0,1+0.01*(COUNTIF(P$4:P141,""Grandma"")-COUNTIF(P$4:P141,""Sell_Grandma"")),1)+(COUNTIF"&amp;"(P$4:P141,""Mine"")-COUNTIF(P$4:P141,""Sell_Mine""))*((47*2^COUNTIF(P$4:P141,""Mine_up""))*IF(COUNTIF(P$4:P141,""Super_up"")&gt;1,1+0.005*(COUNTIF(P$4:P141,""Grandma"")-COUNTIF(P$4:P141,""Sell_Grandma"")),1))+(COUNTIF(P$4:P141,""Factory"")-COUNTIF(P$4:P141,"&amp;"""Sell_Factory""))*(260*2^COUNTIF(P$4:P141,""Factory_up""))))"),"")</f>
        <v/>
      </c>
      <c r="S141" s="73" t="str">
        <f>IFERROR(__xludf.DUMMYFUNCTION("IF(COUNTA(P141:P147)=0,"""",IF(REGEXMATCH(INDEX(FILTER(P$4:P141,P$4:P141&lt;&gt;""""),ROWS(FILTER(P$4:P141,P$4:P141&lt;&gt;""""))),""^Sell_""),INDEX(FILTER(S$4:S140,P$4:P140&lt;&gt;""""),ROWS(FILTER(P$4:P140,P$4:P140&lt;&gt;""""))),$AD$5*(2^SWITCH(COUNTIF(P$4:P141,""Cursor_up"")"&amp;",0,0,1,1,2,2,3)+SWITCH(COUNTIF(P$4:P141,""Cursor_up""),4,0.1,0)*(ROW(P141)-4-COUNTIF(P$4:P141,""Cursor"")-COUNTIF(P$4:P141,""*""&amp;""_up"")-2*COUNTIF(P$4:P141,""Sell_""&amp;""*"")+COUNTIF(P$4:P141,""Sell_Cursor"")-COUNTIF(P$4:P141,""""))+0.01*R141*COUNTIF(P$4:P"&amp;"141,""Plastic_up""))+R141))"),"")</f>
        <v/>
      </c>
      <c r="T141" s="14" t="str">
        <f>IFERROR(__xludf.DUMMYFUNCTION("IF(COUNTA(P141:P147)=0,"""",IF(REGEXMATCH(P141,""_up""),VLOOKUP(P141,Upgrades!$F$3:$J$8,1+COUNTIF(P$4:P141,P141),FALSE),IF(P141="""",0,IF(REGEXMATCH(P141,""^Sell_""),-ROUNDDOWN(ROUNDUP(INDEX(Upgrades!$C$3:$C$8,MATCH(SUBSTITUTE(P141,""Sell_"",""""),Upgrade"&amp;"s!$B$3:$B$8,0))*1.15^(COUNTIF(P$4:P140,SUBSTITUTE(P141,""Sell_"",""""))-COUNTIF(P$4:P140,""Sell_""&amp;SUBSTITUTE(P141,""Sell_"",""""))))/4),ROUNDUP(INDEX(Upgrades!$C$3:$C$7,MATCH(P141,Upgrades!$B$3:$B$7,0))*1.15^(COUNTIF(P$4:P140,P141)-COUNTIF(P$4:P140,""Sel"&amp;"l_""&amp;P141)))))))"),"")</f>
        <v/>
      </c>
      <c r="U141" s="14" t="str">
        <f t="shared" si="10"/>
        <v/>
      </c>
      <c r="V141" s="75" t="str">
        <f t="shared" si="11"/>
        <v/>
      </c>
      <c r="W141" s="76" t="str">
        <f t="shared" si="12"/>
        <v/>
      </c>
      <c r="X141" s="71" t="str">
        <f t="shared" si="13"/>
        <v/>
      </c>
      <c r="Y141" s="77" t="str">
        <f t="shared" si="14"/>
        <v/>
      </c>
      <c r="Z141" s="17"/>
      <c r="AA141" s="13"/>
      <c r="AB141" s="13"/>
      <c r="AC141" s="13"/>
      <c r="AD141" s="13"/>
      <c r="AE141" s="13"/>
      <c r="AF141" s="13"/>
      <c r="AG141" s="13"/>
    </row>
    <row r="142">
      <c r="A142" s="12"/>
      <c r="B142" s="65" t="str">
        <f t="shared" si="2"/>
        <v/>
      </c>
      <c r="C142" s="66"/>
      <c r="D142" s="14" t="str">
        <f>IFERROR(__xludf.DUMMYFUNCTION("IF(COUNTA(C142:C147)=0,"""",IFERROR(IF(ISBLANK(C142),FALSE,IF(ISBLANK(G142),1,IF(NOT(COUNTIF($AA$24:$AA$34,SUBSTITUTE(C142,""Sell_"",""""))),1,IF(C142=""Plastic_up"",IF(I142&lt;1000,1),IF(C142=""Super_Up"",IF(OR(COUNTIF(C$4:C142,""Grandma"")-COUNTIF(C$4:C142"&amp;",""Sell_Grandma"")&lt;1,COUNTIF(C$4:C142,VLOOKUP(C142,Upgrades!$F$8:$N$8,7+COUNTIF(C$4:C142,C142)))-COUNTIF(C$4:C142,""Sell_""&amp;VLOOKUP(C142,Upgrades!$F$8:$N$8,7+COUNTIF(C$4:C142,C142)))&lt;15),1),IF(REGEXMATCH(C142,""_up""),IF(COUNTIF(C$4:C142,SUBSTITUTE(C142,"&amp;"""_up"",""""))&lt;IFERROR(VLOOKUP(C142,Upgrades!$L$3:$P$6,1+COUNTIF(C$4:C142,C142),0),999),1),IF(REGEXMATCH(C142,""Sell_""),IF(COUNTIF(C$4:C142,SUBSTITUTE(C142,""Sell_"",""""))-COUNTIF(C$4:C141,C142)&lt;1,1),FALSE)))))))))"),"")</f>
        <v/>
      </c>
      <c r="E142" s="71" t="str">
        <f>IFERROR(__xludf.DUMMYFUNCTION("IF(REGEXMATCH(C142,""^Sell_""),E141, IF(COUNTA(C142:C147)=0,"""",(COUNTIF(C$4:C142,""Cursor"")-COUNTIF(C$4:C142,""Sell_Cursor""))*(0.1*2^SWITCH(COUNTIF(C$4:C142,""Cursor_up""),0,0,1,1,2,2,3)+SWITCH(COUNTIF(C$4:C142,""Cursor_up""),4,0.1,0)*(ROW(C142)-4-COU"&amp;"NTIF(C$4:C142,""Cursor"")-COUNTIF(C$4:C142,""*""&amp;""_up"")-2*COUNTIF(C$4:C142,""Sell_""&amp;""*"")+COUNTIF(C$4:C142,""Sell_Cursor"")-COUNTIF(C$4:C142,"""")))+(COUNTIF(C$4:C142,""Grandma"")-COUNTIF(C$4:C142,""Sell_Grandma""))*(1*2^(COUNTIF(C$4:C142,""Grandma_up"&amp;""")+COUNTIF(C$4:C142,""Super_up"")))+(COUNTIF(C$4:C142,""Farm"")-COUNTIF(C$4:C142,""Sell_Farm""))*(8*2^COUNTIF(C$4:C142,""Farm_up""))*IF(COUNTIF(C$4:C142,""Super_up"")&gt;0,1+0.01*(COUNTIF(C$4:C142,""Grandma"")-COUNTIF(C$4:C142,""Sell_Grandma"")),1)+(COUNTIF"&amp;"(C$4:C142,""Mine"")-COUNTIF(C$4:C142,""Sell_Mine""))*((47*2^COUNTIF(C$4:C142,""Mine_up""))*IF(COUNTIF(C$4:C142,""Super_up"")&gt;1,1+0.005*(COUNTIF(C$4:C142,""Grandma"")-COUNTIF(C$4:C142,""Sell_Grandma"")),1))+(COUNTIF(C$4:C142,""Factory"")-COUNTIF(C$4:C142,"&amp;"""Sell_Factory""))*(260*2^COUNTIF(C$4:C142,""Factory_up""))))"),"")</f>
        <v/>
      </c>
      <c r="F142" s="73" t="str">
        <f>IFERROR(__xludf.DUMMYFUNCTION("IF(COUNTA(C142:C147)=0,"""",IF(REGEXMATCH(INDEX(FILTER(C$4:C142,C$4:C142&lt;&gt;""""),ROWS(FILTER(C$4:C142,C$4:C142&lt;&gt;""""))),""^Sell_""),INDEX(FILTER(F$4:F141,C$4:C141&lt;&gt;""""),ROWS(FILTER(C$4:C141,C$4:C141&lt;&gt;""""))),$AC$5*(2^SWITCH(COUNTIF(C$4:C142,""Cursor_up"")"&amp;",0,0,1,1,2,2,3)+SWITCH(COUNTIF(C$4:C142,""Cursor_up""),4,0.1,0)*(ROW(C142)-4-COUNTIF(C$4:C142,""Cursor"")-COUNTIF(C$4:C142,""*""&amp;""_up"")-2*COUNTIF(C$4:C142,""Sell_""&amp;""*"")+COUNTIF(C$4:C142,""Sell_Cursor"")-COUNTIF(C$4:C142,""""))+0.01*E142*COUNTIF(C$4:C"&amp;"142,""Plastic_up""))+E142))"),"")</f>
        <v/>
      </c>
      <c r="G142" s="14" t="str">
        <f>IFERROR(__xludf.DUMMYFUNCTION("IF(COUNTA(C142:C147)=0,"""",IF(REGEXMATCH(C142,""_up""),VLOOKUP(C142,Upgrades!$F$3:$J$8,1+COUNTIF(C$4:C142,C142),FALSE),IF(C142="""",0,IF(REGEXMATCH(C142,""^Sell_""),-ROUNDDOWN(ROUNDUP(INDEX(Upgrades!$C$3:$C$8,MATCH(SUBSTITUTE(C142,""Sell_"",""""),Upgrade"&amp;"s!$B$3:$B$8,0))*1.15^(COUNTIF(C$4:C141,SUBSTITUTE(C142,""Sell_"",""""))-COUNTIF(C$4:C141,""Sell_""&amp;SUBSTITUTE(C142,""Sell_"",""""))))/4),ROUNDUP(INDEX(Upgrades!$C$3:$C$7,MATCH(C142,Upgrades!$B$3:$B$7,0))*1.15^(COUNTIF(C$4:C141,C142)-COUNTIF(C$4:C141,""Sel"&amp;"l_""&amp;C142)))))))"),"")</f>
        <v/>
      </c>
      <c r="H142" s="14" t="str">
        <f t="shared" si="3"/>
        <v/>
      </c>
      <c r="I142" s="75" t="str">
        <f t="shared" si="4"/>
        <v/>
      </c>
      <c r="J142" s="76" t="str">
        <f t="shared" si="5"/>
        <v/>
      </c>
      <c r="K142" s="71" t="str">
        <f t="shared" si="6"/>
        <v/>
      </c>
      <c r="L142" s="77" t="str">
        <f t="shared" si="7"/>
        <v/>
      </c>
      <c r="M142" s="51" t="str">
        <f t="shared" si="8"/>
        <v/>
      </c>
      <c r="N142" s="52" t="str">
        <f>IFERROR(__xludf.DUMMYFUNCTION("IFS(AND(COUNTA(C142:C147)=0,COUNTA(P142:P147)=0),"""",OR(AND(L142&gt;=1000000,OR(Y142&gt;=1000000,COUNTA(P142:P147)=0)),AND(Y142&gt;=1000000,COUNTA(C142:C147)=0),AND(COUNTA(P142:P147)=0,O$3=TRUE)),
ROUNDDOWN((AB$1-AC$1)*MAX(INDEX(S$4:S147,MATCH(LARGE(FILTER(Y$4:Y1"&amp;"47,Y$4:Y147&lt;1000000),1),Y$4:Y147)),INDEX(F$4:F147,MATCH(LARGE(FILTER(L$4:L147,L$4:L147&lt;1000000),1),L$4:L147)))),AND(L142&lt;1000000,COUNTA(C142:C147)&gt;0,O$3=FALSE),
ROUNDDOWN(INDEX(Y$4:Y147,MATCH(LARGE(FILTER(W$4:W147,W$4:W147&lt;=J142),1),W$4:W147))+(J142-LARGE"&amp;"(FILTER(W$4:W147,W$4:W147&lt;=J142),1))*INDEX(S$4:S147,MATCH(LARGE(FILTER(W$4:W147,W$4:W147&lt;=J142),1),W$4:W147))-L142),1,
ROUNDDOWN(Y142-INDEX(L$4:L147,MATCH(LARGE(FILTER(J$4:J147,J$4:J147&lt;=W142),1),J$4:J147))-(W142-LARGE(FILTER(J$4:J147,J$4:J147&lt;=W142),1))*"&amp;"INDEX(F$4:F147,MATCH(LARGE(FILTER(J$4:J147,J$4:J147&lt;=W142),1),J$4:J147))))"),"")</f>
        <v/>
      </c>
      <c r="O142" s="65" t="str">
        <f t="shared" si="9"/>
        <v/>
      </c>
      <c r="P142" s="15"/>
      <c r="Q142" s="14" t="str">
        <f>IFERROR(__xludf.DUMMYFUNCTION("IF(COUNTA(P142:P147)=0,"""",IFERROR(IF(ISBLANK(P142),FALSE,IF(ISBLANK(T142),1,IF(NOT(COUNTIF($AA$24:$AA$34,SUBSTITUTE(P142,""Sell_"",""""))),1,IF(P142=""Plastic_up"",IF(V142&lt;1000,1),IF(P142=""Super_Up"",IF(OR(COUNTIF(P$4:P142,""Grandma"")-COUNTIF(P$4:P142"&amp;",""Sell_Grandma"")&lt;1,COUNTIF(P$4:P142,VLOOKUP(P142,Upgrades!$F$8:$N$8,7+COUNTIF(P$4:P142,P142)))-COUNTIF(P$4:P142,""Sell_""&amp;VLOOKUP(P142,Upgrades!$F$8:$N$8,7+COUNTIF(P$4:P142,P142)))&lt;15),1),IF(REGEXMATCH(P142,""_up""),IF(COUNTIF(P$4:P142,SUBSTITUTE(P142,"&amp;"""_up"",""""))&lt;IFERROR(VLOOKUP(P142,Upgrades!$L$3:$P$6,1+COUNTIF(P$4:P142,P142),0),999),1),IF(REGEXMATCH(P142,""Sell_""),IF(COUNTIF(P$4:P142,SUBSTITUTE(P142,""Sell_"",""""))-COUNTIF(P$4:P141,P142)&lt;1,1),FALSE)))))))))"),"")</f>
        <v/>
      </c>
      <c r="R142" s="71" t="str">
        <f>IFERROR(__xludf.DUMMYFUNCTION("IF(REGEXMATCH(P142,""^Sell_""),R141, IF(COUNTA(P142:P147)=0,"""",(COUNTIF(P$4:P142,""Cursor"")-COUNTIF(P$4:P142,""Sell_Cursor""))*(0.1*2^SWITCH(COUNTIF(P$4:P142,""Cursor_up""),0,0,1,1,2,2,3)+SWITCH(COUNTIF(P$4:P142,""Cursor_up""),4,0.1,0)*(ROW(P142)-4-COU"&amp;"NTIF(P$4:P142,""Cursor"")-COUNTIF(P$4:P142,""*""&amp;""_up"")-2*COUNTIF(P$4:P142,""Sell_""&amp;""*"")+COUNTIF(P$4:P142,""Sell_Cursor"")-COUNTIF(P$4:P142,"""")))+(COUNTIF(P$4:P142,""Grandma"")-COUNTIF(P$4:P142,""Sell_Grandma""))*(1*2^(COUNTIF(P$4:P142,""Grandma_up"&amp;""")+COUNTIF(P$4:P142,""Super_up"")))+(COUNTIF(P$4:P142,""Farm"")-COUNTIF(P$4:P142,""Sell_Farm""))*(8*2^COUNTIF(P$4:P142,""Farm_up""))*IF(COUNTIF(P$4:P142,""Super_up"")&gt;0,1+0.01*(COUNTIF(P$4:P142,""Grandma"")-COUNTIF(P$4:P142,""Sell_Grandma"")),1)+(COUNTIF"&amp;"(P$4:P142,""Mine"")-COUNTIF(P$4:P142,""Sell_Mine""))*((47*2^COUNTIF(P$4:P142,""Mine_up""))*IF(COUNTIF(P$4:P142,""Super_up"")&gt;1,1+0.005*(COUNTIF(P$4:P142,""Grandma"")-COUNTIF(P$4:P142,""Sell_Grandma"")),1))+(COUNTIF(P$4:P142,""Factory"")-COUNTIF(P$4:P142,"&amp;"""Sell_Factory""))*(260*2^COUNTIF(P$4:P142,""Factory_up""))))"),"")</f>
        <v/>
      </c>
      <c r="S142" s="73" t="str">
        <f>IFERROR(__xludf.DUMMYFUNCTION("IF(COUNTA(P142:P147)=0,"""",IF(REGEXMATCH(INDEX(FILTER(P$4:P142,P$4:P142&lt;&gt;""""),ROWS(FILTER(P$4:P142,P$4:P142&lt;&gt;""""))),""^Sell_""),INDEX(FILTER(S$4:S141,P$4:P141&lt;&gt;""""),ROWS(FILTER(P$4:P141,P$4:P141&lt;&gt;""""))),$AD$5*(2^SWITCH(COUNTIF(P$4:P142,""Cursor_up"")"&amp;",0,0,1,1,2,2,3)+SWITCH(COUNTIF(P$4:P142,""Cursor_up""),4,0.1,0)*(ROW(P142)-4-COUNTIF(P$4:P142,""Cursor"")-COUNTIF(P$4:P142,""*""&amp;""_up"")-2*COUNTIF(P$4:P142,""Sell_""&amp;""*"")+COUNTIF(P$4:P142,""Sell_Cursor"")-COUNTIF(P$4:P142,""""))+0.01*R142*COUNTIF(P$4:P"&amp;"142,""Plastic_up""))+R142))"),"")</f>
        <v/>
      </c>
      <c r="T142" s="14" t="str">
        <f>IFERROR(__xludf.DUMMYFUNCTION("IF(COUNTA(P142:P147)=0,"""",IF(REGEXMATCH(P142,""_up""),VLOOKUP(P142,Upgrades!$F$3:$J$8,1+COUNTIF(P$4:P142,P142),FALSE),IF(P142="""",0,IF(REGEXMATCH(P142,""^Sell_""),-ROUNDDOWN(ROUNDUP(INDEX(Upgrades!$C$3:$C$8,MATCH(SUBSTITUTE(P142,""Sell_"",""""),Upgrade"&amp;"s!$B$3:$B$8,0))*1.15^(COUNTIF(P$4:P141,SUBSTITUTE(P142,""Sell_"",""""))-COUNTIF(P$4:P141,""Sell_""&amp;SUBSTITUTE(P142,""Sell_"",""""))))/4),ROUNDUP(INDEX(Upgrades!$C$3:$C$7,MATCH(P142,Upgrades!$B$3:$B$7,0))*1.15^(COUNTIF(P$4:P141,P142)-COUNTIF(P$4:P141,""Sel"&amp;"l_""&amp;P142)))))))"),"")</f>
        <v/>
      </c>
      <c r="U142" s="14" t="str">
        <f t="shared" si="10"/>
        <v/>
      </c>
      <c r="V142" s="75" t="str">
        <f t="shared" si="11"/>
        <v/>
      </c>
      <c r="W142" s="76" t="str">
        <f t="shared" si="12"/>
        <v/>
      </c>
      <c r="X142" s="71" t="str">
        <f t="shared" si="13"/>
        <v/>
      </c>
      <c r="Y142" s="77" t="str">
        <f t="shared" si="14"/>
        <v/>
      </c>
      <c r="Z142" s="17"/>
      <c r="AA142" s="13"/>
      <c r="AB142" s="13"/>
      <c r="AC142" s="13"/>
      <c r="AD142" s="13"/>
      <c r="AE142" s="13"/>
      <c r="AF142" s="13"/>
      <c r="AG142" s="13"/>
    </row>
    <row r="143">
      <c r="A143" s="12"/>
      <c r="B143" s="65" t="str">
        <f t="shared" si="2"/>
        <v/>
      </c>
      <c r="C143" s="66"/>
      <c r="D143" s="14" t="str">
        <f>IFERROR(__xludf.DUMMYFUNCTION("IF(COUNTA(C143:C147)=0,"""",IFERROR(IF(ISBLANK(C143),FALSE,IF(ISBLANK(G143),1,IF(NOT(COUNTIF($AA$24:$AA$34,SUBSTITUTE(C143,""Sell_"",""""))),1,IF(C143=""Plastic_up"",IF(I143&lt;1000,1),IF(C143=""Super_Up"",IF(OR(COUNTIF(C$4:C143,""Grandma"")-COUNTIF(C$4:C143"&amp;",""Sell_Grandma"")&lt;1,COUNTIF(C$4:C143,VLOOKUP(C143,Upgrades!$F$8:$N$8,7+COUNTIF(C$4:C143,C143)))-COUNTIF(C$4:C143,""Sell_""&amp;VLOOKUP(C143,Upgrades!$F$8:$N$8,7+COUNTIF(C$4:C143,C143)))&lt;15),1),IF(REGEXMATCH(C143,""_up""),IF(COUNTIF(C$4:C143,SUBSTITUTE(C143,"&amp;"""_up"",""""))&lt;IFERROR(VLOOKUP(C143,Upgrades!$L$3:$P$6,1+COUNTIF(C$4:C143,C143),0),999),1),IF(REGEXMATCH(C143,""Sell_""),IF(COUNTIF(C$4:C143,SUBSTITUTE(C143,""Sell_"",""""))-COUNTIF(C$4:C142,C143)&lt;1,1),FALSE)))))))))"),"")</f>
        <v/>
      </c>
      <c r="E143" s="71" t="str">
        <f>IFERROR(__xludf.DUMMYFUNCTION("IF(REGEXMATCH(C143,""^Sell_""),E142, IF(COUNTA(C143:C147)=0,"""",(COUNTIF(C$4:C143,""Cursor"")-COUNTIF(C$4:C143,""Sell_Cursor""))*(0.1*2^SWITCH(COUNTIF(C$4:C143,""Cursor_up""),0,0,1,1,2,2,3)+SWITCH(COUNTIF(C$4:C143,""Cursor_up""),4,0.1,0)*(ROW(C143)-4-COU"&amp;"NTIF(C$4:C143,""Cursor"")-COUNTIF(C$4:C143,""*""&amp;""_up"")-2*COUNTIF(C$4:C143,""Sell_""&amp;""*"")+COUNTIF(C$4:C143,""Sell_Cursor"")-COUNTIF(C$4:C143,"""")))+(COUNTIF(C$4:C143,""Grandma"")-COUNTIF(C$4:C143,""Sell_Grandma""))*(1*2^(COUNTIF(C$4:C143,""Grandma_up"&amp;""")+COUNTIF(C$4:C143,""Super_up"")))+(COUNTIF(C$4:C143,""Farm"")-COUNTIF(C$4:C143,""Sell_Farm""))*(8*2^COUNTIF(C$4:C143,""Farm_up""))*IF(COUNTIF(C$4:C143,""Super_up"")&gt;0,1+0.01*(COUNTIF(C$4:C143,""Grandma"")-COUNTIF(C$4:C143,""Sell_Grandma"")),1)+(COUNTIF"&amp;"(C$4:C143,""Mine"")-COUNTIF(C$4:C143,""Sell_Mine""))*((47*2^COUNTIF(C$4:C143,""Mine_up""))*IF(COUNTIF(C$4:C143,""Super_up"")&gt;1,1+0.005*(COUNTIF(C$4:C143,""Grandma"")-COUNTIF(C$4:C143,""Sell_Grandma"")),1))+(COUNTIF(C$4:C143,""Factory"")-COUNTIF(C$4:C143,"&amp;"""Sell_Factory""))*(260*2^COUNTIF(C$4:C143,""Factory_up""))))"),"")</f>
        <v/>
      </c>
      <c r="F143" s="73" t="str">
        <f>IFERROR(__xludf.DUMMYFUNCTION("IF(COUNTA(C143:C147)=0,"""",IF(REGEXMATCH(INDEX(FILTER(C$4:C143,C$4:C143&lt;&gt;""""),ROWS(FILTER(C$4:C143,C$4:C143&lt;&gt;""""))),""^Sell_""),INDEX(FILTER(F$4:F142,C$4:C142&lt;&gt;""""),ROWS(FILTER(C$4:C142,C$4:C142&lt;&gt;""""))),$AC$5*(2^SWITCH(COUNTIF(C$4:C143,""Cursor_up"")"&amp;",0,0,1,1,2,2,3)+SWITCH(COUNTIF(C$4:C143,""Cursor_up""),4,0.1,0)*(ROW(C143)-4-COUNTIF(C$4:C143,""Cursor"")-COUNTIF(C$4:C143,""*""&amp;""_up"")-2*COUNTIF(C$4:C143,""Sell_""&amp;""*"")+COUNTIF(C$4:C143,""Sell_Cursor"")-COUNTIF(C$4:C143,""""))+0.01*E143*COUNTIF(C$4:C"&amp;"143,""Plastic_up""))+E143))"),"")</f>
        <v/>
      </c>
      <c r="G143" s="14" t="str">
        <f>IFERROR(__xludf.DUMMYFUNCTION("IF(COUNTA(C143:C147)=0,"""",IF(REGEXMATCH(C143,""_up""),VLOOKUP(C143,Upgrades!$F$3:$J$8,1+COUNTIF(C$4:C143,C143),FALSE),IF(C143="""",0,IF(REGEXMATCH(C143,""^Sell_""),-ROUNDDOWN(ROUNDUP(INDEX(Upgrades!$C$3:$C$8,MATCH(SUBSTITUTE(C143,""Sell_"",""""),Upgrade"&amp;"s!$B$3:$B$8,0))*1.15^(COUNTIF(C$4:C142,SUBSTITUTE(C143,""Sell_"",""""))-COUNTIF(C$4:C142,""Sell_""&amp;SUBSTITUTE(C143,""Sell_"",""""))))/4),ROUNDUP(INDEX(Upgrades!$C$3:$C$7,MATCH(C143,Upgrades!$B$3:$B$7,0))*1.15^(COUNTIF(C$4:C142,C143)-COUNTIF(C$4:C142,""Sel"&amp;"l_""&amp;C143)))))))"),"")</f>
        <v/>
      </c>
      <c r="H143" s="14" t="str">
        <f t="shared" si="3"/>
        <v/>
      </c>
      <c r="I143" s="75" t="str">
        <f t="shared" si="4"/>
        <v/>
      </c>
      <c r="J143" s="76" t="str">
        <f t="shared" si="5"/>
        <v/>
      </c>
      <c r="K143" s="71" t="str">
        <f t="shared" si="6"/>
        <v/>
      </c>
      <c r="L143" s="77" t="str">
        <f t="shared" si="7"/>
        <v/>
      </c>
      <c r="M143" s="51" t="str">
        <f t="shared" si="8"/>
        <v/>
      </c>
      <c r="N143" s="52" t="str">
        <f>IFERROR(__xludf.DUMMYFUNCTION("IFS(AND(COUNTA(C143:C147)=0,COUNTA(P143:P147)=0),"""",OR(AND(L143&gt;=1000000,OR(Y143&gt;=1000000,COUNTA(P143:P147)=0)),AND(Y143&gt;=1000000,COUNTA(C143:C147)=0),AND(COUNTA(P143:P147)=0,O$3=TRUE)),
ROUNDDOWN((AB$1-AC$1)*MAX(INDEX(S$4:S147,MATCH(LARGE(FILTER(Y$4:Y1"&amp;"47,Y$4:Y147&lt;1000000),1),Y$4:Y147)),INDEX(F$4:F147,MATCH(LARGE(FILTER(L$4:L147,L$4:L147&lt;1000000),1),L$4:L147)))),AND(L143&lt;1000000,COUNTA(C143:C147)&gt;0,O$3=FALSE),
ROUNDDOWN(INDEX(Y$4:Y147,MATCH(LARGE(FILTER(W$4:W147,W$4:W147&lt;=J143),1),W$4:W147))+(J143-LARGE"&amp;"(FILTER(W$4:W147,W$4:W147&lt;=J143),1))*INDEX(S$4:S147,MATCH(LARGE(FILTER(W$4:W147,W$4:W147&lt;=J143),1),W$4:W147))-L143),1,
ROUNDDOWN(Y143-INDEX(L$4:L147,MATCH(LARGE(FILTER(J$4:J147,J$4:J147&lt;=W143),1),J$4:J147))-(W143-LARGE(FILTER(J$4:J147,J$4:J147&lt;=W143),1))*"&amp;"INDEX(F$4:F147,MATCH(LARGE(FILTER(J$4:J147,J$4:J147&lt;=W143),1),J$4:J147))))"),"")</f>
        <v/>
      </c>
      <c r="O143" s="65" t="str">
        <f t="shared" si="9"/>
        <v/>
      </c>
      <c r="P143" s="15"/>
      <c r="Q143" s="14" t="str">
        <f>IFERROR(__xludf.DUMMYFUNCTION("IF(COUNTA(P143:P147)=0,"""",IFERROR(IF(ISBLANK(P143),FALSE,IF(ISBLANK(T143),1,IF(NOT(COUNTIF($AA$24:$AA$34,SUBSTITUTE(P143,""Sell_"",""""))),1,IF(P143=""Plastic_up"",IF(V143&lt;1000,1),IF(P143=""Super_Up"",IF(OR(COUNTIF(P$4:P143,""Grandma"")-COUNTIF(P$4:P143"&amp;",""Sell_Grandma"")&lt;1,COUNTIF(P$4:P143,VLOOKUP(P143,Upgrades!$F$8:$N$8,7+COUNTIF(P$4:P143,P143)))-COUNTIF(P$4:P143,""Sell_""&amp;VLOOKUP(P143,Upgrades!$F$8:$N$8,7+COUNTIF(P$4:P143,P143)))&lt;15),1),IF(REGEXMATCH(P143,""_up""),IF(COUNTIF(P$4:P143,SUBSTITUTE(P143,"&amp;"""_up"",""""))&lt;IFERROR(VLOOKUP(P143,Upgrades!$L$3:$P$6,1+COUNTIF(P$4:P143,P143),0),999),1),IF(REGEXMATCH(P143,""Sell_""),IF(COUNTIF(P$4:P143,SUBSTITUTE(P143,""Sell_"",""""))-COUNTIF(P$4:P142,P143)&lt;1,1),FALSE)))))))))"),"")</f>
        <v/>
      </c>
      <c r="R143" s="71" t="str">
        <f>IFERROR(__xludf.DUMMYFUNCTION("IF(REGEXMATCH(P143,""^Sell_""),R142, IF(COUNTA(P143:P147)=0,"""",(COUNTIF(P$4:P143,""Cursor"")-COUNTIF(P$4:P143,""Sell_Cursor""))*(0.1*2^SWITCH(COUNTIF(P$4:P143,""Cursor_up""),0,0,1,1,2,2,3)+SWITCH(COUNTIF(P$4:P143,""Cursor_up""),4,0.1,0)*(ROW(P143)-4-COU"&amp;"NTIF(P$4:P143,""Cursor"")-COUNTIF(P$4:P143,""*""&amp;""_up"")-2*COUNTIF(P$4:P143,""Sell_""&amp;""*"")+COUNTIF(P$4:P143,""Sell_Cursor"")-COUNTIF(P$4:P143,"""")))+(COUNTIF(P$4:P143,""Grandma"")-COUNTIF(P$4:P143,""Sell_Grandma""))*(1*2^(COUNTIF(P$4:P143,""Grandma_up"&amp;""")+COUNTIF(P$4:P143,""Super_up"")))+(COUNTIF(P$4:P143,""Farm"")-COUNTIF(P$4:P143,""Sell_Farm""))*(8*2^COUNTIF(P$4:P143,""Farm_up""))*IF(COUNTIF(P$4:P143,""Super_up"")&gt;0,1+0.01*(COUNTIF(P$4:P143,""Grandma"")-COUNTIF(P$4:P143,""Sell_Grandma"")),1)+(COUNTIF"&amp;"(P$4:P143,""Mine"")-COUNTIF(P$4:P143,""Sell_Mine""))*((47*2^COUNTIF(P$4:P143,""Mine_up""))*IF(COUNTIF(P$4:P143,""Super_up"")&gt;1,1+0.005*(COUNTIF(P$4:P143,""Grandma"")-COUNTIF(P$4:P143,""Sell_Grandma"")),1))+(COUNTIF(P$4:P143,""Factory"")-COUNTIF(P$4:P143,"&amp;"""Sell_Factory""))*(260*2^COUNTIF(P$4:P143,""Factory_up""))))"),"")</f>
        <v/>
      </c>
      <c r="S143" s="73" t="str">
        <f>IFERROR(__xludf.DUMMYFUNCTION("IF(COUNTA(P143:P147)=0,"""",IF(REGEXMATCH(INDEX(FILTER(P$4:P143,P$4:P143&lt;&gt;""""),ROWS(FILTER(P$4:P143,P$4:P143&lt;&gt;""""))),""^Sell_""),INDEX(FILTER(S$4:S142,P$4:P142&lt;&gt;""""),ROWS(FILTER(P$4:P142,P$4:P142&lt;&gt;""""))),$AD$5*(2^SWITCH(COUNTIF(P$4:P143,""Cursor_up"")"&amp;",0,0,1,1,2,2,3)+SWITCH(COUNTIF(P$4:P143,""Cursor_up""),4,0.1,0)*(ROW(P143)-4-COUNTIF(P$4:P143,""Cursor"")-COUNTIF(P$4:P143,""*""&amp;""_up"")-2*COUNTIF(P$4:P143,""Sell_""&amp;""*"")+COUNTIF(P$4:P143,""Sell_Cursor"")-COUNTIF(P$4:P143,""""))+0.01*R143*COUNTIF(P$4:P"&amp;"143,""Plastic_up""))+R143))"),"")</f>
        <v/>
      </c>
      <c r="T143" s="14" t="str">
        <f>IFERROR(__xludf.DUMMYFUNCTION("IF(COUNTA(P143:P147)=0,"""",IF(REGEXMATCH(P143,""_up""),VLOOKUP(P143,Upgrades!$F$3:$J$8,1+COUNTIF(P$4:P143,P143),FALSE),IF(P143="""",0,IF(REGEXMATCH(P143,""^Sell_""),-ROUNDDOWN(ROUNDUP(INDEX(Upgrades!$C$3:$C$8,MATCH(SUBSTITUTE(P143,""Sell_"",""""),Upgrade"&amp;"s!$B$3:$B$8,0))*1.15^(COUNTIF(P$4:P142,SUBSTITUTE(P143,""Sell_"",""""))-COUNTIF(P$4:P142,""Sell_""&amp;SUBSTITUTE(P143,""Sell_"",""""))))/4),ROUNDUP(INDEX(Upgrades!$C$3:$C$7,MATCH(P143,Upgrades!$B$3:$B$7,0))*1.15^(COUNTIF(P$4:P142,P143)-COUNTIF(P$4:P142,""Sel"&amp;"l_""&amp;P143)))))))"),"")</f>
        <v/>
      </c>
      <c r="U143" s="14" t="str">
        <f t="shared" si="10"/>
        <v/>
      </c>
      <c r="V143" s="75" t="str">
        <f t="shared" si="11"/>
        <v/>
      </c>
      <c r="W143" s="76" t="str">
        <f t="shared" si="12"/>
        <v/>
      </c>
      <c r="X143" s="71" t="str">
        <f t="shared" si="13"/>
        <v/>
      </c>
      <c r="Y143" s="77" t="str">
        <f t="shared" si="14"/>
        <v/>
      </c>
      <c r="Z143" s="17"/>
      <c r="AA143" s="13"/>
      <c r="AB143" s="13"/>
      <c r="AC143" s="13"/>
      <c r="AD143" s="13"/>
      <c r="AE143" s="13"/>
      <c r="AF143" s="13"/>
      <c r="AG143" s="13"/>
    </row>
    <row r="144">
      <c r="A144" s="12"/>
      <c r="B144" s="65" t="str">
        <f t="shared" si="2"/>
        <v/>
      </c>
      <c r="C144" s="66"/>
      <c r="D144" s="14" t="str">
        <f>IFERROR(__xludf.DUMMYFUNCTION("IF(COUNTA(C144:C147)=0,"""",IFERROR(IF(ISBLANK(C144),FALSE,IF(ISBLANK(G144),1,IF(NOT(COUNTIF($AA$24:$AA$34,SUBSTITUTE(C144,""Sell_"",""""))),1,IF(C144=""Plastic_up"",IF(I144&lt;1000,1),IF(C144=""Super_Up"",IF(OR(COUNTIF(C$4:C144,""Grandma"")-COUNTIF(C$4:C144"&amp;",""Sell_Grandma"")&lt;1,COUNTIF(C$4:C144,VLOOKUP(C144,Upgrades!$F$8:$N$8,7+COUNTIF(C$4:C144,C144)))-COUNTIF(C$4:C144,""Sell_""&amp;VLOOKUP(C144,Upgrades!$F$8:$N$8,7+COUNTIF(C$4:C144,C144)))&lt;15),1),IF(REGEXMATCH(C144,""_up""),IF(COUNTIF(C$4:C144,SUBSTITUTE(C144,"&amp;"""_up"",""""))&lt;IFERROR(VLOOKUP(C144,Upgrades!$L$3:$P$6,1+COUNTIF(C$4:C144,C144),0),999),1),IF(REGEXMATCH(C144,""Sell_""),IF(COUNTIF(C$4:C144,SUBSTITUTE(C144,""Sell_"",""""))-COUNTIF(C$4:C143,C144)&lt;1,1),FALSE)))))))))"),"")</f>
        <v/>
      </c>
      <c r="E144" s="71" t="str">
        <f>IFERROR(__xludf.DUMMYFUNCTION("IF(REGEXMATCH(C144,""^Sell_""),E143, IF(COUNTA(C144:C147)=0,"""",(COUNTIF(C$4:C144,""Cursor"")-COUNTIF(C$4:C144,""Sell_Cursor""))*(0.1*2^SWITCH(COUNTIF(C$4:C144,""Cursor_up""),0,0,1,1,2,2,3)+SWITCH(COUNTIF(C$4:C144,""Cursor_up""),4,0.1,0)*(ROW(C144)-4-COU"&amp;"NTIF(C$4:C144,""Cursor"")-COUNTIF(C$4:C144,""*""&amp;""_up"")-2*COUNTIF(C$4:C144,""Sell_""&amp;""*"")+COUNTIF(C$4:C144,""Sell_Cursor"")-COUNTIF(C$4:C144,"""")))+(COUNTIF(C$4:C144,""Grandma"")-COUNTIF(C$4:C144,""Sell_Grandma""))*(1*2^(COUNTIF(C$4:C144,""Grandma_up"&amp;""")+COUNTIF(C$4:C144,""Super_up"")))+(COUNTIF(C$4:C144,""Farm"")-COUNTIF(C$4:C144,""Sell_Farm""))*(8*2^COUNTIF(C$4:C144,""Farm_up""))*IF(COUNTIF(C$4:C144,""Super_up"")&gt;0,1+0.01*(COUNTIF(C$4:C144,""Grandma"")-COUNTIF(C$4:C144,""Sell_Grandma"")),1)+(COUNTIF"&amp;"(C$4:C144,""Mine"")-COUNTIF(C$4:C144,""Sell_Mine""))*((47*2^COUNTIF(C$4:C144,""Mine_up""))*IF(COUNTIF(C$4:C144,""Super_up"")&gt;1,1+0.005*(COUNTIF(C$4:C144,""Grandma"")-COUNTIF(C$4:C144,""Sell_Grandma"")),1))+(COUNTIF(C$4:C144,""Factory"")-COUNTIF(C$4:C144,"&amp;"""Sell_Factory""))*(260*2^COUNTIF(C$4:C144,""Factory_up""))))"),"")</f>
        <v/>
      </c>
      <c r="F144" s="73" t="str">
        <f>IFERROR(__xludf.DUMMYFUNCTION("IF(COUNTA(C144:C147)=0,"""",IF(REGEXMATCH(INDEX(FILTER(C$4:C144,C$4:C144&lt;&gt;""""),ROWS(FILTER(C$4:C144,C$4:C144&lt;&gt;""""))),""^Sell_""),INDEX(FILTER(F$4:F143,C$4:C143&lt;&gt;""""),ROWS(FILTER(C$4:C143,C$4:C143&lt;&gt;""""))),$AC$5*(2^SWITCH(COUNTIF(C$4:C144,""Cursor_up"")"&amp;",0,0,1,1,2,2,3)+SWITCH(COUNTIF(C$4:C144,""Cursor_up""),4,0.1,0)*(ROW(C144)-4-COUNTIF(C$4:C144,""Cursor"")-COUNTIF(C$4:C144,""*""&amp;""_up"")-2*COUNTIF(C$4:C144,""Sell_""&amp;""*"")+COUNTIF(C$4:C144,""Sell_Cursor"")-COUNTIF(C$4:C144,""""))+0.01*E144*COUNTIF(C$4:C"&amp;"144,""Plastic_up""))+E144))"),"")</f>
        <v/>
      </c>
      <c r="G144" s="14" t="str">
        <f>IFERROR(__xludf.DUMMYFUNCTION("IF(COUNTA(C144:C147)=0,"""",IF(REGEXMATCH(C144,""_up""),VLOOKUP(C144,Upgrades!$F$3:$J$8,1+COUNTIF(C$4:C144,C144),FALSE),IF(C144="""",0,IF(REGEXMATCH(C144,""^Sell_""),-ROUNDDOWN(ROUNDUP(INDEX(Upgrades!$C$3:$C$8,MATCH(SUBSTITUTE(C144,""Sell_"",""""),Upgrade"&amp;"s!$B$3:$B$8,0))*1.15^(COUNTIF(C$4:C143,SUBSTITUTE(C144,""Sell_"",""""))-COUNTIF(C$4:C143,""Sell_""&amp;SUBSTITUTE(C144,""Sell_"",""""))))/4),ROUNDUP(INDEX(Upgrades!$C$3:$C$7,MATCH(C144,Upgrades!$B$3:$B$7,0))*1.15^(COUNTIF(C$4:C143,C144)-COUNTIF(C$4:C143,""Sel"&amp;"l_""&amp;C144)))))))"),"")</f>
        <v/>
      </c>
      <c r="H144" s="14" t="str">
        <f t="shared" si="3"/>
        <v/>
      </c>
      <c r="I144" s="75" t="str">
        <f t="shared" si="4"/>
        <v/>
      </c>
      <c r="J144" s="76" t="str">
        <f t="shared" si="5"/>
        <v/>
      </c>
      <c r="K144" s="71" t="str">
        <f t="shared" si="6"/>
        <v/>
      </c>
      <c r="L144" s="77" t="str">
        <f t="shared" si="7"/>
        <v/>
      </c>
      <c r="M144" s="51" t="str">
        <f t="shared" si="8"/>
        <v/>
      </c>
      <c r="N144" s="52" t="str">
        <f>IFERROR(__xludf.DUMMYFUNCTION("IFS(AND(COUNTA(C144:C147)=0,COUNTA(P144:P147)=0),"""",OR(AND(L144&gt;=1000000,OR(Y144&gt;=1000000,COUNTA(P144:P147)=0)),AND(Y144&gt;=1000000,COUNTA(C144:C147)=0),AND(COUNTA(P144:P147)=0,O$3=TRUE)),
ROUNDDOWN((AB$1-AC$1)*MAX(INDEX(S$4:S147,MATCH(LARGE(FILTER(Y$4:Y1"&amp;"47,Y$4:Y147&lt;1000000),1),Y$4:Y147)),INDEX(F$4:F147,MATCH(LARGE(FILTER(L$4:L147,L$4:L147&lt;1000000),1),L$4:L147)))),AND(L144&lt;1000000,COUNTA(C144:C147)&gt;0,O$3=FALSE),
ROUNDDOWN(INDEX(Y$4:Y147,MATCH(LARGE(FILTER(W$4:W147,W$4:W147&lt;=J144),1),W$4:W147))+(J144-LARGE"&amp;"(FILTER(W$4:W147,W$4:W147&lt;=J144),1))*INDEX(S$4:S147,MATCH(LARGE(FILTER(W$4:W147,W$4:W147&lt;=J144),1),W$4:W147))-L144),1,
ROUNDDOWN(Y144-INDEX(L$4:L147,MATCH(LARGE(FILTER(J$4:J147,J$4:J147&lt;=W144),1),J$4:J147))-(W144-LARGE(FILTER(J$4:J147,J$4:J147&lt;=W144),1))*"&amp;"INDEX(F$4:F147,MATCH(LARGE(FILTER(J$4:J147,J$4:J147&lt;=W144),1),J$4:J147))))"),"")</f>
        <v/>
      </c>
      <c r="O144" s="65" t="str">
        <f t="shared" si="9"/>
        <v/>
      </c>
      <c r="P144" s="15"/>
      <c r="Q144" s="14" t="str">
        <f>IFERROR(__xludf.DUMMYFUNCTION("IF(COUNTA(P144:P147)=0,"""",IFERROR(IF(ISBLANK(P144),FALSE,IF(ISBLANK(T144),1,IF(NOT(COUNTIF($AA$24:$AA$34,SUBSTITUTE(P144,""Sell_"",""""))),1,IF(P144=""Plastic_up"",IF(V144&lt;1000,1),IF(P144=""Super_Up"",IF(OR(COUNTIF(P$4:P144,""Grandma"")-COUNTIF(P$4:P144"&amp;",""Sell_Grandma"")&lt;1,COUNTIF(P$4:P144,VLOOKUP(P144,Upgrades!$F$8:$N$8,7+COUNTIF(P$4:P144,P144)))-COUNTIF(P$4:P144,""Sell_""&amp;VLOOKUP(P144,Upgrades!$F$8:$N$8,7+COUNTIF(P$4:P144,P144)))&lt;15),1),IF(REGEXMATCH(P144,""_up""),IF(COUNTIF(P$4:P144,SUBSTITUTE(P144,"&amp;"""_up"",""""))&lt;IFERROR(VLOOKUP(P144,Upgrades!$L$3:$P$6,1+COUNTIF(P$4:P144,P144),0),999),1),IF(REGEXMATCH(P144,""Sell_""),IF(COUNTIF(P$4:P144,SUBSTITUTE(P144,""Sell_"",""""))-COUNTIF(P$4:P143,P144)&lt;1,1),FALSE)))))))))"),"")</f>
        <v/>
      </c>
      <c r="R144" s="71" t="str">
        <f>IFERROR(__xludf.DUMMYFUNCTION("IF(REGEXMATCH(P144,""^Sell_""),R143, IF(COUNTA(P144:P147)=0,"""",(COUNTIF(P$4:P144,""Cursor"")-COUNTIF(P$4:P144,""Sell_Cursor""))*(0.1*2^SWITCH(COUNTIF(P$4:P144,""Cursor_up""),0,0,1,1,2,2,3)+SWITCH(COUNTIF(P$4:P144,""Cursor_up""),4,0.1,0)*(ROW(P144)-4-COU"&amp;"NTIF(P$4:P144,""Cursor"")-COUNTIF(P$4:P144,""*""&amp;""_up"")-2*COUNTIF(P$4:P144,""Sell_""&amp;""*"")+COUNTIF(P$4:P144,""Sell_Cursor"")-COUNTIF(P$4:P144,"""")))+(COUNTIF(P$4:P144,""Grandma"")-COUNTIF(P$4:P144,""Sell_Grandma""))*(1*2^(COUNTIF(P$4:P144,""Grandma_up"&amp;""")+COUNTIF(P$4:P144,""Super_up"")))+(COUNTIF(P$4:P144,""Farm"")-COUNTIF(P$4:P144,""Sell_Farm""))*(8*2^COUNTIF(P$4:P144,""Farm_up""))*IF(COUNTIF(P$4:P144,""Super_up"")&gt;0,1+0.01*(COUNTIF(P$4:P144,""Grandma"")-COUNTIF(P$4:P144,""Sell_Grandma"")),1)+(COUNTIF"&amp;"(P$4:P144,""Mine"")-COUNTIF(P$4:P144,""Sell_Mine""))*((47*2^COUNTIF(P$4:P144,""Mine_up""))*IF(COUNTIF(P$4:P144,""Super_up"")&gt;1,1+0.005*(COUNTIF(P$4:P144,""Grandma"")-COUNTIF(P$4:P144,""Sell_Grandma"")),1))+(COUNTIF(P$4:P144,""Factory"")-COUNTIF(P$4:P144,"&amp;"""Sell_Factory""))*(260*2^COUNTIF(P$4:P144,""Factory_up""))))"),"")</f>
        <v/>
      </c>
      <c r="S144" s="73" t="str">
        <f>IFERROR(__xludf.DUMMYFUNCTION("IF(COUNTA(P144:P147)=0,"""",IF(REGEXMATCH(INDEX(FILTER(P$4:P144,P$4:P144&lt;&gt;""""),ROWS(FILTER(P$4:P144,P$4:P144&lt;&gt;""""))),""^Sell_""),INDEX(FILTER(S$4:S143,P$4:P143&lt;&gt;""""),ROWS(FILTER(P$4:P143,P$4:P143&lt;&gt;""""))),$AD$5*(2^SWITCH(COUNTIF(P$4:P144,""Cursor_up"")"&amp;",0,0,1,1,2,2,3)+SWITCH(COUNTIF(P$4:P144,""Cursor_up""),4,0.1,0)*(ROW(P144)-4-COUNTIF(P$4:P144,""Cursor"")-COUNTIF(P$4:P144,""*""&amp;""_up"")-2*COUNTIF(P$4:P144,""Sell_""&amp;""*"")+COUNTIF(P$4:P144,""Sell_Cursor"")-COUNTIF(P$4:P144,""""))+0.01*R144*COUNTIF(P$4:P"&amp;"144,""Plastic_up""))+R144))"),"")</f>
        <v/>
      </c>
      <c r="T144" s="14" t="str">
        <f>IFERROR(__xludf.DUMMYFUNCTION("IF(COUNTA(P144:P147)=0,"""",IF(REGEXMATCH(P144,""_up""),VLOOKUP(P144,Upgrades!$F$3:$J$8,1+COUNTIF(P$4:P144,P144),FALSE),IF(P144="""",0,IF(REGEXMATCH(P144,""^Sell_""),-ROUNDDOWN(ROUNDUP(INDEX(Upgrades!$C$3:$C$8,MATCH(SUBSTITUTE(P144,""Sell_"",""""),Upgrade"&amp;"s!$B$3:$B$8,0))*1.15^(COUNTIF(P$4:P143,SUBSTITUTE(P144,""Sell_"",""""))-COUNTIF(P$4:P143,""Sell_""&amp;SUBSTITUTE(P144,""Sell_"",""""))))/4),ROUNDUP(INDEX(Upgrades!$C$3:$C$7,MATCH(P144,Upgrades!$B$3:$B$7,0))*1.15^(COUNTIF(P$4:P143,P144)-COUNTIF(P$4:P143,""Sel"&amp;"l_""&amp;P144)))))))"),"")</f>
        <v/>
      </c>
      <c r="U144" s="14" t="str">
        <f t="shared" si="10"/>
        <v/>
      </c>
      <c r="V144" s="75" t="str">
        <f t="shared" si="11"/>
        <v/>
      </c>
      <c r="W144" s="76" t="str">
        <f t="shared" si="12"/>
        <v/>
      </c>
      <c r="X144" s="71" t="str">
        <f t="shared" si="13"/>
        <v/>
      </c>
      <c r="Y144" s="77" t="str">
        <f t="shared" si="14"/>
        <v/>
      </c>
      <c r="Z144" s="17"/>
      <c r="AA144" s="13"/>
      <c r="AB144" s="13"/>
      <c r="AC144" s="13"/>
      <c r="AD144" s="13"/>
      <c r="AE144" s="13"/>
      <c r="AF144" s="13"/>
      <c r="AG144" s="13"/>
    </row>
    <row r="145">
      <c r="A145" s="12"/>
      <c r="B145" s="65" t="str">
        <f t="shared" si="2"/>
        <v/>
      </c>
      <c r="C145" s="66"/>
      <c r="D145" s="14" t="str">
        <f>IFERROR(__xludf.DUMMYFUNCTION("IF(COUNTA(C145:C147)=0,"""",IFERROR(IF(ISBLANK(C145),FALSE,IF(ISBLANK(G145),1,IF(NOT(COUNTIF($AA$24:$AA$34,SUBSTITUTE(C145,""Sell_"",""""))),1,IF(C145=""Plastic_up"",IF(I145&lt;1000,1),IF(C145=""Super_Up"",IF(OR(COUNTIF(C$4:C145,""Grandma"")-COUNTIF(C$4:C145"&amp;",""Sell_Grandma"")&lt;1,COUNTIF(C$4:C145,VLOOKUP(C145,Upgrades!$F$8:$N$8,7+COUNTIF(C$4:C145,C145)))-COUNTIF(C$4:C145,""Sell_""&amp;VLOOKUP(C145,Upgrades!$F$8:$N$8,7+COUNTIF(C$4:C145,C145)))&lt;15),1),IF(REGEXMATCH(C145,""_up""),IF(COUNTIF(C$4:C145,SUBSTITUTE(C145,"&amp;"""_up"",""""))&lt;IFERROR(VLOOKUP(C145,Upgrades!$L$3:$P$6,1+COUNTIF(C$4:C145,C145),0),999),1),IF(REGEXMATCH(C145,""Sell_""),IF(COUNTIF(C$4:C145,SUBSTITUTE(C145,""Sell_"",""""))-COUNTIF(C$4:C144,C145)&lt;1,1),FALSE)))))))))"),"")</f>
        <v/>
      </c>
      <c r="E145" s="71" t="str">
        <f>IFERROR(__xludf.DUMMYFUNCTION("IF(REGEXMATCH(C145,""^Sell_""),E144, IF(COUNTA(C145:C147)=0,"""",(COUNTIF(C$4:C145,""Cursor"")-COUNTIF(C$4:C145,""Sell_Cursor""))*(0.1*2^SWITCH(COUNTIF(C$4:C145,""Cursor_up""),0,0,1,1,2,2,3)+SWITCH(COUNTIF(C$4:C145,""Cursor_up""),4,0.1,0)*(ROW(C145)-4-COU"&amp;"NTIF(C$4:C145,""Cursor"")-COUNTIF(C$4:C145,""*""&amp;""_up"")-2*COUNTIF(C$4:C145,""Sell_""&amp;""*"")+COUNTIF(C$4:C145,""Sell_Cursor"")-COUNTIF(C$4:C145,"""")))+(COUNTIF(C$4:C145,""Grandma"")-COUNTIF(C$4:C145,""Sell_Grandma""))*(1*2^(COUNTIF(C$4:C145,""Grandma_up"&amp;""")+COUNTIF(C$4:C145,""Super_up"")))+(COUNTIF(C$4:C145,""Farm"")-COUNTIF(C$4:C145,""Sell_Farm""))*(8*2^COUNTIF(C$4:C145,""Farm_up""))*IF(COUNTIF(C$4:C145,""Super_up"")&gt;0,1+0.01*(COUNTIF(C$4:C145,""Grandma"")-COUNTIF(C$4:C145,""Sell_Grandma"")),1)+(COUNTIF"&amp;"(C$4:C145,""Mine"")-COUNTIF(C$4:C145,""Sell_Mine""))*((47*2^COUNTIF(C$4:C145,""Mine_up""))*IF(COUNTIF(C$4:C145,""Super_up"")&gt;1,1+0.005*(COUNTIF(C$4:C145,""Grandma"")-COUNTIF(C$4:C145,""Sell_Grandma"")),1))+(COUNTIF(C$4:C145,""Factory"")-COUNTIF(C$4:C145,"&amp;"""Sell_Factory""))*(260*2^COUNTIF(C$4:C145,""Factory_up""))))"),"")</f>
        <v/>
      </c>
      <c r="F145" s="73" t="str">
        <f>IFERROR(__xludf.DUMMYFUNCTION("IF(COUNTA(C145:C147)=0,"""",IF(REGEXMATCH(INDEX(FILTER(C$4:C145,C$4:C145&lt;&gt;""""),ROWS(FILTER(C$4:C145,C$4:C145&lt;&gt;""""))),""^Sell_""),INDEX(FILTER(F$4:F144,C$4:C144&lt;&gt;""""),ROWS(FILTER(C$4:C144,C$4:C144&lt;&gt;""""))),$AC$5*(2^SWITCH(COUNTIF(C$4:C145,""Cursor_up"")"&amp;",0,0,1,1,2,2,3)+SWITCH(COUNTIF(C$4:C145,""Cursor_up""),4,0.1,0)*(ROW(C145)-4-COUNTIF(C$4:C145,""Cursor"")-COUNTIF(C$4:C145,""*""&amp;""_up"")-2*COUNTIF(C$4:C145,""Sell_""&amp;""*"")+COUNTIF(C$4:C145,""Sell_Cursor"")-COUNTIF(C$4:C145,""""))+0.01*E145*COUNTIF(C$4:C"&amp;"145,""Plastic_up""))+E145))"),"")</f>
        <v/>
      </c>
      <c r="G145" s="14" t="str">
        <f>IFERROR(__xludf.DUMMYFUNCTION("IF(COUNTA(C145:C147)=0,"""",IF(REGEXMATCH(C145,""_up""),VLOOKUP(C145,Upgrades!$F$3:$J$8,1+COUNTIF(C$4:C145,C145),FALSE),IF(C145="""",0,IF(REGEXMATCH(C145,""^Sell_""),-ROUNDDOWN(ROUNDUP(INDEX(Upgrades!$C$3:$C$8,MATCH(SUBSTITUTE(C145,""Sell_"",""""),Upgrade"&amp;"s!$B$3:$B$8,0))*1.15^(COUNTIF(C$4:C144,SUBSTITUTE(C145,""Sell_"",""""))-COUNTIF(C$4:C144,""Sell_""&amp;SUBSTITUTE(C145,""Sell_"",""""))))/4),ROUNDUP(INDEX(Upgrades!$C$3:$C$7,MATCH(C145,Upgrades!$B$3:$B$7,0))*1.15^(COUNTIF(C$4:C144,C145)-COUNTIF(C$4:C144,""Sel"&amp;"l_""&amp;C145)))))))"),"")</f>
        <v/>
      </c>
      <c r="H145" s="14" t="str">
        <f t="shared" si="3"/>
        <v/>
      </c>
      <c r="I145" s="75" t="str">
        <f t="shared" si="4"/>
        <v/>
      </c>
      <c r="J145" s="76" t="str">
        <f t="shared" si="5"/>
        <v/>
      </c>
      <c r="K145" s="71" t="str">
        <f t="shared" si="6"/>
        <v/>
      </c>
      <c r="L145" s="77" t="str">
        <f t="shared" si="7"/>
        <v/>
      </c>
      <c r="M145" s="51" t="str">
        <f t="shared" si="8"/>
        <v/>
      </c>
      <c r="N145" s="52" t="str">
        <f>IFERROR(__xludf.DUMMYFUNCTION("IFS(AND(COUNTA(C145:C147)=0,COUNTA(P145:P147)=0),"""",OR(AND(L145&gt;=1000000,OR(Y145&gt;=1000000,COUNTA(P145:P147)=0)),AND(Y145&gt;=1000000,COUNTA(C145:C147)=0),AND(COUNTA(P145:P147)=0,O$3=TRUE)),
ROUNDDOWN((AB$1-AC$1)*MAX(INDEX(S$4:S147,MATCH(LARGE(FILTER(Y$4:Y1"&amp;"47,Y$4:Y147&lt;1000000),1),Y$4:Y147)),INDEX(F$4:F147,MATCH(LARGE(FILTER(L$4:L147,L$4:L147&lt;1000000),1),L$4:L147)))),AND(L145&lt;1000000,COUNTA(C145:C147)&gt;0,O$3=FALSE),
ROUNDDOWN(INDEX(Y$4:Y147,MATCH(LARGE(FILTER(W$4:W147,W$4:W147&lt;=J145),1),W$4:W147))+(J145-LARGE"&amp;"(FILTER(W$4:W147,W$4:W147&lt;=J145),1))*INDEX(S$4:S147,MATCH(LARGE(FILTER(W$4:W147,W$4:W147&lt;=J145),1),W$4:W147))-L145),1,
ROUNDDOWN(Y145-INDEX(L$4:L147,MATCH(LARGE(FILTER(J$4:J147,J$4:J147&lt;=W145),1),J$4:J147))-(W145-LARGE(FILTER(J$4:J147,J$4:J147&lt;=W145),1))*"&amp;"INDEX(F$4:F147,MATCH(LARGE(FILTER(J$4:J147,J$4:J147&lt;=W145),1),J$4:J147))))"),"")</f>
        <v/>
      </c>
      <c r="O145" s="65" t="str">
        <f t="shared" si="9"/>
        <v/>
      </c>
      <c r="P145" s="66"/>
      <c r="Q145" s="14" t="str">
        <f>IFERROR(__xludf.DUMMYFUNCTION("IF(COUNTA(P145:P147)=0,"""",IFERROR(IF(ISBLANK(P145),FALSE,IF(ISBLANK(T145),1,IF(NOT(COUNTIF($AA$24:$AA$34,SUBSTITUTE(P145,""Sell_"",""""))),1,IF(P145=""Plastic_up"",IF(V145&lt;1000,1),IF(P145=""Super_Up"",IF(OR(COUNTIF(P$4:P145,""Grandma"")-COUNTIF(P$4:P145"&amp;",""Sell_Grandma"")&lt;1,COUNTIF(P$4:P145,VLOOKUP(P145,Upgrades!$F$8:$N$8,7+COUNTIF(P$4:P145,P145)))-COUNTIF(P$4:P145,""Sell_""&amp;VLOOKUP(P145,Upgrades!$F$8:$N$8,7+COUNTIF(P$4:P145,P145)))&lt;15),1),IF(REGEXMATCH(P145,""_up""),IF(COUNTIF(P$4:P145,SUBSTITUTE(P145,"&amp;"""_up"",""""))&lt;IFERROR(VLOOKUP(P145,Upgrades!$L$3:$P$6,1+COUNTIF(P$4:P145,P145),0),999),1),IF(REGEXMATCH(P145,""Sell_""),IF(COUNTIF(P$4:P145,SUBSTITUTE(P145,""Sell_"",""""))-COUNTIF(P$4:P144,P145)&lt;1,1),FALSE)))))))))"),"")</f>
        <v/>
      </c>
      <c r="R145" s="71" t="str">
        <f>IFERROR(__xludf.DUMMYFUNCTION("IF(REGEXMATCH(P145,""^Sell_""),R144, IF(COUNTA(P145:P147)=0,"""",(COUNTIF(P$4:P145,""Cursor"")-COUNTIF(P$4:P145,""Sell_Cursor""))*(0.1*2^SWITCH(COUNTIF(P$4:P145,""Cursor_up""),0,0,1,1,2,2,3)+SWITCH(COUNTIF(P$4:P145,""Cursor_up""),4,0.1,0)*(ROW(P145)-4-COU"&amp;"NTIF(P$4:P145,""Cursor"")-COUNTIF(P$4:P145,""*""&amp;""_up"")-2*COUNTIF(P$4:P145,""Sell_""&amp;""*"")+COUNTIF(P$4:P145,""Sell_Cursor"")-COUNTIF(P$4:P145,"""")))+(COUNTIF(P$4:P145,""Grandma"")-COUNTIF(P$4:P145,""Sell_Grandma""))*(1*2^(COUNTIF(P$4:P145,""Grandma_up"&amp;""")+COUNTIF(P$4:P145,""Super_up"")))+(COUNTIF(P$4:P145,""Farm"")-COUNTIF(P$4:P145,""Sell_Farm""))*(8*2^COUNTIF(P$4:P145,""Farm_up""))*IF(COUNTIF(P$4:P145,""Super_up"")&gt;0,1+0.01*(COUNTIF(P$4:P145,""Grandma"")-COUNTIF(P$4:P145,""Sell_Grandma"")),1)+(COUNTIF"&amp;"(P$4:P145,""Mine"")-COUNTIF(P$4:P145,""Sell_Mine""))*((47*2^COUNTIF(P$4:P145,""Mine_up""))*IF(COUNTIF(P$4:P145,""Super_up"")&gt;1,1+0.005*(COUNTIF(P$4:P145,""Grandma"")-COUNTIF(P$4:P145,""Sell_Grandma"")),1))+(COUNTIF(P$4:P145,""Factory"")-COUNTIF(P$4:P145,"&amp;"""Sell_Factory""))*(260*2^COUNTIF(P$4:P145,""Factory_up""))))"),"")</f>
        <v/>
      </c>
      <c r="S145" s="73" t="str">
        <f>IFERROR(__xludf.DUMMYFUNCTION("IF(COUNTA(P145:P147)=0,"""",IF(REGEXMATCH(INDEX(FILTER(P$4:P145,P$4:P145&lt;&gt;""""),ROWS(FILTER(P$4:P145,P$4:P145&lt;&gt;""""))),""^Sell_""),INDEX(FILTER(S$4:S144,P$4:P144&lt;&gt;""""),ROWS(FILTER(P$4:P144,P$4:P144&lt;&gt;""""))),$AD$5*(2^SWITCH(COUNTIF(P$4:P145,""Cursor_up"")"&amp;",0,0,1,1,2,2,3)+SWITCH(COUNTIF(P$4:P145,""Cursor_up""),4,0.1,0)*(ROW(P145)-4-COUNTIF(P$4:P145,""Cursor"")-COUNTIF(P$4:P145,""*""&amp;""_up"")-2*COUNTIF(P$4:P145,""Sell_""&amp;""*"")+COUNTIF(P$4:P145,""Sell_Cursor"")-COUNTIF(P$4:P145,""""))+0.01*R145*COUNTIF(P$4:P"&amp;"145,""Plastic_up""))+R145))"),"")</f>
        <v/>
      </c>
      <c r="T145" s="14" t="str">
        <f>IFERROR(__xludf.DUMMYFUNCTION("IF(COUNTA(P145:P147)=0,"""",IF(REGEXMATCH(P145,""_up""),VLOOKUP(P145,Upgrades!$F$3:$J$8,1+COUNTIF(P$4:P145,P145),FALSE),IF(P145="""",0,IF(REGEXMATCH(P145,""^Sell_""),-ROUNDDOWN(ROUNDUP(INDEX(Upgrades!$C$3:$C$8,MATCH(SUBSTITUTE(P145,""Sell_"",""""),Upgrade"&amp;"s!$B$3:$B$8,0))*1.15^(COUNTIF(P$4:P144,SUBSTITUTE(P145,""Sell_"",""""))-COUNTIF(P$4:P144,""Sell_""&amp;SUBSTITUTE(P145,""Sell_"",""""))))/4),ROUNDUP(INDEX(Upgrades!$C$3:$C$7,MATCH(P145,Upgrades!$B$3:$B$7,0))*1.15^(COUNTIF(P$4:P144,P145)-COUNTIF(P$4:P144,""Sel"&amp;"l_""&amp;P145)))))))"),"")</f>
        <v/>
      </c>
      <c r="U145" s="14" t="str">
        <f t="shared" si="10"/>
        <v/>
      </c>
      <c r="V145" s="75" t="str">
        <f t="shared" si="11"/>
        <v/>
      </c>
      <c r="W145" s="76" t="str">
        <f t="shared" si="12"/>
        <v/>
      </c>
      <c r="X145" s="71" t="str">
        <f t="shared" si="13"/>
        <v/>
      </c>
      <c r="Y145" s="77" t="str">
        <f t="shared" si="14"/>
        <v/>
      </c>
      <c r="Z145" s="17"/>
      <c r="AA145" s="13"/>
      <c r="AB145" s="13"/>
      <c r="AC145" s="13"/>
      <c r="AD145" s="13"/>
      <c r="AE145" s="13"/>
      <c r="AF145" s="13"/>
      <c r="AG145" s="13"/>
    </row>
    <row r="146">
      <c r="A146" s="12"/>
      <c r="B146" s="65" t="str">
        <f t="shared" si="2"/>
        <v/>
      </c>
      <c r="C146" s="66"/>
      <c r="D146" s="14" t="str">
        <f>IFERROR(__xludf.DUMMYFUNCTION("IF(COUNTA(C146:C147)=0,"""",IFERROR(IF(ISBLANK(C146),FALSE,IF(ISBLANK(G146),1,IF(NOT(COUNTIF($AA$24:$AA$34,SUBSTITUTE(C146,""Sell_"",""""))),1,IF(C146=""Plastic_up"",IF(I146&lt;1000,1),IF(C146=""Super_Up"",IF(OR(COUNTIF(C$4:C146,""Grandma"")-COUNTIF(C$4:C146"&amp;",""Sell_Grandma"")&lt;1,COUNTIF(C$4:C146,VLOOKUP(C146,Upgrades!$F$8:$N$8,7+COUNTIF(C$4:C146,C146)))-COUNTIF(C$4:C146,""Sell_""&amp;VLOOKUP(C146,Upgrades!$F$8:$N$8,7+COUNTIF(C$4:C146,C146)))&lt;15),1),IF(REGEXMATCH(C146,""_up""),IF(COUNTIF(C$4:C146,SUBSTITUTE(C146,"&amp;"""_up"",""""))&lt;IFERROR(VLOOKUP(C146,Upgrades!$L$3:$P$6,1+COUNTIF(C$4:C146,C146),0),999),1),IF(REGEXMATCH(C146,""Sell_""),IF(COUNTIF(C$4:C146,SUBSTITUTE(C146,""Sell_"",""""))-COUNTIF(C$4:C145,C146)&lt;1,1),FALSE)))))))))"),"")</f>
        <v/>
      </c>
      <c r="E146" s="71" t="str">
        <f>IFERROR(__xludf.DUMMYFUNCTION("IF(REGEXMATCH(C146,""^Sell_""),E145, IF(COUNTA(C146:C147)=0,"""",(COUNTIF(C$4:C146,""Cursor"")-COUNTIF(C$4:C146,""Sell_Cursor""))*(0.1*2^SWITCH(COUNTIF(C$4:C146,""Cursor_up""),0,0,1,1,2,2,3)+SWITCH(COUNTIF(C$4:C146,""Cursor_up""),4,0.1,0)*(ROW(C146)-4-COU"&amp;"NTIF(C$4:C146,""Cursor"")-COUNTIF(C$4:C146,""*""&amp;""_up"")-2*COUNTIF(C$4:C146,""Sell_""&amp;""*"")+COUNTIF(C$4:C146,""Sell_Cursor"")-COUNTIF(C$4:C146,"""")))+(COUNTIF(C$4:C146,""Grandma"")-COUNTIF(C$4:C146,""Sell_Grandma""))*(1*2^(COUNTIF(C$4:C146,""Grandma_up"&amp;""")+COUNTIF(C$4:C146,""Super_up"")))+(COUNTIF(C$4:C146,""Farm"")-COUNTIF(C$4:C146,""Sell_Farm""))*(8*2^COUNTIF(C$4:C146,""Farm_up""))*IF(COUNTIF(C$4:C146,""Super_up"")&gt;0,1+0.01*(COUNTIF(C$4:C146,""Grandma"")-COUNTIF(C$4:C146,""Sell_Grandma"")),1)+(COUNTIF"&amp;"(C$4:C146,""Mine"")-COUNTIF(C$4:C146,""Sell_Mine""))*((47*2^COUNTIF(C$4:C146,""Mine_up""))*IF(COUNTIF(C$4:C146,""Super_up"")&gt;1,1+0.005*(COUNTIF(C$4:C146,""Grandma"")-COUNTIF(C$4:C146,""Sell_Grandma"")),1))+(COUNTIF(C$4:C146,""Factory"")-COUNTIF(C$4:C146,"&amp;"""Sell_Factory""))*(260*2^COUNTIF(C$4:C146,""Factory_up""))))"),"")</f>
        <v/>
      </c>
      <c r="F146" s="73" t="str">
        <f>IFERROR(__xludf.DUMMYFUNCTION("IF(COUNTA(C146:C147)=0,"""",IF(REGEXMATCH(INDEX(FILTER(C$4:C146,C$4:C146&lt;&gt;""""),ROWS(FILTER(C$4:C146,C$4:C146&lt;&gt;""""))),""^Sell_""),INDEX(FILTER(F$4:F145,C$4:C145&lt;&gt;""""),ROWS(FILTER(C$4:C145,C$4:C145&lt;&gt;""""))),$AC$5*(2^SWITCH(COUNTIF(C$4:C146,""Cursor_up"")"&amp;",0,0,1,1,2,2,3)+SWITCH(COUNTIF(C$4:C146,""Cursor_up""),4,0.1,0)*(ROW(C146)-4-COUNTIF(C$4:C146,""Cursor"")-COUNTIF(C$4:C146,""*""&amp;""_up"")-2*COUNTIF(C$4:C146,""Sell_""&amp;""*"")+COUNTIF(C$4:C146,""Sell_Cursor"")-COUNTIF(C$4:C146,""""))+0.01*E146*COUNTIF(C$4:C"&amp;"146,""Plastic_up""))+E146))"),"")</f>
        <v/>
      </c>
      <c r="G146" s="14" t="str">
        <f>IFERROR(__xludf.DUMMYFUNCTION("IF(COUNTA(C146:C147)=0,"""",IF(REGEXMATCH(C146,""_up""),VLOOKUP(C146,Upgrades!$F$3:$J$8,1+COUNTIF(C$4:C146,C146),FALSE),IF(C146="""",0,IF(REGEXMATCH(C146,""^Sell_""),-ROUNDDOWN(ROUNDUP(INDEX(Upgrades!$C$3:$C$8,MATCH(SUBSTITUTE(C146,""Sell_"",""""),Upgrade"&amp;"s!$B$3:$B$8,0))*1.15^(COUNTIF(C$4:C145,SUBSTITUTE(C146,""Sell_"",""""))-COUNTIF(C$4:C145,""Sell_""&amp;SUBSTITUTE(C146,""Sell_"",""""))))/4),ROUNDUP(INDEX(Upgrades!$C$3:$C$7,MATCH(C146,Upgrades!$B$3:$B$7,0))*1.15^(COUNTIF(C$4:C145,C146)-COUNTIF(C$4:C145,""Sel"&amp;"l_""&amp;C146)))))))"),"")</f>
        <v/>
      </c>
      <c r="H146" s="14" t="str">
        <f t="shared" si="3"/>
        <v/>
      </c>
      <c r="I146" s="75" t="str">
        <f t="shared" si="4"/>
        <v/>
      </c>
      <c r="J146" s="76" t="str">
        <f t="shared" si="5"/>
        <v/>
      </c>
      <c r="K146" s="71" t="str">
        <f t="shared" si="6"/>
        <v/>
      </c>
      <c r="L146" s="77" t="str">
        <f t="shared" si="7"/>
        <v/>
      </c>
      <c r="M146" s="51" t="str">
        <f t="shared" si="8"/>
        <v/>
      </c>
      <c r="N146" s="52" t="str">
        <f>IFERROR(__xludf.DUMMYFUNCTION("IFS(AND(COUNTA(C146:C147)=0,COUNTA(P146:P147)=0),"""",OR(AND(L146&gt;=1000000,OR(Y146&gt;=1000000,COUNTA(P146:P147)=0)),AND(Y146&gt;=1000000,COUNTA(C146:C147)=0),AND(COUNTA(P146:P147)=0,O$3=TRUE)),
ROUNDDOWN((AB$1-AC$1)*MAX(INDEX(S$4:S147,MATCH(LARGE(FILTER(Y$4:Y1"&amp;"47,Y$4:Y147&lt;1000000),1),Y$4:Y147)),INDEX(F$4:F147,MATCH(LARGE(FILTER(L$4:L147,L$4:L147&lt;1000000),1),L$4:L147)))),AND(L146&lt;1000000,COUNTA(C146:C147)&gt;0,O$3=FALSE),
ROUNDDOWN(INDEX(Y$4:Y147,MATCH(LARGE(FILTER(W$4:W147,W$4:W147&lt;=J146),1),W$4:W147))+(J146-LARGE"&amp;"(FILTER(W$4:W147,W$4:W147&lt;=J146),1))*INDEX(S$4:S147,MATCH(LARGE(FILTER(W$4:W147,W$4:W147&lt;=J146),1),W$4:W147))-L146),1,
ROUNDDOWN(Y146-INDEX(L$4:L147,MATCH(LARGE(FILTER(J$4:J147,J$4:J147&lt;=W146),1),J$4:J147))-(W146-LARGE(FILTER(J$4:J147,J$4:J147&lt;=W146),1))*"&amp;"INDEX(F$4:F147,MATCH(LARGE(FILTER(J$4:J147,J$4:J147&lt;=W146),1),J$4:J147))))"),"")</f>
        <v/>
      </c>
      <c r="O146" s="65" t="str">
        <f t="shared" si="9"/>
        <v/>
      </c>
      <c r="P146" s="66"/>
      <c r="Q146" s="14" t="str">
        <f>IFERROR(__xludf.DUMMYFUNCTION("IF(COUNTA(P146:P147)=0,"""",IFERROR(IF(ISBLANK(P146),FALSE,IF(ISBLANK(T146),1,IF(NOT(COUNTIF($AA$24:$AA$34,SUBSTITUTE(P146,""Sell_"",""""))),1,IF(P146=""Plastic_up"",IF(V146&lt;1000,1),IF(P146=""Super_Up"",IF(OR(COUNTIF(P$4:P146,""Grandma"")-COUNTIF(P$4:P146"&amp;",""Sell_Grandma"")&lt;1,COUNTIF(P$4:P146,VLOOKUP(P146,Upgrades!$F$8:$N$8,7+COUNTIF(P$4:P146,P146)))-COUNTIF(P$4:P146,""Sell_""&amp;VLOOKUP(P146,Upgrades!$F$8:$N$8,7+COUNTIF(P$4:P146,P146)))&lt;15),1),IF(REGEXMATCH(P146,""_up""),IF(COUNTIF(P$4:P146,SUBSTITUTE(P146,"&amp;"""_up"",""""))&lt;IFERROR(VLOOKUP(P146,Upgrades!$L$3:$P$6,1+COUNTIF(P$4:P146,P146),0),999),1),IF(REGEXMATCH(P146,""Sell_""),IF(COUNTIF(P$4:P146,SUBSTITUTE(P146,""Sell_"",""""))-COUNTIF(P$4:P145,P146)&lt;1,1),FALSE)))))))))"),"")</f>
        <v/>
      </c>
      <c r="R146" s="71" t="str">
        <f>IFERROR(__xludf.DUMMYFUNCTION("IF(REGEXMATCH(P146,""^Sell_""),R145, IF(COUNTA(P146:P147)=0,"""",(COUNTIF(P$4:P146,""Cursor"")-COUNTIF(P$4:P146,""Sell_Cursor""))*(0.1*2^SWITCH(COUNTIF(P$4:P146,""Cursor_up""),0,0,1,1,2,2,3)+SWITCH(COUNTIF(P$4:P146,""Cursor_up""),4,0.1,0)*(ROW(P146)-4-COU"&amp;"NTIF(P$4:P146,""Cursor"")-COUNTIF(P$4:P146,""*""&amp;""_up"")-2*COUNTIF(P$4:P146,""Sell_""&amp;""*"")+COUNTIF(P$4:P146,""Sell_Cursor"")-COUNTIF(P$4:P146,"""")))+(COUNTIF(P$4:P146,""Grandma"")-COUNTIF(P$4:P146,""Sell_Grandma""))*(1*2^(COUNTIF(P$4:P146,""Grandma_up"&amp;""")+COUNTIF(P$4:P146,""Super_up"")))+(COUNTIF(P$4:P146,""Farm"")-COUNTIF(P$4:P146,""Sell_Farm""))*(8*2^COUNTIF(P$4:P146,""Farm_up""))*IF(COUNTIF(P$4:P146,""Super_up"")&gt;0,1+0.01*(COUNTIF(P$4:P146,""Grandma"")-COUNTIF(P$4:P146,""Sell_Grandma"")),1)+(COUNTIF"&amp;"(P$4:P146,""Mine"")-COUNTIF(P$4:P146,""Sell_Mine""))*((47*2^COUNTIF(P$4:P146,""Mine_up""))*IF(COUNTIF(P$4:P146,""Super_up"")&gt;1,1+0.005*(COUNTIF(P$4:P146,""Grandma"")-COUNTIF(P$4:P146,""Sell_Grandma"")),1))+(COUNTIF(P$4:P146,""Factory"")-COUNTIF(P$4:P146,"&amp;"""Sell_Factory""))*(260*2^COUNTIF(P$4:P146,""Factory_up""))))"),"")</f>
        <v/>
      </c>
      <c r="S146" s="73" t="str">
        <f>IFERROR(__xludf.DUMMYFUNCTION("IF(COUNTA(P146:P147)=0,"""",IF(REGEXMATCH(INDEX(FILTER(P$4:P146,P$4:P146&lt;&gt;""""),ROWS(FILTER(P$4:P146,P$4:P146&lt;&gt;""""))),""^Sell_""),INDEX(FILTER(S$4:S145,P$4:P145&lt;&gt;""""),ROWS(FILTER(P$4:P145,P$4:P145&lt;&gt;""""))),$AD$5*(2^SWITCH(COUNTIF(P$4:P146,""Cursor_up"")"&amp;",0,0,1,1,2,2,3)+SWITCH(COUNTIF(P$4:P146,""Cursor_up""),4,0.1,0)*(ROW(P146)-4-COUNTIF(P$4:P146,""Cursor"")-COUNTIF(P$4:P146,""*""&amp;""_up"")-2*COUNTIF(P$4:P146,""Sell_""&amp;""*"")+COUNTIF(P$4:P146,""Sell_Cursor"")-COUNTIF(P$4:P146,""""))+0.01*R146*COUNTIF(P$4:P"&amp;"146,""Plastic_up""))+R146))"),"")</f>
        <v/>
      </c>
      <c r="T146" s="14" t="str">
        <f>IFERROR(__xludf.DUMMYFUNCTION("IF(COUNTA(P146:P147)=0,"""",IF(REGEXMATCH(P146,""_up""),VLOOKUP(P146,Upgrades!$F$3:$J$8,1+COUNTIF(P$4:P146,P146),FALSE),IF(P146="""",0,IF(REGEXMATCH(P146,""^Sell_""),-ROUNDDOWN(ROUNDUP(INDEX(Upgrades!$C$3:$C$8,MATCH(SUBSTITUTE(P146,""Sell_"",""""),Upgrade"&amp;"s!$B$3:$B$8,0))*1.15^(COUNTIF(P$4:P145,SUBSTITUTE(P146,""Sell_"",""""))-COUNTIF(P$4:P145,""Sell_""&amp;SUBSTITUTE(P146,""Sell_"",""""))))/4),ROUNDUP(INDEX(Upgrades!$C$3:$C$7,MATCH(P146,Upgrades!$B$3:$B$7,0))*1.15^(COUNTIF(P$4:P145,P146)-COUNTIF(P$4:P145,""Sel"&amp;"l_""&amp;P146)))))))"),"")</f>
        <v/>
      </c>
      <c r="U146" s="14" t="str">
        <f t="shared" si="10"/>
        <v/>
      </c>
      <c r="V146" s="75" t="str">
        <f t="shared" si="11"/>
        <v/>
      </c>
      <c r="W146" s="76" t="str">
        <f t="shared" si="12"/>
        <v/>
      </c>
      <c r="X146" s="71" t="str">
        <f t="shared" si="13"/>
        <v/>
      </c>
      <c r="Y146" s="77" t="str">
        <f t="shared" si="14"/>
        <v/>
      </c>
      <c r="Z146" s="17"/>
      <c r="AA146" s="13"/>
      <c r="AB146" s="13"/>
      <c r="AC146" s="13"/>
      <c r="AD146" s="13"/>
      <c r="AE146" s="13"/>
      <c r="AF146" s="13"/>
      <c r="AG146" s="13"/>
    </row>
    <row r="147" ht="11.25" customHeight="1">
      <c r="A147" s="12"/>
      <c r="B147" s="120"/>
      <c r="C147" s="121"/>
      <c r="D147" s="120"/>
      <c r="E147" s="24"/>
      <c r="F147" s="26"/>
      <c r="G147" s="26"/>
      <c r="H147" s="26"/>
      <c r="I147" s="120"/>
      <c r="J147" s="26"/>
      <c r="K147" s="26"/>
      <c r="L147" s="26"/>
      <c r="M147" s="122"/>
      <c r="N147" s="123"/>
      <c r="O147" s="120"/>
      <c r="P147" s="24"/>
      <c r="Q147" s="120"/>
      <c r="R147" s="24"/>
      <c r="S147" s="26"/>
      <c r="T147" s="26"/>
      <c r="U147" s="26"/>
      <c r="V147" s="120"/>
      <c r="W147" s="26"/>
      <c r="X147" s="26"/>
      <c r="Y147" s="26"/>
      <c r="Z147" s="17"/>
      <c r="AA147" s="13"/>
      <c r="AB147" s="13"/>
      <c r="AC147" s="13"/>
      <c r="AD147" s="13"/>
      <c r="AE147" s="13"/>
      <c r="AF147" s="13"/>
      <c r="AG147" s="13"/>
    </row>
  </sheetData>
  <mergeCells count="8">
    <mergeCell ref="AC1:AD1"/>
    <mergeCell ref="AA2:AA3"/>
    <mergeCell ref="AB2:AB3"/>
    <mergeCell ref="AC2:AD3"/>
    <mergeCell ref="AE2:AE3"/>
    <mergeCell ref="AF2:AF3"/>
    <mergeCell ref="AA5:AB5"/>
    <mergeCell ref="AD39:AE39"/>
  </mergeCells>
  <conditionalFormatting sqref="M4:M147">
    <cfRule type="containsText" dxfId="0" priority="1" operator="containsText" text="-">
      <formula>NOT(ISERROR(SEARCH(("-"),(M4))))</formula>
    </cfRule>
  </conditionalFormatting>
  <conditionalFormatting sqref="M4:M147">
    <cfRule type="cellIs" dxfId="1" priority="2" operator="greaterThan">
      <formula>0</formula>
    </cfRule>
  </conditionalFormatting>
  <conditionalFormatting sqref="M4:N147">
    <cfRule type="cellIs" dxfId="0" priority="3" operator="greaterThan">
      <formula>0</formula>
    </cfRule>
  </conditionalFormatting>
  <conditionalFormatting sqref="M4:N147">
    <cfRule type="containsText" dxfId="1" priority="4" operator="containsText" text="-">
      <formula>NOT(ISERROR(SEARCH(("-"),(M4))))</formula>
    </cfRule>
  </conditionalFormatting>
  <conditionalFormatting sqref="AC5:AD5 AC7 AC39:AD39">
    <cfRule type="cellIs" dxfId="1" priority="5" operator="equal">
      <formula>"NO"</formula>
    </cfRule>
  </conditionalFormatting>
  <conditionalFormatting sqref="AC5:AD5 AC7 AC39:AD39">
    <cfRule type="cellIs" dxfId="0" priority="6" operator="equal">
      <formula>"YES"</formula>
    </cfRule>
  </conditionalFormatting>
  <conditionalFormatting sqref="C4:C146 P4:P146">
    <cfRule type="expression" dxfId="2" priority="7">
      <formula>D4=1</formula>
    </cfRule>
  </conditionalFormatting>
  <conditionalFormatting sqref="AC5:AD5 AC7 AC39:AD39">
    <cfRule type="cellIs" dxfId="2" priority="8" operator="lessThan">
      <formula>0</formula>
    </cfRule>
  </conditionalFormatting>
  <conditionalFormatting sqref="P4:P146 C5:C146">
    <cfRule type="expression" dxfId="2" priority="9">
      <formula>Q4=1</formula>
    </cfRule>
  </conditionalFormatting>
  <conditionalFormatting sqref="N4:N147">
    <cfRule type="containsText" dxfId="3" priority="10" operator="containsText" text="-">
      <formula>NOT(ISERROR(SEARCH(("-"),(N4))))</formula>
    </cfRule>
  </conditionalFormatting>
  <conditionalFormatting sqref="N4:N147">
    <cfRule type="cellIs" dxfId="4" priority="11" operator="notEqual">
      <formula>0</formula>
    </cfRule>
  </conditionalFormatting>
  <conditionalFormatting sqref="M4:M147">
    <cfRule type="expression" dxfId="3" priority="12">
      <formula>VALUE(M4)&gt;10000</formula>
    </cfRule>
  </conditionalFormatting>
  <conditionalFormatting sqref="AC7 AC39:AD39">
    <cfRule type="cellIs" dxfId="4" priority="13" operator="equal">
      <formula>"YES"</formula>
    </cfRule>
  </conditionalFormatting>
  <conditionalFormatting sqref="AF2:AF3">
    <cfRule type="cellIs" dxfId="4" priority="14" operator="lessThan">
      <formula>0</formula>
    </cfRule>
  </conditionalFormatting>
  <conditionalFormatting sqref="AF2:AF3">
    <cfRule type="cellIs" dxfId="3" priority="15" operator="greaterThan">
      <formula>0</formula>
    </cfRule>
  </conditionalFormatting>
  <conditionalFormatting sqref="Y1:Y147 L1:L147">
    <cfRule type="cellIs" dxfId="1" priority="16" operator="greaterThanOrEqual">
      <formula>1000000</formula>
    </cfRule>
  </conditionalFormatting>
  <hyperlinks>
    <hyperlink r:id="rId1" ref="AD3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
    <col customWidth="1" min="2" max="2" width="3.0"/>
    <col customWidth="1" min="3" max="3" width="12.0"/>
    <col customWidth="1" hidden="1" min="4" max="4" width="10.63"/>
    <col customWidth="1" hidden="1" min="5" max="5" width="9.13"/>
    <col customWidth="1" min="6" max="6" width="8.63"/>
    <col customWidth="1" hidden="1" min="7" max="7" width="9.88"/>
    <col customWidth="1" hidden="1" min="8" max="8" width="9.25"/>
    <col customWidth="1" hidden="1" min="9" max="9" width="10.38"/>
    <col customWidth="1" min="10" max="10" width="8.25"/>
    <col customWidth="1" hidden="1" min="11" max="11" width="8.38"/>
    <col customWidth="1" min="12" max="12" width="9.0"/>
    <col customWidth="1" min="13" max="13" width="8.25"/>
    <col customWidth="1" min="14" max="14" width="8.88"/>
    <col customWidth="1" min="15" max="15" width="3.0"/>
    <col customWidth="1" min="16" max="16" width="12.0"/>
    <col customWidth="1" hidden="1" min="17" max="17" width="10.63"/>
    <col customWidth="1" min="18" max="18" width="9.13"/>
    <col customWidth="1" min="19" max="19" width="8.63"/>
    <col customWidth="1" min="20" max="20" width="9.88"/>
    <col customWidth="1" min="21" max="21" width="9.25"/>
    <col customWidth="1" min="22" max="22" width="10.38"/>
    <col customWidth="1" min="23" max="23" width="8.25"/>
    <col customWidth="1" min="24" max="24" width="11.38"/>
    <col customWidth="1" min="25" max="25" width="9.0"/>
    <col customWidth="1" min="26" max="26" width="2.0"/>
    <col customWidth="1" min="27" max="27" width="11.88"/>
    <col customWidth="1" min="28" max="28" width="11.38"/>
    <col customWidth="1" min="29" max="30" width="5.75"/>
    <col customWidth="1" min="31" max="31" width="4.63"/>
    <col customWidth="1" min="32" max="32" width="9.38"/>
    <col customWidth="1" min="33" max="33" width="2.0"/>
  </cols>
  <sheetData>
    <row r="1" ht="15.0" hidden="1" customHeight="1">
      <c r="E1" s="1"/>
      <c r="M1" s="2"/>
      <c r="N1" s="4"/>
      <c r="R1" s="1"/>
      <c r="AB1" s="19">
        <f t="array" ref="AB1">INDEX(J$4:J147,MATCH(LARGE(L$4:L147,COUNTIF(L$4:L147,"&gt;"&amp;1000000)+1),L$4:L147,1))+(1000000-LARGE(L$4:L147,COUNTIF(L$4:L147,"&gt;"&amp;1000000)+1))/INDEX(F$4:F147,MATCH(LARGE(L$4:L147,COUNTIF(L$4:L147,"&gt;"&amp;1000000)+1),L$4:L147,1))</f>
        <v>225.59099</v>
      </c>
      <c r="AC1" s="19">
        <f t="array" ref="AC1">INDEX(W$4:W147,MATCH(LARGE(Y$4:Y147,COUNTIF(Y$4:Y147,"&gt;"&amp;1000000)+1),Y$4:Y147,1))+(1000000-LARGE(Y$4:Y147,COUNTIF(Y$4:Y147,"&gt;"&amp;1000000)+1))/INDEX(S$4:S147,MATCH(LARGE(Y$4:Y147,COUNTIF(Y$4:Y147,"&gt;"&amp;1000000)+1),Y$4:Y147,1))</f>
        <v>224.5782355</v>
      </c>
      <c r="AG1" s="13"/>
    </row>
    <row r="2" ht="11.25" customHeight="1">
      <c r="A2" s="12"/>
      <c r="B2" s="12"/>
      <c r="C2" s="21"/>
      <c r="D2" s="12"/>
      <c r="E2" s="24"/>
      <c r="F2" s="26"/>
      <c r="G2" s="26"/>
      <c r="H2" s="26"/>
      <c r="I2" s="12"/>
      <c r="J2" s="26"/>
      <c r="K2" s="26"/>
      <c r="L2" s="17"/>
      <c r="M2" s="29"/>
      <c r="N2" s="30"/>
      <c r="O2" s="12"/>
      <c r="P2" s="21"/>
      <c r="Q2" s="12"/>
      <c r="R2" s="24"/>
      <c r="S2" s="26"/>
      <c r="T2" s="26"/>
      <c r="U2" s="26"/>
      <c r="V2" s="12"/>
      <c r="W2" s="26"/>
      <c r="X2" s="26"/>
      <c r="Y2" s="17"/>
      <c r="Z2" s="17"/>
      <c r="AA2" s="33" t="s">
        <v>28</v>
      </c>
      <c r="AB2" s="37" t="str">
        <f t="shared" ref="AB2:AC2" si="1">IF(AB1&gt;3600,TRUNC(AB1/3600)&amp;"h ","")&amp;IF(AB1&gt;59,IF(AND(AB1&gt;3599,QUOTIENT(MOD(AB1,3600),60)&lt;10),"0","")&amp;QUOTIENT(MOD(AB1,3600),60)&amp;"m ","")&amp;IF(AND(AB1&gt;=10,MOD(AB1,60)&lt;10),"0","")&amp;ROUNDDOWN(MOD(AB1,60),0)&amp;"s"</f>
        <v>3m 45s</v>
      </c>
      <c r="AC2" s="38" t="str">
        <f t="shared" si="1"/>
        <v>3m 44s</v>
      </c>
      <c r="AD2" s="39"/>
      <c r="AE2" s="40" t="s">
        <v>29</v>
      </c>
      <c r="AF2" s="42">
        <f>AC1-AB1</f>
        <v>-1.0127545</v>
      </c>
      <c r="AG2" s="13"/>
    </row>
    <row r="3" ht="15.0" customHeight="1">
      <c r="A3" s="44"/>
      <c r="B3" s="46" t="s">
        <v>32</v>
      </c>
      <c r="C3" s="47" t="s">
        <v>34</v>
      </c>
      <c r="D3" s="47" t="s">
        <v>35</v>
      </c>
      <c r="E3" s="49" t="s">
        <v>36</v>
      </c>
      <c r="F3" s="47" t="s">
        <v>37</v>
      </c>
      <c r="G3" s="47" t="s">
        <v>38</v>
      </c>
      <c r="H3" s="47" t="s">
        <v>39</v>
      </c>
      <c r="I3" s="47" t="s">
        <v>22</v>
      </c>
      <c r="J3" s="50" t="s">
        <v>40</v>
      </c>
      <c r="K3" s="50" t="s">
        <v>41</v>
      </c>
      <c r="L3" s="50" t="s">
        <v>42</v>
      </c>
      <c r="M3" s="51" t="s">
        <v>43</v>
      </c>
      <c r="N3" s="52" t="s">
        <v>44</v>
      </c>
      <c r="O3" s="54" t="b">
        <v>0</v>
      </c>
      <c r="P3" s="56" t="s">
        <v>45</v>
      </c>
      <c r="Q3" s="56" t="s">
        <v>35</v>
      </c>
      <c r="R3" s="56" t="s">
        <v>36</v>
      </c>
      <c r="S3" s="56" t="s">
        <v>37</v>
      </c>
      <c r="T3" s="56" t="s">
        <v>38</v>
      </c>
      <c r="U3" s="56" t="s">
        <v>39</v>
      </c>
      <c r="V3" s="56" t="s">
        <v>22</v>
      </c>
      <c r="W3" s="56" t="s">
        <v>40</v>
      </c>
      <c r="X3" s="56" t="s">
        <v>46</v>
      </c>
      <c r="Y3" s="56" t="s">
        <v>42</v>
      </c>
      <c r="Z3" s="17"/>
      <c r="AA3" s="58"/>
      <c r="AB3" s="59"/>
      <c r="AC3" s="60"/>
      <c r="AD3" s="59"/>
      <c r="AE3" s="61"/>
      <c r="AF3" s="61"/>
      <c r="AG3" s="13"/>
    </row>
    <row r="4" ht="15.75" customHeight="1">
      <c r="A4" s="12"/>
      <c r="B4" s="65">
        <f>COUNTIF(C$4:C4,C4)-COUNTIF(C$4:C4,"Sell_"&amp;C4)</f>
        <v>1</v>
      </c>
      <c r="C4" s="66" t="s">
        <v>47</v>
      </c>
      <c r="D4" s="14" t="b">
        <v>0</v>
      </c>
      <c r="E4" s="68">
        <v>0.0</v>
      </c>
      <c r="F4" s="14">
        <f>IF($AC$5&gt;0,$AC$5,15)</f>
        <v>200</v>
      </c>
      <c r="G4" s="14">
        <v>0.0</v>
      </c>
      <c r="H4" s="14">
        <v>0.0</v>
      </c>
      <c r="I4" s="14">
        <v>0.0</v>
      </c>
      <c r="J4" s="70">
        <v>0.0</v>
      </c>
      <c r="K4" s="14" t="s">
        <v>48</v>
      </c>
      <c r="L4" s="71">
        <v>0.0</v>
      </c>
      <c r="M4" s="51">
        <v>0.0</v>
      </c>
      <c r="N4" s="52">
        <v>0.0</v>
      </c>
      <c r="O4" s="65">
        <f>COUNTIF(P$4:P4,P4)-COUNTIF(P$4:P4,"Sell_"&amp;P4)</f>
        <v>1</v>
      </c>
      <c r="P4" s="66" t="s">
        <v>47</v>
      </c>
      <c r="Q4" s="14" t="b">
        <v>0</v>
      </c>
      <c r="R4" s="68">
        <v>0.0</v>
      </c>
      <c r="S4" s="14">
        <f>IF($AD$5&gt;0,$AD$5,15)</f>
        <v>200</v>
      </c>
      <c r="T4" s="14">
        <v>0.0</v>
      </c>
      <c r="U4" s="14">
        <v>0.0</v>
      </c>
      <c r="V4" s="14">
        <v>0.0</v>
      </c>
      <c r="W4" s="70">
        <v>0.0</v>
      </c>
      <c r="X4" s="14" t="s">
        <v>48</v>
      </c>
      <c r="Y4" s="71">
        <v>0.0</v>
      </c>
      <c r="Z4" s="17"/>
      <c r="AG4" s="13"/>
    </row>
    <row r="5">
      <c r="A5" s="12"/>
      <c r="B5" s="65">
        <f t="shared" ref="B5:B146" si="2">IF(COUNTA(C5:C147)=0,"",COUNTIF(C$4:C5,C5)-COUNTIF(C$4:C5,"Sell_"&amp;C5))</f>
        <v>1</v>
      </c>
      <c r="C5" s="66" t="s">
        <v>10</v>
      </c>
      <c r="D5" s="14" t="b">
        <f>IFERROR(__xludf.DUMMYFUNCTION("IF(COUNTA(C5:C147)=0,"""",IFERROR(IF(ISBLANK(C5),FALSE,IF(ISBLANK(G5),1,IF(NOT(COUNTIF($AA$24:$AA$34,SUBSTITUTE(C5,""Sell_"",""""))),1,IF(C5=""Plastic_up"",IF(I5&lt;1000,1),IF(C5=""Super_Up"",IF(OR(COUNTIF(C$4:C5,""Grandma"")-COUNTIF(C$4:C5,""Sell_Grandma"")"&amp;"&lt;1,COUNTIF(C$4:C5,VLOOKUP(C5,Upgrades!$F$8:$N$8,7+COUNTIF(C$4:C5,C5)))-COUNTIF(C$4:C5,""Sell_""&amp;VLOOKUP(C5,Upgrades!$F$8:$N$8,7+COUNTIF(C$4:C5,C5)))&lt;15),1),IF(REGEXMATCH(C5,""_up""),IF(COUNTIF(C$4:C5,SUBSTITUTE(C5,""_up"",""""))&lt;IFERROR(VLOOKUP(C5,Upgrade"&amp;"s!$L$3:$P$6,1+COUNTIF(C$4:C5,C5),0),999),1),IF(REGEXMATCH(C5,""Sell_""),IF(COUNTIF(C$4:C5,SUBSTITUTE(C5,""Sell_"",""""))-COUNTIF(C$4:C4,C5)&lt;1,1),FALSE)))))))))"),FALSE)</f>
        <v>0</v>
      </c>
      <c r="E5" s="71">
        <f>IFERROR(__xludf.DUMMYFUNCTION("IF(REGEXMATCH(C5,""^Sell_""),E4, IF(COUNTA(C5:C147)=0,"""",(COUNTIF(C$4:C5,""Cursor"")-COUNTIF(C$4:C5,""Sell_Cursor""))*(0.1*2^SWITCH(COUNTIF(C$4:C5,""Cursor_up""),0,0,1,1,2,2,3)+SWITCH(COUNTIF(C$4:C5,""Cursor_up""),4,0.1,0)*(ROW(C5)-4-COUNTIF(C$4:C5,""Cu"&amp;"rsor"")-COUNTIF(C$4:C5,""*""&amp;""_up"")-2*COUNTIF(C$4:C5,""Sell_""&amp;""*"")+COUNTIF(C$4:C5,""Sell_Cursor"")-COUNTIF(C$4:C5,"""")))+(COUNTIF(C$4:C5,""Grandma"")-COUNTIF(C$4:C5,""Sell_Grandma""))*(1*2^(COUNTIF(C$4:C5,""Grandma_up"")+COUNTIF(C$4:C5,""Super_up"")"&amp;"))+(COUNTIF(C$4:C5,""Farm"")-COUNTIF(C$4:C5,""Sell_Farm""))*(8*2^COUNTIF(C$4:C5,""Farm_up""))*IF(COUNTIF(C$4:C5,""Super_up"")&gt;0,1+0.01*(COUNTIF(C$4:C5,""Grandma"")-COUNTIF(C$4:C5,""Sell_Grandma"")),1)+(COUNTIF(C$4:C5,""Mine"")-COUNTIF(C$4:C5,""Sell_Mine"""&amp;"))*((47*2^COUNTIF(C$4:C5,""Mine_up""))*IF(COUNTIF(C$4:C5,""Super_up"")&gt;1,1+0.005*(COUNTIF(C$4:C5,""Grandma"")-COUNTIF(C$4:C5,""Sell_Grandma"")),1))+(COUNTIF(C$4:C5,""Factory"")-COUNTIF(C$4:C5,""Sell_Factory""))*(260*2^COUNTIF(C$4:C5,""Factory_up""))))"),0.1)</f>
        <v>0.1</v>
      </c>
      <c r="F5" s="73">
        <f>IFERROR(__xludf.DUMMYFUNCTION("IF(COUNTA(C5:C147)=0,"""",IF(REGEXMATCH(INDEX(FILTER(C$4:C5,C$4:C5&lt;&gt;""""),ROWS(FILTER(C$4:C5,C$4:C5&lt;&gt;""""))),""^Sell_""),INDEX(FILTER(F$4:F4,C$4:C4&lt;&gt;""""),ROWS(FILTER(C$4:C4,C$4:C4&lt;&gt;""""))),$AC$5*(2^SWITCH(COUNTIF(C$4:C5,""Cursor_up""),0,0,1,1,2,2,3)+SWIT"&amp;"CH(COUNTIF(C$4:C5,""Cursor_up""),4,0.1,0)*(ROW(C5)-4-COUNTIF(C$4:C5,""Cursor"")-COUNTIF(C$4:C5,""*""&amp;""_up"")-2*COUNTIF(C$4:C5,""Sell_""&amp;""*"")+COUNTIF(C$4:C5,""Sell_Cursor"")-COUNTIF(C$4:C5,""""))+0.01*E5*COUNTIF(C$4:C5,""Plastic_up""))+E5))"),200.1)</f>
        <v>200.1</v>
      </c>
      <c r="G5" s="14">
        <f>IFERROR(__xludf.DUMMYFUNCTION("IF(COUNTA(C5:C147)=0,"""",IF(REGEXMATCH(C5,""_up""),VLOOKUP(C5,Upgrades!$F$3:$J$8,1+COUNTIF(C$4:C5,C5),FALSE),IF(C5="""",0,IF(REGEXMATCH(C5,""^Sell_""),-ROUNDDOWN(ROUNDUP(INDEX(Upgrades!$C$3:$C$8,MATCH(SUBSTITUTE(C5,""Sell_"",""""),Upgrades!$B$3:$B$8,0))*"&amp;"1.15^(COUNTIF(C$4:C4,SUBSTITUTE(C5,""Sell_"",""""))-COUNTIF(C$4:C4,""Sell_""&amp;SUBSTITUTE(C5,""Sell_"",""""))))/4),ROUNDUP(INDEX(Upgrades!$C$3:$C$7,MATCH(C5,Upgrades!$B$3:$B$7,0))*1.15^(COUNTIF(C$4:C4,C5)-COUNTIF(C$4:C4,""Sell_""&amp;C5)))))))"),15.0)</f>
        <v>15</v>
      </c>
      <c r="H5" s="14">
        <f t="shared" ref="H5:H146" si="3">IF(COUNTA(C5:C147)=0,"",G5+IF(H4&lt;0,H4))</f>
        <v>15</v>
      </c>
      <c r="I5" s="75">
        <f t="shared" ref="I5:I146" si="4">IF(COUNTA(C5:C147)=0,"",(F4-E4)*(J5)+I4)</f>
        <v>15</v>
      </c>
      <c r="J5" s="76">
        <f t="shared" ref="J5:J146" si="5">IF(COUNTA(C5:C147)=0,"",J4+IF(H5&gt;0,H5,0)/F4)
</f>
        <v>0.075</v>
      </c>
      <c r="K5" s="71" t="str">
        <f t="shared" ref="K5:K146" si="6">IF(COUNTA(C5:C147)=0,"",IF(J5&gt;3600,TRUNC(J5/3600)&amp;"h ","")&amp;IF(J5&gt;59,IF(AND(J5&gt;3599,QUOTIENT(MOD(J5,3600),60)&lt;10),"0","")&amp;QUOTIENT(MOD(J5,3600),60)&amp;"m ","")&amp;IF(AND(J5&gt;=10,MOD(J5,60)&lt;10),"0","")&amp;ROUNDDOWN(MOD(J5,60),0)&amp;"s")</f>
        <v>0s</v>
      </c>
      <c r="L5" s="77">
        <f t="shared" ref="L5:L146" si="7">IF(COUNTA(C5:C147)=0,"",L4+IF(H5&gt;0,H5,0))</f>
        <v>15</v>
      </c>
      <c r="M5" s="51">
        <f t="shared" ref="M5:M146" si="8">IFS(AND(COUNTA(C5:C147)=0,COUNTA(P5:P147)=0),"",OR(AND(L5&gt;=1000000,OR(Y5&gt;=1000000,COUNTA(P5:P147)=0)),AND(Y5&gt;=1000000,COUNTA(C5:C147)=0),AND(COUNTA(P5:P147)=0,O$3=TRUE)),AF$2,
AND(L5&lt;1000000,COUNTA(C5:C147)&gt;0,O$3=FALSE),TRUNC(LARGE(W$4:W147,COUNTIF(Y$4:Y147,"&gt;"&amp;L5)+1)+(L5-LARGE(Y$4:Y147,COUNTIF(Y$4:Y147,"&gt;"&amp;L5)+1))/LARGE(S$4:S147,COUNTIF(Y$4:Y147,"&gt;"&amp;L5)+1)-J5,5),1,
TRUNC(W5-LARGE(J$4:J147,COUNTIF(L$4:L147,"&gt;"&amp;Y5)+1)-(Y5-LARGE(L$4:L147,COUNTIF(L$4:L147,"&gt;"&amp;Y5)+1))/LARGE(F$4:F147,COUNTIF(L$4:L147,"&gt;"&amp;Y5)+1),5))</f>
        <v>0</v>
      </c>
      <c r="N5" s="52">
        <f>IFERROR(__xludf.DUMMYFUNCTION("IFS(AND(COUNTA(C5:C147)=0,COUNTA(P5:P147)=0),"""",OR(AND(L5&gt;=1000000,OR(Y5&gt;=1000000,COUNTA(P5:P147)=0)),AND(Y5&gt;=1000000,COUNTA(C5:C147)=0),AND(COUNTA(P5:P147)=0,O$3=TRUE)),
ROUNDDOWN((AB$1-AC$1)*MAX(INDEX(S$4:S147,MATCH(LARGE(FILTER(Y$4:Y147,Y$4:Y147&lt;1000"&amp;"000),1),Y$4:Y147)),INDEX(F$4:F147,MATCH(LARGE(FILTER(L$4:L147,L$4:L147&lt;1000000),1),L$4:L147)))),AND(L5&lt;1000000,COUNTA(C5:C147)&gt;0,O$3=FALSE),
ROUNDDOWN(INDEX(Y$4:Y147,MATCH(LARGE(FILTER(W$4:W147,W$4:W147&lt;=J5),1),W$4:W147))+(J5-LARGE(FILTER(W$4:W147,W$4:W14"&amp;"7&lt;=J5),1))*INDEX(S$4:S147,MATCH(LARGE(FILTER(W$4:W147,W$4:W147&lt;=J5),1),W$4:W147))-L5),1,
ROUNDDOWN(Y5-INDEX(L$4:L147,MATCH(LARGE(FILTER(J$4:J147,J$4:J147&lt;=W5),1),J$4:J147))-(W5-LARGE(FILTER(J$4:J147,J$4:J147&lt;=W5),1))*INDEX(F$4:F147,MATCH(LARGE(FILTER(J$4:"&amp;"J147,J$4:J147&lt;=W5),1),J$4:J147))))"),0.0)</f>
        <v>0</v>
      </c>
      <c r="O5" s="65">
        <f t="shared" ref="O5:O146" si="9">IF(COUNTA(P5:P147)=0,"",COUNTIF(P$4:P5,P5)-COUNTIF(P$4:P5,"Sell_"&amp;P5))</f>
        <v>1</v>
      </c>
      <c r="P5" s="15" t="s">
        <v>10</v>
      </c>
      <c r="Q5" s="14" t="b">
        <f>IFERROR(__xludf.DUMMYFUNCTION("IF(COUNTA(P5:P147)=0,"""",IFERROR(IF(ISBLANK(P5),FALSE,IF(ISBLANK(T5),1,IF(NOT(COUNTIF($AA$24:$AA$34,SUBSTITUTE(P5,""Sell_"",""""))),1,IF(P5=""Plastic_up"",IF(V5&lt;1000,1),IF(P5=""Super_Up"",IF(OR(COUNTIF(P$4:P5,""Grandma"")-COUNTIF(P$4:P5,""Sell_Grandma"")"&amp;"&lt;1,COUNTIF(P$4:P5,VLOOKUP(P5,Upgrades!$F$8:$N$8,7+COUNTIF(P$4:P5,P5)))-COUNTIF(P$4:P5,""Sell_""&amp;VLOOKUP(P5,Upgrades!$F$8:$N$8,7+COUNTIF(P$4:P5,P5)))&lt;15),1),IF(REGEXMATCH(P5,""_up""),IF(COUNTIF(P$4:P5,SUBSTITUTE(P5,""_up"",""""))&lt;IFERROR(VLOOKUP(P5,Upgrade"&amp;"s!$L$3:$P$6,1+COUNTIF(P$4:P5,P5),0),999),1),IF(REGEXMATCH(P5,""Sell_""),IF(COUNTIF(P$4:P5,SUBSTITUTE(P5,""Sell_"",""""))-COUNTIF(P$4:P4,P5)&lt;1,1),FALSE)))))))))"),FALSE)</f>
        <v>0</v>
      </c>
      <c r="R5" s="71">
        <f>IFERROR(__xludf.DUMMYFUNCTION("IF(REGEXMATCH(P5,""^Sell_""),R4, IF(COUNTA(P5:P147)=0,"""",(COUNTIF(P$4:P5,""Cursor"")-COUNTIF(P$4:P5,""Sell_Cursor""))*(0.1*2^SWITCH(COUNTIF(P$4:P5,""Cursor_up""),0,0,1,1,2,2,3)+SWITCH(COUNTIF(P$4:P5,""Cursor_up""),4,0.1,0)*(ROW(P5)-4-COUNTIF(P$4:P5,""Cu"&amp;"rsor"")-COUNTIF(P$4:P5,""*""&amp;""_up"")-2*COUNTIF(P$4:P5,""Sell_""&amp;""*"")+COUNTIF(P$4:P5,""Sell_Cursor"")-COUNTIF(P$4:P5,"""")))+(COUNTIF(P$4:P5,""Grandma"")-COUNTIF(P$4:P5,""Sell_Grandma""))*(1*2^(COUNTIF(P$4:P5,""Grandma_up"")+COUNTIF(P$4:P5,""Super_up"")"&amp;"))+(COUNTIF(P$4:P5,""Farm"")-COUNTIF(P$4:P5,""Sell_Farm""))*(8*2^COUNTIF(P$4:P5,""Farm_up""))*IF(COUNTIF(P$4:P5,""Super_up"")&gt;0,1+0.01*(COUNTIF(P$4:P5,""Grandma"")-COUNTIF(P$4:P5,""Sell_Grandma"")),1)+(COUNTIF(P$4:P5,""Mine"")-COUNTIF(P$4:P5,""Sell_Mine"""&amp;"))*((47*2^COUNTIF(P$4:P5,""Mine_up""))*IF(COUNTIF(P$4:P5,""Super_up"")&gt;1,1+0.005*(COUNTIF(P$4:P5,""Grandma"")-COUNTIF(P$4:P5,""Sell_Grandma"")),1))+(COUNTIF(P$4:P5,""Factory"")-COUNTIF(P$4:P5,""Sell_Factory""))*(260*2^COUNTIF(P$4:P5,""Factory_up""))))"),0.1)</f>
        <v>0.1</v>
      </c>
      <c r="S5" s="73">
        <f>IFERROR(__xludf.DUMMYFUNCTION("IF(COUNTA(P5:P147)=0,"""",IF(REGEXMATCH(INDEX(FILTER(P$4:P5,P$4:P5&lt;&gt;""""),ROWS(FILTER(P$4:P5,P$4:P5&lt;&gt;""""))),""^Sell_""),INDEX(FILTER(S$4:S4,P$4:P4&lt;&gt;""""),ROWS(FILTER(P$4:P4,P$4:P4&lt;&gt;""""))),$AD$5*(2^SWITCH(COUNTIF(P$4:P5,""Cursor_up""),0,0,1,1,2,2,3)+SWIT"&amp;"CH(COUNTIF(P$4:P5,""Cursor_up""),4,0.1,0)*(ROW(P5)-4-COUNTIF(P$4:P5,""Cursor"")-COUNTIF(P$4:P5,""*""&amp;""_up"")-2*COUNTIF(P$4:P5,""Sell_""&amp;""*"")+COUNTIF(P$4:P5,""Sell_Cursor"")-COUNTIF(P$4:P5,""""))+0.01*R5*COUNTIF(P$4:P5,""Plastic_up""))+R5))"),200.1)</f>
        <v>200.1</v>
      </c>
      <c r="T5" s="14">
        <f>IFERROR(__xludf.DUMMYFUNCTION("IF(COUNTA(P5:P147)=0,"""",IF(REGEXMATCH(P5,""_up""),VLOOKUP(P5,Upgrades!$F$3:$J$8,1+COUNTIF(P$4:P5,P5),FALSE),IF(P5="""",0,IF(REGEXMATCH(P5,""^Sell_""),-ROUNDDOWN(ROUNDUP(INDEX(Upgrades!$C$3:$C$8,MATCH(SUBSTITUTE(P5,""Sell_"",""""),Upgrades!$B$3:$B$8,0))*"&amp;"1.15^(COUNTIF(P$4:P4,SUBSTITUTE(P5,""Sell_"",""""))-COUNTIF(P$4:P4,""Sell_""&amp;SUBSTITUTE(P5,""Sell_"",""""))))/4),ROUNDUP(INDEX(Upgrades!$C$3:$C$7,MATCH(P5,Upgrades!$B$3:$B$7,0))*1.15^(COUNTIF(P$4:P4,P5)-COUNTIF(P$4:P4,""Sell_""&amp;P5)))))))"),15.0)</f>
        <v>15</v>
      </c>
      <c r="U5" s="14">
        <f t="shared" ref="U5:U146" si="10">IF(COUNTA(P5:P147)=0,"",T5+IF(U4&lt;0,U4))</f>
        <v>15</v>
      </c>
      <c r="V5" s="75">
        <f t="shared" ref="V5:V146" si="11">IF(COUNTA(P5:P147)=0,"",(S4-R4)*(W5)+V4)</f>
        <v>15</v>
      </c>
      <c r="W5" s="76">
        <f t="shared" ref="W5:W146" si="12">IF(COUNTA(P5:P147)=0,"",W4+IF(U5&gt;0,U5,0)/S4)
</f>
        <v>0.075</v>
      </c>
      <c r="X5" s="71" t="str">
        <f t="shared" ref="X5:X146" si="13">IF(COUNTA(P5:P147)=0,"",IF(W5&gt;3600,TRUNC(W5/3600)&amp;"h ","")&amp;IF(W5&gt;59,IF(AND(W5&gt;3599,QUOTIENT(MOD(W5,3600),60)&lt;10),"0","")&amp;QUOTIENT(MOD(W5,3600),60)&amp;"m ","")&amp;IF(AND(W5&gt;=10,MOD(W5,60)&lt;10),"0","")&amp;ROUNDDOWN(MOD(W5,60),0)&amp;"s")</f>
        <v>0s</v>
      </c>
      <c r="Y5" s="77">
        <f t="shared" ref="Y5:Y146" si="14">IF(COUNTA(P5:P147)=0,"",Y4+IF(U5&gt;0,U5,0))</f>
        <v>15</v>
      </c>
      <c r="Z5" s="17"/>
      <c r="AA5" s="78" t="s">
        <v>49</v>
      </c>
      <c r="AB5" s="79"/>
      <c r="AC5" s="80">
        <v>200.0</v>
      </c>
      <c r="AD5" s="81">
        <v>200.0</v>
      </c>
      <c r="AG5" s="13"/>
    </row>
    <row r="6">
      <c r="A6" s="12"/>
      <c r="B6" s="65">
        <f t="shared" si="2"/>
        <v>1</v>
      </c>
      <c r="C6" s="66" t="s">
        <v>11</v>
      </c>
      <c r="D6" s="14" t="b">
        <f>IFERROR(__xludf.DUMMYFUNCTION("IF(COUNTA(C6:C147)=0,"""",IFERROR(IF(ISBLANK(C6),FALSE,IF(ISBLANK(G6),1,IF(NOT(COUNTIF($AA$24:$AA$34,SUBSTITUTE(C6,""Sell_"",""""))),1,IF(C6=""Plastic_up"",IF(I6&lt;1000,1),IF(C6=""Super_Up"",IF(OR(COUNTIF(C$4:C6,""Grandma"")-COUNTIF(C$4:C6,""Sell_Grandma"")"&amp;"&lt;1,COUNTIF(C$4:C6,VLOOKUP(C6,Upgrades!$F$8:$N$8,7+COUNTIF(C$4:C6,C6)))-COUNTIF(C$4:C6,""Sell_""&amp;VLOOKUP(C6,Upgrades!$F$8:$N$8,7+COUNTIF(C$4:C6,C6)))&lt;15),1),IF(REGEXMATCH(C6,""_up""),IF(COUNTIF(C$4:C6,SUBSTITUTE(C6,""_up"",""""))&lt;IFERROR(VLOOKUP(C6,Upgrade"&amp;"s!$L$3:$P$6,1+COUNTIF(C$4:C6,C6),0),999),1),IF(REGEXMATCH(C6,""Sell_""),IF(COUNTIF(C$4:C6,SUBSTITUTE(C6,""Sell_"",""""))-COUNTIF(C$4:C5,C6)&lt;1,1),FALSE)))))))))"),FALSE)</f>
        <v>0</v>
      </c>
      <c r="E6" s="71">
        <f>IFERROR(__xludf.DUMMYFUNCTION("IF(REGEXMATCH(C6,""^Sell_""),E5, IF(COUNTA(C6:C147)=0,"""",(COUNTIF(C$4:C6,""Cursor"")-COUNTIF(C$4:C6,""Sell_Cursor""))*(0.1*2^SWITCH(COUNTIF(C$4:C6,""Cursor_up""),0,0,1,1,2,2,3)+SWITCH(COUNTIF(C$4:C6,""Cursor_up""),4,0.1,0)*(ROW(C6)-4-COUNTIF(C$4:C6,""Cu"&amp;"rsor"")-COUNTIF(C$4:C6,""*""&amp;""_up"")-2*COUNTIF(C$4:C6,""Sell_""&amp;""*"")+COUNTIF(C$4:C6,""Sell_Cursor"")-COUNTIF(C$4:C6,"""")))+(COUNTIF(C$4:C6,""Grandma"")-COUNTIF(C$4:C6,""Sell_Grandma""))*(1*2^(COUNTIF(C$4:C6,""Grandma_up"")+COUNTIF(C$4:C6,""Super_up"")"&amp;"))+(COUNTIF(C$4:C6,""Farm"")-COUNTIF(C$4:C6,""Sell_Farm""))*(8*2^COUNTIF(C$4:C6,""Farm_up""))*IF(COUNTIF(C$4:C6,""Super_up"")&gt;0,1+0.01*(COUNTIF(C$4:C6,""Grandma"")-COUNTIF(C$4:C6,""Sell_Grandma"")),1)+(COUNTIF(C$4:C6,""Mine"")-COUNTIF(C$4:C6,""Sell_Mine"""&amp;"))*((47*2^COUNTIF(C$4:C6,""Mine_up""))*IF(COUNTIF(C$4:C6,""Super_up"")&gt;1,1+0.005*(COUNTIF(C$4:C6,""Grandma"")-COUNTIF(C$4:C6,""Sell_Grandma"")),1))+(COUNTIF(C$4:C6,""Factory"")-COUNTIF(C$4:C6,""Sell_Factory""))*(260*2^COUNTIF(C$4:C6,""Factory_up""))))"),0.2)</f>
        <v>0.2</v>
      </c>
      <c r="F6" s="73">
        <f>IFERROR(__xludf.DUMMYFUNCTION("IF(COUNTA(C6:C147)=0,"""",IF(REGEXMATCH(INDEX(FILTER(C$4:C6,C$4:C6&lt;&gt;""""),ROWS(FILTER(C$4:C6,C$4:C6&lt;&gt;""""))),""^Sell_""),INDEX(FILTER(F$4:F5,C$4:C5&lt;&gt;""""),ROWS(FILTER(C$4:C5,C$4:C5&lt;&gt;""""))),$AC$5*(2^SWITCH(COUNTIF(C$4:C6,""Cursor_up""),0,0,1,1,2,2,3)+SWIT"&amp;"CH(COUNTIF(C$4:C6,""Cursor_up""),4,0.1,0)*(ROW(C6)-4-COUNTIF(C$4:C6,""Cursor"")-COUNTIF(C$4:C6,""*""&amp;""_up"")-2*COUNTIF(C$4:C6,""Sell_""&amp;""*"")+COUNTIF(C$4:C6,""Sell_Cursor"")-COUNTIF(C$4:C6,""""))+0.01*E6*COUNTIF(C$4:C6,""Plastic_up""))+E6))"),400.2)</f>
        <v>400.2</v>
      </c>
      <c r="G6" s="14">
        <f>IFERROR(__xludf.DUMMYFUNCTION("IF(COUNTA(C6:C147)=0,"""",IF(REGEXMATCH(C6,""_up""),VLOOKUP(C6,Upgrades!$F$3:$J$8,1+COUNTIF(C$4:C6,C6),FALSE),IF(C6="""",0,IF(REGEXMATCH(C6,""^Sell_""),-ROUNDDOWN(ROUNDUP(INDEX(Upgrades!$C$3:$C$8,MATCH(SUBSTITUTE(C6,""Sell_"",""""),Upgrades!$B$3:$B$8,0))*"&amp;"1.15^(COUNTIF(C$4:C5,SUBSTITUTE(C6,""Sell_"",""""))-COUNTIF(C$4:C5,""Sell_""&amp;SUBSTITUTE(C6,""Sell_"",""""))))/4),ROUNDUP(INDEX(Upgrades!$C$3:$C$7,MATCH(C6,Upgrades!$B$3:$B$7,0))*1.15^(COUNTIF(C$4:C5,C6)-COUNTIF(C$4:C5,""Sell_""&amp;C6)))))))"),100.0)</f>
        <v>100</v>
      </c>
      <c r="H6" s="14">
        <f t="shared" si="3"/>
        <v>100</v>
      </c>
      <c r="I6" s="75">
        <f t="shared" si="4"/>
        <v>129.950025</v>
      </c>
      <c r="J6" s="76">
        <f t="shared" si="5"/>
        <v>0.5747501249</v>
      </c>
      <c r="K6" s="71" t="str">
        <f t="shared" si="6"/>
        <v>0s</v>
      </c>
      <c r="L6" s="77">
        <f t="shared" si="7"/>
        <v>115</v>
      </c>
      <c r="M6" s="51">
        <f t="shared" si="8"/>
        <v>0</v>
      </c>
      <c r="N6" s="52">
        <f>IFERROR(__xludf.DUMMYFUNCTION("IFS(AND(COUNTA(C6:C147)=0,COUNTA(P6:P147)=0),"""",OR(AND(L6&gt;=1000000,OR(Y6&gt;=1000000,COUNTA(P6:P147)=0)),AND(Y6&gt;=1000000,COUNTA(C6:C147)=0),AND(COUNTA(P6:P147)=0,O$3=TRUE)),
ROUNDDOWN((AB$1-AC$1)*MAX(INDEX(S$4:S147,MATCH(LARGE(FILTER(Y$4:Y147,Y$4:Y147&lt;1000"&amp;"000),1),Y$4:Y147)),INDEX(F$4:F147,MATCH(LARGE(FILTER(L$4:L147,L$4:L147&lt;1000000),1),L$4:L147)))),AND(L6&lt;1000000,COUNTA(C6:C147)&gt;0,O$3=FALSE),
ROUNDDOWN(INDEX(Y$4:Y147,MATCH(LARGE(FILTER(W$4:W147,W$4:W147&lt;=J6),1),W$4:W147))+(J6-LARGE(FILTER(W$4:W147,W$4:W14"&amp;"7&lt;=J6),1))*INDEX(S$4:S147,MATCH(LARGE(FILTER(W$4:W147,W$4:W147&lt;=J6),1),W$4:W147))-L6),1,
ROUNDDOWN(Y6-INDEX(L$4:L147,MATCH(LARGE(FILTER(J$4:J147,J$4:J147&lt;=W6),1),J$4:J147))-(W6-LARGE(FILTER(J$4:J147,J$4:J147&lt;=W6),1))*INDEX(F$4:F147,MATCH(LARGE(FILTER(J$4:"&amp;"J147,J$4:J147&lt;=W6),1),J$4:J147))))"),0.0)</f>
        <v>0</v>
      </c>
      <c r="O6" s="65">
        <f t="shared" si="9"/>
        <v>1</v>
      </c>
      <c r="P6" s="15" t="s">
        <v>11</v>
      </c>
      <c r="Q6" s="14" t="b">
        <f>IFERROR(__xludf.DUMMYFUNCTION("IF(COUNTA(P6:P147)=0,"""",IFERROR(IF(ISBLANK(P6),FALSE,IF(ISBLANK(T6),1,IF(NOT(COUNTIF($AA$24:$AA$34,SUBSTITUTE(P6,""Sell_"",""""))),1,IF(P6=""Plastic_up"",IF(V6&lt;1000,1),IF(P6=""Super_Up"",IF(OR(COUNTIF(P$4:P6,""Grandma"")-COUNTIF(P$4:P6,""Sell_Grandma"")"&amp;"&lt;1,COUNTIF(P$4:P6,VLOOKUP(P6,Upgrades!$F$8:$N$8,7+COUNTIF(P$4:P6,P6)))-COUNTIF(P$4:P6,""Sell_""&amp;VLOOKUP(P6,Upgrades!$F$8:$N$8,7+COUNTIF(P$4:P6,P6)))&lt;15),1),IF(REGEXMATCH(P6,""_up""),IF(COUNTIF(P$4:P6,SUBSTITUTE(P6,""_up"",""""))&lt;IFERROR(VLOOKUP(P6,Upgrade"&amp;"s!$L$3:$P$6,1+COUNTIF(P$4:P6,P6),0),999),1),IF(REGEXMATCH(P6,""Sell_""),IF(COUNTIF(P$4:P6,SUBSTITUTE(P6,""Sell_"",""""))-COUNTIF(P$4:P5,P6)&lt;1,1),FALSE)))))))))"),FALSE)</f>
        <v>0</v>
      </c>
      <c r="R6" s="71">
        <f>IFERROR(__xludf.DUMMYFUNCTION("IF(REGEXMATCH(P6,""^Sell_""),R5, IF(COUNTA(P6:P147)=0,"""",(COUNTIF(P$4:P6,""Cursor"")-COUNTIF(P$4:P6,""Sell_Cursor""))*(0.1*2^SWITCH(COUNTIF(P$4:P6,""Cursor_up""),0,0,1,1,2,2,3)+SWITCH(COUNTIF(P$4:P6,""Cursor_up""),4,0.1,0)*(ROW(P6)-4-COUNTIF(P$4:P6,""Cu"&amp;"rsor"")-COUNTIF(P$4:P6,""*""&amp;""_up"")-2*COUNTIF(P$4:P6,""Sell_""&amp;""*"")+COUNTIF(P$4:P6,""Sell_Cursor"")-COUNTIF(P$4:P6,"""")))+(COUNTIF(P$4:P6,""Grandma"")-COUNTIF(P$4:P6,""Sell_Grandma""))*(1*2^(COUNTIF(P$4:P6,""Grandma_up"")+COUNTIF(P$4:P6,""Super_up"")"&amp;"))+(COUNTIF(P$4:P6,""Farm"")-COUNTIF(P$4:P6,""Sell_Farm""))*(8*2^COUNTIF(P$4:P6,""Farm_up""))*IF(COUNTIF(P$4:P6,""Super_up"")&gt;0,1+0.01*(COUNTIF(P$4:P6,""Grandma"")-COUNTIF(P$4:P6,""Sell_Grandma"")),1)+(COUNTIF(P$4:P6,""Mine"")-COUNTIF(P$4:P6,""Sell_Mine"""&amp;"))*((47*2^COUNTIF(P$4:P6,""Mine_up""))*IF(COUNTIF(P$4:P6,""Super_up"")&gt;1,1+0.005*(COUNTIF(P$4:P6,""Grandma"")-COUNTIF(P$4:P6,""Sell_Grandma"")),1))+(COUNTIF(P$4:P6,""Factory"")-COUNTIF(P$4:P6,""Sell_Factory""))*(260*2^COUNTIF(P$4:P6,""Factory_up""))))"),0.2)</f>
        <v>0.2</v>
      </c>
      <c r="S6" s="73">
        <f>IFERROR(__xludf.DUMMYFUNCTION("IF(COUNTA(P6:P147)=0,"""",IF(REGEXMATCH(INDEX(FILTER(P$4:P6,P$4:P6&lt;&gt;""""),ROWS(FILTER(P$4:P6,P$4:P6&lt;&gt;""""))),""^Sell_""),INDEX(FILTER(S$4:S5,P$4:P5&lt;&gt;""""),ROWS(FILTER(P$4:P5,P$4:P5&lt;&gt;""""))),$AD$5*(2^SWITCH(COUNTIF(P$4:P6,""Cursor_up""),0,0,1,1,2,2,3)+SWIT"&amp;"CH(COUNTIF(P$4:P6,""Cursor_up""),4,0.1,0)*(ROW(P6)-4-COUNTIF(P$4:P6,""Cursor"")-COUNTIF(P$4:P6,""*""&amp;""_up"")-2*COUNTIF(P$4:P6,""Sell_""&amp;""*"")+COUNTIF(P$4:P6,""Sell_Cursor"")-COUNTIF(P$4:P6,""""))+0.01*R6*COUNTIF(P$4:P6,""Plastic_up""))+R6))"),400.2)</f>
        <v>400.2</v>
      </c>
      <c r="T6" s="14">
        <f>IFERROR(__xludf.DUMMYFUNCTION("IF(COUNTA(P6:P147)=0,"""",IF(REGEXMATCH(P6,""_up""),VLOOKUP(P6,Upgrades!$F$3:$J$8,1+COUNTIF(P$4:P6,P6),FALSE),IF(P6="""",0,IF(REGEXMATCH(P6,""^Sell_""),-ROUNDDOWN(ROUNDUP(INDEX(Upgrades!$C$3:$C$8,MATCH(SUBSTITUTE(P6,""Sell_"",""""),Upgrades!$B$3:$B$8,0))*"&amp;"1.15^(COUNTIF(P$4:P5,SUBSTITUTE(P6,""Sell_"",""""))-COUNTIF(P$4:P5,""Sell_""&amp;SUBSTITUTE(P6,""Sell_"",""""))))/4),ROUNDUP(INDEX(Upgrades!$C$3:$C$7,MATCH(P6,Upgrades!$B$3:$B$7,0))*1.15^(COUNTIF(P$4:P5,P6)-COUNTIF(P$4:P5,""Sell_""&amp;P6)))))))"),100.0)</f>
        <v>100</v>
      </c>
      <c r="U6" s="14">
        <f t="shared" si="10"/>
        <v>100</v>
      </c>
      <c r="V6" s="75">
        <f t="shared" si="11"/>
        <v>129.950025</v>
      </c>
      <c r="W6" s="76">
        <f t="shared" si="12"/>
        <v>0.5747501249</v>
      </c>
      <c r="X6" s="71" t="str">
        <f t="shared" si="13"/>
        <v>0s</v>
      </c>
      <c r="Y6" s="77">
        <f t="shared" si="14"/>
        <v>115</v>
      </c>
      <c r="Z6" s="17"/>
      <c r="AG6" s="13"/>
    </row>
    <row r="7">
      <c r="A7" s="12"/>
      <c r="B7" s="65">
        <f t="shared" si="2"/>
        <v>2</v>
      </c>
      <c r="C7" s="66" t="s">
        <v>11</v>
      </c>
      <c r="D7" s="14" t="b">
        <f>IFERROR(__xludf.DUMMYFUNCTION("IF(COUNTA(C7:C147)=0,"""",IFERROR(IF(ISBLANK(C7),FALSE,IF(ISBLANK(G7),1,IF(NOT(COUNTIF($AA$24:$AA$34,SUBSTITUTE(C7,""Sell_"",""""))),1,IF(C7=""Plastic_up"",IF(I7&lt;1000,1),IF(C7=""Super_Up"",IF(OR(COUNTIF(C$4:C7,""Grandma"")-COUNTIF(C$4:C7,""Sell_Grandma"")"&amp;"&lt;1,COUNTIF(C$4:C7,VLOOKUP(C7,Upgrades!$F$8:$N$8,7+COUNTIF(C$4:C7,C7)))-COUNTIF(C$4:C7,""Sell_""&amp;VLOOKUP(C7,Upgrades!$F$8:$N$8,7+COUNTIF(C$4:C7,C7)))&lt;15),1),IF(REGEXMATCH(C7,""_up""),IF(COUNTIF(C$4:C7,SUBSTITUTE(C7,""_up"",""""))&lt;IFERROR(VLOOKUP(C7,Upgrade"&amp;"s!$L$3:$P$6,1+COUNTIF(C$4:C7,C7),0),999),1),IF(REGEXMATCH(C7,""Sell_""),IF(COUNTIF(C$4:C7,SUBSTITUTE(C7,""Sell_"",""""))-COUNTIF(C$4:C6,C7)&lt;1,1),FALSE)))))))))"),FALSE)</f>
        <v>0</v>
      </c>
      <c r="E7" s="71">
        <f>IFERROR(__xludf.DUMMYFUNCTION("IF(REGEXMATCH(C7,""^Sell_""),E6, IF(COUNTA(C7:C147)=0,"""",(COUNTIF(C$4:C7,""Cursor"")-COUNTIF(C$4:C7,""Sell_Cursor""))*(0.1*2^SWITCH(COUNTIF(C$4:C7,""Cursor_up""),0,0,1,1,2,2,3)+SWITCH(COUNTIF(C$4:C7,""Cursor_up""),4,0.1,0)*(ROW(C7)-4-COUNTIF(C$4:C7,""Cu"&amp;"rsor"")-COUNTIF(C$4:C7,""*""&amp;""_up"")-2*COUNTIF(C$4:C7,""Sell_""&amp;""*"")+COUNTIF(C$4:C7,""Sell_Cursor"")-COUNTIF(C$4:C7,"""")))+(COUNTIF(C$4:C7,""Grandma"")-COUNTIF(C$4:C7,""Sell_Grandma""))*(1*2^(COUNTIF(C$4:C7,""Grandma_up"")+COUNTIF(C$4:C7,""Super_up"")"&amp;"))+(COUNTIF(C$4:C7,""Farm"")-COUNTIF(C$4:C7,""Sell_Farm""))*(8*2^COUNTIF(C$4:C7,""Farm_up""))*IF(COUNTIF(C$4:C7,""Super_up"")&gt;0,1+0.01*(COUNTIF(C$4:C7,""Grandma"")-COUNTIF(C$4:C7,""Sell_Grandma"")),1)+(COUNTIF(C$4:C7,""Mine"")-COUNTIF(C$4:C7,""Sell_Mine"""&amp;"))*((47*2^COUNTIF(C$4:C7,""Mine_up""))*IF(COUNTIF(C$4:C7,""Super_up"")&gt;1,1+0.005*(COUNTIF(C$4:C7,""Grandma"")-COUNTIF(C$4:C7,""Sell_Grandma"")),1))+(COUNTIF(C$4:C7,""Factory"")-COUNTIF(C$4:C7,""Sell_Factory""))*(260*2^COUNTIF(C$4:C7,""Factory_up""))))"),0.4)</f>
        <v>0.4</v>
      </c>
      <c r="F7" s="73">
        <f>IFERROR(__xludf.DUMMYFUNCTION("IF(COUNTA(C7:C147)=0,"""",IF(REGEXMATCH(INDEX(FILTER(C$4:C7,C$4:C7&lt;&gt;""""),ROWS(FILTER(C$4:C7,C$4:C7&lt;&gt;""""))),""^Sell_""),INDEX(FILTER(F$4:F6,C$4:C6&lt;&gt;""""),ROWS(FILTER(C$4:C6,C$4:C6&lt;&gt;""""))),$AC$5*(2^SWITCH(COUNTIF(C$4:C7,""Cursor_up""),0,0,1,1,2,2,3)+SWIT"&amp;"CH(COUNTIF(C$4:C7,""Cursor_up""),4,0.1,0)*(ROW(C7)-4-COUNTIF(C$4:C7,""Cursor"")-COUNTIF(C$4:C7,""*""&amp;""_up"")-2*COUNTIF(C$4:C7,""Sell_""&amp;""*"")+COUNTIF(C$4:C7,""Sell_Cursor"")-COUNTIF(C$4:C7,""""))+0.01*E7*COUNTIF(C$4:C7,""Plastic_up""))+E7))"),800.4)</f>
        <v>800.4</v>
      </c>
      <c r="G7" s="14">
        <f>IFERROR(__xludf.DUMMYFUNCTION("IF(COUNTA(C7:C147)=0,"""",IF(REGEXMATCH(C7,""_up""),VLOOKUP(C7,Upgrades!$F$3:$J$8,1+COUNTIF(C$4:C7,C7),FALSE),IF(C7="""",0,IF(REGEXMATCH(C7,""^Sell_""),-ROUNDDOWN(ROUNDUP(INDEX(Upgrades!$C$3:$C$8,MATCH(SUBSTITUTE(C7,""Sell_"",""""),Upgrades!$B$3:$B$8,0))*"&amp;"1.15^(COUNTIF(C$4:C6,SUBSTITUTE(C7,""Sell_"",""""))-COUNTIF(C$4:C6,""Sell_""&amp;SUBSTITUTE(C7,""Sell_"",""""))))/4),ROUNDUP(INDEX(Upgrades!$C$3:$C$7,MATCH(C7,Upgrades!$B$3:$B$7,0))*1.15^(COUNTIF(C$4:C6,C7)-COUNTIF(C$4:C6,""Sell_""&amp;C7)))))))"),500.0)</f>
        <v>500</v>
      </c>
      <c r="H7" s="14">
        <f t="shared" si="3"/>
        <v>500</v>
      </c>
      <c r="I7" s="75">
        <f t="shared" si="4"/>
        <v>859.6001999</v>
      </c>
      <c r="J7" s="76">
        <f t="shared" si="5"/>
        <v>1.824125437</v>
      </c>
      <c r="K7" s="71" t="str">
        <f t="shared" si="6"/>
        <v>1s</v>
      </c>
      <c r="L7" s="77">
        <f t="shared" si="7"/>
        <v>615</v>
      </c>
      <c r="M7" s="51">
        <f t="shared" si="8"/>
        <v>0</v>
      </c>
      <c r="N7" s="52">
        <f>IFERROR(__xludf.DUMMYFUNCTION("IFS(AND(COUNTA(C7:C147)=0,COUNTA(P7:P147)=0),"""",OR(AND(L7&gt;=1000000,OR(Y7&gt;=1000000,COUNTA(P7:P147)=0)),AND(Y7&gt;=1000000,COUNTA(C7:C147)=0),AND(COUNTA(P7:P147)=0,O$3=TRUE)),
ROUNDDOWN((AB$1-AC$1)*MAX(INDEX(S$4:S147,MATCH(LARGE(FILTER(Y$4:Y147,Y$4:Y147&lt;1000"&amp;"000),1),Y$4:Y147)),INDEX(F$4:F147,MATCH(LARGE(FILTER(L$4:L147,L$4:L147&lt;1000000),1),L$4:L147)))),AND(L7&lt;1000000,COUNTA(C7:C147)&gt;0,O$3=FALSE),
ROUNDDOWN(INDEX(Y$4:Y147,MATCH(LARGE(FILTER(W$4:W147,W$4:W147&lt;=J7),1),W$4:W147))+(J7-LARGE(FILTER(W$4:W147,W$4:W14"&amp;"7&lt;=J7),1))*INDEX(S$4:S147,MATCH(LARGE(FILTER(W$4:W147,W$4:W147&lt;=J7),1),W$4:W147))-L7),1,
ROUNDDOWN(Y7-INDEX(L$4:L147,MATCH(LARGE(FILTER(J$4:J147,J$4:J147&lt;=W7),1),J$4:J147))-(W7-LARGE(FILTER(J$4:J147,J$4:J147&lt;=W7),1))*INDEX(F$4:F147,MATCH(LARGE(FILTER(J$4:"&amp;"J147,J$4:J147&lt;=W7),1),J$4:J147))))"),0.0)</f>
        <v>0</v>
      </c>
      <c r="O7" s="65">
        <f t="shared" si="9"/>
        <v>2</v>
      </c>
      <c r="P7" s="15" t="s">
        <v>11</v>
      </c>
      <c r="Q7" s="14" t="b">
        <f>IFERROR(__xludf.DUMMYFUNCTION("IF(COUNTA(P7:P147)=0,"""",IFERROR(IF(ISBLANK(P7),FALSE,IF(ISBLANK(T7),1,IF(NOT(COUNTIF($AA$24:$AA$34,SUBSTITUTE(P7,""Sell_"",""""))),1,IF(P7=""Plastic_up"",IF(V7&lt;1000,1),IF(P7=""Super_Up"",IF(OR(COUNTIF(P$4:P7,""Grandma"")-COUNTIF(P$4:P7,""Sell_Grandma"")"&amp;"&lt;1,COUNTIF(P$4:P7,VLOOKUP(P7,Upgrades!$F$8:$N$8,7+COUNTIF(P$4:P7,P7)))-COUNTIF(P$4:P7,""Sell_""&amp;VLOOKUP(P7,Upgrades!$F$8:$N$8,7+COUNTIF(P$4:P7,P7)))&lt;15),1),IF(REGEXMATCH(P7,""_up""),IF(COUNTIF(P$4:P7,SUBSTITUTE(P7,""_up"",""""))&lt;IFERROR(VLOOKUP(P7,Upgrade"&amp;"s!$L$3:$P$6,1+COUNTIF(P$4:P7,P7),0),999),1),IF(REGEXMATCH(P7,""Sell_""),IF(COUNTIF(P$4:P7,SUBSTITUTE(P7,""Sell_"",""""))-COUNTIF(P$4:P6,P7)&lt;1,1),FALSE)))))))))"),FALSE)</f>
        <v>0</v>
      </c>
      <c r="R7" s="71">
        <f>IFERROR(__xludf.DUMMYFUNCTION("IF(REGEXMATCH(P7,""^Sell_""),R6, IF(COUNTA(P7:P147)=0,"""",(COUNTIF(P$4:P7,""Cursor"")-COUNTIF(P$4:P7,""Sell_Cursor""))*(0.1*2^SWITCH(COUNTIF(P$4:P7,""Cursor_up""),0,0,1,1,2,2,3)+SWITCH(COUNTIF(P$4:P7,""Cursor_up""),4,0.1,0)*(ROW(P7)-4-COUNTIF(P$4:P7,""Cu"&amp;"rsor"")-COUNTIF(P$4:P7,""*""&amp;""_up"")-2*COUNTIF(P$4:P7,""Sell_""&amp;""*"")+COUNTIF(P$4:P7,""Sell_Cursor"")-COUNTIF(P$4:P7,"""")))+(COUNTIF(P$4:P7,""Grandma"")-COUNTIF(P$4:P7,""Sell_Grandma""))*(1*2^(COUNTIF(P$4:P7,""Grandma_up"")+COUNTIF(P$4:P7,""Super_up"")"&amp;"))+(COUNTIF(P$4:P7,""Farm"")-COUNTIF(P$4:P7,""Sell_Farm""))*(8*2^COUNTIF(P$4:P7,""Farm_up""))*IF(COUNTIF(P$4:P7,""Super_up"")&gt;0,1+0.01*(COUNTIF(P$4:P7,""Grandma"")-COUNTIF(P$4:P7,""Sell_Grandma"")),1)+(COUNTIF(P$4:P7,""Mine"")-COUNTIF(P$4:P7,""Sell_Mine"""&amp;"))*((47*2^COUNTIF(P$4:P7,""Mine_up""))*IF(COUNTIF(P$4:P7,""Super_up"")&gt;1,1+0.005*(COUNTIF(P$4:P7,""Grandma"")-COUNTIF(P$4:P7,""Sell_Grandma"")),1))+(COUNTIF(P$4:P7,""Factory"")-COUNTIF(P$4:P7,""Sell_Factory""))*(260*2^COUNTIF(P$4:P7,""Factory_up""))))"),0.4)</f>
        <v>0.4</v>
      </c>
      <c r="S7" s="73">
        <f>IFERROR(__xludf.DUMMYFUNCTION("IF(COUNTA(P7:P147)=0,"""",IF(REGEXMATCH(INDEX(FILTER(P$4:P7,P$4:P7&lt;&gt;""""),ROWS(FILTER(P$4:P7,P$4:P7&lt;&gt;""""))),""^Sell_""),INDEX(FILTER(S$4:S6,P$4:P6&lt;&gt;""""),ROWS(FILTER(P$4:P6,P$4:P6&lt;&gt;""""))),$AD$5*(2^SWITCH(COUNTIF(P$4:P7,""Cursor_up""),0,0,1,1,2,2,3)+SWIT"&amp;"CH(COUNTIF(P$4:P7,""Cursor_up""),4,0.1,0)*(ROW(P7)-4-COUNTIF(P$4:P7,""Cursor"")-COUNTIF(P$4:P7,""*""&amp;""_up"")-2*COUNTIF(P$4:P7,""Sell_""&amp;""*"")+COUNTIF(P$4:P7,""Sell_Cursor"")-COUNTIF(P$4:P7,""""))+0.01*R7*COUNTIF(P$4:P7,""Plastic_up""))+R7))"),800.4)</f>
        <v>800.4</v>
      </c>
      <c r="T7" s="14">
        <f>IFERROR(__xludf.DUMMYFUNCTION("IF(COUNTA(P7:P147)=0,"""",IF(REGEXMATCH(P7,""_up""),VLOOKUP(P7,Upgrades!$F$3:$J$8,1+COUNTIF(P$4:P7,P7),FALSE),IF(P7="""",0,IF(REGEXMATCH(P7,""^Sell_""),-ROUNDDOWN(ROUNDUP(INDEX(Upgrades!$C$3:$C$8,MATCH(SUBSTITUTE(P7,""Sell_"",""""),Upgrades!$B$3:$B$8,0))*"&amp;"1.15^(COUNTIF(P$4:P6,SUBSTITUTE(P7,""Sell_"",""""))-COUNTIF(P$4:P6,""Sell_""&amp;SUBSTITUTE(P7,""Sell_"",""""))))/4),ROUNDUP(INDEX(Upgrades!$C$3:$C$7,MATCH(P7,Upgrades!$B$3:$B$7,0))*1.15^(COUNTIF(P$4:P6,P7)-COUNTIF(P$4:P6,""Sell_""&amp;P7)))))))"),500.0)</f>
        <v>500</v>
      </c>
      <c r="U7" s="14">
        <f t="shared" si="10"/>
        <v>500</v>
      </c>
      <c r="V7" s="75">
        <f t="shared" si="11"/>
        <v>859.6001999</v>
      </c>
      <c r="W7" s="76">
        <f t="shared" si="12"/>
        <v>1.824125437</v>
      </c>
      <c r="X7" s="71" t="str">
        <f t="shared" si="13"/>
        <v>1s</v>
      </c>
      <c r="Y7" s="77">
        <f t="shared" si="14"/>
        <v>615</v>
      </c>
      <c r="Z7" s="17"/>
      <c r="AA7" s="87" t="s">
        <v>63</v>
      </c>
      <c r="AB7" s="88"/>
      <c r="AC7" s="81" t="str">
        <f>IF(AF2&lt;0,"YES","NO")</f>
        <v>YES</v>
      </c>
      <c r="AG7" s="13"/>
    </row>
    <row r="8">
      <c r="A8" s="12"/>
      <c r="B8" s="65">
        <f t="shared" si="2"/>
        <v>2</v>
      </c>
      <c r="C8" s="66" t="s">
        <v>10</v>
      </c>
      <c r="D8" s="14" t="b">
        <f>IFERROR(__xludf.DUMMYFUNCTION("IF(COUNTA(C8:C147)=0,"""",IFERROR(IF(ISBLANK(C8),FALSE,IF(ISBLANK(G8),1,IF(NOT(COUNTIF($AA$24:$AA$34,SUBSTITUTE(C8,""Sell_"",""""))),1,IF(C8=""Plastic_up"",IF(I8&lt;1000,1),IF(C8=""Super_Up"",IF(OR(COUNTIF(C$4:C8,""Grandma"")-COUNTIF(C$4:C8,""Sell_Grandma"")"&amp;"&lt;1,COUNTIF(C$4:C8,VLOOKUP(C8,Upgrades!$F$8:$N$8,7+COUNTIF(C$4:C8,C8)))-COUNTIF(C$4:C8,""Sell_""&amp;VLOOKUP(C8,Upgrades!$F$8:$N$8,7+COUNTIF(C$4:C8,C8)))&lt;15),1),IF(REGEXMATCH(C8,""_up""),IF(COUNTIF(C$4:C8,SUBSTITUTE(C8,""_up"",""""))&lt;IFERROR(VLOOKUP(C8,Upgrade"&amp;"s!$L$3:$P$6,1+COUNTIF(C$4:C8,C8),0),999),1),IF(REGEXMATCH(C8,""Sell_""),IF(COUNTIF(C$4:C8,SUBSTITUTE(C8,""Sell_"",""""))-COUNTIF(C$4:C7,C8)&lt;1,1),FALSE)))))))))"),FALSE)</f>
        <v>0</v>
      </c>
      <c r="E8" s="71">
        <f>IFERROR(__xludf.DUMMYFUNCTION("IF(REGEXMATCH(C8,""^Sell_""),E7, IF(COUNTA(C8:C147)=0,"""",(COUNTIF(C$4:C8,""Cursor"")-COUNTIF(C$4:C8,""Sell_Cursor""))*(0.1*2^SWITCH(COUNTIF(C$4:C8,""Cursor_up""),0,0,1,1,2,2,3)+SWITCH(COUNTIF(C$4:C8,""Cursor_up""),4,0.1,0)*(ROW(C8)-4-COUNTIF(C$4:C8,""Cu"&amp;"rsor"")-COUNTIF(C$4:C8,""*""&amp;""_up"")-2*COUNTIF(C$4:C8,""Sell_""&amp;""*"")+COUNTIF(C$4:C8,""Sell_Cursor"")-COUNTIF(C$4:C8,"""")))+(COUNTIF(C$4:C8,""Grandma"")-COUNTIF(C$4:C8,""Sell_Grandma""))*(1*2^(COUNTIF(C$4:C8,""Grandma_up"")+COUNTIF(C$4:C8,""Super_up"")"&amp;"))+(COUNTIF(C$4:C8,""Farm"")-COUNTIF(C$4:C8,""Sell_Farm""))*(8*2^COUNTIF(C$4:C8,""Farm_up""))*IF(COUNTIF(C$4:C8,""Super_up"")&gt;0,1+0.01*(COUNTIF(C$4:C8,""Grandma"")-COUNTIF(C$4:C8,""Sell_Grandma"")),1)+(COUNTIF(C$4:C8,""Mine"")-COUNTIF(C$4:C8,""Sell_Mine"""&amp;"))*((47*2^COUNTIF(C$4:C8,""Mine_up""))*IF(COUNTIF(C$4:C8,""Super_up"")&gt;1,1+0.005*(COUNTIF(C$4:C8,""Grandma"")-COUNTIF(C$4:C8,""Sell_Grandma"")),1))+(COUNTIF(C$4:C8,""Factory"")-COUNTIF(C$4:C8,""Sell_Factory""))*(260*2^COUNTIF(C$4:C8,""Factory_up""))))"),0.8)</f>
        <v>0.8</v>
      </c>
      <c r="F8" s="73">
        <f>IFERROR(__xludf.DUMMYFUNCTION("IF(COUNTA(C8:C147)=0,"""",IF(REGEXMATCH(INDEX(FILTER(C$4:C8,C$4:C8&lt;&gt;""""),ROWS(FILTER(C$4:C8,C$4:C8&lt;&gt;""""))),""^Sell_""),INDEX(FILTER(F$4:F7,C$4:C7&lt;&gt;""""),ROWS(FILTER(C$4:C7,C$4:C7&lt;&gt;""""))),$AC$5*(2^SWITCH(COUNTIF(C$4:C8,""Cursor_up""),0,0,1,1,2,2,3)+SWIT"&amp;"CH(COUNTIF(C$4:C8,""Cursor_up""),4,0.1,0)*(ROW(C8)-4-COUNTIF(C$4:C8,""Cursor"")-COUNTIF(C$4:C8,""*""&amp;""_up"")-2*COUNTIF(C$4:C8,""Sell_""&amp;""*"")+COUNTIF(C$4:C8,""Sell_Cursor"")-COUNTIF(C$4:C8,""""))+0.01*E8*COUNTIF(C$4:C8,""Plastic_up""))+E8))"),800.8)</f>
        <v>800.8</v>
      </c>
      <c r="G8" s="14">
        <f>IFERROR(__xludf.DUMMYFUNCTION("IF(COUNTA(C8:C147)=0,"""",IF(REGEXMATCH(C8,""_up""),VLOOKUP(C8,Upgrades!$F$3:$J$8,1+COUNTIF(C$4:C8,C8),FALSE),IF(C8="""",0,IF(REGEXMATCH(C8,""^Sell_""),-ROUNDDOWN(ROUNDUP(INDEX(Upgrades!$C$3:$C$8,MATCH(SUBSTITUTE(C8,""Sell_"",""""),Upgrades!$B$3:$B$8,0))*"&amp;"1.15^(COUNTIF(C$4:C7,SUBSTITUTE(C8,""Sell_"",""""))-COUNTIF(C$4:C7,""Sell_""&amp;SUBSTITUTE(C8,""Sell_"",""""))))/4),ROUNDUP(INDEX(Upgrades!$C$3:$C$7,MATCH(C8,Upgrades!$B$3:$B$7,0))*1.15^(COUNTIF(C$4:C7,C8)-COUNTIF(C$4:C7,""Sell_""&amp;C8)))))))"),18.0)</f>
        <v>18</v>
      </c>
      <c r="H8" s="14">
        <f t="shared" si="3"/>
        <v>18</v>
      </c>
      <c r="I8" s="75">
        <f t="shared" si="4"/>
        <v>2336.891554</v>
      </c>
      <c r="J8" s="76">
        <f t="shared" si="5"/>
        <v>1.846614193</v>
      </c>
      <c r="K8" s="71" t="str">
        <f t="shared" si="6"/>
        <v>1s</v>
      </c>
      <c r="L8" s="77">
        <f t="shared" si="7"/>
        <v>633</v>
      </c>
      <c r="M8" s="51">
        <f t="shared" si="8"/>
        <v>0</v>
      </c>
      <c r="N8" s="52">
        <f>IFERROR(__xludf.DUMMYFUNCTION("IFS(AND(COUNTA(C8:C147)=0,COUNTA(P8:P147)=0),"""",OR(AND(L8&gt;=1000000,OR(Y8&gt;=1000000,COUNTA(P8:P147)=0)),AND(Y8&gt;=1000000,COUNTA(C8:C147)=0),AND(COUNTA(P8:P147)=0,O$3=TRUE)),
ROUNDDOWN((AB$1-AC$1)*MAX(INDEX(S$4:S147,MATCH(LARGE(FILTER(Y$4:Y147,Y$4:Y147&lt;1000"&amp;"000),1),Y$4:Y147)),INDEX(F$4:F147,MATCH(LARGE(FILTER(L$4:L147,L$4:L147&lt;1000000),1),L$4:L147)))),AND(L8&lt;1000000,COUNTA(C8:C147)&gt;0,O$3=FALSE),
ROUNDDOWN(INDEX(Y$4:Y147,MATCH(LARGE(FILTER(W$4:W147,W$4:W147&lt;=J8),1),W$4:W147))+(J8-LARGE(FILTER(W$4:W147,W$4:W14"&amp;"7&lt;=J8),1))*INDEX(S$4:S147,MATCH(LARGE(FILTER(W$4:W147,W$4:W147&lt;=J8),1),W$4:W147))-L8),1,
ROUNDDOWN(Y8-INDEX(L$4:L147,MATCH(LARGE(FILTER(J$4:J147,J$4:J147&lt;=W8),1),J$4:J147))-(W8-LARGE(FILTER(J$4:J147,J$4:J147&lt;=W8),1))*INDEX(F$4:F147,MATCH(LARGE(FILTER(J$4:"&amp;"J147,J$4:J147&lt;=W8),1),J$4:J147))))"),0.0)</f>
        <v>0</v>
      </c>
      <c r="O8" s="65">
        <f t="shared" si="9"/>
        <v>2</v>
      </c>
      <c r="P8" s="15" t="s">
        <v>10</v>
      </c>
      <c r="Q8" s="14" t="b">
        <f>IFERROR(__xludf.DUMMYFUNCTION("IF(COUNTA(P8:P147)=0,"""",IFERROR(IF(ISBLANK(P8),FALSE,IF(ISBLANK(T8),1,IF(NOT(COUNTIF($AA$24:$AA$34,SUBSTITUTE(P8,""Sell_"",""""))),1,IF(P8=""Plastic_up"",IF(V8&lt;1000,1),IF(P8=""Super_Up"",IF(OR(COUNTIF(P$4:P8,""Grandma"")-COUNTIF(P$4:P8,""Sell_Grandma"")"&amp;"&lt;1,COUNTIF(P$4:P8,VLOOKUP(P8,Upgrades!$F$8:$N$8,7+COUNTIF(P$4:P8,P8)))-COUNTIF(P$4:P8,""Sell_""&amp;VLOOKUP(P8,Upgrades!$F$8:$N$8,7+COUNTIF(P$4:P8,P8)))&lt;15),1),IF(REGEXMATCH(P8,""_up""),IF(COUNTIF(P$4:P8,SUBSTITUTE(P8,""_up"",""""))&lt;IFERROR(VLOOKUP(P8,Upgrade"&amp;"s!$L$3:$P$6,1+COUNTIF(P$4:P8,P8),0),999),1),IF(REGEXMATCH(P8,""Sell_""),IF(COUNTIF(P$4:P8,SUBSTITUTE(P8,""Sell_"",""""))-COUNTIF(P$4:P7,P8)&lt;1,1),FALSE)))))))))"),FALSE)</f>
        <v>0</v>
      </c>
      <c r="R8" s="71">
        <f>IFERROR(__xludf.DUMMYFUNCTION("IF(REGEXMATCH(P8,""^Sell_""),R7, IF(COUNTA(P8:P147)=0,"""",(COUNTIF(P$4:P8,""Cursor"")-COUNTIF(P$4:P8,""Sell_Cursor""))*(0.1*2^SWITCH(COUNTIF(P$4:P8,""Cursor_up""),0,0,1,1,2,2,3)+SWITCH(COUNTIF(P$4:P8,""Cursor_up""),4,0.1,0)*(ROW(P8)-4-COUNTIF(P$4:P8,""Cu"&amp;"rsor"")-COUNTIF(P$4:P8,""*""&amp;""_up"")-2*COUNTIF(P$4:P8,""Sell_""&amp;""*"")+COUNTIF(P$4:P8,""Sell_Cursor"")-COUNTIF(P$4:P8,"""")))+(COUNTIF(P$4:P8,""Grandma"")-COUNTIF(P$4:P8,""Sell_Grandma""))*(1*2^(COUNTIF(P$4:P8,""Grandma_up"")+COUNTIF(P$4:P8,""Super_up"")"&amp;"))+(COUNTIF(P$4:P8,""Farm"")-COUNTIF(P$4:P8,""Sell_Farm""))*(8*2^COUNTIF(P$4:P8,""Farm_up""))*IF(COUNTIF(P$4:P8,""Super_up"")&gt;0,1+0.01*(COUNTIF(P$4:P8,""Grandma"")-COUNTIF(P$4:P8,""Sell_Grandma"")),1)+(COUNTIF(P$4:P8,""Mine"")-COUNTIF(P$4:P8,""Sell_Mine"""&amp;"))*((47*2^COUNTIF(P$4:P8,""Mine_up""))*IF(COUNTIF(P$4:P8,""Super_up"")&gt;1,1+0.005*(COUNTIF(P$4:P8,""Grandma"")-COUNTIF(P$4:P8,""Sell_Grandma"")),1))+(COUNTIF(P$4:P8,""Factory"")-COUNTIF(P$4:P8,""Sell_Factory""))*(260*2^COUNTIF(P$4:P8,""Factory_up""))))"),0.8)</f>
        <v>0.8</v>
      </c>
      <c r="S8" s="73">
        <f>IFERROR(__xludf.DUMMYFUNCTION("IF(COUNTA(P8:P147)=0,"""",IF(REGEXMATCH(INDEX(FILTER(P$4:P8,P$4:P8&lt;&gt;""""),ROWS(FILTER(P$4:P8,P$4:P8&lt;&gt;""""))),""^Sell_""),INDEX(FILTER(S$4:S7,P$4:P7&lt;&gt;""""),ROWS(FILTER(P$4:P7,P$4:P7&lt;&gt;""""))),$AD$5*(2^SWITCH(COUNTIF(P$4:P8,""Cursor_up""),0,0,1,1,2,2,3)+SWIT"&amp;"CH(COUNTIF(P$4:P8,""Cursor_up""),4,0.1,0)*(ROW(P8)-4-COUNTIF(P$4:P8,""Cursor"")-COUNTIF(P$4:P8,""*""&amp;""_up"")-2*COUNTIF(P$4:P8,""Sell_""&amp;""*"")+COUNTIF(P$4:P8,""Sell_Cursor"")-COUNTIF(P$4:P8,""""))+0.01*R8*COUNTIF(P$4:P8,""Plastic_up""))+R8))"),800.8)</f>
        <v>800.8</v>
      </c>
      <c r="T8" s="14">
        <f>IFERROR(__xludf.DUMMYFUNCTION("IF(COUNTA(P8:P147)=0,"""",IF(REGEXMATCH(P8,""_up""),VLOOKUP(P8,Upgrades!$F$3:$J$8,1+COUNTIF(P$4:P8,P8),FALSE),IF(P8="""",0,IF(REGEXMATCH(P8,""^Sell_""),-ROUNDDOWN(ROUNDUP(INDEX(Upgrades!$C$3:$C$8,MATCH(SUBSTITUTE(P8,""Sell_"",""""),Upgrades!$B$3:$B$8,0))*"&amp;"1.15^(COUNTIF(P$4:P7,SUBSTITUTE(P8,""Sell_"",""""))-COUNTIF(P$4:P7,""Sell_""&amp;SUBSTITUTE(P8,""Sell_"",""""))))/4),ROUNDUP(INDEX(Upgrades!$C$3:$C$7,MATCH(P8,Upgrades!$B$3:$B$7,0))*1.15^(COUNTIF(P$4:P7,P8)-COUNTIF(P$4:P7,""Sell_""&amp;P8)))))))"),18.0)</f>
        <v>18</v>
      </c>
      <c r="U8" s="14">
        <f t="shared" si="10"/>
        <v>18</v>
      </c>
      <c r="V8" s="75">
        <f t="shared" si="11"/>
        <v>2336.891554</v>
      </c>
      <c r="W8" s="76">
        <f t="shared" si="12"/>
        <v>1.846614193</v>
      </c>
      <c r="X8" s="71" t="str">
        <f t="shared" si="13"/>
        <v>1s</v>
      </c>
      <c r="Y8" s="77">
        <f t="shared" si="14"/>
        <v>633</v>
      </c>
      <c r="Z8" s="17"/>
      <c r="AG8" s="13"/>
    </row>
    <row r="9">
      <c r="A9" s="12"/>
      <c r="B9" s="65">
        <f t="shared" si="2"/>
        <v>3</v>
      </c>
      <c r="C9" s="66" t="s">
        <v>10</v>
      </c>
      <c r="D9" s="14" t="b">
        <f>IFERROR(__xludf.DUMMYFUNCTION("IF(COUNTA(C9:C147)=0,"""",IFERROR(IF(ISBLANK(C9),FALSE,IF(ISBLANK(G9),1,IF(NOT(COUNTIF($AA$24:$AA$34,SUBSTITUTE(C9,""Sell_"",""""))),1,IF(C9=""Plastic_up"",IF(I9&lt;1000,1),IF(C9=""Super_Up"",IF(OR(COUNTIF(C$4:C9,""Grandma"")-COUNTIF(C$4:C9,""Sell_Grandma"")"&amp;"&lt;1,COUNTIF(C$4:C9,VLOOKUP(C9,Upgrades!$F$8:$N$8,7+COUNTIF(C$4:C9,C9)))-COUNTIF(C$4:C9,""Sell_""&amp;VLOOKUP(C9,Upgrades!$F$8:$N$8,7+COUNTIF(C$4:C9,C9)))&lt;15),1),IF(REGEXMATCH(C9,""_up""),IF(COUNTIF(C$4:C9,SUBSTITUTE(C9,""_up"",""""))&lt;IFERROR(VLOOKUP(C9,Upgrade"&amp;"s!$L$3:$P$6,1+COUNTIF(C$4:C9,C9),0),999),1),IF(REGEXMATCH(C9,""Sell_""),IF(COUNTIF(C$4:C9,SUBSTITUTE(C9,""Sell_"",""""))-COUNTIF(C$4:C8,C9)&lt;1,1),FALSE)))))))))"),FALSE)</f>
        <v>0</v>
      </c>
      <c r="E9" s="71">
        <f>IFERROR(__xludf.DUMMYFUNCTION("IF(REGEXMATCH(C9,""^Sell_""),E8, IF(COUNTA(C9:C147)=0,"""",(COUNTIF(C$4:C9,""Cursor"")-COUNTIF(C$4:C9,""Sell_Cursor""))*(0.1*2^SWITCH(COUNTIF(C$4:C9,""Cursor_up""),0,0,1,1,2,2,3)+SWITCH(COUNTIF(C$4:C9,""Cursor_up""),4,0.1,0)*(ROW(C9)-4-COUNTIF(C$4:C9,""Cu"&amp;"rsor"")-COUNTIF(C$4:C9,""*""&amp;""_up"")-2*COUNTIF(C$4:C9,""Sell_""&amp;""*"")+COUNTIF(C$4:C9,""Sell_Cursor"")-COUNTIF(C$4:C9,"""")))+(COUNTIF(C$4:C9,""Grandma"")-COUNTIF(C$4:C9,""Sell_Grandma""))*(1*2^(COUNTIF(C$4:C9,""Grandma_up"")+COUNTIF(C$4:C9,""Super_up"")"&amp;"))+(COUNTIF(C$4:C9,""Farm"")-COUNTIF(C$4:C9,""Sell_Farm""))*(8*2^COUNTIF(C$4:C9,""Farm_up""))*IF(COUNTIF(C$4:C9,""Super_up"")&gt;0,1+0.01*(COUNTIF(C$4:C9,""Grandma"")-COUNTIF(C$4:C9,""Sell_Grandma"")),1)+(COUNTIF(C$4:C9,""Mine"")-COUNTIF(C$4:C9,""Sell_Mine"""&amp;"))*((47*2^COUNTIF(C$4:C9,""Mine_up""))*IF(COUNTIF(C$4:C9,""Super_up"")&gt;1,1+0.005*(COUNTIF(C$4:C9,""Grandma"")-COUNTIF(C$4:C9,""Sell_Grandma"")),1))+(COUNTIF(C$4:C9,""Factory"")-COUNTIF(C$4:C9,""Sell_Factory""))*(260*2^COUNTIF(C$4:C9,""Factory_up""))))"),1.2000000000000002)</f>
        <v>1.2</v>
      </c>
      <c r="F9" s="73">
        <f>IFERROR(__xludf.DUMMYFUNCTION("IF(COUNTA(C9:C147)=0,"""",IF(REGEXMATCH(INDEX(FILTER(C$4:C9,C$4:C9&lt;&gt;""""),ROWS(FILTER(C$4:C9,C$4:C9&lt;&gt;""""))),""^Sell_""),INDEX(FILTER(F$4:F8,C$4:C8&lt;&gt;""""),ROWS(FILTER(C$4:C8,C$4:C8&lt;&gt;""""))),$AC$5*(2^SWITCH(COUNTIF(C$4:C9,""Cursor_up""),0,0,1,1,2,2,3)+SWIT"&amp;"CH(COUNTIF(C$4:C9,""Cursor_up""),4,0.1,0)*(ROW(C9)-4-COUNTIF(C$4:C9,""Cursor"")-COUNTIF(C$4:C9,""*""&amp;""_up"")-2*COUNTIF(C$4:C9,""Sell_""&amp;""*"")+COUNTIF(C$4:C9,""Sell_Cursor"")-COUNTIF(C$4:C9,""""))+0.01*E9*COUNTIF(C$4:C9,""Plastic_up""))+E9))"),801.2)</f>
        <v>801.2</v>
      </c>
      <c r="G9" s="14">
        <f>IFERROR(__xludf.DUMMYFUNCTION("IF(COUNTA(C9:C147)=0,"""",IF(REGEXMATCH(C9,""_up""),VLOOKUP(C9,Upgrades!$F$3:$J$8,1+COUNTIF(C$4:C9,C9),FALSE),IF(C9="""",0,IF(REGEXMATCH(C9,""^Sell_""),-ROUNDDOWN(ROUNDUP(INDEX(Upgrades!$C$3:$C$8,MATCH(SUBSTITUTE(C9,""Sell_"",""""),Upgrades!$B$3:$B$8,0))*"&amp;"1.15^(COUNTIF(C$4:C8,SUBSTITUTE(C9,""Sell_"",""""))-COUNTIF(C$4:C8,""Sell_""&amp;SUBSTITUTE(C9,""Sell_"",""""))))/4),ROUNDUP(INDEX(Upgrades!$C$3:$C$7,MATCH(C9,Upgrades!$B$3:$B$7,0))*1.15^(COUNTIF(C$4:C8,C9)-COUNTIF(C$4:C8,""Sell_""&amp;C9)))))))"),20.0)</f>
        <v>20</v>
      </c>
      <c r="H9" s="14">
        <f t="shared" si="3"/>
        <v>20</v>
      </c>
      <c r="I9" s="75">
        <f t="shared" si="4"/>
        <v>3834.162929</v>
      </c>
      <c r="J9" s="76">
        <f t="shared" si="5"/>
        <v>1.871589218</v>
      </c>
      <c r="K9" s="71" t="str">
        <f t="shared" si="6"/>
        <v>1s</v>
      </c>
      <c r="L9" s="77">
        <f t="shared" si="7"/>
        <v>653</v>
      </c>
      <c r="M9" s="51">
        <f t="shared" si="8"/>
        <v>0</v>
      </c>
      <c r="N9" s="52">
        <f>IFERROR(__xludf.DUMMYFUNCTION("IFS(AND(COUNTA(C9:C147)=0,COUNTA(P9:P147)=0),"""",OR(AND(L9&gt;=1000000,OR(Y9&gt;=1000000,COUNTA(P9:P147)=0)),AND(Y9&gt;=1000000,COUNTA(C9:C147)=0),AND(COUNTA(P9:P147)=0,O$3=TRUE)),
ROUNDDOWN((AB$1-AC$1)*MAX(INDEX(S$4:S147,MATCH(LARGE(FILTER(Y$4:Y147,Y$4:Y147&lt;1000"&amp;"000),1),Y$4:Y147)),INDEX(F$4:F147,MATCH(LARGE(FILTER(L$4:L147,L$4:L147&lt;1000000),1),L$4:L147)))),AND(L9&lt;1000000,COUNTA(C9:C147)&gt;0,O$3=FALSE),
ROUNDDOWN(INDEX(Y$4:Y147,MATCH(LARGE(FILTER(W$4:W147,W$4:W147&lt;=J9),1),W$4:W147))+(J9-LARGE(FILTER(W$4:W147,W$4:W14"&amp;"7&lt;=J9),1))*INDEX(S$4:S147,MATCH(LARGE(FILTER(W$4:W147,W$4:W147&lt;=J9),1),W$4:W147))-L9),1,
ROUNDDOWN(Y9-INDEX(L$4:L147,MATCH(LARGE(FILTER(J$4:J147,J$4:J147&lt;=W9),1),J$4:J147))-(W9-LARGE(FILTER(J$4:J147,J$4:J147&lt;=W9),1))*INDEX(F$4:F147,MATCH(LARGE(FILTER(J$4:"&amp;"J147,J$4:J147&lt;=W9),1),J$4:J147))))"),0.0)</f>
        <v>0</v>
      </c>
      <c r="O9" s="65">
        <f t="shared" si="9"/>
        <v>3</v>
      </c>
      <c r="P9" s="15" t="s">
        <v>10</v>
      </c>
      <c r="Q9" s="14" t="b">
        <f>IFERROR(__xludf.DUMMYFUNCTION("IF(COUNTA(P9:P147)=0,"""",IFERROR(IF(ISBLANK(P9),FALSE,IF(ISBLANK(T9),1,IF(NOT(COUNTIF($AA$24:$AA$34,SUBSTITUTE(P9,""Sell_"",""""))),1,IF(P9=""Plastic_up"",IF(V9&lt;1000,1),IF(P9=""Super_Up"",IF(OR(COUNTIF(P$4:P9,""Grandma"")-COUNTIF(P$4:P9,""Sell_Grandma"")"&amp;"&lt;1,COUNTIF(P$4:P9,VLOOKUP(P9,Upgrades!$F$8:$N$8,7+COUNTIF(P$4:P9,P9)))-COUNTIF(P$4:P9,""Sell_""&amp;VLOOKUP(P9,Upgrades!$F$8:$N$8,7+COUNTIF(P$4:P9,P9)))&lt;15),1),IF(REGEXMATCH(P9,""_up""),IF(COUNTIF(P$4:P9,SUBSTITUTE(P9,""_up"",""""))&lt;IFERROR(VLOOKUP(P9,Upgrade"&amp;"s!$L$3:$P$6,1+COUNTIF(P$4:P9,P9),0),999),1),IF(REGEXMATCH(P9,""Sell_""),IF(COUNTIF(P$4:P9,SUBSTITUTE(P9,""Sell_"",""""))-COUNTIF(P$4:P8,P9)&lt;1,1),FALSE)))))))))"),FALSE)</f>
        <v>0</v>
      </c>
      <c r="R9" s="71">
        <f>IFERROR(__xludf.DUMMYFUNCTION("IF(REGEXMATCH(P9,""^Sell_""),R8, IF(COUNTA(P9:P147)=0,"""",(COUNTIF(P$4:P9,""Cursor"")-COUNTIF(P$4:P9,""Sell_Cursor""))*(0.1*2^SWITCH(COUNTIF(P$4:P9,""Cursor_up""),0,0,1,1,2,2,3)+SWITCH(COUNTIF(P$4:P9,""Cursor_up""),4,0.1,0)*(ROW(P9)-4-COUNTIF(P$4:P9,""Cu"&amp;"rsor"")-COUNTIF(P$4:P9,""*""&amp;""_up"")-2*COUNTIF(P$4:P9,""Sell_""&amp;""*"")+COUNTIF(P$4:P9,""Sell_Cursor"")-COUNTIF(P$4:P9,"""")))+(COUNTIF(P$4:P9,""Grandma"")-COUNTIF(P$4:P9,""Sell_Grandma""))*(1*2^(COUNTIF(P$4:P9,""Grandma_up"")+COUNTIF(P$4:P9,""Super_up"")"&amp;"))+(COUNTIF(P$4:P9,""Farm"")-COUNTIF(P$4:P9,""Sell_Farm""))*(8*2^COUNTIF(P$4:P9,""Farm_up""))*IF(COUNTIF(P$4:P9,""Super_up"")&gt;0,1+0.01*(COUNTIF(P$4:P9,""Grandma"")-COUNTIF(P$4:P9,""Sell_Grandma"")),1)+(COUNTIF(P$4:P9,""Mine"")-COUNTIF(P$4:P9,""Sell_Mine"""&amp;"))*((47*2^COUNTIF(P$4:P9,""Mine_up""))*IF(COUNTIF(P$4:P9,""Super_up"")&gt;1,1+0.005*(COUNTIF(P$4:P9,""Grandma"")-COUNTIF(P$4:P9,""Sell_Grandma"")),1))+(COUNTIF(P$4:P9,""Factory"")-COUNTIF(P$4:P9,""Sell_Factory""))*(260*2^COUNTIF(P$4:P9,""Factory_up""))))"),1.2000000000000002)</f>
        <v>1.2</v>
      </c>
      <c r="S9" s="73">
        <f>IFERROR(__xludf.DUMMYFUNCTION("IF(COUNTA(P9:P147)=0,"""",IF(REGEXMATCH(INDEX(FILTER(P$4:P9,P$4:P9&lt;&gt;""""),ROWS(FILTER(P$4:P9,P$4:P9&lt;&gt;""""))),""^Sell_""),INDEX(FILTER(S$4:S8,P$4:P8&lt;&gt;""""),ROWS(FILTER(P$4:P8,P$4:P8&lt;&gt;""""))),$AD$5*(2^SWITCH(COUNTIF(P$4:P9,""Cursor_up""),0,0,1,1,2,2,3)+SWIT"&amp;"CH(COUNTIF(P$4:P9,""Cursor_up""),4,0.1,0)*(ROW(P9)-4-COUNTIF(P$4:P9,""Cursor"")-COUNTIF(P$4:P9,""*""&amp;""_up"")-2*COUNTIF(P$4:P9,""Sell_""&amp;""*"")+COUNTIF(P$4:P9,""Sell_Cursor"")-COUNTIF(P$4:P9,""""))+0.01*R9*COUNTIF(P$4:P9,""Plastic_up""))+R9))"),801.2)</f>
        <v>801.2</v>
      </c>
      <c r="T9" s="14">
        <f>IFERROR(__xludf.DUMMYFUNCTION("IF(COUNTA(P9:P147)=0,"""",IF(REGEXMATCH(P9,""_up""),VLOOKUP(P9,Upgrades!$F$3:$J$8,1+COUNTIF(P$4:P9,P9),FALSE),IF(P9="""",0,IF(REGEXMATCH(P9,""^Sell_""),-ROUNDDOWN(ROUNDUP(INDEX(Upgrades!$C$3:$C$8,MATCH(SUBSTITUTE(P9,""Sell_"",""""),Upgrades!$B$3:$B$8,0))*"&amp;"1.15^(COUNTIF(P$4:P8,SUBSTITUTE(P9,""Sell_"",""""))-COUNTIF(P$4:P8,""Sell_""&amp;SUBSTITUTE(P9,""Sell_"",""""))))/4),ROUNDUP(INDEX(Upgrades!$C$3:$C$7,MATCH(P9,Upgrades!$B$3:$B$7,0))*1.15^(COUNTIF(P$4:P8,P9)-COUNTIF(P$4:P8,""Sell_""&amp;P9)))))))"),20.0)</f>
        <v>20</v>
      </c>
      <c r="U9" s="14">
        <f t="shared" si="10"/>
        <v>20</v>
      </c>
      <c r="V9" s="75">
        <f t="shared" si="11"/>
        <v>3834.162929</v>
      </c>
      <c r="W9" s="76">
        <f t="shared" si="12"/>
        <v>1.871589218</v>
      </c>
      <c r="X9" s="71" t="str">
        <f t="shared" si="13"/>
        <v>1s</v>
      </c>
      <c r="Y9" s="77">
        <f t="shared" si="14"/>
        <v>653</v>
      </c>
      <c r="Z9" s="17"/>
      <c r="AA9" s="89" t="s">
        <v>64</v>
      </c>
      <c r="AB9" s="90"/>
      <c r="AC9" s="90"/>
      <c r="AD9" s="90"/>
      <c r="AE9" s="90"/>
      <c r="AF9" s="91"/>
      <c r="AG9" s="13"/>
    </row>
    <row r="10">
      <c r="A10" s="12"/>
      <c r="B10" s="65">
        <f t="shared" si="2"/>
        <v>4</v>
      </c>
      <c r="C10" s="66" t="s">
        <v>10</v>
      </c>
      <c r="D10" s="14" t="b">
        <f>IFERROR(__xludf.DUMMYFUNCTION("IF(COUNTA(C10:C147)=0,"""",IFERROR(IF(ISBLANK(C10),FALSE,IF(ISBLANK(G10),1,IF(NOT(COUNTIF($AA$24:$AA$34,SUBSTITUTE(C10,""Sell_"",""""))),1,IF(C10=""Plastic_up"",IF(I10&lt;1000,1),IF(C10=""Super_Up"",IF(OR(COUNTIF(C$4:C10,""Grandma"")-COUNTIF(C$4:C10,""Sell_G"&amp;"randma"")&lt;1,COUNTIF(C$4:C10,VLOOKUP(C10,Upgrades!$F$8:$N$8,7+COUNTIF(C$4:C10,C10)))-COUNTIF(C$4:C10,""Sell_""&amp;VLOOKUP(C10,Upgrades!$F$8:$N$8,7+COUNTIF(C$4:C10,C10)))&lt;15),1),IF(REGEXMATCH(C10,""_up""),IF(COUNTIF(C$4:C10,SUBSTITUTE(C10,""_up"",""""))&lt;IFERRO"&amp;"R(VLOOKUP(C10,Upgrades!$L$3:$P$6,1+COUNTIF(C$4:C10,C10),0),999),1),IF(REGEXMATCH(C10,""Sell_""),IF(COUNTIF(C$4:C10,SUBSTITUTE(C10,""Sell_"",""""))-COUNTIF(C$4:C9,C10)&lt;1,1),FALSE)))))))))"),FALSE)</f>
        <v>0</v>
      </c>
      <c r="E10" s="71">
        <f>IFERROR(__xludf.DUMMYFUNCTION("IF(REGEXMATCH(C10,""^Sell_""),E9, IF(COUNTA(C10:C147)=0,"""",(COUNTIF(C$4:C10,""Cursor"")-COUNTIF(C$4:C10,""Sell_Cursor""))*(0.1*2^SWITCH(COUNTIF(C$4:C10,""Cursor_up""),0,0,1,1,2,2,3)+SWITCH(COUNTIF(C$4:C10,""Cursor_up""),4,0.1,0)*(ROW(C10)-4-COUNTIF(C$4:"&amp;"C10,""Cursor"")-COUNTIF(C$4:C10,""*""&amp;""_up"")-2*COUNTIF(C$4:C10,""Sell_""&amp;""*"")+COUNTIF(C$4:C10,""Sell_Cursor"")-COUNTIF(C$4:C10,"""")))+(COUNTIF(C$4:C10,""Grandma"")-COUNTIF(C$4:C10,""Sell_Grandma""))*(1*2^(COUNTIF(C$4:C10,""Grandma_up"")+COUNTIF(C$4:C"&amp;"10,""Super_up"")))+(COUNTIF(C$4:C10,""Farm"")-COUNTIF(C$4:C10,""Sell_Farm""))*(8*2^COUNTIF(C$4:C10,""Farm_up""))*IF(COUNTIF(C$4:C10,""Super_up"")&gt;0,1+0.01*(COUNTIF(C$4:C10,""Grandma"")-COUNTIF(C$4:C10,""Sell_Grandma"")),1)+(COUNTIF(C$4:C10,""Mine"")-COUNT"&amp;"IF(C$4:C10,""Sell_Mine""))*((47*2^COUNTIF(C$4:C10,""Mine_up""))*IF(COUNTIF(C$4:C10,""Super_up"")&gt;1,1+0.005*(COUNTIF(C$4:C10,""Grandma"")-COUNTIF(C$4:C10,""Sell_Grandma"")),1))+(COUNTIF(C$4:C10,""Factory"")-COUNTIF(C$4:C10,""Sell_Factory""))*(260*2^COUNTIF"&amp;"(C$4:C10,""Factory_up""))))"),1.6)</f>
        <v>1.6</v>
      </c>
      <c r="F10" s="73">
        <f>IFERROR(__xludf.DUMMYFUNCTION("IF(COUNTA(C10:C147)=0,"""",IF(REGEXMATCH(INDEX(FILTER(C$4:C10,C$4:C10&lt;&gt;""""),ROWS(FILTER(C$4:C10,C$4:C10&lt;&gt;""""))),""^Sell_""),INDEX(FILTER(F$4:F9,C$4:C9&lt;&gt;""""),ROWS(FILTER(C$4:C9,C$4:C9&lt;&gt;""""))),$AC$5*(2^SWITCH(COUNTIF(C$4:C10,""Cursor_up""),0,0,1,1,2,2,3"&amp;")+SWITCH(COUNTIF(C$4:C10,""Cursor_up""),4,0.1,0)*(ROW(C10)-4-COUNTIF(C$4:C10,""Cursor"")-COUNTIF(C$4:C10,""*""&amp;""_up"")-2*COUNTIF(C$4:C10,""Sell_""&amp;""*"")+COUNTIF(C$4:C10,""Sell_Cursor"")-COUNTIF(C$4:C10,""""))+0.01*E10*COUNTIF(C$4:C10,""Plastic_up""))+E1"&amp;"0))"),801.6)</f>
        <v>801.6</v>
      </c>
      <c r="G10" s="14">
        <f>IFERROR(__xludf.DUMMYFUNCTION("IF(COUNTA(C10:C147)=0,"""",IF(REGEXMATCH(C10,""_up""),VLOOKUP(C10,Upgrades!$F$3:$J$8,1+COUNTIF(C$4:C10,C10),FALSE),IF(C10="""",0,IF(REGEXMATCH(C10,""^Sell_""),-ROUNDDOWN(ROUNDUP(INDEX(Upgrades!$C$3:$C$8,MATCH(SUBSTITUTE(C10,""Sell_"",""""),Upgrades!$B$3:$"&amp;"B$8,0))*1.15^(COUNTIF(C$4:C9,SUBSTITUTE(C10,""Sell_"",""""))-COUNTIF(C$4:C9,""Sell_""&amp;SUBSTITUTE(C10,""Sell_"",""""))))/4),ROUNDUP(INDEX(Upgrades!$C$3:$C$7,MATCH(C10,Upgrades!$B$3:$B$7,0))*1.15^(COUNTIF(C$4:C9,C10)-COUNTIF(C$4:C9,""Sell_""&amp;C10)))))))"),23.0)</f>
        <v>23</v>
      </c>
      <c r="H10" s="14">
        <f t="shared" si="3"/>
        <v>23</v>
      </c>
      <c r="I10" s="75">
        <f t="shared" si="4"/>
        <v>5354.399855</v>
      </c>
      <c r="J10" s="76">
        <f t="shared" si="5"/>
        <v>1.900296157</v>
      </c>
      <c r="K10" s="71" t="str">
        <f t="shared" si="6"/>
        <v>1s</v>
      </c>
      <c r="L10" s="77">
        <f t="shared" si="7"/>
        <v>676</v>
      </c>
      <c r="M10" s="51">
        <f t="shared" si="8"/>
        <v>0</v>
      </c>
      <c r="N10" s="52">
        <f>IFERROR(__xludf.DUMMYFUNCTION("IFS(AND(COUNTA(C10:C147)=0,COUNTA(P10:P147)=0),"""",OR(AND(L10&gt;=1000000,OR(Y10&gt;=1000000,COUNTA(P10:P147)=0)),AND(Y10&gt;=1000000,COUNTA(C10:C147)=0),AND(COUNTA(P10:P147)=0,O$3=TRUE)),
ROUNDDOWN((AB$1-AC$1)*MAX(INDEX(S$4:S147,MATCH(LARGE(FILTER(Y$4:Y147,Y$4:Y"&amp;"147&lt;1000000),1),Y$4:Y147)),INDEX(F$4:F147,MATCH(LARGE(FILTER(L$4:L147,L$4:L147&lt;1000000),1),L$4:L147)))),AND(L10&lt;1000000,COUNTA(C10:C147)&gt;0,O$3=FALSE),
ROUNDDOWN(INDEX(Y$4:Y147,MATCH(LARGE(FILTER(W$4:W147,W$4:W147&lt;=J10),1),W$4:W147))+(J10-LARGE(FILTER(W$4:"&amp;"W147,W$4:W147&lt;=J10),1))*INDEX(S$4:S147,MATCH(LARGE(FILTER(W$4:W147,W$4:W147&lt;=J10),1),W$4:W147))-L10),1,
ROUNDDOWN(Y10-INDEX(L$4:L147,MATCH(LARGE(FILTER(J$4:J147,J$4:J147&lt;=W10),1),J$4:J147))-(W10-LARGE(FILTER(J$4:J147,J$4:J147&lt;=W10),1))*INDEX(F$4:F147,MATC"&amp;"H(LARGE(FILTER(J$4:J147,J$4:J147&lt;=W10),1),J$4:J147))))"),0.0)</f>
        <v>0</v>
      </c>
      <c r="O10" s="65">
        <f t="shared" si="9"/>
        <v>4</v>
      </c>
      <c r="P10" s="15" t="s">
        <v>10</v>
      </c>
      <c r="Q10" s="14" t="b">
        <f>IFERROR(__xludf.DUMMYFUNCTION("IF(COUNTA(P10:P147)=0,"""",IFERROR(IF(ISBLANK(P10),FALSE,IF(ISBLANK(T10),1,IF(NOT(COUNTIF($AA$24:$AA$34,SUBSTITUTE(P10,""Sell_"",""""))),1,IF(P10=""Plastic_up"",IF(V10&lt;1000,1),IF(P10=""Super_Up"",IF(OR(COUNTIF(P$4:P10,""Grandma"")-COUNTIF(P$4:P10,""Sell_G"&amp;"randma"")&lt;1,COUNTIF(P$4:P10,VLOOKUP(P10,Upgrades!$F$8:$N$8,7+COUNTIF(P$4:P10,P10)))-COUNTIF(P$4:P10,""Sell_""&amp;VLOOKUP(P10,Upgrades!$F$8:$N$8,7+COUNTIF(P$4:P10,P10)))&lt;15),1),IF(REGEXMATCH(P10,""_up""),IF(COUNTIF(P$4:P10,SUBSTITUTE(P10,""_up"",""""))&lt;IFERRO"&amp;"R(VLOOKUP(P10,Upgrades!$L$3:$P$6,1+COUNTIF(P$4:P10,P10),0),999),1),IF(REGEXMATCH(P10,""Sell_""),IF(COUNTIF(P$4:P10,SUBSTITUTE(P10,""Sell_"",""""))-COUNTIF(P$4:P9,P10)&lt;1,1),FALSE)))))))))"),FALSE)</f>
        <v>0</v>
      </c>
      <c r="R10" s="71">
        <f>IFERROR(__xludf.DUMMYFUNCTION("IF(REGEXMATCH(P10,""^Sell_""),R9, IF(COUNTA(P10:P147)=0,"""",(COUNTIF(P$4:P10,""Cursor"")-COUNTIF(P$4:P10,""Sell_Cursor""))*(0.1*2^SWITCH(COUNTIF(P$4:P10,""Cursor_up""),0,0,1,1,2,2,3)+SWITCH(COUNTIF(P$4:P10,""Cursor_up""),4,0.1,0)*(ROW(P10)-4-COUNTIF(P$4:"&amp;"P10,""Cursor"")-COUNTIF(P$4:P10,""*""&amp;""_up"")-2*COUNTIF(P$4:P10,""Sell_""&amp;""*"")+COUNTIF(P$4:P10,""Sell_Cursor"")-COUNTIF(P$4:P10,"""")))+(COUNTIF(P$4:P10,""Grandma"")-COUNTIF(P$4:P10,""Sell_Grandma""))*(1*2^(COUNTIF(P$4:P10,""Grandma_up"")+COUNTIF(P$4:P"&amp;"10,""Super_up"")))+(COUNTIF(P$4:P10,""Farm"")-COUNTIF(P$4:P10,""Sell_Farm""))*(8*2^COUNTIF(P$4:P10,""Farm_up""))*IF(COUNTIF(P$4:P10,""Super_up"")&gt;0,1+0.01*(COUNTIF(P$4:P10,""Grandma"")-COUNTIF(P$4:P10,""Sell_Grandma"")),1)+(COUNTIF(P$4:P10,""Mine"")-COUNT"&amp;"IF(P$4:P10,""Sell_Mine""))*((47*2^COUNTIF(P$4:P10,""Mine_up""))*IF(COUNTIF(P$4:P10,""Super_up"")&gt;1,1+0.005*(COUNTIF(P$4:P10,""Grandma"")-COUNTIF(P$4:P10,""Sell_Grandma"")),1))+(COUNTIF(P$4:P10,""Factory"")-COUNTIF(P$4:P10,""Sell_Factory""))*(260*2^COUNTIF"&amp;"(P$4:P10,""Factory_up""))))"),1.6)</f>
        <v>1.6</v>
      </c>
      <c r="S10" s="73">
        <f>IFERROR(__xludf.DUMMYFUNCTION("IF(COUNTA(P10:P147)=0,"""",IF(REGEXMATCH(INDEX(FILTER(P$4:P10,P$4:P10&lt;&gt;""""),ROWS(FILTER(P$4:P10,P$4:P10&lt;&gt;""""))),""^Sell_""),INDEX(FILTER(S$4:S9,P$4:P9&lt;&gt;""""),ROWS(FILTER(P$4:P9,P$4:P9&lt;&gt;""""))),$AD$5*(2^SWITCH(COUNTIF(P$4:P10,""Cursor_up""),0,0,1,1,2,2,3"&amp;")+SWITCH(COUNTIF(P$4:P10,""Cursor_up""),4,0.1,0)*(ROW(P10)-4-COUNTIF(P$4:P10,""Cursor"")-COUNTIF(P$4:P10,""*""&amp;""_up"")-2*COUNTIF(P$4:P10,""Sell_""&amp;""*"")+COUNTIF(P$4:P10,""Sell_Cursor"")-COUNTIF(P$4:P10,""""))+0.01*R10*COUNTIF(P$4:P10,""Plastic_up""))+R1"&amp;"0))"),801.6)</f>
        <v>801.6</v>
      </c>
      <c r="T10" s="14">
        <f>IFERROR(__xludf.DUMMYFUNCTION("IF(COUNTA(P10:P147)=0,"""",IF(REGEXMATCH(P10,""_up""),VLOOKUP(P10,Upgrades!$F$3:$J$8,1+COUNTIF(P$4:P10,P10),FALSE),IF(P10="""",0,IF(REGEXMATCH(P10,""^Sell_""),-ROUNDDOWN(ROUNDUP(INDEX(Upgrades!$C$3:$C$8,MATCH(SUBSTITUTE(P10,""Sell_"",""""),Upgrades!$B$3:$"&amp;"B$8,0))*1.15^(COUNTIF(P$4:P9,SUBSTITUTE(P10,""Sell_"",""""))-COUNTIF(P$4:P9,""Sell_""&amp;SUBSTITUTE(P10,""Sell_"",""""))))/4),ROUNDUP(INDEX(Upgrades!$C$3:$C$7,MATCH(P10,Upgrades!$B$3:$B$7,0))*1.15^(COUNTIF(P$4:P9,P10)-COUNTIF(P$4:P9,""Sell_""&amp;P10)))))))"),23.0)</f>
        <v>23</v>
      </c>
      <c r="U10" s="14">
        <f t="shared" si="10"/>
        <v>23</v>
      </c>
      <c r="V10" s="75">
        <f t="shared" si="11"/>
        <v>5354.399855</v>
      </c>
      <c r="W10" s="76">
        <f t="shared" si="12"/>
        <v>1.900296157</v>
      </c>
      <c r="X10" s="71" t="str">
        <f t="shared" si="13"/>
        <v>1s</v>
      </c>
      <c r="Y10" s="77">
        <f t="shared" si="14"/>
        <v>676</v>
      </c>
      <c r="Z10" s="17"/>
      <c r="AA10" s="92" t="s">
        <v>65</v>
      </c>
      <c r="AB10" s="93"/>
      <c r="AC10" s="93"/>
      <c r="AD10" s="93"/>
      <c r="AE10" s="93"/>
      <c r="AF10" s="94"/>
      <c r="AG10" s="13"/>
    </row>
    <row r="11">
      <c r="A11" s="12"/>
      <c r="B11" s="65">
        <f t="shared" si="2"/>
        <v>5</v>
      </c>
      <c r="C11" s="66" t="s">
        <v>10</v>
      </c>
      <c r="D11" s="14" t="b">
        <f>IFERROR(__xludf.DUMMYFUNCTION("IF(COUNTA(C11:C147)=0,"""",IFERROR(IF(ISBLANK(C11),FALSE,IF(ISBLANK(G11),1,IF(NOT(COUNTIF($AA$24:$AA$34,SUBSTITUTE(C11,""Sell_"",""""))),1,IF(C11=""Plastic_up"",IF(I11&lt;1000,1),IF(C11=""Super_Up"",IF(OR(COUNTIF(C$4:C11,""Grandma"")-COUNTIF(C$4:C11,""Sell_G"&amp;"randma"")&lt;1,COUNTIF(C$4:C11,VLOOKUP(C11,Upgrades!$F$8:$N$8,7+COUNTIF(C$4:C11,C11)))-COUNTIF(C$4:C11,""Sell_""&amp;VLOOKUP(C11,Upgrades!$F$8:$N$8,7+COUNTIF(C$4:C11,C11)))&lt;15),1),IF(REGEXMATCH(C11,""_up""),IF(COUNTIF(C$4:C11,SUBSTITUTE(C11,""_up"",""""))&lt;IFERRO"&amp;"R(VLOOKUP(C11,Upgrades!$L$3:$P$6,1+COUNTIF(C$4:C11,C11),0),999),1),IF(REGEXMATCH(C11,""Sell_""),IF(COUNTIF(C$4:C11,SUBSTITUTE(C11,""Sell_"",""""))-COUNTIF(C$4:C10,C11)&lt;1,1),FALSE)))))))))"),FALSE)</f>
        <v>0</v>
      </c>
      <c r="E11" s="71">
        <f>IFERROR(__xludf.DUMMYFUNCTION("IF(REGEXMATCH(C11,""^Sell_""),E10, IF(COUNTA(C11:C147)=0,"""",(COUNTIF(C$4:C11,""Cursor"")-COUNTIF(C$4:C11,""Sell_Cursor""))*(0.1*2^SWITCH(COUNTIF(C$4:C11,""Cursor_up""),0,0,1,1,2,2,3)+SWITCH(COUNTIF(C$4:C11,""Cursor_up""),4,0.1,0)*(ROW(C11)-4-COUNTIF(C$4"&amp;":C11,""Cursor"")-COUNTIF(C$4:C11,""*""&amp;""_up"")-2*COUNTIF(C$4:C11,""Sell_""&amp;""*"")+COUNTIF(C$4:C11,""Sell_Cursor"")-COUNTIF(C$4:C11,"""")))+(COUNTIF(C$4:C11,""Grandma"")-COUNTIF(C$4:C11,""Sell_Grandma""))*(1*2^(COUNTIF(C$4:C11,""Grandma_up"")+COUNTIF(C$4:"&amp;"C11,""Super_up"")))+(COUNTIF(C$4:C11,""Farm"")-COUNTIF(C$4:C11,""Sell_Farm""))*(8*2^COUNTIF(C$4:C11,""Farm_up""))*IF(COUNTIF(C$4:C11,""Super_up"")&gt;0,1+0.01*(COUNTIF(C$4:C11,""Grandma"")-COUNTIF(C$4:C11,""Sell_Grandma"")),1)+(COUNTIF(C$4:C11,""Mine"")-COUN"&amp;"TIF(C$4:C11,""Sell_Mine""))*((47*2^COUNTIF(C$4:C11,""Mine_up""))*IF(COUNTIF(C$4:C11,""Super_up"")&gt;1,1+0.005*(COUNTIF(C$4:C11,""Grandma"")-COUNTIF(C$4:C11,""Sell_Grandma"")),1))+(COUNTIF(C$4:C11,""Factory"")-COUNTIF(C$4:C11,""Sell_Factory""))*(260*2^COUNTI"&amp;"F(C$4:C11,""Factory_up""))))"),2.0)</f>
        <v>2</v>
      </c>
      <c r="F11" s="73">
        <f>IFERROR(__xludf.DUMMYFUNCTION("IF(COUNTA(C11:C147)=0,"""",IF(REGEXMATCH(INDEX(FILTER(C$4:C11,C$4:C11&lt;&gt;""""),ROWS(FILTER(C$4:C11,C$4:C11&lt;&gt;""""))),""^Sell_""),INDEX(FILTER(F$4:F10,C$4:C10&lt;&gt;""""),ROWS(FILTER(C$4:C10,C$4:C10&lt;&gt;""""))),$AC$5*(2^SWITCH(COUNTIF(C$4:C11,""Cursor_up""),0,0,1,1,2"&amp;",2,3)+SWITCH(COUNTIF(C$4:C11,""Cursor_up""),4,0.1,0)*(ROW(C11)-4-COUNTIF(C$4:C11,""Cursor"")-COUNTIF(C$4:C11,""*""&amp;""_up"")-2*COUNTIF(C$4:C11,""Sell_""&amp;""*"")+COUNTIF(C$4:C11,""Sell_Cursor"")-COUNTIF(C$4:C11,""""))+0.01*E11*COUNTIF(C$4:C11,""Plastic_up"")"&amp;")+E11))"),802.0)</f>
        <v>802</v>
      </c>
      <c r="G11" s="14">
        <f>IFERROR(__xludf.DUMMYFUNCTION("IF(COUNTA(C11:C147)=0,"""",IF(REGEXMATCH(C11,""_up""),VLOOKUP(C11,Upgrades!$F$3:$J$8,1+COUNTIF(C$4:C11,C11),FALSE),IF(C11="""",0,IF(REGEXMATCH(C11,""^Sell_""),-ROUNDDOWN(ROUNDUP(INDEX(Upgrades!$C$3:$C$8,MATCH(SUBSTITUTE(C11,""Sell_"",""""),Upgrades!$B$3:$"&amp;"B$8,0))*1.15^(COUNTIF(C$4:C10,SUBSTITUTE(C11,""Sell_"",""""))-COUNTIF(C$4:C10,""Sell_""&amp;SUBSTITUTE(C11,""Sell_"",""""))))/4),ROUNDUP(INDEX(Upgrades!$C$3:$C$7,MATCH(C11,Upgrades!$B$3:$B$7,0))*1.15^(COUNTIF(C$4:C10,C11)-COUNTIF(C$4:C10,""Sell_""&amp;C11)))))))"),27.0)</f>
        <v>27</v>
      </c>
      <c r="H11" s="14">
        <f t="shared" si="3"/>
        <v>27</v>
      </c>
      <c r="I11" s="75">
        <f t="shared" si="4"/>
        <v>6901.582888</v>
      </c>
      <c r="J11" s="76">
        <f t="shared" si="5"/>
        <v>1.933978792</v>
      </c>
      <c r="K11" s="71" t="str">
        <f t="shared" si="6"/>
        <v>1s</v>
      </c>
      <c r="L11" s="77">
        <f t="shared" si="7"/>
        <v>703</v>
      </c>
      <c r="M11" s="51">
        <f t="shared" si="8"/>
        <v>0</v>
      </c>
      <c r="N11" s="52">
        <f>IFERROR(__xludf.DUMMYFUNCTION("IFS(AND(COUNTA(C11:C147)=0,COUNTA(P11:P147)=0),"""",OR(AND(L11&gt;=1000000,OR(Y11&gt;=1000000,COUNTA(P11:P147)=0)),AND(Y11&gt;=1000000,COUNTA(C11:C147)=0),AND(COUNTA(P11:P147)=0,O$3=TRUE)),
ROUNDDOWN((AB$1-AC$1)*MAX(INDEX(S$4:S147,MATCH(LARGE(FILTER(Y$4:Y147,Y$4:Y"&amp;"147&lt;1000000),1),Y$4:Y147)),INDEX(F$4:F147,MATCH(LARGE(FILTER(L$4:L147,L$4:L147&lt;1000000),1),L$4:L147)))),AND(L11&lt;1000000,COUNTA(C11:C147)&gt;0,O$3=FALSE),
ROUNDDOWN(INDEX(Y$4:Y147,MATCH(LARGE(FILTER(W$4:W147,W$4:W147&lt;=J11),1),W$4:W147))+(J11-LARGE(FILTER(W$4:"&amp;"W147,W$4:W147&lt;=J11),1))*INDEX(S$4:S147,MATCH(LARGE(FILTER(W$4:W147,W$4:W147&lt;=J11),1),W$4:W147))-L11),1,
ROUNDDOWN(Y11-INDEX(L$4:L147,MATCH(LARGE(FILTER(J$4:J147,J$4:J147&lt;=W11),1),J$4:J147))-(W11-LARGE(FILTER(J$4:J147,J$4:J147&lt;=W11),1))*INDEX(F$4:F147,MATC"&amp;"H(LARGE(FILTER(J$4:J147,J$4:J147&lt;=W11),1),J$4:J147))))"),0.0)</f>
        <v>0</v>
      </c>
      <c r="O11" s="65">
        <f t="shared" si="9"/>
        <v>5</v>
      </c>
      <c r="P11" s="15" t="s">
        <v>10</v>
      </c>
      <c r="Q11" s="14" t="b">
        <f>IFERROR(__xludf.DUMMYFUNCTION("IF(COUNTA(P11:P147)=0,"""",IFERROR(IF(ISBLANK(P11),FALSE,IF(ISBLANK(T11),1,IF(NOT(COUNTIF($AA$24:$AA$34,SUBSTITUTE(P11,""Sell_"",""""))),1,IF(P11=""Plastic_up"",IF(V11&lt;1000,1),IF(P11=""Super_Up"",IF(OR(COUNTIF(P$4:P11,""Grandma"")-COUNTIF(P$4:P11,""Sell_G"&amp;"randma"")&lt;1,COUNTIF(P$4:P11,VLOOKUP(P11,Upgrades!$F$8:$N$8,7+COUNTIF(P$4:P11,P11)))-COUNTIF(P$4:P11,""Sell_""&amp;VLOOKUP(P11,Upgrades!$F$8:$N$8,7+COUNTIF(P$4:P11,P11)))&lt;15),1),IF(REGEXMATCH(P11,""_up""),IF(COUNTIF(P$4:P11,SUBSTITUTE(P11,""_up"",""""))&lt;IFERRO"&amp;"R(VLOOKUP(P11,Upgrades!$L$3:$P$6,1+COUNTIF(P$4:P11,P11),0),999),1),IF(REGEXMATCH(P11,""Sell_""),IF(COUNTIF(P$4:P11,SUBSTITUTE(P11,""Sell_"",""""))-COUNTIF(P$4:P10,P11)&lt;1,1),FALSE)))))))))"),FALSE)</f>
        <v>0</v>
      </c>
      <c r="R11" s="71">
        <f>IFERROR(__xludf.DUMMYFUNCTION("IF(REGEXMATCH(P11,""^Sell_""),R10, IF(COUNTA(P11:P147)=0,"""",(COUNTIF(P$4:P11,""Cursor"")-COUNTIF(P$4:P11,""Sell_Cursor""))*(0.1*2^SWITCH(COUNTIF(P$4:P11,""Cursor_up""),0,0,1,1,2,2,3)+SWITCH(COUNTIF(P$4:P11,""Cursor_up""),4,0.1,0)*(ROW(P11)-4-COUNTIF(P$4"&amp;":P11,""Cursor"")-COUNTIF(P$4:P11,""*""&amp;""_up"")-2*COUNTIF(P$4:P11,""Sell_""&amp;""*"")+COUNTIF(P$4:P11,""Sell_Cursor"")-COUNTIF(P$4:P11,"""")))+(COUNTIF(P$4:P11,""Grandma"")-COUNTIF(P$4:P11,""Sell_Grandma""))*(1*2^(COUNTIF(P$4:P11,""Grandma_up"")+COUNTIF(P$4:"&amp;"P11,""Super_up"")))+(COUNTIF(P$4:P11,""Farm"")-COUNTIF(P$4:P11,""Sell_Farm""))*(8*2^COUNTIF(P$4:P11,""Farm_up""))*IF(COUNTIF(P$4:P11,""Super_up"")&gt;0,1+0.01*(COUNTIF(P$4:P11,""Grandma"")-COUNTIF(P$4:P11,""Sell_Grandma"")),1)+(COUNTIF(P$4:P11,""Mine"")-COUN"&amp;"TIF(P$4:P11,""Sell_Mine""))*((47*2^COUNTIF(P$4:P11,""Mine_up""))*IF(COUNTIF(P$4:P11,""Super_up"")&gt;1,1+0.005*(COUNTIF(P$4:P11,""Grandma"")-COUNTIF(P$4:P11,""Sell_Grandma"")),1))+(COUNTIF(P$4:P11,""Factory"")-COUNTIF(P$4:P11,""Sell_Factory""))*(260*2^COUNTI"&amp;"F(P$4:P11,""Factory_up""))))"),2.0)</f>
        <v>2</v>
      </c>
      <c r="S11" s="73">
        <f>IFERROR(__xludf.DUMMYFUNCTION("IF(COUNTA(P11:P147)=0,"""",IF(REGEXMATCH(INDEX(FILTER(P$4:P11,P$4:P11&lt;&gt;""""),ROWS(FILTER(P$4:P11,P$4:P11&lt;&gt;""""))),""^Sell_""),INDEX(FILTER(S$4:S10,P$4:P10&lt;&gt;""""),ROWS(FILTER(P$4:P10,P$4:P10&lt;&gt;""""))),$AD$5*(2^SWITCH(COUNTIF(P$4:P11,""Cursor_up""),0,0,1,1,2"&amp;",2,3)+SWITCH(COUNTIF(P$4:P11,""Cursor_up""),4,0.1,0)*(ROW(P11)-4-COUNTIF(P$4:P11,""Cursor"")-COUNTIF(P$4:P11,""*""&amp;""_up"")-2*COUNTIF(P$4:P11,""Sell_""&amp;""*"")+COUNTIF(P$4:P11,""Sell_Cursor"")-COUNTIF(P$4:P11,""""))+0.01*R11*COUNTIF(P$4:P11,""Plastic_up"")"&amp;")+R11))"),802.0)</f>
        <v>802</v>
      </c>
      <c r="T11" s="14">
        <f>IFERROR(__xludf.DUMMYFUNCTION("IF(COUNTA(P11:P147)=0,"""",IF(REGEXMATCH(P11,""_up""),VLOOKUP(P11,Upgrades!$F$3:$J$8,1+COUNTIF(P$4:P11,P11),FALSE),IF(P11="""",0,IF(REGEXMATCH(P11,""^Sell_""),-ROUNDDOWN(ROUNDUP(INDEX(Upgrades!$C$3:$C$8,MATCH(SUBSTITUTE(P11,""Sell_"",""""),Upgrades!$B$3:$"&amp;"B$8,0))*1.15^(COUNTIF(P$4:P10,SUBSTITUTE(P11,""Sell_"",""""))-COUNTIF(P$4:P10,""Sell_""&amp;SUBSTITUTE(P11,""Sell_"",""""))))/4),ROUNDUP(INDEX(Upgrades!$C$3:$C$7,MATCH(P11,Upgrades!$B$3:$B$7,0))*1.15^(COUNTIF(P$4:P10,P11)-COUNTIF(P$4:P10,""Sell_""&amp;P11)))))))"),27.0)</f>
        <v>27</v>
      </c>
      <c r="U11" s="14">
        <f t="shared" si="10"/>
        <v>27</v>
      </c>
      <c r="V11" s="75">
        <f t="shared" si="11"/>
        <v>6901.582888</v>
      </c>
      <c r="W11" s="76">
        <f t="shared" si="12"/>
        <v>1.933978792</v>
      </c>
      <c r="X11" s="71" t="str">
        <f t="shared" si="13"/>
        <v>1s</v>
      </c>
      <c r="Y11" s="77">
        <f t="shared" si="14"/>
        <v>703</v>
      </c>
      <c r="Z11" s="17"/>
      <c r="AA11" s="92" t="s">
        <v>66</v>
      </c>
      <c r="AB11" s="93"/>
      <c r="AC11" s="93"/>
      <c r="AD11" s="93"/>
      <c r="AE11" s="93"/>
      <c r="AF11" s="94"/>
      <c r="AG11" s="13"/>
    </row>
    <row r="12">
      <c r="A12" s="12"/>
      <c r="B12" s="65">
        <f t="shared" si="2"/>
        <v>6</v>
      </c>
      <c r="C12" s="66" t="s">
        <v>10</v>
      </c>
      <c r="D12" s="14" t="b">
        <f>IFERROR(__xludf.DUMMYFUNCTION("IF(COUNTA(C12:C147)=0,"""",IFERROR(IF(ISBLANK(C12),FALSE,IF(ISBLANK(G12),1,IF(NOT(COUNTIF($AA$24:$AA$34,SUBSTITUTE(C12,""Sell_"",""""))),1,IF(C12=""Plastic_up"",IF(I12&lt;1000,1),IF(C12=""Super_Up"",IF(OR(COUNTIF(C$4:C12,""Grandma"")-COUNTIF(C$4:C12,""Sell_G"&amp;"randma"")&lt;1,COUNTIF(C$4:C12,VLOOKUP(C12,Upgrades!$F$8:$N$8,7+COUNTIF(C$4:C12,C12)))-COUNTIF(C$4:C12,""Sell_""&amp;VLOOKUP(C12,Upgrades!$F$8:$N$8,7+COUNTIF(C$4:C12,C12)))&lt;15),1),IF(REGEXMATCH(C12,""_up""),IF(COUNTIF(C$4:C12,SUBSTITUTE(C12,""_up"",""""))&lt;IFERRO"&amp;"R(VLOOKUP(C12,Upgrades!$L$3:$P$6,1+COUNTIF(C$4:C12,C12),0),999),1),IF(REGEXMATCH(C12,""Sell_""),IF(COUNTIF(C$4:C12,SUBSTITUTE(C12,""Sell_"",""""))-COUNTIF(C$4:C11,C12)&lt;1,1),FALSE)))))))))"),FALSE)</f>
        <v>0</v>
      </c>
      <c r="E12" s="71">
        <f>IFERROR(__xludf.DUMMYFUNCTION("IF(REGEXMATCH(C12,""^Sell_""),E11, IF(COUNTA(C12:C147)=0,"""",(COUNTIF(C$4:C12,""Cursor"")-COUNTIF(C$4:C12,""Sell_Cursor""))*(0.1*2^SWITCH(COUNTIF(C$4:C12,""Cursor_up""),0,0,1,1,2,2,3)+SWITCH(COUNTIF(C$4:C12,""Cursor_up""),4,0.1,0)*(ROW(C12)-4-COUNTIF(C$4"&amp;":C12,""Cursor"")-COUNTIF(C$4:C12,""*""&amp;""_up"")-2*COUNTIF(C$4:C12,""Sell_""&amp;""*"")+COUNTIF(C$4:C12,""Sell_Cursor"")-COUNTIF(C$4:C12,"""")))+(COUNTIF(C$4:C12,""Grandma"")-COUNTIF(C$4:C12,""Sell_Grandma""))*(1*2^(COUNTIF(C$4:C12,""Grandma_up"")+COUNTIF(C$4:"&amp;"C12,""Super_up"")))+(COUNTIF(C$4:C12,""Farm"")-COUNTIF(C$4:C12,""Sell_Farm""))*(8*2^COUNTIF(C$4:C12,""Farm_up""))*IF(COUNTIF(C$4:C12,""Super_up"")&gt;0,1+0.01*(COUNTIF(C$4:C12,""Grandma"")-COUNTIF(C$4:C12,""Sell_Grandma"")),1)+(COUNTIF(C$4:C12,""Mine"")-COUN"&amp;"TIF(C$4:C12,""Sell_Mine""))*((47*2^COUNTIF(C$4:C12,""Mine_up""))*IF(COUNTIF(C$4:C12,""Super_up"")&gt;1,1+0.005*(COUNTIF(C$4:C12,""Grandma"")-COUNTIF(C$4:C12,""Sell_Grandma"")),1))+(COUNTIF(C$4:C12,""Factory"")-COUNTIF(C$4:C12,""Sell_Factory""))*(260*2^COUNTI"&amp;"F(C$4:C12,""Factory_up""))))"),2.4000000000000004)</f>
        <v>2.4</v>
      </c>
      <c r="F12" s="73">
        <f>IFERROR(__xludf.DUMMYFUNCTION("IF(COUNTA(C12:C147)=0,"""",IF(REGEXMATCH(INDEX(FILTER(C$4:C12,C$4:C12&lt;&gt;""""),ROWS(FILTER(C$4:C12,C$4:C12&lt;&gt;""""))),""^Sell_""),INDEX(FILTER(F$4:F11,C$4:C11&lt;&gt;""""),ROWS(FILTER(C$4:C11,C$4:C11&lt;&gt;""""))),$AC$5*(2^SWITCH(COUNTIF(C$4:C12,""Cursor_up""),0,0,1,1,2"&amp;",2,3)+SWITCH(COUNTIF(C$4:C12,""Cursor_up""),4,0.1,0)*(ROW(C12)-4-COUNTIF(C$4:C12,""Cursor"")-COUNTIF(C$4:C12,""*""&amp;""_up"")-2*COUNTIF(C$4:C12,""Sell_""&amp;""*"")+COUNTIF(C$4:C12,""Sell_Cursor"")-COUNTIF(C$4:C12,""""))+0.01*E12*COUNTIF(C$4:C12,""Plastic_up"")"&amp;")+E12))"),802.4)</f>
        <v>802.4</v>
      </c>
      <c r="G12" s="14">
        <f>IFERROR(__xludf.DUMMYFUNCTION("IF(COUNTA(C12:C147)=0,"""",IF(REGEXMATCH(C12,""_up""),VLOOKUP(C12,Upgrades!$F$3:$J$8,1+COUNTIF(C$4:C12,C12),FALSE),IF(C12="""",0,IF(REGEXMATCH(C12,""^Sell_""),-ROUNDDOWN(ROUNDUP(INDEX(Upgrades!$C$3:$C$8,MATCH(SUBSTITUTE(C12,""Sell_"",""""),Upgrades!$B$3:$"&amp;"B$8,0))*1.15^(COUNTIF(C$4:C11,SUBSTITUTE(C12,""Sell_"",""""))-COUNTIF(C$4:C11,""Sell_""&amp;SUBSTITUTE(C12,""Sell_"",""""))))/4),ROUNDUP(INDEX(Upgrades!$C$3:$C$7,MATCH(C12,Upgrades!$B$3:$B$7,0))*1.15^(COUNTIF(C$4:C11,C12)-COUNTIF(C$4:C11,""Sell_""&amp;C12)))))))"),31.0)</f>
        <v>31</v>
      </c>
      <c r="H12" s="14">
        <f t="shared" si="3"/>
        <v>31</v>
      </c>
      <c r="I12" s="75">
        <f t="shared" si="4"/>
        <v>8479.688615</v>
      </c>
      <c r="J12" s="76">
        <f t="shared" si="5"/>
        <v>1.972632159</v>
      </c>
      <c r="K12" s="71" t="str">
        <f t="shared" si="6"/>
        <v>1s</v>
      </c>
      <c r="L12" s="77">
        <f t="shared" si="7"/>
        <v>734</v>
      </c>
      <c r="M12" s="51">
        <f t="shared" si="8"/>
        <v>0</v>
      </c>
      <c r="N12" s="52">
        <f>IFERROR(__xludf.DUMMYFUNCTION("IFS(AND(COUNTA(C12:C147)=0,COUNTA(P12:P147)=0),"""",OR(AND(L12&gt;=1000000,OR(Y12&gt;=1000000,COUNTA(P12:P147)=0)),AND(Y12&gt;=1000000,COUNTA(C12:C147)=0),AND(COUNTA(P12:P147)=0,O$3=TRUE)),
ROUNDDOWN((AB$1-AC$1)*MAX(INDEX(S$4:S147,MATCH(LARGE(FILTER(Y$4:Y147,Y$4:Y"&amp;"147&lt;1000000),1),Y$4:Y147)),INDEX(F$4:F147,MATCH(LARGE(FILTER(L$4:L147,L$4:L147&lt;1000000),1),L$4:L147)))),AND(L12&lt;1000000,COUNTA(C12:C147)&gt;0,O$3=FALSE),
ROUNDDOWN(INDEX(Y$4:Y147,MATCH(LARGE(FILTER(W$4:W147,W$4:W147&lt;=J12),1),W$4:W147))+(J12-LARGE(FILTER(W$4:"&amp;"W147,W$4:W147&lt;=J12),1))*INDEX(S$4:S147,MATCH(LARGE(FILTER(W$4:W147,W$4:W147&lt;=J12),1),W$4:W147))-L12),1,
ROUNDDOWN(Y12-INDEX(L$4:L147,MATCH(LARGE(FILTER(J$4:J147,J$4:J147&lt;=W12),1),J$4:J147))-(W12-LARGE(FILTER(J$4:J147,J$4:J147&lt;=W12),1))*INDEX(F$4:F147,MATC"&amp;"H(LARGE(FILTER(J$4:J147,J$4:J147&lt;=W12),1),J$4:J147))))"),0.0)</f>
        <v>0</v>
      </c>
      <c r="O12" s="65">
        <f t="shared" si="9"/>
        <v>6</v>
      </c>
      <c r="P12" s="15" t="s">
        <v>10</v>
      </c>
      <c r="Q12" s="14" t="b">
        <f>IFERROR(__xludf.DUMMYFUNCTION("IF(COUNTA(P12:P147)=0,"""",IFERROR(IF(ISBLANK(P12),FALSE,IF(ISBLANK(T12),1,IF(NOT(COUNTIF($AA$24:$AA$34,SUBSTITUTE(P12,""Sell_"",""""))),1,IF(P12=""Plastic_up"",IF(V12&lt;1000,1),IF(P12=""Super_Up"",IF(OR(COUNTIF(P$4:P12,""Grandma"")-COUNTIF(P$4:P12,""Sell_G"&amp;"randma"")&lt;1,COUNTIF(P$4:P12,VLOOKUP(P12,Upgrades!$F$8:$N$8,7+COUNTIF(P$4:P12,P12)))-COUNTIF(P$4:P12,""Sell_""&amp;VLOOKUP(P12,Upgrades!$F$8:$N$8,7+COUNTIF(P$4:P12,P12)))&lt;15),1),IF(REGEXMATCH(P12,""_up""),IF(COUNTIF(P$4:P12,SUBSTITUTE(P12,""_up"",""""))&lt;IFERRO"&amp;"R(VLOOKUP(P12,Upgrades!$L$3:$P$6,1+COUNTIF(P$4:P12,P12),0),999),1),IF(REGEXMATCH(P12,""Sell_""),IF(COUNTIF(P$4:P12,SUBSTITUTE(P12,""Sell_"",""""))-COUNTIF(P$4:P11,P12)&lt;1,1),FALSE)))))))))"),FALSE)</f>
        <v>0</v>
      </c>
      <c r="R12" s="71">
        <f>IFERROR(__xludf.DUMMYFUNCTION("IF(REGEXMATCH(P12,""^Sell_""),R11, IF(COUNTA(P12:P147)=0,"""",(COUNTIF(P$4:P12,""Cursor"")-COUNTIF(P$4:P12,""Sell_Cursor""))*(0.1*2^SWITCH(COUNTIF(P$4:P12,""Cursor_up""),0,0,1,1,2,2,3)+SWITCH(COUNTIF(P$4:P12,""Cursor_up""),4,0.1,0)*(ROW(P12)-4-COUNTIF(P$4"&amp;":P12,""Cursor"")-COUNTIF(P$4:P12,""*""&amp;""_up"")-2*COUNTIF(P$4:P12,""Sell_""&amp;""*"")+COUNTIF(P$4:P12,""Sell_Cursor"")-COUNTIF(P$4:P12,"""")))+(COUNTIF(P$4:P12,""Grandma"")-COUNTIF(P$4:P12,""Sell_Grandma""))*(1*2^(COUNTIF(P$4:P12,""Grandma_up"")+COUNTIF(P$4:"&amp;"P12,""Super_up"")))+(COUNTIF(P$4:P12,""Farm"")-COUNTIF(P$4:P12,""Sell_Farm""))*(8*2^COUNTIF(P$4:P12,""Farm_up""))*IF(COUNTIF(P$4:P12,""Super_up"")&gt;0,1+0.01*(COUNTIF(P$4:P12,""Grandma"")-COUNTIF(P$4:P12,""Sell_Grandma"")),1)+(COUNTIF(P$4:P12,""Mine"")-COUN"&amp;"TIF(P$4:P12,""Sell_Mine""))*((47*2^COUNTIF(P$4:P12,""Mine_up""))*IF(COUNTIF(P$4:P12,""Super_up"")&gt;1,1+0.005*(COUNTIF(P$4:P12,""Grandma"")-COUNTIF(P$4:P12,""Sell_Grandma"")),1))+(COUNTIF(P$4:P12,""Factory"")-COUNTIF(P$4:P12,""Sell_Factory""))*(260*2^COUNTI"&amp;"F(P$4:P12,""Factory_up""))))"),2.4000000000000004)</f>
        <v>2.4</v>
      </c>
      <c r="S12" s="73">
        <f>IFERROR(__xludf.DUMMYFUNCTION("IF(COUNTA(P12:P147)=0,"""",IF(REGEXMATCH(INDEX(FILTER(P$4:P12,P$4:P12&lt;&gt;""""),ROWS(FILTER(P$4:P12,P$4:P12&lt;&gt;""""))),""^Sell_""),INDEX(FILTER(S$4:S11,P$4:P11&lt;&gt;""""),ROWS(FILTER(P$4:P11,P$4:P11&lt;&gt;""""))),$AD$5*(2^SWITCH(COUNTIF(P$4:P12,""Cursor_up""),0,0,1,1,2"&amp;",2,3)+SWITCH(COUNTIF(P$4:P12,""Cursor_up""),4,0.1,0)*(ROW(P12)-4-COUNTIF(P$4:P12,""Cursor"")-COUNTIF(P$4:P12,""*""&amp;""_up"")-2*COUNTIF(P$4:P12,""Sell_""&amp;""*"")+COUNTIF(P$4:P12,""Sell_Cursor"")-COUNTIF(P$4:P12,""""))+0.01*R12*COUNTIF(P$4:P12,""Plastic_up"")"&amp;")+R12))"),802.4)</f>
        <v>802.4</v>
      </c>
      <c r="T12" s="14">
        <f>IFERROR(__xludf.DUMMYFUNCTION("IF(COUNTA(P12:P147)=0,"""",IF(REGEXMATCH(P12,""_up""),VLOOKUP(P12,Upgrades!$F$3:$J$8,1+COUNTIF(P$4:P12,P12),FALSE),IF(P12="""",0,IF(REGEXMATCH(P12,""^Sell_""),-ROUNDDOWN(ROUNDUP(INDEX(Upgrades!$C$3:$C$8,MATCH(SUBSTITUTE(P12,""Sell_"",""""),Upgrades!$B$3:$"&amp;"B$8,0))*1.15^(COUNTIF(P$4:P11,SUBSTITUTE(P12,""Sell_"",""""))-COUNTIF(P$4:P11,""Sell_""&amp;SUBSTITUTE(P12,""Sell_"",""""))))/4),ROUNDUP(INDEX(Upgrades!$C$3:$C$7,MATCH(P12,Upgrades!$B$3:$B$7,0))*1.15^(COUNTIF(P$4:P11,P12)-COUNTIF(P$4:P11,""Sell_""&amp;P12)))))))"),31.0)</f>
        <v>31</v>
      </c>
      <c r="U12" s="14">
        <f t="shared" si="10"/>
        <v>31</v>
      </c>
      <c r="V12" s="75">
        <f t="shared" si="11"/>
        <v>8479.688615</v>
      </c>
      <c r="W12" s="76">
        <f t="shared" si="12"/>
        <v>1.972632159</v>
      </c>
      <c r="X12" s="71" t="str">
        <f t="shared" si="13"/>
        <v>1s</v>
      </c>
      <c r="Y12" s="77">
        <f t="shared" si="14"/>
        <v>734</v>
      </c>
      <c r="Z12" s="17"/>
      <c r="AA12" s="95" t="s">
        <v>67</v>
      </c>
      <c r="AB12" s="96"/>
      <c r="AC12" s="96"/>
      <c r="AD12" s="96"/>
      <c r="AE12" s="96"/>
      <c r="AF12" s="97"/>
      <c r="AG12" s="13"/>
    </row>
    <row r="13">
      <c r="A13" s="12"/>
      <c r="B13" s="65">
        <f t="shared" si="2"/>
        <v>7</v>
      </c>
      <c r="C13" s="66" t="s">
        <v>10</v>
      </c>
      <c r="D13" s="14" t="b">
        <f>IFERROR(__xludf.DUMMYFUNCTION("IF(COUNTA(C13:C147)=0,"""",IFERROR(IF(ISBLANK(C13),FALSE,IF(ISBLANK(G13),1,IF(NOT(COUNTIF($AA$24:$AA$34,SUBSTITUTE(C13,""Sell_"",""""))),1,IF(C13=""Plastic_up"",IF(I13&lt;1000,1),IF(C13=""Super_Up"",IF(OR(COUNTIF(C$4:C13,""Grandma"")-COUNTIF(C$4:C13,""Sell_G"&amp;"randma"")&lt;1,COUNTIF(C$4:C13,VLOOKUP(C13,Upgrades!$F$8:$N$8,7+COUNTIF(C$4:C13,C13)))-COUNTIF(C$4:C13,""Sell_""&amp;VLOOKUP(C13,Upgrades!$F$8:$N$8,7+COUNTIF(C$4:C13,C13)))&lt;15),1),IF(REGEXMATCH(C13,""_up""),IF(COUNTIF(C$4:C13,SUBSTITUTE(C13,""_up"",""""))&lt;IFERRO"&amp;"R(VLOOKUP(C13,Upgrades!$L$3:$P$6,1+COUNTIF(C$4:C13,C13),0),999),1),IF(REGEXMATCH(C13,""Sell_""),IF(COUNTIF(C$4:C13,SUBSTITUTE(C13,""Sell_"",""""))-COUNTIF(C$4:C12,C13)&lt;1,1),FALSE)))))))))"),FALSE)</f>
        <v>0</v>
      </c>
      <c r="E13" s="71">
        <f>IFERROR(__xludf.DUMMYFUNCTION("IF(REGEXMATCH(C13,""^Sell_""),E12, IF(COUNTA(C13:C147)=0,"""",(COUNTIF(C$4:C13,""Cursor"")-COUNTIF(C$4:C13,""Sell_Cursor""))*(0.1*2^SWITCH(COUNTIF(C$4:C13,""Cursor_up""),0,0,1,1,2,2,3)+SWITCH(COUNTIF(C$4:C13,""Cursor_up""),4,0.1,0)*(ROW(C13)-4-COUNTIF(C$4"&amp;":C13,""Cursor"")-COUNTIF(C$4:C13,""*""&amp;""_up"")-2*COUNTIF(C$4:C13,""Sell_""&amp;""*"")+COUNTIF(C$4:C13,""Sell_Cursor"")-COUNTIF(C$4:C13,"""")))+(COUNTIF(C$4:C13,""Grandma"")-COUNTIF(C$4:C13,""Sell_Grandma""))*(1*2^(COUNTIF(C$4:C13,""Grandma_up"")+COUNTIF(C$4:"&amp;"C13,""Super_up"")))+(COUNTIF(C$4:C13,""Farm"")-COUNTIF(C$4:C13,""Sell_Farm""))*(8*2^COUNTIF(C$4:C13,""Farm_up""))*IF(COUNTIF(C$4:C13,""Super_up"")&gt;0,1+0.01*(COUNTIF(C$4:C13,""Grandma"")-COUNTIF(C$4:C13,""Sell_Grandma"")),1)+(COUNTIF(C$4:C13,""Mine"")-COUN"&amp;"TIF(C$4:C13,""Sell_Mine""))*((47*2^COUNTIF(C$4:C13,""Mine_up""))*IF(COUNTIF(C$4:C13,""Super_up"")&gt;1,1+0.005*(COUNTIF(C$4:C13,""Grandma"")-COUNTIF(C$4:C13,""Sell_Grandma"")),1))+(COUNTIF(C$4:C13,""Factory"")-COUNTIF(C$4:C13,""Sell_Factory""))*(260*2^COUNTI"&amp;"F(C$4:C13,""Factory_up""))))"),2.8000000000000003)</f>
        <v>2.8</v>
      </c>
      <c r="F13" s="73">
        <f>IFERROR(__xludf.DUMMYFUNCTION("IF(COUNTA(C13:C147)=0,"""",IF(REGEXMATCH(INDEX(FILTER(C$4:C13,C$4:C13&lt;&gt;""""),ROWS(FILTER(C$4:C13,C$4:C13&lt;&gt;""""))),""^Sell_""),INDEX(FILTER(F$4:F12,C$4:C12&lt;&gt;""""),ROWS(FILTER(C$4:C12,C$4:C12&lt;&gt;""""))),$AC$5*(2^SWITCH(COUNTIF(C$4:C13,""Cursor_up""),0,0,1,1,2"&amp;",2,3)+SWITCH(COUNTIF(C$4:C13,""Cursor_up""),4,0.1,0)*(ROW(C13)-4-COUNTIF(C$4:C13,""Cursor"")-COUNTIF(C$4:C13,""*""&amp;""_up"")-2*COUNTIF(C$4:C13,""Sell_""&amp;""*"")+COUNTIF(C$4:C13,""Sell_Cursor"")-COUNTIF(C$4:C13,""""))+0.01*E13*COUNTIF(C$4:C13,""Plastic_up"")"&amp;")+E13))"),802.8)</f>
        <v>802.8</v>
      </c>
      <c r="G13" s="14">
        <f>IFERROR(__xludf.DUMMYFUNCTION("IF(COUNTA(C13:C147)=0,"""",IF(REGEXMATCH(C13,""_up""),VLOOKUP(C13,Upgrades!$F$3:$J$8,1+COUNTIF(C$4:C13,C13),FALSE),IF(C13="""",0,IF(REGEXMATCH(C13,""^Sell_""),-ROUNDDOWN(ROUNDUP(INDEX(Upgrades!$C$3:$C$8,MATCH(SUBSTITUTE(C13,""Sell_"",""""),Upgrades!$B$3:$"&amp;"B$8,0))*1.15^(COUNTIF(C$4:C12,SUBSTITUTE(C13,""Sell_"",""""))-COUNTIF(C$4:C12,""Sell_""&amp;SUBSTITUTE(C13,""Sell_"",""""))))/4),ROUNDUP(INDEX(Upgrades!$C$3:$C$7,MATCH(C13,Upgrades!$B$3:$B$7,0))*1.15^(COUNTIF(C$4:C12,C13)-COUNTIF(C$4:C12,""Sell_""&amp;C13)))))))"),35.0)</f>
        <v>35</v>
      </c>
      <c r="H13" s="14">
        <f t="shared" si="3"/>
        <v>35</v>
      </c>
      <c r="I13" s="75">
        <f t="shared" si="4"/>
        <v>10092.68966</v>
      </c>
      <c r="J13" s="76">
        <f t="shared" si="5"/>
        <v>2.016251301</v>
      </c>
      <c r="K13" s="71" t="str">
        <f t="shared" si="6"/>
        <v>2s</v>
      </c>
      <c r="L13" s="77">
        <f t="shared" si="7"/>
        <v>769</v>
      </c>
      <c r="M13" s="51">
        <f t="shared" si="8"/>
        <v>0</v>
      </c>
      <c r="N13" s="52">
        <f>IFERROR(__xludf.DUMMYFUNCTION("IFS(AND(COUNTA(C13:C147)=0,COUNTA(P13:P147)=0),"""",OR(AND(L13&gt;=1000000,OR(Y13&gt;=1000000,COUNTA(P13:P147)=0)),AND(Y13&gt;=1000000,COUNTA(C13:C147)=0),AND(COUNTA(P13:P147)=0,O$3=TRUE)),
ROUNDDOWN((AB$1-AC$1)*MAX(INDEX(S$4:S147,MATCH(LARGE(FILTER(Y$4:Y147,Y$4:Y"&amp;"147&lt;1000000),1),Y$4:Y147)),INDEX(F$4:F147,MATCH(LARGE(FILTER(L$4:L147,L$4:L147&lt;1000000),1),L$4:L147)))),AND(L13&lt;1000000,COUNTA(C13:C147)&gt;0,O$3=FALSE),
ROUNDDOWN(INDEX(Y$4:Y147,MATCH(LARGE(FILTER(W$4:W147,W$4:W147&lt;=J13),1),W$4:W147))+(J13-LARGE(FILTER(W$4:"&amp;"W147,W$4:W147&lt;=J13),1))*INDEX(S$4:S147,MATCH(LARGE(FILTER(W$4:W147,W$4:W147&lt;=J13),1),W$4:W147))-L13),1,
ROUNDDOWN(Y13-INDEX(L$4:L147,MATCH(LARGE(FILTER(J$4:J147,J$4:J147&lt;=W13),1),J$4:J147))-(W13-LARGE(FILTER(J$4:J147,J$4:J147&lt;=W13),1))*INDEX(F$4:F147,MATC"&amp;"H(LARGE(FILTER(J$4:J147,J$4:J147&lt;=W13),1),J$4:J147))))"),0.0)</f>
        <v>0</v>
      </c>
      <c r="O13" s="65">
        <f t="shared" si="9"/>
        <v>7</v>
      </c>
      <c r="P13" s="15" t="s">
        <v>10</v>
      </c>
      <c r="Q13" s="14" t="b">
        <f>IFERROR(__xludf.DUMMYFUNCTION("IF(COUNTA(P13:P147)=0,"""",IFERROR(IF(ISBLANK(P13),FALSE,IF(ISBLANK(T13),1,IF(NOT(COUNTIF($AA$24:$AA$34,SUBSTITUTE(P13,""Sell_"",""""))),1,IF(P13=""Plastic_up"",IF(V13&lt;1000,1),IF(P13=""Super_Up"",IF(OR(COUNTIF(P$4:P13,""Grandma"")-COUNTIF(P$4:P13,""Sell_G"&amp;"randma"")&lt;1,COUNTIF(P$4:P13,VLOOKUP(P13,Upgrades!$F$8:$N$8,7+COUNTIF(P$4:P13,P13)))-COUNTIF(P$4:P13,""Sell_""&amp;VLOOKUP(P13,Upgrades!$F$8:$N$8,7+COUNTIF(P$4:P13,P13)))&lt;15),1),IF(REGEXMATCH(P13,""_up""),IF(COUNTIF(P$4:P13,SUBSTITUTE(P13,""_up"",""""))&lt;IFERRO"&amp;"R(VLOOKUP(P13,Upgrades!$L$3:$P$6,1+COUNTIF(P$4:P13,P13),0),999),1),IF(REGEXMATCH(P13,""Sell_""),IF(COUNTIF(P$4:P13,SUBSTITUTE(P13,""Sell_"",""""))-COUNTIF(P$4:P12,P13)&lt;1,1),FALSE)))))))))"),FALSE)</f>
        <v>0</v>
      </c>
      <c r="R13" s="71">
        <f>IFERROR(__xludf.DUMMYFUNCTION("IF(REGEXMATCH(P13,""^Sell_""),R12, IF(COUNTA(P13:P147)=0,"""",(COUNTIF(P$4:P13,""Cursor"")-COUNTIF(P$4:P13,""Sell_Cursor""))*(0.1*2^SWITCH(COUNTIF(P$4:P13,""Cursor_up""),0,0,1,1,2,2,3)+SWITCH(COUNTIF(P$4:P13,""Cursor_up""),4,0.1,0)*(ROW(P13)-4-COUNTIF(P$4"&amp;":P13,""Cursor"")-COUNTIF(P$4:P13,""*""&amp;""_up"")-2*COUNTIF(P$4:P13,""Sell_""&amp;""*"")+COUNTIF(P$4:P13,""Sell_Cursor"")-COUNTIF(P$4:P13,"""")))+(COUNTIF(P$4:P13,""Grandma"")-COUNTIF(P$4:P13,""Sell_Grandma""))*(1*2^(COUNTIF(P$4:P13,""Grandma_up"")+COUNTIF(P$4:"&amp;"P13,""Super_up"")))+(COUNTIF(P$4:P13,""Farm"")-COUNTIF(P$4:P13,""Sell_Farm""))*(8*2^COUNTIF(P$4:P13,""Farm_up""))*IF(COUNTIF(P$4:P13,""Super_up"")&gt;0,1+0.01*(COUNTIF(P$4:P13,""Grandma"")-COUNTIF(P$4:P13,""Sell_Grandma"")),1)+(COUNTIF(P$4:P13,""Mine"")-COUN"&amp;"TIF(P$4:P13,""Sell_Mine""))*((47*2^COUNTIF(P$4:P13,""Mine_up""))*IF(COUNTIF(P$4:P13,""Super_up"")&gt;1,1+0.005*(COUNTIF(P$4:P13,""Grandma"")-COUNTIF(P$4:P13,""Sell_Grandma"")),1))+(COUNTIF(P$4:P13,""Factory"")-COUNTIF(P$4:P13,""Sell_Factory""))*(260*2^COUNTI"&amp;"F(P$4:P13,""Factory_up""))))"),2.8000000000000003)</f>
        <v>2.8</v>
      </c>
      <c r="S13" s="73">
        <f>IFERROR(__xludf.DUMMYFUNCTION("IF(COUNTA(P13:P147)=0,"""",IF(REGEXMATCH(INDEX(FILTER(P$4:P13,P$4:P13&lt;&gt;""""),ROWS(FILTER(P$4:P13,P$4:P13&lt;&gt;""""))),""^Sell_""),INDEX(FILTER(S$4:S12,P$4:P12&lt;&gt;""""),ROWS(FILTER(P$4:P12,P$4:P12&lt;&gt;""""))),$AD$5*(2^SWITCH(COUNTIF(P$4:P13,""Cursor_up""),0,0,1,1,2"&amp;",2,3)+SWITCH(COUNTIF(P$4:P13,""Cursor_up""),4,0.1,0)*(ROW(P13)-4-COUNTIF(P$4:P13,""Cursor"")-COUNTIF(P$4:P13,""*""&amp;""_up"")-2*COUNTIF(P$4:P13,""Sell_""&amp;""*"")+COUNTIF(P$4:P13,""Sell_Cursor"")-COUNTIF(P$4:P13,""""))+0.01*R13*COUNTIF(P$4:P13,""Plastic_up"")"&amp;")+R13))"),802.8)</f>
        <v>802.8</v>
      </c>
      <c r="T13" s="14">
        <f>IFERROR(__xludf.DUMMYFUNCTION("IF(COUNTA(P13:P147)=0,"""",IF(REGEXMATCH(P13,""_up""),VLOOKUP(P13,Upgrades!$F$3:$J$8,1+COUNTIF(P$4:P13,P13),FALSE),IF(P13="""",0,IF(REGEXMATCH(P13,""^Sell_""),-ROUNDDOWN(ROUNDUP(INDEX(Upgrades!$C$3:$C$8,MATCH(SUBSTITUTE(P13,""Sell_"",""""),Upgrades!$B$3:$"&amp;"B$8,0))*1.15^(COUNTIF(P$4:P12,SUBSTITUTE(P13,""Sell_"",""""))-COUNTIF(P$4:P12,""Sell_""&amp;SUBSTITUTE(P13,""Sell_"",""""))))/4),ROUNDUP(INDEX(Upgrades!$C$3:$C$7,MATCH(P13,Upgrades!$B$3:$B$7,0))*1.15^(COUNTIF(P$4:P12,P13)-COUNTIF(P$4:P12,""Sell_""&amp;P13)))))))"),35.0)</f>
        <v>35</v>
      </c>
      <c r="U13" s="14">
        <f t="shared" si="10"/>
        <v>35</v>
      </c>
      <c r="V13" s="75">
        <f t="shared" si="11"/>
        <v>10092.68966</v>
      </c>
      <c r="W13" s="76">
        <f t="shared" si="12"/>
        <v>2.016251301</v>
      </c>
      <c r="X13" s="71" t="str">
        <f t="shared" si="13"/>
        <v>2s</v>
      </c>
      <c r="Y13" s="77">
        <f t="shared" si="14"/>
        <v>769</v>
      </c>
      <c r="Z13" s="17"/>
      <c r="AA13" s="13"/>
      <c r="AB13" s="13"/>
      <c r="AC13" s="13"/>
      <c r="AD13" s="13"/>
      <c r="AE13" s="13"/>
      <c r="AF13" s="13"/>
      <c r="AG13" s="13"/>
    </row>
    <row r="14">
      <c r="A14" s="12"/>
      <c r="B14" s="65">
        <f t="shared" si="2"/>
        <v>8</v>
      </c>
      <c r="C14" s="66" t="s">
        <v>10</v>
      </c>
      <c r="D14" s="14" t="b">
        <f>IFERROR(__xludf.DUMMYFUNCTION("IF(COUNTA(C14:C147)=0,"""",IFERROR(IF(ISBLANK(C14),FALSE,IF(ISBLANK(G14),1,IF(NOT(COUNTIF($AA$24:$AA$34,SUBSTITUTE(C14,""Sell_"",""""))),1,IF(C14=""Plastic_up"",IF(I14&lt;1000,1),IF(C14=""Super_Up"",IF(OR(COUNTIF(C$4:C14,""Grandma"")-COUNTIF(C$4:C14,""Sell_G"&amp;"randma"")&lt;1,COUNTIF(C$4:C14,VLOOKUP(C14,Upgrades!$F$8:$N$8,7+COUNTIF(C$4:C14,C14)))-COUNTIF(C$4:C14,""Sell_""&amp;VLOOKUP(C14,Upgrades!$F$8:$N$8,7+COUNTIF(C$4:C14,C14)))&lt;15),1),IF(REGEXMATCH(C14,""_up""),IF(COUNTIF(C$4:C14,SUBSTITUTE(C14,""_up"",""""))&lt;IFERRO"&amp;"R(VLOOKUP(C14,Upgrades!$L$3:$P$6,1+COUNTIF(C$4:C14,C14),0),999),1),IF(REGEXMATCH(C14,""Sell_""),IF(COUNTIF(C$4:C14,SUBSTITUTE(C14,""Sell_"",""""))-COUNTIF(C$4:C13,C14)&lt;1,1),FALSE)))))))))"),FALSE)</f>
        <v>0</v>
      </c>
      <c r="E14" s="71">
        <f>IFERROR(__xludf.DUMMYFUNCTION("IF(REGEXMATCH(C14,""^Sell_""),E13, IF(COUNTA(C14:C147)=0,"""",(COUNTIF(C$4:C14,""Cursor"")-COUNTIF(C$4:C14,""Sell_Cursor""))*(0.1*2^SWITCH(COUNTIF(C$4:C14,""Cursor_up""),0,0,1,1,2,2,3)+SWITCH(COUNTIF(C$4:C14,""Cursor_up""),4,0.1,0)*(ROW(C14)-4-COUNTIF(C$4"&amp;":C14,""Cursor"")-COUNTIF(C$4:C14,""*""&amp;""_up"")-2*COUNTIF(C$4:C14,""Sell_""&amp;""*"")+COUNTIF(C$4:C14,""Sell_Cursor"")-COUNTIF(C$4:C14,"""")))+(COUNTIF(C$4:C14,""Grandma"")-COUNTIF(C$4:C14,""Sell_Grandma""))*(1*2^(COUNTIF(C$4:C14,""Grandma_up"")+COUNTIF(C$4:"&amp;"C14,""Super_up"")))+(COUNTIF(C$4:C14,""Farm"")-COUNTIF(C$4:C14,""Sell_Farm""))*(8*2^COUNTIF(C$4:C14,""Farm_up""))*IF(COUNTIF(C$4:C14,""Super_up"")&gt;0,1+0.01*(COUNTIF(C$4:C14,""Grandma"")-COUNTIF(C$4:C14,""Sell_Grandma"")),1)+(COUNTIF(C$4:C14,""Mine"")-COUN"&amp;"TIF(C$4:C14,""Sell_Mine""))*((47*2^COUNTIF(C$4:C14,""Mine_up""))*IF(COUNTIF(C$4:C14,""Super_up"")&gt;1,1+0.005*(COUNTIF(C$4:C14,""Grandma"")-COUNTIF(C$4:C14,""Sell_Grandma"")),1))+(COUNTIF(C$4:C14,""Factory"")-COUNTIF(C$4:C14,""Sell_Factory""))*(260*2^COUNTI"&amp;"F(C$4:C14,""Factory_up""))))"),3.2)</f>
        <v>3.2</v>
      </c>
      <c r="F14" s="73">
        <f>IFERROR(__xludf.DUMMYFUNCTION("IF(COUNTA(C14:C147)=0,"""",IF(REGEXMATCH(INDEX(FILTER(C$4:C14,C$4:C14&lt;&gt;""""),ROWS(FILTER(C$4:C14,C$4:C14&lt;&gt;""""))),""^Sell_""),INDEX(FILTER(F$4:F13,C$4:C13&lt;&gt;""""),ROWS(FILTER(C$4:C13,C$4:C13&lt;&gt;""""))),$AC$5*(2^SWITCH(COUNTIF(C$4:C14,""Cursor_up""),0,0,1,1,2"&amp;",2,3)+SWITCH(COUNTIF(C$4:C14,""Cursor_up""),4,0.1,0)*(ROW(C14)-4-COUNTIF(C$4:C14,""Cursor"")-COUNTIF(C$4:C14,""*""&amp;""_up"")-2*COUNTIF(C$4:C14,""Sell_""&amp;""*"")+COUNTIF(C$4:C14,""Sell_Cursor"")-COUNTIF(C$4:C14,""""))+0.01*E14*COUNTIF(C$4:C14,""Plastic_up"")"&amp;")+E14))"),803.2)</f>
        <v>803.2</v>
      </c>
      <c r="G14" s="14">
        <f>IFERROR(__xludf.DUMMYFUNCTION("IF(COUNTA(C14:C147)=0,"""",IF(REGEXMATCH(C14,""_up""),VLOOKUP(C14,Upgrades!$F$3:$J$8,1+COUNTIF(C$4:C14,C14),FALSE),IF(C14="""",0,IF(REGEXMATCH(C14,""^Sell_""),-ROUNDDOWN(ROUNDUP(INDEX(Upgrades!$C$3:$C$8,MATCH(SUBSTITUTE(C14,""Sell_"",""""),Upgrades!$B$3:$"&amp;"B$8,0))*1.15^(COUNTIF(C$4:C13,SUBSTITUTE(C14,""Sell_"",""""))-COUNTIF(C$4:C13,""Sell_""&amp;SUBSTITUTE(C14,""Sell_"",""""))))/4),ROUNDUP(INDEX(Upgrades!$C$3:$C$7,MATCH(C14,Upgrades!$B$3:$B$7,0))*1.15^(COUNTIF(C$4:C13,C14)-COUNTIF(C$4:C13,""Sell_""&amp;C14)))))))"),40.0)</f>
        <v>40</v>
      </c>
      <c r="H14" s="14">
        <f t="shared" si="3"/>
        <v>40</v>
      </c>
      <c r="I14" s="75">
        <f t="shared" si="4"/>
        <v>11745.55119</v>
      </c>
      <c r="J14" s="76">
        <f t="shared" si="5"/>
        <v>2.066076912</v>
      </c>
      <c r="K14" s="71" t="str">
        <f t="shared" si="6"/>
        <v>2s</v>
      </c>
      <c r="L14" s="77">
        <f t="shared" si="7"/>
        <v>809</v>
      </c>
      <c r="M14" s="51">
        <f t="shared" si="8"/>
        <v>0</v>
      </c>
      <c r="N14" s="52">
        <f>IFERROR(__xludf.DUMMYFUNCTION("IFS(AND(COUNTA(C14:C147)=0,COUNTA(P14:P147)=0),"""",OR(AND(L14&gt;=1000000,OR(Y14&gt;=1000000,COUNTA(P14:P147)=0)),AND(Y14&gt;=1000000,COUNTA(C14:C147)=0),AND(COUNTA(P14:P147)=0,O$3=TRUE)),
ROUNDDOWN((AB$1-AC$1)*MAX(INDEX(S$4:S147,MATCH(LARGE(FILTER(Y$4:Y147,Y$4:Y"&amp;"147&lt;1000000),1),Y$4:Y147)),INDEX(F$4:F147,MATCH(LARGE(FILTER(L$4:L147,L$4:L147&lt;1000000),1),L$4:L147)))),AND(L14&lt;1000000,COUNTA(C14:C147)&gt;0,O$3=FALSE),
ROUNDDOWN(INDEX(Y$4:Y147,MATCH(LARGE(FILTER(W$4:W147,W$4:W147&lt;=J14),1),W$4:W147))+(J14-LARGE(FILTER(W$4:"&amp;"W147,W$4:W147&lt;=J14),1))*INDEX(S$4:S147,MATCH(LARGE(FILTER(W$4:W147,W$4:W147&lt;=J14),1),W$4:W147))-L14),1,
ROUNDDOWN(Y14-INDEX(L$4:L147,MATCH(LARGE(FILTER(J$4:J147,J$4:J147&lt;=W14),1),J$4:J147))-(W14-LARGE(FILTER(J$4:J147,J$4:J147&lt;=W14),1))*INDEX(F$4:F147,MATC"&amp;"H(LARGE(FILTER(J$4:J147,J$4:J147&lt;=W14),1),J$4:J147))))"),0.0)</f>
        <v>0</v>
      </c>
      <c r="O14" s="65">
        <f t="shared" si="9"/>
        <v>8</v>
      </c>
      <c r="P14" s="15" t="s">
        <v>10</v>
      </c>
      <c r="Q14" s="14" t="b">
        <f>IFERROR(__xludf.DUMMYFUNCTION("IF(COUNTA(P14:P147)=0,"""",IFERROR(IF(ISBLANK(P14),FALSE,IF(ISBLANK(T14),1,IF(NOT(COUNTIF($AA$24:$AA$34,SUBSTITUTE(P14,""Sell_"",""""))),1,IF(P14=""Plastic_up"",IF(V14&lt;1000,1),IF(P14=""Super_Up"",IF(OR(COUNTIF(P$4:P14,""Grandma"")-COUNTIF(P$4:P14,""Sell_G"&amp;"randma"")&lt;1,COUNTIF(P$4:P14,VLOOKUP(P14,Upgrades!$F$8:$N$8,7+COUNTIF(P$4:P14,P14)))-COUNTIF(P$4:P14,""Sell_""&amp;VLOOKUP(P14,Upgrades!$F$8:$N$8,7+COUNTIF(P$4:P14,P14)))&lt;15),1),IF(REGEXMATCH(P14,""_up""),IF(COUNTIF(P$4:P14,SUBSTITUTE(P14,""_up"",""""))&lt;IFERRO"&amp;"R(VLOOKUP(P14,Upgrades!$L$3:$P$6,1+COUNTIF(P$4:P14,P14),0),999),1),IF(REGEXMATCH(P14,""Sell_""),IF(COUNTIF(P$4:P14,SUBSTITUTE(P14,""Sell_"",""""))-COUNTIF(P$4:P13,P14)&lt;1,1),FALSE)))))))))"),FALSE)</f>
        <v>0</v>
      </c>
      <c r="R14" s="71">
        <f>IFERROR(__xludf.DUMMYFUNCTION("IF(REGEXMATCH(P14,""^Sell_""),R13, IF(COUNTA(P14:P147)=0,"""",(COUNTIF(P$4:P14,""Cursor"")-COUNTIF(P$4:P14,""Sell_Cursor""))*(0.1*2^SWITCH(COUNTIF(P$4:P14,""Cursor_up""),0,0,1,1,2,2,3)+SWITCH(COUNTIF(P$4:P14,""Cursor_up""),4,0.1,0)*(ROW(P14)-4-COUNTIF(P$4"&amp;":P14,""Cursor"")-COUNTIF(P$4:P14,""*""&amp;""_up"")-2*COUNTIF(P$4:P14,""Sell_""&amp;""*"")+COUNTIF(P$4:P14,""Sell_Cursor"")-COUNTIF(P$4:P14,"""")))+(COUNTIF(P$4:P14,""Grandma"")-COUNTIF(P$4:P14,""Sell_Grandma""))*(1*2^(COUNTIF(P$4:P14,""Grandma_up"")+COUNTIF(P$4:"&amp;"P14,""Super_up"")))+(COUNTIF(P$4:P14,""Farm"")-COUNTIF(P$4:P14,""Sell_Farm""))*(8*2^COUNTIF(P$4:P14,""Farm_up""))*IF(COUNTIF(P$4:P14,""Super_up"")&gt;0,1+0.01*(COUNTIF(P$4:P14,""Grandma"")-COUNTIF(P$4:P14,""Sell_Grandma"")),1)+(COUNTIF(P$4:P14,""Mine"")-COUN"&amp;"TIF(P$4:P14,""Sell_Mine""))*((47*2^COUNTIF(P$4:P14,""Mine_up""))*IF(COUNTIF(P$4:P14,""Super_up"")&gt;1,1+0.005*(COUNTIF(P$4:P14,""Grandma"")-COUNTIF(P$4:P14,""Sell_Grandma"")),1))+(COUNTIF(P$4:P14,""Factory"")-COUNTIF(P$4:P14,""Sell_Factory""))*(260*2^COUNTI"&amp;"F(P$4:P14,""Factory_up""))))"),3.2)</f>
        <v>3.2</v>
      </c>
      <c r="S14" s="73">
        <f>IFERROR(__xludf.DUMMYFUNCTION("IF(COUNTA(P14:P147)=0,"""",IF(REGEXMATCH(INDEX(FILTER(P$4:P14,P$4:P14&lt;&gt;""""),ROWS(FILTER(P$4:P14,P$4:P14&lt;&gt;""""))),""^Sell_""),INDEX(FILTER(S$4:S13,P$4:P13&lt;&gt;""""),ROWS(FILTER(P$4:P13,P$4:P13&lt;&gt;""""))),$AD$5*(2^SWITCH(COUNTIF(P$4:P14,""Cursor_up""),0,0,1,1,2"&amp;",2,3)+SWITCH(COUNTIF(P$4:P14,""Cursor_up""),4,0.1,0)*(ROW(P14)-4-COUNTIF(P$4:P14,""Cursor"")-COUNTIF(P$4:P14,""*""&amp;""_up"")-2*COUNTIF(P$4:P14,""Sell_""&amp;""*"")+COUNTIF(P$4:P14,""Sell_Cursor"")-COUNTIF(P$4:P14,""""))+0.01*R14*COUNTIF(P$4:P14,""Plastic_up"")"&amp;")+R14))"),803.2)</f>
        <v>803.2</v>
      </c>
      <c r="T14" s="14">
        <f>IFERROR(__xludf.DUMMYFUNCTION("IF(COUNTA(P14:P147)=0,"""",IF(REGEXMATCH(P14,""_up""),VLOOKUP(P14,Upgrades!$F$3:$J$8,1+COUNTIF(P$4:P14,P14),FALSE),IF(P14="""",0,IF(REGEXMATCH(P14,""^Sell_""),-ROUNDDOWN(ROUNDUP(INDEX(Upgrades!$C$3:$C$8,MATCH(SUBSTITUTE(P14,""Sell_"",""""),Upgrades!$B$3:$"&amp;"B$8,0))*1.15^(COUNTIF(P$4:P13,SUBSTITUTE(P14,""Sell_"",""""))-COUNTIF(P$4:P13,""Sell_""&amp;SUBSTITUTE(P14,""Sell_"",""""))))/4),ROUNDUP(INDEX(Upgrades!$C$3:$C$7,MATCH(P14,Upgrades!$B$3:$B$7,0))*1.15^(COUNTIF(P$4:P13,P14)-COUNTIF(P$4:P13,""Sell_""&amp;P14)))))))"),40.0)</f>
        <v>40</v>
      </c>
      <c r="U14" s="14">
        <f t="shared" si="10"/>
        <v>40</v>
      </c>
      <c r="V14" s="75">
        <f t="shared" si="11"/>
        <v>11745.55119</v>
      </c>
      <c r="W14" s="76">
        <f t="shared" si="12"/>
        <v>2.066076912</v>
      </c>
      <c r="X14" s="71" t="str">
        <f t="shared" si="13"/>
        <v>2s</v>
      </c>
      <c r="Y14" s="77">
        <f t="shared" si="14"/>
        <v>809</v>
      </c>
      <c r="Z14" s="17"/>
      <c r="AA14" s="98" t="s">
        <v>68</v>
      </c>
      <c r="AB14" s="99"/>
      <c r="AC14" s="99"/>
      <c r="AD14" s="99"/>
      <c r="AE14" s="99"/>
      <c r="AF14" s="100"/>
      <c r="AG14" s="13"/>
    </row>
    <row r="15">
      <c r="A15" s="12"/>
      <c r="B15" s="65">
        <f t="shared" si="2"/>
        <v>9</v>
      </c>
      <c r="C15" s="66" t="s">
        <v>10</v>
      </c>
      <c r="D15" s="14" t="b">
        <f>IFERROR(__xludf.DUMMYFUNCTION("IF(COUNTA(C15:C147)=0,"""",IFERROR(IF(ISBLANK(C15),FALSE,IF(ISBLANK(G15),1,IF(NOT(COUNTIF($AA$24:$AA$34,SUBSTITUTE(C15,""Sell_"",""""))),1,IF(C15=""Plastic_up"",IF(I15&lt;1000,1),IF(C15=""Super_Up"",IF(OR(COUNTIF(C$4:C15,""Grandma"")-COUNTIF(C$4:C15,""Sell_G"&amp;"randma"")&lt;1,COUNTIF(C$4:C15,VLOOKUP(C15,Upgrades!$F$8:$N$8,7+COUNTIF(C$4:C15,C15)))-COUNTIF(C$4:C15,""Sell_""&amp;VLOOKUP(C15,Upgrades!$F$8:$N$8,7+COUNTIF(C$4:C15,C15)))&lt;15),1),IF(REGEXMATCH(C15,""_up""),IF(COUNTIF(C$4:C15,SUBSTITUTE(C15,""_up"",""""))&lt;IFERRO"&amp;"R(VLOOKUP(C15,Upgrades!$L$3:$P$6,1+COUNTIF(C$4:C15,C15),0),999),1),IF(REGEXMATCH(C15,""Sell_""),IF(COUNTIF(C$4:C15,SUBSTITUTE(C15,""Sell_"",""""))-COUNTIF(C$4:C14,C15)&lt;1,1),FALSE)))))))))"),FALSE)</f>
        <v>0</v>
      </c>
      <c r="E15" s="71">
        <f>IFERROR(__xludf.DUMMYFUNCTION("IF(REGEXMATCH(C15,""^Sell_""),E14, IF(COUNTA(C15:C147)=0,"""",(COUNTIF(C$4:C15,""Cursor"")-COUNTIF(C$4:C15,""Sell_Cursor""))*(0.1*2^SWITCH(COUNTIF(C$4:C15,""Cursor_up""),0,0,1,1,2,2,3)+SWITCH(COUNTIF(C$4:C15,""Cursor_up""),4,0.1,0)*(ROW(C15)-4-COUNTIF(C$4"&amp;":C15,""Cursor"")-COUNTIF(C$4:C15,""*""&amp;""_up"")-2*COUNTIF(C$4:C15,""Sell_""&amp;""*"")+COUNTIF(C$4:C15,""Sell_Cursor"")-COUNTIF(C$4:C15,"""")))+(COUNTIF(C$4:C15,""Grandma"")-COUNTIF(C$4:C15,""Sell_Grandma""))*(1*2^(COUNTIF(C$4:C15,""Grandma_up"")+COUNTIF(C$4:"&amp;"C15,""Super_up"")))+(COUNTIF(C$4:C15,""Farm"")-COUNTIF(C$4:C15,""Sell_Farm""))*(8*2^COUNTIF(C$4:C15,""Farm_up""))*IF(COUNTIF(C$4:C15,""Super_up"")&gt;0,1+0.01*(COUNTIF(C$4:C15,""Grandma"")-COUNTIF(C$4:C15,""Sell_Grandma"")),1)+(COUNTIF(C$4:C15,""Mine"")-COUN"&amp;"TIF(C$4:C15,""Sell_Mine""))*((47*2^COUNTIF(C$4:C15,""Mine_up""))*IF(COUNTIF(C$4:C15,""Super_up"")&gt;1,1+0.005*(COUNTIF(C$4:C15,""Grandma"")-COUNTIF(C$4:C15,""Sell_Grandma"")),1))+(COUNTIF(C$4:C15,""Factory"")-COUNTIF(C$4:C15,""Sell_Factory""))*(260*2^COUNTI"&amp;"F(C$4:C15,""Factory_up""))))"),3.6)</f>
        <v>3.6</v>
      </c>
      <c r="F15" s="73">
        <f>IFERROR(__xludf.DUMMYFUNCTION("IF(COUNTA(C15:C147)=0,"""",IF(REGEXMATCH(INDEX(FILTER(C$4:C15,C$4:C15&lt;&gt;""""),ROWS(FILTER(C$4:C15,C$4:C15&lt;&gt;""""))),""^Sell_""),INDEX(FILTER(F$4:F14,C$4:C14&lt;&gt;""""),ROWS(FILTER(C$4:C14,C$4:C14&lt;&gt;""""))),$AC$5*(2^SWITCH(COUNTIF(C$4:C15,""Cursor_up""),0,0,1,1,2"&amp;",2,3)+SWITCH(COUNTIF(C$4:C15,""Cursor_up""),4,0.1,0)*(ROW(C15)-4-COUNTIF(C$4:C15,""Cursor"")-COUNTIF(C$4:C15,""*""&amp;""_up"")-2*COUNTIF(C$4:C15,""Sell_""&amp;""*"")+COUNTIF(C$4:C15,""Sell_Cursor"")-COUNTIF(C$4:C15,""""))+0.01*E15*COUNTIF(C$4:C15,""Plastic_up"")"&amp;")+E15))"),803.6)</f>
        <v>803.6</v>
      </c>
      <c r="G15" s="14">
        <f>IFERROR(__xludf.DUMMYFUNCTION("IF(COUNTA(C15:C147)=0,"""",IF(REGEXMATCH(C15,""_up""),VLOOKUP(C15,Upgrades!$F$3:$J$8,1+COUNTIF(C$4:C15,C15),FALSE),IF(C15="""",0,IF(REGEXMATCH(C15,""^Sell_""),-ROUNDDOWN(ROUNDUP(INDEX(Upgrades!$C$3:$C$8,MATCH(SUBSTITUTE(C15,""Sell_"",""""),Upgrades!$B$3:$"&amp;"B$8,0))*1.15^(COUNTIF(C$4:C14,SUBSTITUTE(C15,""Sell_"",""""))-COUNTIF(C$4:C14,""Sell_""&amp;SUBSTITUTE(C15,""Sell_"",""""))))/4),ROUNDUP(INDEX(Upgrades!$C$3:$C$7,MATCH(C15,Upgrades!$B$3:$B$7,0))*1.15^(COUNTIF(C$4:C14,C15)-COUNTIF(C$4:C14,""Sell_""&amp;C15)))))))"),46.0)</f>
        <v>46</v>
      </c>
      <c r="H15" s="14">
        <f t="shared" si="3"/>
        <v>46</v>
      </c>
      <c r="I15" s="75">
        <f t="shared" si="4"/>
        <v>13444.22945</v>
      </c>
      <c r="J15" s="76">
        <f t="shared" si="5"/>
        <v>2.123347828</v>
      </c>
      <c r="K15" s="71" t="str">
        <f t="shared" si="6"/>
        <v>2s</v>
      </c>
      <c r="L15" s="77">
        <f t="shared" si="7"/>
        <v>855</v>
      </c>
      <c r="M15" s="51">
        <f t="shared" si="8"/>
        <v>0</v>
      </c>
      <c r="N15" s="52">
        <f>IFERROR(__xludf.DUMMYFUNCTION("IFS(AND(COUNTA(C15:C147)=0,COUNTA(P15:P147)=0),"""",OR(AND(L15&gt;=1000000,OR(Y15&gt;=1000000,COUNTA(P15:P147)=0)),AND(Y15&gt;=1000000,COUNTA(C15:C147)=0),AND(COUNTA(P15:P147)=0,O$3=TRUE)),
ROUNDDOWN((AB$1-AC$1)*MAX(INDEX(S$4:S147,MATCH(LARGE(FILTER(Y$4:Y147,Y$4:Y"&amp;"147&lt;1000000),1),Y$4:Y147)),INDEX(F$4:F147,MATCH(LARGE(FILTER(L$4:L147,L$4:L147&lt;1000000),1),L$4:L147)))),AND(L15&lt;1000000,COUNTA(C15:C147)&gt;0,O$3=FALSE),
ROUNDDOWN(INDEX(Y$4:Y147,MATCH(LARGE(FILTER(W$4:W147,W$4:W147&lt;=J15),1),W$4:W147))+(J15-LARGE(FILTER(W$4:"&amp;"W147,W$4:W147&lt;=J15),1))*INDEX(S$4:S147,MATCH(LARGE(FILTER(W$4:W147,W$4:W147&lt;=J15),1),W$4:W147))-L15),1,
ROUNDDOWN(Y15-INDEX(L$4:L147,MATCH(LARGE(FILTER(J$4:J147,J$4:J147&lt;=W15),1),J$4:J147))-(W15-LARGE(FILTER(J$4:J147,J$4:J147&lt;=W15),1))*INDEX(F$4:F147,MATC"&amp;"H(LARGE(FILTER(J$4:J147,J$4:J147&lt;=W15),1),J$4:J147))))"),0.0)</f>
        <v>0</v>
      </c>
      <c r="O15" s="65">
        <f t="shared" si="9"/>
        <v>9</v>
      </c>
      <c r="P15" s="15" t="s">
        <v>10</v>
      </c>
      <c r="Q15" s="14" t="b">
        <f>IFERROR(__xludf.DUMMYFUNCTION("IF(COUNTA(P15:P147)=0,"""",IFERROR(IF(ISBLANK(P15),FALSE,IF(ISBLANK(T15),1,IF(NOT(COUNTIF($AA$24:$AA$34,SUBSTITUTE(P15,""Sell_"",""""))),1,IF(P15=""Plastic_up"",IF(V15&lt;1000,1),IF(P15=""Super_Up"",IF(OR(COUNTIF(P$4:P15,""Grandma"")-COUNTIF(P$4:P15,""Sell_G"&amp;"randma"")&lt;1,COUNTIF(P$4:P15,VLOOKUP(P15,Upgrades!$F$8:$N$8,7+COUNTIF(P$4:P15,P15)))-COUNTIF(P$4:P15,""Sell_""&amp;VLOOKUP(P15,Upgrades!$F$8:$N$8,7+COUNTIF(P$4:P15,P15)))&lt;15),1),IF(REGEXMATCH(P15,""_up""),IF(COUNTIF(P$4:P15,SUBSTITUTE(P15,""_up"",""""))&lt;IFERRO"&amp;"R(VLOOKUP(P15,Upgrades!$L$3:$P$6,1+COUNTIF(P$4:P15,P15),0),999),1),IF(REGEXMATCH(P15,""Sell_""),IF(COUNTIF(P$4:P15,SUBSTITUTE(P15,""Sell_"",""""))-COUNTIF(P$4:P14,P15)&lt;1,1),FALSE)))))))))"),FALSE)</f>
        <v>0</v>
      </c>
      <c r="R15" s="71">
        <f>IFERROR(__xludf.DUMMYFUNCTION("IF(REGEXMATCH(P15,""^Sell_""),R14, IF(COUNTA(P15:P147)=0,"""",(COUNTIF(P$4:P15,""Cursor"")-COUNTIF(P$4:P15,""Sell_Cursor""))*(0.1*2^SWITCH(COUNTIF(P$4:P15,""Cursor_up""),0,0,1,1,2,2,3)+SWITCH(COUNTIF(P$4:P15,""Cursor_up""),4,0.1,0)*(ROW(P15)-4-COUNTIF(P$4"&amp;":P15,""Cursor"")-COUNTIF(P$4:P15,""*""&amp;""_up"")-2*COUNTIF(P$4:P15,""Sell_""&amp;""*"")+COUNTIF(P$4:P15,""Sell_Cursor"")-COUNTIF(P$4:P15,"""")))+(COUNTIF(P$4:P15,""Grandma"")-COUNTIF(P$4:P15,""Sell_Grandma""))*(1*2^(COUNTIF(P$4:P15,""Grandma_up"")+COUNTIF(P$4:"&amp;"P15,""Super_up"")))+(COUNTIF(P$4:P15,""Farm"")-COUNTIF(P$4:P15,""Sell_Farm""))*(8*2^COUNTIF(P$4:P15,""Farm_up""))*IF(COUNTIF(P$4:P15,""Super_up"")&gt;0,1+0.01*(COUNTIF(P$4:P15,""Grandma"")-COUNTIF(P$4:P15,""Sell_Grandma"")),1)+(COUNTIF(P$4:P15,""Mine"")-COUN"&amp;"TIF(P$4:P15,""Sell_Mine""))*((47*2^COUNTIF(P$4:P15,""Mine_up""))*IF(COUNTIF(P$4:P15,""Super_up"")&gt;1,1+0.005*(COUNTIF(P$4:P15,""Grandma"")-COUNTIF(P$4:P15,""Sell_Grandma"")),1))+(COUNTIF(P$4:P15,""Factory"")-COUNTIF(P$4:P15,""Sell_Factory""))*(260*2^COUNTI"&amp;"F(P$4:P15,""Factory_up""))))"),3.6)</f>
        <v>3.6</v>
      </c>
      <c r="S15" s="73">
        <f>IFERROR(__xludf.DUMMYFUNCTION("IF(COUNTA(P15:P147)=0,"""",IF(REGEXMATCH(INDEX(FILTER(P$4:P15,P$4:P15&lt;&gt;""""),ROWS(FILTER(P$4:P15,P$4:P15&lt;&gt;""""))),""^Sell_""),INDEX(FILTER(S$4:S14,P$4:P14&lt;&gt;""""),ROWS(FILTER(P$4:P14,P$4:P14&lt;&gt;""""))),$AD$5*(2^SWITCH(COUNTIF(P$4:P15,""Cursor_up""),0,0,1,1,2"&amp;",2,3)+SWITCH(COUNTIF(P$4:P15,""Cursor_up""),4,0.1,0)*(ROW(P15)-4-COUNTIF(P$4:P15,""Cursor"")-COUNTIF(P$4:P15,""*""&amp;""_up"")-2*COUNTIF(P$4:P15,""Sell_""&amp;""*"")+COUNTIF(P$4:P15,""Sell_Cursor"")-COUNTIF(P$4:P15,""""))+0.01*R15*COUNTIF(P$4:P15,""Plastic_up"")"&amp;")+R15))"),803.6)</f>
        <v>803.6</v>
      </c>
      <c r="T15" s="14">
        <f>IFERROR(__xludf.DUMMYFUNCTION("IF(COUNTA(P15:P147)=0,"""",IF(REGEXMATCH(P15,""_up""),VLOOKUP(P15,Upgrades!$F$3:$J$8,1+COUNTIF(P$4:P15,P15),FALSE),IF(P15="""",0,IF(REGEXMATCH(P15,""^Sell_""),-ROUNDDOWN(ROUNDUP(INDEX(Upgrades!$C$3:$C$8,MATCH(SUBSTITUTE(P15,""Sell_"",""""),Upgrades!$B$3:$"&amp;"B$8,0))*1.15^(COUNTIF(P$4:P14,SUBSTITUTE(P15,""Sell_"",""""))-COUNTIF(P$4:P14,""Sell_""&amp;SUBSTITUTE(P15,""Sell_"",""""))))/4),ROUNDUP(INDEX(Upgrades!$C$3:$C$7,MATCH(P15,Upgrades!$B$3:$B$7,0))*1.15^(COUNTIF(P$4:P14,P15)-COUNTIF(P$4:P14,""Sell_""&amp;P15)))))))"),46.0)</f>
        <v>46</v>
      </c>
      <c r="U15" s="14">
        <f t="shared" si="10"/>
        <v>46</v>
      </c>
      <c r="V15" s="75">
        <f t="shared" si="11"/>
        <v>13444.22945</v>
      </c>
      <c r="W15" s="76">
        <f t="shared" si="12"/>
        <v>2.123347828</v>
      </c>
      <c r="X15" s="71" t="str">
        <f t="shared" si="13"/>
        <v>2s</v>
      </c>
      <c r="Y15" s="77">
        <f t="shared" si="14"/>
        <v>855</v>
      </c>
      <c r="Z15" s="17"/>
      <c r="AA15" s="92" t="s">
        <v>69</v>
      </c>
      <c r="AB15" s="93"/>
      <c r="AC15" s="93"/>
      <c r="AD15" s="93"/>
      <c r="AE15" s="93"/>
      <c r="AF15" s="94"/>
      <c r="AG15" s="13"/>
    </row>
    <row r="16">
      <c r="A16" s="12"/>
      <c r="B16" s="65">
        <f t="shared" si="2"/>
        <v>10</v>
      </c>
      <c r="C16" s="66" t="s">
        <v>10</v>
      </c>
      <c r="D16" s="14" t="b">
        <f>IFERROR(__xludf.DUMMYFUNCTION("IF(COUNTA(C16:C147)=0,"""",IFERROR(IF(ISBLANK(C16),FALSE,IF(ISBLANK(G16),1,IF(NOT(COUNTIF($AA$24:$AA$34,SUBSTITUTE(C16,""Sell_"",""""))),1,IF(C16=""Plastic_up"",IF(I16&lt;1000,1),IF(C16=""Super_Up"",IF(OR(COUNTIF(C$4:C16,""Grandma"")-COUNTIF(C$4:C16,""Sell_G"&amp;"randma"")&lt;1,COUNTIF(C$4:C16,VLOOKUP(C16,Upgrades!$F$8:$N$8,7+COUNTIF(C$4:C16,C16)))-COUNTIF(C$4:C16,""Sell_""&amp;VLOOKUP(C16,Upgrades!$F$8:$N$8,7+COUNTIF(C$4:C16,C16)))&lt;15),1),IF(REGEXMATCH(C16,""_up""),IF(COUNTIF(C$4:C16,SUBSTITUTE(C16,""_up"",""""))&lt;IFERRO"&amp;"R(VLOOKUP(C16,Upgrades!$L$3:$P$6,1+COUNTIF(C$4:C16,C16),0),999),1),IF(REGEXMATCH(C16,""Sell_""),IF(COUNTIF(C$4:C16,SUBSTITUTE(C16,""Sell_"",""""))-COUNTIF(C$4:C15,C16)&lt;1,1),FALSE)))))))))"),FALSE)</f>
        <v>0</v>
      </c>
      <c r="E16" s="71">
        <f>IFERROR(__xludf.DUMMYFUNCTION("IF(REGEXMATCH(C16,""^Sell_""),E15, IF(COUNTA(C16:C147)=0,"""",(COUNTIF(C$4:C16,""Cursor"")-COUNTIF(C$4:C16,""Sell_Cursor""))*(0.1*2^SWITCH(COUNTIF(C$4:C16,""Cursor_up""),0,0,1,1,2,2,3)+SWITCH(COUNTIF(C$4:C16,""Cursor_up""),4,0.1,0)*(ROW(C16)-4-COUNTIF(C$4"&amp;":C16,""Cursor"")-COUNTIF(C$4:C16,""*""&amp;""_up"")-2*COUNTIF(C$4:C16,""Sell_""&amp;""*"")+COUNTIF(C$4:C16,""Sell_Cursor"")-COUNTIF(C$4:C16,"""")))+(COUNTIF(C$4:C16,""Grandma"")-COUNTIF(C$4:C16,""Sell_Grandma""))*(1*2^(COUNTIF(C$4:C16,""Grandma_up"")+COUNTIF(C$4:"&amp;"C16,""Super_up"")))+(COUNTIF(C$4:C16,""Farm"")-COUNTIF(C$4:C16,""Sell_Farm""))*(8*2^COUNTIF(C$4:C16,""Farm_up""))*IF(COUNTIF(C$4:C16,""Super_up"")&gt;0,1+0.01*(COUNTIF(C$4:C16,""Grandma"")-COUNTIF(C$4:C16,""Sell_Grandma"")),1)+(COUNTIF(C$4:C16,""Mine"")-COUN"&amp;"TIF(C$4:C16,""Sell_Mine""))*((47*2^COUNTIF(C$4:C16,""Mine_up""))*IF(COUNTIF(C$4:C16,""Super_up"")&gt;1,1+0.005*(COUNTIF(C$4:C16,""Grandma"")-COUNTIF(C$4:C16,""Sell_Grandma"")),1))+(COUNTIF(C$4:C16,""Factory"")-COUNTIF(C$4:C16,""Sell_Factory""))*(260*2^COUNTI"&amp;"F(C$4:C16,""Factory_up""))))"),4.0)</f>
        <v>4</v>
      </c>
      <c r="F16" s="73">
        <f>IFERROR(__xludf.DUMMYFUNCTION("IF(COUNTA(C16:C147)=0,"""",IF(REGEXMATCH(INDEX(FILTER(C$4:C16,C$4:C16&lt;&gt;""""),ROWS(FILTER(C$4:C16,C$4:C16&lt;&gt;""""))),""^Sell_""),INDEX(FILTER(F$4:F15,C$4:C15&lt;&gt;""""),ROWS(FILTER(C$4:C15,C$4:C15&lt;&gt;""""))),$AC$5*(2^SWITCH(COUNTIF(C$4:C16,""Cursor_up""),0,0,1,1,2"&amp;",2,3)+SWITCH(COUNTIF(C$4:C16,""Cursor_up""),4,0.1,0)*(ROW(C16)-4-COUNTIF(C$4:C16,""Cursor"")-COUNTIF(C$4:C16,""*""&amp;""_up"")-2*COUNTIF(C$4:C16,""Sell_""&amp;""*"")+COUNTIF(C$4:C16,""Sell_Cursor"")-COUNTIF(C$4:C16,""""))+0.01*E16*COUNTIF(C$4:C16,""Plastic_up"")"&amp;")+E16))"),804.0)</f>
        <v>804</v>
      </c>
      <c r="G16" s="14">
        <f>IFERROR(__xludf.DUMMYFUNCTION("IF(COUNTA(C16:C147)=0,"""",IF(REGEXMATCH(C16,""_up""),VLOOKUP(C16,Upgrades!$F$3:$J$8,1+COUNTIF(C$4:C16,C16),FALSE),IF(C16="""",0,IF(REGEXMATCH(C16,""^Sell_""),-ROUNDDOWN(ROUNDUP(INDEX(Upgrades!$C$3:$C$8,MATCH(SUBSTITUTE(C16,""Sell_"",""""),Upgrades!$B$3:$"&amp;"B$8,0))*1.15^(COUNTIF(C$4:C15,SUBSTITUTE(C16,""Sell_"",""""))-COUNTIF(C$4:C15,""Sell_""&amp;SUBSTITUTE(C16,""Sell_"",""""))))/4),ROUNDUP(INDEX(Upgrades!$C$3:$C$7,MATCH(C16,Upgrades!$B$3:$B$7,0))*1.15^(COUNTIF(C$4:C15,C16)-COUNTIF(C$4:C15,""Sell_""&amp;C16)))))))"),53.0)</f>
        <v>53</v>
      </c>
      <c r="H16" s="14">
        <f t="shared" si="3"/>
        <v>53</v>
      </c>
      <c r="I16" s="75">
        <f t="shared" si="4"/>
        <v>15195.67028</v>
      </c>
      <c r="J16" s="76">
        <f t="shared" si="5"/>
        <v>2.189301039</v>
      </c>
      <c r="K16" s="71" t="str">
        <f t="shared" si="6"/>
        <v>2s</v>
      </c>
      <c r="L16" s="77">
        <f t="shared" si="7"/>
        <v>908</v>
      </c>
      <c r="M16" s="51">
        <f t="shared" si="8"/>
        <v>0</v>
      </c>
      <c r="N16" s="52">
        <f>IFERROR(__xludf.DUMMYFUNCTION("IFS(AND(COUNTA(C16:C147)=0,COUNTA(P16:P147)=0),"""",OR(AND(L16&gt;=1000000,OR(Y16&gt;=1000000,COUNTA(P16:P147)=0)),AND(Y16&gt;=1000000,COUNTA(C16:C147)=0),AND(COUNTA(P16:P147)=0,O$3=TRUE)),
ROUNDDOWN((AB$1-AC$1)*MAX(INDEX(S$4:S147,MATCH(LARGE(FILTER(Y$4:Y147,Y$4:Y"&amp;"147&lt;1000000),1),Y$4:Y147)),INDEX(F$4:F147,MATCH(LARGE(FILTER(L$4:L147,L$4:L147&lt;1000000),1),L$4:L147)))),AND(L16&lt;1000000,COUNTA(C16:C147)&gt;0,O$3=FALSE),
ROUNDDOWN(INDEX(Y$4:Y147,MATCH(LARGE(FILTER(W$4:W147,W$4:W147&lt;=J16),1),W$4:W147))+(J16-LARGE(FILTER(W$4:"&amp;"W147,W$4:W147&lt;=J16),1))*INDEX(S$4:S147,MATCH(LARGE(FILTER(W$4:W147,W$4:W147&lt;=J16),1),W$4:W147))-L16),1,
ROUNDDOWN(Y16-INDEX(L$4:L147,MATCH(LARGE(FILTER(J$4:J147,J$4:J147&lt;=W16),1),J$4:J147))-(W16-LARGE(FILTER(J$4:J147,J$4:J147&lt;=W16),1))*INDEX(F$4:F147,MATC"&amp;"H(LARGE(FILTER(J$4:J147,J$4:J147&lt;=W16),1),J$4:J147))))"),0.0)</f>
        <v>0</v>
      </c>
      <c r="O16" s="65">
        <f t="shared" si="9"/>
        <v>10</v>
      </c>
      <c r="P16" s="15" t="s">
        <v>10</v>
      </c>
      <c r="Q16" s="14" t="b">
        <f>IFERROR(__xludf.DUMMYFUNCTION("IF(COUNTA(P16:P147)=0,"""",IFERROR(IF(ISBLANK(P16),FALSE,IF(ISBLANK(T16),1,IF(NOT(COUNTIF($AA$24:$AA$34,SUBSTITUTE(P16,""Sell_"",""""))),1,IF(P16=""Plastic_up"",IF(V16&lt;1000,1),IF(P16=""Super_Up"",IF(OR(COUNTIF(P$4:P16,""Grandma"")-COUNTIF(P$4:P16,""Sell_G"&amp;"randma"")&lt;1,COUNTIF(P$4:P16,VLOOKUP(P16,Upgrades!$F$8:$N$8,7+COUNTIF(P$4:P16,P16)))-COUNTIF(P$4:P16,""Sell_""&amp;VLOOKUP(P16,Upgrades!$F$8:$N$8,7+COUNTIF(P$4:P16,P16)))&lt;15),1),IF(REGEXMATCH(P16,""_up""),IF(COUNTIF(P$4:P16,SUBSTITUTE(P16,""_up"",""""))&lt;IFERRO"&amp;"R(VLOOKUP(P16,Upgrades!$L$3:$P$6,1+COUNTIF(P$4:P16,P16),0),999),1),IF(REGEXMATCH(P16,""Sell_""),IF(COUNTIF(P$4:P16,SUBSTITUTE(P16,""Sell_"",""""))-COUNTIF(P$4:P15,P16)&lt;1,1),FALSE)))))))))"),FALSE)</f>
        <v>0</v>
      </c>
      <c r="R16" s="71">
        <f>IFERROR(__xludf.DUMMYFUNCTION("IF(REGEXMATCH(P16,""^Sell_""),R15, IF(COUNTA(P16:P147)=0,"""",(COUNTIF(P$4:P16,""Cursor"")-COUNTIF(P$4:P16,""Sell_Cursor""))*(0.1*2^SWITCH(COUNTIF(P$4:P16,""Cursor_up""),0,0,1,1,2,2,3)+SWITCH(COUNTIF(P$4:P16,""Cursor_up""),4,0.1,0)*(ROW(P16)-4-COUNTIF(P$4"&amp;":P16,""Cursor"")-COUNTIF(P$4:P16,""*""&amp;""_up"")-2*COUNTIF(P$4:P16,""Sell_""&amp;""*"")+COUNTIF(P$4:P16,""Sell_Cursor"")-COUNTIF(P$4:P16,"""")))+(COUNTIF(P$4:P16,""Grandma"")-COUNTIF(P$4:P16,""Sell_Grandma""))*(1*2^(COUNTIF(P$4:P16,""Grandma_up"")+COUNTIF(P$4:"&amp;"P16,""Super_up"")))+(COUNTIF(P$4:P16,""Farm"")-COUNTIF(P$4:P16,""Sell_Farm""))*(8*2^COUNTIF(P$4:P16,""Farm_up""))*IF(COUNTIF(P$4:P16,""Super_up"")&gt;0,1+0.01*(COUNTIF(P$4:P16,""Grandma"")-COUNTIF(P$4:P16,""Sell_Grandma"")),1)+(COUNTIF(P$4:P16,""Mine"")-COUN"&amp;"TIF(P$4:P16,""Sell_Mine""))*((47*2^COUNTIF(P$4:P16,""Mine_up""))*IF(COUNTIF(P$4:P16,""Super_up"")&gt;1,1+0.005*(COUNTIF(P$4:P16,""Grandma"")-COUNTIF(P$4:P16,""Sell_Grandma"")),1))+(COUNTIF(P$4:P16,""Factory"")-COUNTIF(P$4:P16,""Sell_Factory""))*(260*2^COUNTI"&amp;"F(P$4:P16,""Factory_up""))))"),4.0)</f>
        <v>4</v>
      </c>
      <c r="S16" s="73">
        <f>IFERROR(__xludf.DUMMYFUNCTION("IF(COUNTA(P16:P147)=0,"""",IF(REGEXMATCH(INDEX(FILTER(P$4:P16,P$4:P16&lt;&gt;""""),ROWS(FILTER(P$4:P16,P$4:P16&lt;&gt;""""))),""^Sell_""),INDEX(FILTER(S$4:S15,P$4:P15&lt;&gt;""""),ROWS(FILTER(P$4:P15,P$4:P15&lt;&gt;""""))),$AD$5*(2^SWITCH(COUNTIF(P$4:P16,""Cursor_up""),0,0,1,1,2"&amp;",2,3)+SWITCH(COUNTIF(P$4:P16,""Cursor_up""),4,0.1,0)*(ROW(P16)-4-COUNTIF(P$4:P16,""Cursor"")-COUNTIF(P$4:P16,""*""&amp;""_up"")-2*COUNTIF(P$4:P16,""Sell_""&amp;""*"")+COUNTIF(P$4:P16,""Sell_Cursor"")-COUNTIF(P$4:P16,""""))+0.01*R16*COUNTIF(P$4:P16,""Plastic_up"")"&amp;")+R16))"),804.0)</f>
        <v>804</v>
      </c>
      <c r="T16" s="14">
        <f>IFERROR(__xludf.DUMMYFUNCTION("IF(COUNTA(P16:P147)=0,"""",IF(REGEXMATCH(P16,""_up""),VLOOKUP(P16,Upgrades!$F$3:$J$8,1+COUNTIF(P$4:P16,P16),FALSE),IF(P16="""",0,IF(REGEXMATCH(P16,""^Sell_""),-ROUNDDOWN(ROUNDUP(INDEX(Upgrades!$C$3:$C$8,MATCH(SUBSTITUTE(P16,""Sell_"",""""),Upgrades!$B$3:$"&amp;"B$8,0))*1.15^(COUNTIF(P$4:P15,SUBSTITUTE(P16,""Sell_"",""""))-COUNTIF(P$4:P15,""Sell_""&amp;SUBSTITUTE(P16,""Sell_"",""""))))/4),ROUNDUP(INDEX(Upgrades!$C$3:$C$7,MATCH(P16,Upgrades!$B$3:$B$7,0))*1.15^(COUNTIF(P$4:P15,P16)-COUNTIF(P$4:P15,""Sell_""&amp;P16)))))))"),53.0)</f>
        <v>53</v>
      </c>
      <c r="U16" s="14">
        <f t="shared" si="10"/>
        <v>53</v>
      </c>
      <c r="V16" s="75">
        <f t="shared" si="11"/>
        <v>15195.67028</v>
      </c>
      <c r="W16" s="76">
        <f t="shared" si="12"/>
        <v>2.189301039</v>
      </c>
      <c r="X16" s="71" t="str">
        <f t="shared" si="13"/>
        <v>2s</v>
      </c>
      <c r="Y16" s="77">
        <f t="shared" si="14"/>
        <v>908</v>
      </c>
      <c r="Z16" s="17"/>
      <c r="AA16" s="95" t="s">
        <v>70</v>
      </c>
      <c r="AB16" s="96"/>
      <c r="AC16" s="96"/>
      <c r="AD16" s="96"/>
      <c r="AE16" s="96"/>
      <c r="AF16" s="97"/>
      <c r="AG16" s="13"/>
    </row>
    <row r="17">
      <c r="A17" s="12"/>
      <c r="B17" s="65">
        <f t="shared" si="2"/>
        <v>11</v>
      </c>
      <c r="C17" s="66" t="s">
        <v>10</v>
      </c>
      <c r="D17" s="14" t="b">
        <f>IFERROR(__xludf.DUMMYFUNCTION("IF(COUNTA(C17:C147)=0,"""",IFERROR(IF(ISBLANK(C17),FALSE,IF(ISBLANK(G17),1,IF(NOT(COUNTIF($AA$24:$AA$34,SUBSTITUTE(C17,""Sell_"",""""))),1,IF(C17=""Plastic_up"",IF(I17&lt;1000,1),IF(C17=""Super_Up"",IF(OR(COUNTIF(C$4:C17,""Grandma"")-COUNTIF(C$4:C17,""Sell_G"&amp;"randma"")&lt;1,COUNTIF(C$4:C17,VLOOKUP(C17,Upgrades!$F$8:$N$8,7+COUNTIF(C$4:C17,C17)))-COUNTIF(C$4:C17,""Sell_""&amp;VLOOKUP(C17,Upgrades!$F$8:$N$8,7+COUNTIF(C$4:C17,C17)))&lt;15),1),IF(REGEXMATCH(C17,""_up""),IF(COUNTIF(C$4:C17,SUBSTITUTE(C17,""_up"",""""))&lt;IFERRO"&amp;"R(VLOOKUP(C17,Upgrades!$L$3:$P$6,1+COUNTIF(C$4:C17,C17),0),999),1),IF(REGEXMATCH(C17,""Sell_""),IF(COUNTIF(C$4:C17,SUBSTITUTE(C17,""Sell_"",""""))-COUNTIF(C$4:C16,C17)&lt;1,1),FALSE)))))))))"),FALSE)</f>
        <v>0</v>
      </c>
      <c r="E17" s="71">
        <f>IFERROR(__xludf.DUMMYFUNCTION("IF(REGEXMATCH(C17,""^Sell_""),E16, IF(COUNTA(C17:C147)=0,"""",(COUNTIF(C$4:C17,""Cursor"")-COUNTIF(C$4:C17,""Sell_Cursor""))*(0.1*2^SWITCH(COUNTIF(C$4:C17,""Cursor_up""),0,0,1,1,2,2,3)+SWITCH(COUNTIF(C$4:C17,""Cursor_up""),4,0.1,0)*(ROW(C17)-4-COUNTIF(C$4"&amp;":C17,""Cursor"")-COUNTIF(C$4:C17,""*""&amp;""_up"")-2*COUNTIF(C$4:C17,""Sell_""&amp;""*"")+COUNTIF(C$4:C17,""Sell_Cursor"")-COUNTIF(C$4:C17,"""")))+(COUNTIF(C$4:C17,""Grandma"")-COUNTIF(C$4:C17,""Sell_Grandma""))*(1*2^(COUNTIF(C$4:C17,""Grandma_up"")+COUNTIF(C$4:"&amp;"C17,""Super_up"")))+(COUNTIF(C$4:C17,""Farm"")-COUNTIF(C$4:C17,""Sell_Farm""))*(8*2^COUNTIF(C$4:C17,""Farm_up""))*IF(COUNTIF(C$4:C17,""Super_up"")&gt;0,1+0.01*(COUNTIF(C$4:C17,""Grandma"")-COUNTIF(C$4:C17,""Sell_Grandma"")),1)+(COUNTIF(C$4:C17,""Mine"")-COUN"&amp;"TIF(C$4:C17,""Sell_Mine""))*((47*2^COUNTIF(C$4:C17,""Mine_up""))*IF(COUNTIF(C$4:C17,""Super_up"")&gt;1,1+0.005*(COUNTIF(C$4:C17,""Grandma"")-COUNTIF(C$4:C17,""Sell_Grandma"")),1))+(COUNTIF(C$4:C17,""Factory"")-COUNTIF(C$4:C17,""Sell_Factory""))*(260*2^COUNTI"&amp;"F(C$4:C17,""Factory_up""))))"),4.4)</f>
        <v>4.4</v>
      </c>
      <c r="F17" s="73">
        <f>IFERROR(__xludf.DUMMYFUNCTION("IF(COUNTA(C17:C147)=0,"""",IF(REGEXMATCH(INDEX(FILTER(C$4:C17,C$4:C17&lt;&gt;""""),ROWS(FILTER(C$4:C17,C$4:C17&lt;&gt;""""))),""^Sell_""),INDEX(FILTER(F$4:F16,C$4:C16&lt;&gt;""""),ROWS(FILTER(C$4:C16,C$4:C16&lt;&gt;""""))),$AC$5*(2^SWITCH(COUNTIF(C$4:C17,""Cursor_up""),0,0,1,1,2"&amp;",2,3)+SWITCH(COUNTIF(C$4:C17,""Cursor_up""),4,0.1,0)*(ROW(C17)-4-COUNTIF(C$4:C17,""Cursor"")-COUNTIF(C$4:C17,""*""&amp;""_up"")-2*COUNTIF(C$4:C17,""Sell_""&amp;""*"")+COUNTIF(C$4:C17,""Sell_Cursor"")-COUNTIF(C$4:C17,""""))+0.01*E17*COUNTIF(C$4:C17,""Plastic_up"")"&amp;")+E17))"),804.4)</f>
        <v>804.4</v>
      </c>
      <c r="G17" s="14">
        <f>IFERROR(__xludf.DUMMYFUNCTION("IF(COUNTA(C17:C147)=0,"""",IF(REGEXMATCH(C17,""_up""),VLOOKUP(C17,Upgrades!$F$3:$J$8,1+COUNTIF(C$4:C17,C17),FALSE),IF(C17="""",0,IF(REGEXMATCH(C17,""^Sell_""),-ROUNDDOWN(ROUNDUP(INDEX(Upgrades!$C$3:$C$8,MATCH(SUBSTITUTE(C17,""Sell_"",""""),Upgrades!$B$3:$"&amp;"B$8,0))*1.15^(COUNTIF(C$4:C16,SUBSTITUTE(C17,""Sell_"",""""))-COUNTIF(C$4:C16,""Sell_""&amp;SUBSTITUTE(C17,""Sell_"",""""))))/4),ROUNDUP(INDEX(Upgrades!$C$3:$C$7,MATCH(C17,Upgrades!$B$3:$B$7,0))*1.15^(COUNTIF(C$4:C16,C17)-COUNTIF(C$4:C16,""Sell_""&amp;C17)))))))"),61.0)</f>
        <v>61</v>
      </c>
      <c r="H17" s="14">
        <f t="shared" si="3"/>
        <v>61</v>
      </c>
      <c r="I17" s="75">
        <f t="shared" si="4"/>
        <v>17007.80763</v>
      </c>
      <c r="J17" s="76">
        <f t="shared" si="5"/>
        <v>2.265171685</v>
      </c>
      <c r="K17" s="71" t="str">
        <f t="shared" si="6"/>
        <v>2s</v>
      </c>
      <c r="L17" s="77">
        <f t="shared" si="7"/>
        <v>969</v>
      </c>
      <c r="M17" s="51">
        <f t="shared" si="8"/>
        <v>0</v>
      </c>
      <c r="N17" s="52">
        <f>IFERROR(__xludf.DUMMYFUNCTION("IFS(AND(COUNTA(C17:C147)=0,COUNTA(P17:P147)=0),"""",OR(AND(L17&gt;=1000000,OR(Y17&gt;=1000000,COUNTA(P17:P147)=0)),AND(Y17&gt;=1000000,COUNTA(C17:C147)=0),AND(COUNTA(P17:P147)=0,O$3=TRUE)),
ROUNDDOWN((AB$1-AC$1)*MAX(INDEX(S$4:S147,MATCH(LARGE(FILTER(Y$4:Y147,Y$4:Y"&amp;"147&lt;1000000),1),Y$4:Y147)),INDEX(F$4:F147,MATCH(LARGE(FILTER(L$4:L147,L$4:L147&lt;1000000),1),L$4:L147)))),AND(L17&lt;1000000,COUNTA(C17:C147)&gt;0,O$3=FALSE),
ROUNDDOWN(INDEX(Y$4:Y147,MATCH(LARGE(FILTER(W$4:W147,W$4:W147&lt;=J17),1),W$4:W147))+(J17-LARGE(FILTER(W$4:"&amp;"W147,W$4:W147&lt;=J17),1))*INDEX(S$4:S147,MATCH(LARGE(FILTER(W$4:W147,W$4:W147&lt;=J17),1),W$4:W147))-L17),1,
ROUNDDOWN(Y17-INDEX(L$4:L147,MATCH(LARGE(FILTER(J$4:J147,J$4:J147&lt;=W17),1),J$4:J147))-(W17-LARGE(FILTER(J$4:J147,J$4:J147&lt;=W17),1))*INDEX(F$4:F147,MATC"&amp;"H(LARGE(FILTER(J$4:J147,J$4:J147&lt;=W17),1),J$4:J147))))"),0.0)</f>
        <v>0</v>
      </c>
      <c r="O17" s="65">
        <f t="shared" si="9"/>
        <v>3</v>
      </c>
      <c r="P17" s="15" t="s">
        <v>11</v>
      </c>
      <c r="Q17" s="14" t="b">
        <f>IFERROR(__xludf.DUMMYFUNCTION("IF(COUNTA(P17:P147)=0,"""",IFERROR(IF(ISBLANK(P17),FALSE,IF(ISBLANK(T17),1,IF(NOT(COUNTIF($AA$24:$AA$34,SUBSTITUTE(P17,""Sell_"",""""))),1,IF(P17=""Plastic_up"",IF(V17&lt;1000,1),IF(P17=""Super_Up"",IF(OR(COUNTIF(P$4:P17,""Grandma"")-COUNTIF(P$4:P17,""Sell_G"&amp;"randma"")&lt;1,COUNTIF(P$4:P17,VLOOKUP(P17,Upgrades!$F$8:$N$8,7+COUNTIF(P$4:P17,P17)))-COUNTIF(P$4:P17,""Sell_""&amp;VLOOKUP(P17,Upgrades!$F$8:$N$8,7+COUNTIF(P$4:P17,P17)))&lt;15),1),IF(REGEXMATCH(P17,""_up""),IF(COUNTIF(P$4:P17,SUBSTITUTE(P17,""_up"",""""))&lt;IFERRO"&amp;"R(VLOOKUP(P17,Upgrades!$L$3:$P$6,1+COUNTIF(P$4:P17,P17),0),999),1),IF(REGEXMATCH(P17,""Sell_""),IF(COUNTIF(P$4:P17,SUBSTITUTE(P17,""Sell_"",""""))-COUNTIF(P$4:P16,P17)&lt;1,1),FALSE)))))))))"),FALSE)</f>
        <v>0</v>
      </c>
      <c r="R17" s="71">
        <f>IFERROR(__xludf.DUMMYFUNCTION("IF(REGEXMATCH(P17,""^Sell_""),R16, IF(COUNTA(P17:P147)=0,"""",(COUNTIF(P$4:P17,""Cursor"")-COUNTIF(P$4:P17,""Sell_Cursor""))*(0.1*2^SWITCH(COUNTIF(P$4:P17,""Cursor_up""),0,0,1,1,2,2,3)+SWITCH(COUNTIF(P$4:P17,""Cursor_up""),4,0.1,0)*(ROW(P17)-4-COUNTIF(P$4"&amp;":P17,""Cursor"")-COUNTIF(P$4:P17,""*""&amp;""_up"")-2*COUNTIF(P$4:P17,""Sell_""&amp;""*"")+COUNTIF(P$4:P17,""Sell_Cursor"")-COUNTIF(P$4:P17,"""")))+(COUNTIF(P$4:P17,""Grandma"")-COUNTIF(P$4:P17,""Sell_Grandma""))*(1*2^(COUNTIF(P$4:P17,""Grandma_up"")+COUNTIF(P$4:"&amp;"P17,""Super_up"")))+(COUNTIF(P$4:P17,""Farm"")-COUNTIF(P$4:P17,""Sell_Farm""))*(8*2^COUNTIF(P$4:P17,""Farm_up""))*IF(COUNTIF(P$4:P17,""Super_up"")&gt;0,1+0.01*(COUNTIF(P$4:P17,""Grandma"")-COUNTIF(P$4:P17,""Sell_Grandma"")),1)+(COUNTIF(P$4:P17,""Mine"")-COUN"&amp;"TIF(P$4:P17,""Sell_Mine""))*((47*2^COUNTIF(P$4:P17,""Mine_up""))*IF(COUNTIF(P$4:P17,""Super_up"")&gt;1,1+0.005*(COUNTIF(P$4:P17,""Grandma"")-COUNTIF(P$4:P17,""Sell_Grandma"")),1))+(COUNTIF(P$4:P17,""Factory"")-COUNTIF(P$4:P17,""Sell_Factory""))*(260*2^COUNTI"&amp;"F(P$4:P17,""Factory_up""))))"),8.0)</f>
        <v>8</v>
      </c>
      <c r="S17" s="73">
        <f>IFERROR(__xludf.DUMMYFUNCTION("IF(COUNTA(P17:P147)=0,"""",IF(REGEXMATCH(INDEX(FILTER(P$4:P17,P$4:P17&lt;&gt;""""),ROWS(FILTER(P$4:P17,P$4:P17&lt;&gt;""""))),""^Sell_""),INDEX(FILTER(S$4:S16,P$4:P16&lt;&gt;""""),ROWS(FILTER(P$4:P16,P$4:P16&lt;&gt;""""))),$AD$5*(2^SWITCH(COUNTIF(P$4:P17,""Cursor_up""),0,0,1,1,2"&amp;",2,3)+SWITCH(COUNTIF(P$4:P17,""Cursor_up""),4,0.1,0)*(ROW(P17)-4-COUNTIF(P$4:P17,""Cursor"")-COUNTIF(P$4:P17,""*""&amp;""_up"")-2*COUNTIF(P$4:P17,""Sell_""&amp;""*"")+COUNTIF(P$4:P17,""Sell_Cursor"")-COUNTIF(P$4:P17,""""))+0.01*R17*COUNTIF(P$4:P17,""Plastic_up"")"&amp;")+R17))"),1608.0)</f>
        <v>1608</v>
      </c>
      <c r="T17" s="14">
        <f>IFERROR(__xludf.DUMMYFUNCTION("IF(COUNTA(P17:P147)=0,"""",IF(REGEXMATCH(P17,""_up""),VLOOKUP(P17,Upgrades!$F$3:$J$8,1+COUNTIF(P$4:P17,P17),FALSE),IF(P17="""",0,IF(REGEXMATCH(P17,""^Sell_""),-ROUNDDOWN(ROUNDUP(INDEX(Upgrades!$C$3:$C$8,MATCH(SUBSTITUTE(P17,""Sell_"",""""),Upgrades!$B$3:$"&amp;"B$8,0))*1.15^(COUNTIF(P$4:P16,SUBSTITUTE(P17,""Sell_"",""""))-COUNTIF(P$4:P16,""Sell_""&amp;SUBSTITUTE(P17,""Sell_"",""""))))/4),ROUNDUP(INDEX(Upgrades!$C$3:$C$7,MATCH(P17,Upgrades!$B$3:$B$7,0))*1.15^(COUNTIF(P$4:P16,P17)-COUNTIF(P$4:P16,""Sell_""&amp;P17)))))))"),10000.0)</f>
        <v>10000</v>
      </c>
      <c r="U17" s="14">
        <f t="shared" si="10"/>
        <v>10000</v>
      </c>
      <c r="V17" s="75">
        <f t="shared" si="11"/>
        <v>26897.35987</v>
      </c>
      <c r="W17" s="76">
        <f t="shared" si="12"/>
        <v>14.62711198</v>
      </c>
      <c r="X17" s="71" t="str">
        <f t="shared" si="13"/>
        <v>14s</v>
      </c>
      <c r="Y17" s="77">
        <f t="shared" si="14"/>
        <v>10908</v>
      </c>
      <c r="Z17" s="17"/>
      <c r="AA17" s="13"/>
      <c r="AB17" s="13"/>
      <c r="AC17" s="13"/>
      <c r="AD17" s="13"/>
      <c r="AE17" s="13"/>
      <c r="AF17" s="13"/>
      <c r="AG17" s="13"/>
    </row>
    <row r="18">
      <c r="A18" s="12"/>
      <c r="B18" s="65">
        <f t="shared" si="2"/>
        <v>3</v>
      </c>
      <c r="C18" s="66" t="s">
        <v>11</v>
      </c>
      <c r="D18" s="14" t="b">
        <f>IFERROR(__xludf.DUMMYFUNCTION("IF(COUNTA(C18:C147)=0,"""",IFERROR(IF(ISBLANK(C18),FALSE,IF(ISBLANK(G18),1,IF(NOT(COUNTIF($AA$24:$AA$34,SUBSTITUTE(C18,""Sell_"",""""))),1,IF(C18=""Plastic_up"",IF(I18&lt;1000,1),IF(C18=""Super_Up"",IF(OR(COUNTIF(C$4:C18,""Grandma"")-COUNTIF(C$4:C18,""Sell_G"&amp;"randma"")&lt;1,COUNTIF(C$4:C18,VLOOKUP(C18,Upgrades!$F$8:$N$8,7+COUNTIF(C$4:C18,C18)))-COUNTIF(C$4:C18,""Sell_""&amp;VLOOKUP(C18,Upgrades!$F$8:$N$8,7+COUNTIF(C$4:C18,C18)))&lt;15),1),IF(REGEXMATCH(C18,""_up""),IF(COUNTIF(C$4:C18,SUBSTITUTE(C18,""_up"",""""))&lt;IFERRO"&amp;"R(VLOOKUP(C18,Upgrades!$L$3:$P$6,1+COUNTIF(C$4:C18,C18),0),999),1),IF(REGEXMATCH(C18,""Sell_""),IF(COUNTIF(C$4:C18,SUBSTITUTE(C18,""Sell_"",""""))-COUNTIF(C$4:C17,C18)&lt;1,1),FALSE)))))))))"),FALSE)</f>
        <v>0</v>
      </c>
      <c r="E18" s="71">
        <f>IFERROR(__xludf.DUMMYFUNCTION("IF(REGEXMATCH(C18,""^Sell_""),E17, IF(COUNTA(C18:C147)=0,"""",(COUNTIF(C$4:C18,""Cursor"")-COUNTIF(C$4:C18,""Sell_Cursor""))*(0.1*2^SWITCH(COUNTIF(C$4:C18,""Cursor_up""),0,0,1,1,2,2,3)+SWITCH(COUNTIF(C$4:C18,""Cursor_up""),4,0.1,0)*(ROW(C18)-4-COUNTIF(C$4"&amp;":C18,""Cursor"")-COUNTIF(C$4:C18,""*""&amp;""_up"")-2*COUNTIF(C$4:C18,""Sell_""&amp;""*"")+COUNTIF(C$4:C18,""Sell_Cursor"")-COUNTIF(C$4:C18,"""")))+(COUNTIF(C$4:C18,""Grandma"")-COUNTIF(C$4:C18,""Sell_Grandma""))*(1*2^(COUNTIF(C$4:C18,""Grandma_up"")+COUNTIF(C$4:"&amp;"C18,""Super_up"")))+(COUNTIF(C$4:C18,""Farm"")-COUNTIF(C$4:C18,""Sell_Farm""))*(8*2^COUNTIF(C$4:C18,""Farm_up""))*IF(COUNTIF(C$4:C18,""Super_up"")&gt;0,1+0.01*(COUNTIF(C$4:C18,""Grandma"")-COUNTIF(C$4:C18,""Sell_Grandma"")),1)+(COUNTIF(C$4:C18,""Mine"")-COUN"&amp;"TIF(C$4:C18,""Sell_Mine""))*((47*2^COUNTIF(C$4:C18,""Mine_up""))*IF(COUNTIF(C$4:C18,""Super_up"")&gt;1,1+0.005*(COUNTIF(C$4:C18,""Grandma"")-COUNTIF(C$4:C18,""Sell_Grandma"")),1))+(COUNTIF(C$4:C18,""Factory"")-COUNTIF(C$4:C18,""Sell_Factory""))*(260*2^COUNTI"&amp;"F(C$4:C18,""Factory_up""))))"),8.8)</f>
        <v>8.8</v>
      </c>
      <c r="F18" s="73">
        <f>IFERROR(__xludf.DUMMYFUNCTION("IF(COUNTA(C18:C147)=0,"""",IF(REGEXMATCH(INDEX(FILTER(C$4:C18,C$4:C18&lt;&gt;""""),ROWS(FILTER(C$4:C18,C$4:C18&lt;&gt;""""))),""^Sell_""),INDEX(FILTER(F$4:F17,C$4:C17&lt;&gt;""""),ROWS(FILTER(C$4:C17,C$4:C17&lt;&gt;""""))),$AC$5*(2^SWITCH(COUNTIF(C$4:C18,""Cursor_up""),0,0,1,1,2"&amp;",2,3)+SWITCH(COUNTIF(C$4:C18,""Cursor_up""),4,0.1,0)*(ROW(C18)-4-COUNTIF(C$4:C18,""Cursor"")-COUNTIF(C$4:C18,""*""&amp;""_up"")-2*COUNTIF(C$4:C18,""Sell_""&amp;""*"")+COUNTIF(C$4:C18,""Sell_Cursor"")-COUNTIF(C$4:C18,""""))+0.01*E18*COUNTIF(C$4:C18,""Plastic_up"")"&amp;")+E18))"),1608.8)</f>
        <v>1608.8</v>
      </c>
      <c r="G18" s="14">
        <f>IFERROR(__xludf.DUMMYFUNCTION("IF(COUNTA(C18:C147)=0,"""",IF(REGEXMATCH(C18,""_up""),VLOOKUP(C18,Upgrades!$F$3:$J$8,1+COUNTIF(C$4:C18,C18),FALSE),IF(C18="""",0,IF(REGEXMATCH(C18,""^Sell_""),-ROUNDDOWN(ROUNDUP(INDEX(Upgrades!$C$3:$C$8,MATCH(SUBSTITUTE(C18,""Sell_"",""""),Upgrades!$B$3:$"&amp;"B$8,0))*1.15^(COUNTIF(C$4:C17,SUBSTITUTE(C18,""Sell_"",""""))-COUNTIF(C$4:C17,""Sell_""&amp;SUBSTITUTE(C18,""Sell_"",""""))))/4),ROUNDUP(INDEX(Upgrades!$C$3:$C$7,MATCH(C18,Upgrades!$B$3:$B$7,0))*1.15^(COUNTIF(C$4:C17,C18)-COUNTIF(C$4:C17,""Sell_""&amp;C18)))))))"),10000.0)</f>
        <v>10000</v>
      </c>
      <c r="H18" s="14">
        <f t="shared" si="3"/>
        <v>10000</v>
      </c>
      <c r="I18" s="75">
        <f t="shared" si="4"/>
        <v>28765.24582</v>
      </c>
      <c r="J18" s="76">
        <f t="shared" si="5"/>
        <v>14.69679774</v>
      </c>
      <c r="K18" s="71" t="str">
        <f t="shared" si="6"/>
        <v>14s</v>
      </c>
      <c r="L18" s="77">
        <f t="shared" si="7"/>
        <v>10969</v>
      </c>
      <c r="M18" s="51">
        <f t="shared" si="8"/>
        <v>-0.03175</v>
      </c>
      <c r="N18" s="52">
        <f>IFERROR(__xludf.DUMMYFUNCTION("IFS(AND(COUNTA(C18:C147)=0,COUNTA(P18:P147)=0),"""",OR(AND(L18&gt;=1000000,OR(Y18&gt;=1000000,COUNTA(P18:P147)=0)),AND(Y18&gt;=1000000,COUNTA(C18:C147)=0),AND(COUNTA(P18:P147)=0,O$3=TRUE)),
ROUNDDOWN((AB$1-AC$1)*MAX(INDEX(S$4:S147,MATCH(LARGE(FILTER(Y$4:Y147,Y$4:Y"&amp;"147&lt;1000000),1),Y$4:Y147)),INDEX(F$4:F147,MATCH(LARGE(FILTER(L$4:L147,L$4:L147&lt;1000000),1),L$4:L147)))),AND(L18&lt;1000000,COUNTA(C18:C147)&gt;0,O$3=FALSE),
ROUNDDOWN(INDEX(Y$4:Y147,MATCH(LARGE(FILTER(W$4:W147,W$4:W147&lt;=J18),1),W$4:W147))+(J18-LARGE(FILTER(W$4:"&amp;"W147,W$4:W147&lt;=J18),1))*INDEX(S$4:S147,MATCH(LARGE(FILTER(W$4:W147,W$4:W147&lt;=J18),1),W$4:W147))-L18),1,
ROUNDDOWN(Y18-INDEX(L$4:L147,MATCH(LARGE(FILTER(J$4:J147,J$4:J147&lt;=W18),1),J$4:J147))-(W18-LARGE(FILTER(J$4:J147,J$4:J147&lt;=W18),1))*INDEX(F$4:F147,MATC"&amp;"H(LARGE(FILTER(J$4:J147,J$4:J147&lt;=W18),1),J$4:J147))))"),51.0)</f>
        <v>51</v>
      </c>
      <c r="O18" s="65">
        <f t="shared" si="9"/>
        <v>11</v>
      </c>
      <c r="P18" s="15" t="s">
        <v>10</v>
      </c>
      <c r="Q18" s="14" t="b">
        <f>IFERROR(__xludf.DUMMYFUNCTION("IF(COUNTA(P18:P147)=0,"""",IFERROR(IF(ISBLANK(P18),FALSE,IF(ISBLANK(T18),1,IF(NOT(COUNTIF($AA$24:$AA$34,SUBSTITUTE(P18,""Sell_"",""""))),1,IF(P18=""Plastic_up"",IF(V18&lt;1000,1),IF(P18=""Super_Up"",IF(OR(COUNTIF(P$4:P18,""Grandma"")-COUNTIF(P$4:P18,""Sell_G"&amp;"randma"")&lt;1,COUNTIF(P$4:P18,VLOOKUP(P18,Upgrades!$F$8:$N$8,7+COUNTIF(P$4:P18,P18)))-COUNTIF(P$4:P18,""Sell_""&amp;VLOOKUP(P18,Upgrades!$F$8:$N$8,7+COUNTIF(P$4:P18,P18)))&lt;15),1),IF(REGEXMATCH(P18,""_up""),IF(COUNTIF(P$4:P18,SUBSTITUTE(P18,""_up"",""""))&lt;IFERRO"&amp;"R(VLOOKUP(P18,Upgrades!$L$3:$P$6,1+COUNTIF(P$4:P18,P18),0),999),1),IF(REGEXMATCH(P18,""Sell_""),IF(COUNTIF(P$4:P18,SUBSTITUTE(P18,""Sell_"",""""))-COUNTIF(P$4:P17,P18)&lt;1,1),FALSE)))))))))"),FALSE)</f>
        <v>0</v>
      </c>
      <c r="R18" s="71">
        <f>IFERROR(__xludf.DUMMYFUNCTION("IF(REGEXMATCH(P18,""^Sell_""),R17, IF(COUNTA(P18:P147)=0,"""",(COUNTIF(P$4:P18,""Cursor"")-COUNTIF(P$4:P18,""Sell_Cursor""))*(0.1*2^SWITCH(COUNTIF(P$4:P18,""Cursor_up""),0,0,1,1,2,2,3)+SWITCH(COUNTIF(P$4:P18,""Cursor_up""),4,0.1,0)*(ROW(P18)-4-COUNTIF(P$4"&amp;":P18,""Cursor"")-COUNTIF(P$4:P18,""*""&amp;""_up"")-2*COUNTIF(P$4:P18,""Sell_""&amp;""*"")+COUNTIF(P$4:P18,""Sell_Cursor"")-COUNTIF(P$4:P18,"""")))+(COUNTIF(P$4:P18,""Grandma"")-COUNTIF(P$4:P18,""Sell_Grandma""))*(1*2^(COUNTIF(P$4:P18,""Grandma_up"")+COUNTIF(P$4:"&amp;"P18,""Super_up"")))+(COUNTIF(P$4:P18,""Farm"")-COUNTIF(P$4:P18,""Sell_Farm""))*(8*2^COUNTIF(P$4:P18,""Farm_up""))*IF(COUNTIF(P$4:P18,""Super_up"")&gt;0,1+0.01*(COUNTIF(P$4:P18,""Grandma"")-COUNTIF(P$4:P18,""Sell_Grandma"")),1)+(COUNTIF(P$4:P18,""Mine"")-COUN"&amp;"TIF(P$4:P18,""Sell_Mine""))*((47*2^COUNTIF(P$4:P18,""Mine_up""))*IF(COUNTIF(P$4:P18,""Super_up"")&gt;1,1+0.005*(COUNTIF(P$4:P18,""Grandma"")-COUNTIF(P$4:P18,""Sell_Grandma"")),1))+(COUNTIF(P$4:P18,""Factory"")-COUNTIF(P$4:P18,""Sell_Factory""))*(260*2^COUNTI"&amp;"F(P$4:P18,""Factory_up""))))"),8.8)</f>
        <v>8.8</v>
      </c>
      <c r="S18" s="73">
        <f>IFERROR(__xludf.DUMMYFUNCTION("IF(COUNTA(P18:P147)=0,"""",IF(REGEXMATCH(INDEX(FILTER(P$4:P18,P$4:P18&lt;&gt;""""),ROWS(FILTER(P$4:P18,P$4:P18&lt;&gt;""""))),""^Sell_""),INDEX(FILTER(S$4:S17,P$4:P17&lt;&gt;""""),ROWS(FILTER(P$4:P17,P$4:P17&lt;&gt;""""))),$AD$5*(2^SWITCH(COUNTIF(P$4:P18,""Cursor_up""),0,0,1,1,2"&amp;",2,3)+SWITCH(COUNTIF(P$4:P18,""Cursor_up""),4,0.1,0)*(ROW(P18)-4-COUNTIF(P$4:P18,""Cursor"")-COUNTIF(P$4:P18,""*""&amp;""_up"")-2*COUNTIF(P$4:P18,""Sell_""&amp;""*"")+COUNTIF(P$4:P18,""Sell_Cursor"")-COUNTIF(P$4:P18,""""))+0.01*R18*COUNTIF(P$4:P18,""Plastic_up"")"&amp;")+R18))"),1608.8)</f>
        <v>1608.8</v>
      </c>
      <c r="T18" s="14">
        <f>IFERROR(__xludf.DUMMYFUNCTION("IF(COUNTA(P18:P147)=0,"""",IF(REGEXMATCH(P18,""_up""),VLOOKUP(P18,Upgrades!$F$3:$J$8,1+COUNTIF(P$4:P18,P18),FALSE),IF(P18="""",0,IF(REGEXMATCH(P18,""^Sell_""),-ROUNDDOWN(ROUNDUP(INDEX(Upgrades!$C$3:$C$8,MATCH(SUBSTITUTE(P18,""Sell_"",""""),Upgrades!$B$3:$"&amp;"B$8,0))*1.15^(COUNTIF(P$4:P17,SUBSTITUTE(P18,""Sell_"",""""))-COUNTIF(P$4:P17,""Sell_""&amp;SUBSTITUTE(P18,""Sell_"",""""))))/4),ROUNDUP(INDEX(Upgrades!$C$3:$C$7,MATCH(P18,Upgrades!$B$3:$B$7,0))*1.15^(COUNTIF(P$4:P17,P18)-COUNTIF(P$4:P17,""Sell_""&amp;P18)))))))"),61.0)</f>
        <v>61</v>
      </c>
      <c r="U18" s="14">
        <f t="shared" si="10"/>
        <v>61</v>
      </c>
      <c r="V18" s="75">
        <f t="shared" si="11"/>
        <v>50361.43556</v>
      </c>
      <c r="W18" s="76">
        <f t="shared" si="12"/>
        <v>14.66504731</v>
      </c>
      <c r="X18" s="71" t="str">
        <f t="shared" si="13"/>
        <v>14s</v>
      </c>
      <c r="Y18" s="77">
        <f t="shared" si="14"/>
        <v>10969</v>
      </c>
      <c r="Z18" s="17"/>
      <c r="AA18" s="89" t="s">
        <v>71</v>
      </c>
      <c r="AB18" s="90"/>
      <c r="AC18" s="90"/>
      <c r="AD18" s="90"/>
      <c r="AE18" s="90"/>
      <c r="AF18" s="91"/>
      <c r="AG18" s="13"/>
    </row>
    <row r="19">
      <c r="A19" s="12"/>
      <c r="B19" s="65">
        <f t="shared" si="2"/>
        <v>12</v>
      </c>
      <c r="C19" s="66" t="s">
        <v>10</v>
      </c>
      <c r="D19" s="14" t="b">
        <f>IFERROR(__xludf.DUMMYFUNCTION("IF(COUNTA(C19:C147)=0,"""",IFERROR(IF(ISBLANK(C19),FALSE,IF(ISBLANK(G19),1,IF(NOT(COUNTIF($AA$24:$AA$34,SUBSTITUTE(C19,""Sell_"",""""))),1,IF(C19=""Plastic_up"",IF(I19&lt;1000,1),IF(C19=""Super_Up"",IF(OR(COUNTIF(C$4:C19,""Grandma"")-COUNTIF(C$4:C19,""Sell_G"&amp;"randma"")&lt;1,COUNTIF(C$4:C19,VLOOKUP(C19,Upgrades!$F$8:$N$8,7+COUNTIF(C$4:C19,C19)))-COUNTIF(C$4:C19,""Sell_""&amp;VLOOKUP(C19,Upgrades!$F$8:$N$8,7+COUNTIF(C$4:C19,C19)))&lt;15),1),IF(REGEXMATCH(C19,""_up""),IF(COUNTIF(C$4:C19,SUBSTITUTE(C19,""_up"",""""))&lt;IFERRO"&amp;"R(VLOOKUP(C19,Upgrades!$L$3:$P$6,1+COUNTIF(C$4:C19,C19),0),999),1),IF(REGEXMATCH(C19,""Sell_""),IF(COUNTIF(C$4:C19,SUBSTITUTE(C19,""Sell_"",""""))-COUNTIF(C$4:C18,C19)&lt;1,1),FALSE)))))))))"),FALSE)</f>
        <v>0</v>
      </c>
      <c r="E19" s="71">
        <f>IFERROR(__xludf.DUMMYFUNCTION("IF(REGEXMATCH(C19,""^Sell_""),E18, IF(COUNTA(C19:C147)=0,"""",(COUNTIF(C$4:C19,""Cursor"")-COUNTIF(C$4:C19,""Sell_Cursor""))*(0.1*2^SWITCH(COUNTIF(C$4:C19,""Cursor_up""),0,0,1,1,2,2,3)+SWITCH(COUNTIF(C$4:C19,""Cursor_up""),4,0.1,0)*(ROW(C19)-4-COUNTIF(C$4"&amp;":C19,""Cursor"")-COUNTIF(C$4:C19,""*""&amp;""_up"")-2*COUNTIF(C$4:C19,""Sell_""&amp;""*"")+COUNTIF(C$4:C19,""Sell_Cursor"")-COUNTIF(C$4:C19,"""")))+(COUNTIF(C$4:C19,""Grandma"")-COUNTIF(C$4:C19,""Sell_Grandma""))*(1*2^(COUNTIF(C$4:C19,""Grandma_up"")+COUNTIF(C$4:"&amp;"C19,""Super_up"")))+(COUNTIF(C$4:C19,""Farm"")-COUNTIF(C$4:C19,""Sell_Farm""))*(8*2^COUNTIF(C$4:C19,""Farm_up""))*IF(COUNTIF(C$4:C19,""Super_up"")&gt;0,1+0.01*(COUNTIF(C$4:C19,""Grandma"")-COUNTIF(C$4:C19,""Sell_Grandma"")),1)+(COUNTIF(C$4:C19,""Mine"")-COUN"&amp;"TIF(C$4:C19,""Sell_Mine""))*((47*2^COUNTIF(C$4:C19,""Mine_up""))*IF(COUNTIF(C$4:C19,""Super_up"")&gt;1,1+0.005*(COUNTIF(C$4:C19,""Grandma"")-COUNTIF(C$4:C19,""Sell_Grandma"")),1))+(COUNTIF(C$4:C19,""Factory"")-COUNTIF(C$4:C19,""Sell_Factory""))*(260*2^COUNTI"&amp;"F(C$4:C19,""Factory_up""))))"),9.600000000000001)</f>
        <v>9.6</v>
      </c>
      <c r="F19" s="73">
        <f>IFERROR(__xludf.DUMMYFUNCTION("IF(COUNTA(C19:C147)=0,"""",IF(REGEXMATCH(INDEX(FILTER(C$4:C19,C$4:C19&lt;&gt;""""),ROWS(FILTER(C$4:C19,C$4:C19&lt;&gt;""""))),""^Sell_""),INDEX(FILTER(F$4:F18,C$4:C18&lt;&gt;""""),ROWS(FILTER(C$4:C18,C$4:C18&lt;&gt;""""))),$AC$5*(2^SWITCH(COUNTIF(C$4:C19,""Cursor_up""),0,0,1,1,2"&amp;",2,3)+SWITCH(COUNTIF(C$4:C19,""Cursor_up""),4,0.1,0)*(ROW(C19)-4-COUNTIF(C$4:C19,""Cursor"")-COUNTIF(C$4:C19,""*""&amp;""_up"")-2*COUNTIF(C$4:C19,""Sell_""&amp;""*"")+COUNTIF(C$4:C19,""Sell_Cursor"")-COUNTIF(C$4:C19,""""))+0.01*E19*COUNTIF(C$4:C19,""Plastic_up"")"&amp;")+E19))"),1609.6)</f>
        <v>1609.6</v>
      </c>
      <c r="G19" s="14">
        <f>IFERROR(__xludf.DUMMYFUNCTION("IF(COUNTA(C19:C147)=0,"""",IF(REGEXMATCH(C19,""_up""),VLOOKUP(C19,Upgrades!$F$3:$J$8,1+COUNTIF(C$4:C19,C19),FALSE),IF(C19="""",0,IF(REGEXMATCH(C19,""^Sell_""),-ROUNDDOWN(ROUNDUP(INDEX(Upgrades!$C$3:$C$8,MATCH(SUBSTITUTE(C19,""Sell_"",""""),Upgrades!$B$3:$"&amp;"B$8,0))*1.15^(COUNTIF(C$4:C18,SUBSTITUTE(C19,""Sell_"",""""))-COUNTIF(C$4:C18,""Sell_""&amp;SUBSTITUTE(C19,""Sell_"",""""))))/4),ROUNDUP(INDEX(Upgrades!$C$3:$C$7,MATCH(C19,Upgrades!$B$3:$B$7,0))*1.15^(COUNTIF(C$4:C18,C19)-COUNTIF(C$4:C18,""Sell_""&amp;C19)))))))"),70.0)</f>
        <v>70</v>
      </c>
      <c r="H19" s="14">
        <f t="shared" si="3"/>
        <v>70</v>
      </c>
      <c r="I19" s="75">
        <f t="shared" si="4"/>
        <v>52349.73931</v>
      </c>
      <c r="J19" s="76">
        <f t="shared" si="5"/>
        <v>14.74030843</v>
      </c>
      <c r="K19" s="71" t="str">
        <f t="shared" si="6"/>
        <v>14s</v>
      </c>
      <c r="L19" s="77">
        <f t="shared" si="7"/>
        <v>11039</v>
      </c>
      <c r="M19" s="51">
        <f t="shared" si="8"/>
        <v>-0.03175</v>
      </c>
      <c r="N19" s="52">
        <f>IFERROR(__xludf.DUMMYFUNCTION("IFS(AND(COUNTA(C19:C147)=0,COUNTA(P19:P147)=0),"""",OR(AND(L19&gt;=1000000,OR(Y19&gt;=1000000,COUNTA(P19:P147)=0)),AND(Y19&gt;=1000000,COUNTA(C19:C147)=0),AND(COUNTA(P19:P147)=0,O$3=TRUE)),
ROUNDDOWN((AB$1-AC$1)*MAX(INDEX(S$4:S147,MATCH(LARGE(FILTER(Y$4:Y147,Y$4:Y"&amp;"147&lt;1000000),1),Y$4:Y147)),INDEX(F$4:F147,MATCH(LARGE(FILTER(L$4:L147,L$4:L147&lt;1000000),1),L$4:L147)))),AND(L19&lt;1000000,COUNTA(C19:C147)&gt;0,O$3=FALSE),
ROUNDDOWN(INDEX(Y$4:Y147,MATCH(LARGE(FILTER(W$4:W147,W$4:W147&lt;=J19),1),W$4:W147))+(J19-LARGE(FILTER(W$4:"&amp;"W147,W$4:W147&lt;=J19),1))*INDEX(S$4:S147,MATCH(LARGE(FILTER(W$4:W147,W$4:W147&lt;=J19),1),W$4:W147))-L19),1,
ROUNDDOWN(Y19-INDEX(L$4:L147,MATCH(LARGE(FILTER(J$4:J147,J$4:J147&lt;=W19),1),J$4:J147))-(W19-LARGE(FILTER(J$4:J147,J$4:J147&lt;=W19),1))*INDEX(F$4:F147,MATC"&amp;"H(LARGE(FILTER(J$4:J147,J$4:J147&lt;=W19),1),J$4:J147))))"),51.0)</f>
        <v>51</v>
      </c>
      <c r="O19" s="65">
        <f t="shared" si="9"/>
        <v>12</v>
      </c>
      <c r="P19" s="15" t="s">
        <v>10</v>
      </c>
      <c r="Q19" s="14" t="b">
        <f>IFERROR(__xludf.DUMMYFUNCTION("IF(COUNTA(P19:P147)=0,"""",IFERROR(IF(ISBLANK(P19),FALSE,IF(ISBLANK(T19),1,IF(NOT(COUNTIF($AA$24:$AA$34,SUBSTITUTE(P19,""Sell_"",""""))),1,IF(P19=""Plastic_up"",IF(V19&lt;1000,1),IF(P19=""Super_Up"",IF(OR(COUNTIF(P$4:P19,""Grandma"")-COUNTIF(P$4:P19,""Sell_G"&amp;"randma"")&lt;1,COUNTIF(P$4:P19,VLOOKUP(P19,Upgrades!$F$8:$N$8,7+COUNTIF(P$4:P19,P19)))-COUNTIF(P$4:P19,""Sell_""&amp;VLOOKUP(P19,Upgrades!$F$8:$N$8,7+COUNTIF(P$4:P19,P19)))&lt;15),1),IF(REGEXMATCH(P19,""_up""),IF(COUNTIF(P$4:P19,SUBSTITUTE(P19,""_up"",""""))&lt;IFERRO"&amp;"R(VLOOKUP(P19,Upgrades!$L$3:$P$6,1+COUNTIF(P$4:P19,P19),0),999),1),IF(REGEXMATCH(P19,""Sell_""),IF(COUNTIF(P$4:P19,SUBSTITUTE(P19,""Sell_"",""""))-COUNTIF(P$4:P18,P19)&lt;1,1),FALSE)))))))))"),FALSE)</f>
        <v>0</v>
      </c>
      <c r="R19" s="71">
        <f>IFERROR(__xludf.DUMMYFUNCTION("IF(REGEXMATCH(P19,""^Sell_""),R18, IF(COUNTA(P19:P147)=0,"""",(COUNTIF(P$4:P19,""Cursor"")-COUNTIF(P$4:P19,""Sell_Cursor""))*(0.1*2^SWITCH(COUNTIF(P$4:P19,""Cursor_up""),0,0,1,1,2,2,3)+SWITCH(COUNTIF(P$4:P19,""Cursor_up""),4,0.1,0)*(ROW(P19)-4-COUNTIF(P$4"&amp;":P19,""Cursor"")-COUNTIF(P$4:P19,""*""&amp;""_up"")-2*COUNTIF(P$4:P19,""Sell_""&amp;""*"")+COUNTIF(P$4:P19,""Sell_Cursor"")-COUNTIF(P$4:P19,"""")))+(COUNTIF(P$4:P19,""Grandma"")-COUNTIF(P$4:P19,""Sell_Grandma""))*(1*2^(COUNTIF(P$4:P19,""Grandma_up"")+COUNTIF(P$4:"&amp;"P19,""Super_up"")))+(COUNTIF(P$4:P19,""Farm"")-COUNTIF(P$4:P19,""Sell_Farm""))*(8*2^COUNTIF(P$4:P19,""Farm_up""))*IF(COUNTIF(P$4:P19,""Super_up"")&gt;0,1+0.01*(COUNTIF(P$4:P19,""Grandma"")-COUNTIF(P$4:P19,""Sell_Grandma"")),1)+(COUNTIF(P$4:P19,""Mine"")-COUN"&amp;"TIF(P$4:P19,""Sell_Mine""))*((47*2^COUNTIF(P$4:P19,""Mine_up""))*IF(COUNTIF(P$4:P19,""Super_up"")&gt;1,1+0.005*(COUNTIF(P$4:P19,""Grandma"")-COUNTIF(P$4:P19,""Sell_Grandma"")),1))+(COUNTIF(P$4:P19,""Factory"")-COUNTIF(P$4:P19,""Sell_Factory""))*(260*2^COUNTI"&amp;"F(P$4:P19,""Factory_up""))))"),9.600000000000001)</f>
        <v>9.6</v>
      </c>
      <c r="S19" s="73">
        <f>IFERROR(__xludf.DUMMYFUNCTION("IF(COUNTA(P19:P147)=0,"""",IF(REGEXMATCH(INDEX(FILTER(P$4:P19,P$4:P19&lt;&gt;""""),ROWS(FILTER(P$4:P19,P$4:P19&lt;&gt;""""))),""^Sell_""),INDEX(FILTER(S$4:S18,P$4:P18&lt;&gt;""""),ROWS(FILTER(P$4:P18,P$4:P18&lt;&gt;""""))),$AD$5*(2^SWITCH(COUNTIF(P$4:P19,""Cursor_up""),0,0,1,1,2"&amp;",2,3)+SWITCH(COUNTIF(P$4:P19,""Cursor_up""),4,0.1,0)*(ROW(P19)-4-COUNTIF(P$4:P19,""Cursor"")-COUNTIF(P$4:P19,""*""&amp;""_up"")-2*COUNTIF(P$4:P19,""Sell_""&amp;""*"")+COUNTIF(P$4:P19,""Sell_Cursor"")-COUNTIF(P$4:P19,""""))+0.01*R19*COUNTIF(P$4:P19,""Plastic_up"")"&amp;")+R19))"),1609.6)</f>
        <v>1609.6</v>
      </c>
      <c r="T19" s="14">
        <f>IFERROR(__xludf.DUMMYFUNCTION("IF(COUNTA(P19:P147)=0,"""",IF(REGEXMATCH(P19,""_up""),VLOOKUP(P19,Upgrades!$F$3:$J$8,1+COUNTIF(P$4:P19,P19),FALSE),IF(P19="""",0,IF(REGEXMATCH(P19,""^Sell_""),-ROUNDDOWN(ROUNDUP(INDEX(Upgrades!$C$3:$C$8,MATCH(SUBSTITUTE(P19,""Sell_"",""""),Upgrades!$B$3:$"&amp;"B$8,0))*1.15^(COUNTIF(P$4:P18,SUBSTITUTE(P19,""Sell_"",""""))-COUNTIF(P$4:P18,""Sell_""&amp;SUBSTITUTE(P19,""Sell_"",""""))))/4),ROUNDUP(INDEX(Upgrades!$C$3:$C$7,MATCH(P19,Upgrades!$B$3:$B$7,0))*1.15^(COUNTIF(P$4:P18,P19)-COUNTIF(P$4:P18,""Sell_""&amp;P19)))))))"),70.0)</f>
        <v>70</v>
      </c>
      <c r="U19" s="14">
        <f t="shared" si="10"/>
        <v>70</v>
      </c>
      <c r="V19" s="75">
        <f t="shared" si="11"/>
        <v>73895.12836</v>
      </c>
      <c r="W19" s="76">
        <f t="shared" si="12"/>
        <v>14.708558</v>
      </c>
      <c r="X19" s="71" t="str">
        <f t="shared" si="13"/>
        <v>14s</v>
      </c>
      <c r="Y19" s="77">
        <f t="shared" si="14"/>
        <v>11039</v>
      </c>
      <c r="Z19" s="17"/>
      <c r="AA19" s="101" t="s">
        <v>72</v>
      </c>
      <c r="AB19" s="102"/>
      <c r="AC19" s="102"/>
      <c r="AD19" s="102"/>
      <c r="AE19" s="102"/>
      <c r="AF19" s="103"/>
      <c r="AG19" s="13"/>
    </row>
    <row r="20">
      <c r="A20" s="12"/>
      <c r="B20" s="65">
        <f t="shared" si="2"/>
        <v>13</v>
      </c>
      <c r="C20" s="66" t="s">
        <v>10</v>
      </c>
      <c r="D20" s="14" t="b">
        <f>IFERROR(__xludf.DUMMYFUNCTION("IF(COUNTA(C20:C147)=0,"""",IFERROR(IF(ISBLANK(C20),FALSE,IF(ISBLANK(G20),1,IF(NOT(COUNTIF($AA$24:$AA$34,SUBSTITUTE(C20,""Sell_"",""""))),1,IF(C20=""Plastic_up"",IF(I20&lt;1000,1),IF(C20=""Super_Up"",IF(OR(COUNTIF(C$4:C20,""Grandma"")-COUNTIF(C$4:C20,""Sell_G"&amp;"randma"")&lt;1,COUNTIF(C$4:C20,VLOOKUP(C20,Upgrades!$F$8:$N$8,7+COUNTIF(C$4:C20,C20)))-COUNTIF(C$4:C20,""Sell_""&amp;VLOOKUP(C20,Upgrades!$F$8:$N$8,7+COUNTIF(C$4:C20,C20)))&lt;15),1),IF(REGEXMATCH(C20,""_up""),IF(COUNTIF(C$4:C20,SUBSTITUTE(C20,""_up"",""""))&lt;IFERRO"&amp;"R(VLOOKUP(C20,Upgrades!$L$3:$P$6,1+COUNTIF(C$4:C20,C20),0),999),1),IF(REGEXMATCH(C20,""Sell_""),IF(COUNTIF(C$4:C20,SUBSTITUTE(C20,""Sell_"",""""))-COUNTIF(C$4:C19,C20)&lt;1,1),FALSE)))))))))"),FALSE)</f>
        <v>0</v>
      </c>
      <c r="E20" s="71">
        <f>IFERROR(__xludf.DUMMYFUNCTION("IF(REGEXMATCH(C20,""^Sell_""),E19, IF(COUNTA(C20:C147)=0,"""",(COUNTIF(C$4:C20,""Cursor"")-COUNTIF(C$4:C20,""Sell_Cursor""))*(0.1*2^SWITCH(COUNTIF(C$4:C20,""Cursor_up""),0,0,1,1,2,2,3)+SWITCH(COUNTIF(C$4:C20,""Cursor_up""),4,0.1,0)*(ROW(C20)-4-COUNTIF(C$4"&amp;":C20,""Cursor"")-COUNTIF(C$4:C20,""*""&amp;""_up"")-2*COUNTIF(C$4:C20,""Sell_""&amp;""*"")+COUNTIF(C$4:C20,""Sell_Cursor"")-COUNTIF(C$4:C20,"""")))+(COUNTIF(C$4:C20,""Grandma"")-COUNTIF(C$4:C20,""Sell_Grandma""))*(1*2^(COUNTIF(C$4:C20,""Grandma_up"")+COUNTIF(C$4:"&amp;"C20,""Super_up"")))+(COUNTIF(C$4:C20,""Farm"")-COUNTIF(C$4:C20,""Sell_Farm""))*(8*2^COUNTIF(C$4:C20,""Farm_up""))*IF(COUNTIF(C$4:C20,""Super_up"")&gt;0,1+0.01*(COUNTIF(C$4:C20,""Grandma"")-COUNTIF(C$4:C20,""Sell_Grandma"")),1)+(COUNTIF(C$4:C20,""Mine"")-COUN"&amp;"TIF(C$4:C20,""Sell_Mine""))*((47*2^COUNTIF(C$4:C20,""Mine_up""))*IF(COUNTIF(C$4:C20,""Super_up"")&gt;1,1+0.005*(COUNTIF(C$4:C20,""Grandma"")-COUNTIF(C$4:C20,""Sell_Grandma"")),1))+(COUNTIF(C$4:C20,""Factory"")-COUNTIF(C$4:C20,""Sell_Factory""))*(260*2^COUNTI"&amp;"F(C$4:C20,""Factory_up""))))"),10.4)</f>
        <v>10.4</v>
      </c>
      <c r="F20" s="73">
        <f>IFERROR(__xludf.DUMMYFUNCTION("IF(COUNTA(C20:C147)=0,"""",IF(REGEXMATCH(INDEX(FILTER(C$4:C20,C$4:C20&lt;&gt;""""),ROWS(FILTER(C$4:C20,C$4:C20&lt;&gt;""""))),""^Sell_""),INDEX(FILTER(F$4:F19,C$4:C19&lt;&gt;""""),ROWS(FILTER(C$4:C19,C$4:C19&lt;&gt;""""))),$AC$5*(2^SWITCH(COUNTIF(C$4:C20,""Cursor_up""),0,0,1,1,2"&amp;",2,3)+SWITCH(COUNTIF(C$4:C20,""Cursor_up""),4,0.1,0)*(ROW(C20)-4-COUNTIF(C$4:C20,""Cursor"")-COUNTIF(C$4:C20,""*""&amp;""_up"")-2*COUNTIF(C$4:C20,""Sell_""&amp;""*"")+COUNTIF(C$4:C20,""Sell_Cursor"")-COUNTIF(C$4:C20,""""))+0.01*E20*COUNTIF(C$4:C20,""Plastic_up"")"&amp;")+E20))"),1610.4)</f>
        <v>1610.4</v>
      </c>
      <c r="G20" s="14">
        <f>IFERROR(__xludf.DUMMYFUNCTION("IF(COUNTA(C20:C147)=0,"""",IF(REGEXMATCH(C20,""_up""),VLOOKUP(C20,Upgrades!$F$3:$J$8,1+COUNTIF(C$4:C20,C20),FALSE),IF(C20="""",0,IF(REGEXMATCH(C20,""^Sell_""),-ROUNDDOWN(ROUNDUP(INDEX(Upgrades!$C$3:$C$8,MATCH(SUBSTITUTE(C20,""Sell_"",""""),Upgrades!$B$3:$"&amp;"B$8,0))*1.15^(COUNTIF(C$4:C19,SUBSTITUTE(C20,""Sell_"",""""))-COUNTIF(C$4:C19,""Sell_""&amp;SUBSTITUTE(C20,""Sell_"",""""))))/4),ROUNDUP(INDEX(Upgrades!$C$3:$C$7,MATCH(C20,Upgrades!$B$3:$B$7,0))*1.15^(COUNTIF(C$4:C19,C20)-COUNTIF(C$4:C19,""Sell_""&amp;C20)))))))"),81.0)</f>
        <v>81</v>
      </c>
      <c r="H20" s="14">
        <f t="shared" si="3"/>
        <v>81</v>
      </c>
      <c r="I20" s="75">
        <f t="shared" si="4"/>
        <v>76014.74971</v>
      </c>
      <c r="J20" s="76">
        <f t="shared" si="5"/>
        <v>14.79063149</v>
      </c>
      <c r="K20" s="71" t="str">
        <f t="shared" si="6"/>
        <v>14s</v>
      </c>
      <c r="L20" s="77">
        <f t="shared" si="7"/>
        <v>11120</v>
      </c>
      <c r="M20" s="51">
        <f t="shared" si="8"/>
        <v>-0.03175</v>
      </c>
      <c r="N20" s="52">
        <f>IFERROR(__xludf.DUMMYFUNCTION("IFS(AND(COUNTA(C20:C147)=0,COUNTA(P20:P147)=0),"""",OR(AND(L20&gt;=1000000,OR(Y20&gt;=1000000,COUNTA(P20:P147)=0)),AND(Y20&gt;=1000000,COUNTA(C20:C147)=0),AND(COUNTA(P20:P147)=0,O$3=TRUE)),
ROUNDDOWN((AB$1-AC$1)*MAX(INDEX(S$4:S147,MATCH(LARGE(FILTER(Y$4:Y147,Y$4:Y"&amp;"147&lt;1000000),1),Y$4:Y147)),INDEX(F$4:F147,MATCH(LARGE(FILTER(L$4:L147,L$4:L147&lt;1000000),1),L$4:L147)))),AND(L20&lt;1000000,COUNTA(C20:C147)&gt;0,O$3=FALSE),
ROUNDDOWN(INDEX(Y$4:Y147,MATCH(LARGE(FILTER(W$4:W147,W$4:W147&lt;=J20),1),W$4:W147))+(J20-LARGE(FILTER(W$4:"&amp;"W147,W$4:W147&lt;=J20),1))*INDEX(S$4:S147,MATCH(LARGE(FILTER(W$4:W147,W$4:W147&lt;=J20),1),W$4:W147))-L20),1,
ROUNDDOWN(Y20-INDEX(L$4:L147,MATCH(LARGE(FILTER(J$4:J147,J$4:J147&lt;=W20),1),J$4:J147))-(W20-LARGE(FILTER(J$4:J147,J$4:J147&lt;=W20),1))*INDEX(F$4:F147,MATC"&amp;"H(LARGE(FILTER(J$4:J147,J$4:J147&lt;=W20),1),J$4:J147))))"),51.0)</f>
        <v>51</v>
      </c>
      <c r="O20" s="65">
        <f t="shared" si="9"/>
        <v>1</v>
      </c>
      <c r="P20" s="15" t="s">
        <v>13</v>
      </c>
      <c r="Q20" s="14" t="b">
        <f>IFERROR(__xludf.DUMMYFUNCTION("IF(COUNTA(P20:P147)=0,"""",IFERROR(IF(ISBLANK(P20),FALSE,IF(ISBLANK(T20),1,IF(NOT(COUNTIF($AA$24:$AA$34,SUBSTITUTE(P20,""Sell_"",""""))),1,IF(P20=""Plastic_up"",IF(V20&lt;1000,1),IF(P20=""Super_Up"",IF(OR(COUNTIF(P$4:P20,""Grandma"")-COUNTIF(P$4:P20,""Sell_G"&amp;"randma"")&lt;1,COUNTIF(P$4:P20,VLOOKUP(P20,Upgrades!$F$8:$N$8,7+COUNTIF(P$4:P20,P20)))-COUNTIF(P$4:P20,""Sell_""&amp;VLOOKUP(P20,Upgrades!$F$8:$N$8,7+COUNTIF(P$4:P20,P20)))&lt;15),1),IF(REGEXMATCH(P20,""_up""),IF(COUNTIF(P$4:P20,SUBSTITUTE(P20,""_up"",""""))&lt;IFERRO"&amp;"R(VLOOKUP(P20,Upgrades!$L$3:$P$6,1+COUNTIF(P$4:P20,P20),0),999),1),IF(REGEXMATCH(P20,""Sell_""),IF(COUNTIF(P$4:P20,SUBSTITUTE(P20,""Sell_"",""""))-COUNTIF(P$4:P19,P20)&lt;1,1),FALSE)))))))))"),FALSE)</f>
        <v>0</v>
      </c>
      <c r="R20" s="71">
        <f>IFERROR(__xludf.DUMMYFUNCTION("IF(REGEXMATCH(P20,""^Sell_""),R19, IF(COUNTA(P20:P147)=0,"""",(COUNTIF(P$4:P20,""Cursor"")-COUNTIF(P$4:P20,""Sell_Cursor""))*(0.1*2^SWITCH(COUNTIF(P$4:P20,""Cursor_up""),0,0,1,1,2,2,3)+SWITCH(COUNTIF(P$4:P20,""Cursor_up""),4,0.1,0)*(ROW(P20)-4-COUNTIF(P$4"&amp;":P20,""Cursor"")-COUNTIF(P$4:P20,""*""&amp;""_up"")-2*COUNTIF(P$4:P20,""Sell_""&amp;""*"")+COUNTIF(P$4:P20,""Sell_Cursor"")-COUNTIF(P$4:P20,"""")))+(COUNTIF(P$4:P20,""Grandma"")-COUNTIF(P$4:P20,""Sell_Grandma""))*(1*2^(COUNTIF(P$4:P20,""Grandma_up"")+COUNTIF(P$4:"&amp;"P20,""Super_up"")))+(COUNTIF(P$4:P20,""Farm"")-COUNTIF(P$4:P20,""Sell_Farm""))*(8*2^COUNTIF(P$4:P20,""Farm_up""))*IF(COUNTIF(P$4:P20,""Super_up"")&gt;0,1+0.01*(COUNTIF(P$4:P20,""Grandma"")-COUNTIF(P$4:P20,""Sell_Grandma"")),1)+(COUNTIF(P$4:P20,""Mine"")-COUN"&amp;"TIF(P$4:P20,""Sell_Mine""))*((47*2^COUNTIF(P$4:P20,""Mine_up""))*IF(COUNTIF(P$4:P20,""Super_up"")&gt;1,1+0.005*(COUNTIF(P$4:P20,""Grandma"")-COUNTIF(P$4:P20,""Sell_Grandma"")),1))+(COUNTIF(P$4:P20,""Factory"")-COUNTIF(P$4:P20,""Sell_Factory""))*(260*2^COUNTI"&amp;"F(P$4:P20,""Factory_up""))))"),10.600000000000001)</f>
        <v>10.6</v>
      </c>
      <c r="S20" s="73">
        <f>IFERROR(__xludf.DUMMYFUNCTION("IF(COUNTA(P20:P147)=0,"""",IF(REGEXMATCH(INDEX(FILTER(P$4:P20,P$4:P20&lt;&gt;""""),ROWS(FILTER(P$4:P20,P$4:P20&lt;&gt;""""))),""^Sell_""),INDEX(FILTER(S$4:S19,P$4:P19&lt;&gt;""""),ROWS(FILTER(P$4:P19,P$4:P19&lt;&gt;""""))),$AD$5*(2^SWITCH(COUNTIF(P$4:P20,""Cursor_up""),0,0,1,1,2"&amp;",2,3)+SWITCH(COUNTIF(P$4:P20,""Cursor_up""),4,0.1,0)*(ROW(P20)-4-COUNTIF(P$4:P20,""Cursor"")-COUNTIF(P$4:P20,""*""&amp;""_up"")-2*COUNTIF(P$4:P20,""Sell_""&amp;""*"")+COUNTIF(P$4:P20,""Sell_Cursor"")-COUNTIF(P$4:P20,""""))+0.01*R20*COUNTIF(P$4:P20,""Plastic_up"")"&amp;")+R20))"),1610.6)</f>
        <v>1610.6</v>
      </c>
      <c r="T20" s="14">
        <f>IFERROR(__xludf.DUMMYFUNCTION("IF(COUNTA(P20:P147)=0,"""",IF(REGEXMATCH(P20,""_up""),VLOOKUP(P20,Upgrades!$F$3:$J$8,1+COUNTIF(P$4:P20,P20),FALSE),IF(P20="""",0,IF(REGEXMATCH(P20,""^Sell_""),-ROUNDDOWN(ROUNDUP(INDEX(Upgrades!$C$3:$C$8,MATCH(SUBSTITUTE(P20,""Sell_"",""""),Upgrades!$B$3:$"&amp;"B$8,0))*1.15^(COUNTIF(P$4:P19,SUBSTITUTE(P20,""Sell_"",""""))-COUNTIF(P$4:P19,""Sell_""&amp;SUBSTITUTE(P20,""Sell_"",""""))))/4),ROUNDUP(INDEX(Upgrades!$C$3:$C$7,MATCH(P20,Upgrades!$B$3:$B$7,0))*1.15^(COUNTIF(P$4:P19,P20)-COUNTIF(P$4:P19,""Sell_""&amp;P20)))))))"),100.0)</f>
        <v>100</v>
      </c>
      <c r="U20" s="14">
        <f t="shared" si="10"/>
        <v>100</v>
      </c>
      <c r="V20" s="75">
        <f t="shared" si="11"/>
        <v>97528.22473</v>
      </c>
      <c r="W20" s="76">
        <f t="shared" si="12"/>
        <v>14.77068524</v>
      </c>
      <c r="X20" s="71" t="str">
        <f t="shared" si="13"/>
        <v>14s</v>
      </c>
      <c r="Y20" s="77">
        <f t="shared" si="14"/>
        <v>11139</v>
      </c>
      <c r="Z20" s="17"/>
      <c r="AA20" s="13"/>
      <c r="AB20" s="13"/>
      <c r="AC20" s="13"/>
      <c r="AD20" s="13"/>
      <c r="AE20" s="13"/>
      <c r="AF20" s="13"/>
      <c r="AG20" s="13"/>
    </row>
    <row r="21">
      <c r="A21" s="12"/>
      <c r="B21" s="65">
        <f t="shared" si="2"/>
        <v>14</v>
      </c>
      <c r="C21" s="66" t="s">
        <v>10</v>
      </c>
      <c r="D21" s="14" t="b">
        <f>IFERROR(__xludf.DUMMYFUNCTION("IF(COUNTA(C21:C147)=0,"""",IFERROR(IF(ISBLANK(C21),FALSE,IF(ISBLANK(G21),1,IF(NOT(COUNTIF($AA$24:$AA$34,SUBSTITUTE(C21,""Sell_"",""""))),1,IF(C21=""Plastic_up"",IF(I21&lt;1000,1),IF(C21=""Super_Up"",IF(OR(COUNTIF(C$4:C21,""Grandma"")-COUNTIF(C$4:C21,""Sell_G"&amp;"randma"")&lt;1,COUNTIF(C$4:C21,VLOOKUP(C21,Upgrades!$F$8:$N$8,7+COUNTIF(C$4:C21,C21)))-COUNTIF(C$4:C21,""Sell_""&amp;VLOOKUP(C21,Upgrades!$F$8:$N$8,7+COUNTIF(C$4:C21,C21)))&lt;15),1),IF(REGEXMATCH(C21,""_up""),IF(COUNTIF(C$4:C21,SUBSTITUTE(C21,""_up"",""""))&lt;IFERRO"&amp;"R(VLOOKUP(C21,Upgrades!$L$3:$P$6,1+COUNTIF(C$4:C21,C21),0),999),1),IF(REGEXMATCH(C21,""Sell_""),IF(COUNTIF(C$4:C21,SUBSTITUTE(C21,""Sell_"",""""))-COUNTIF(C$4:C20,C21)&lt;1,1),FALSE)))))))))"),FALSE)</f>
        <v>0</v>
      </c>
      <c r="E21" s="71">
        <f>IFERROR(__xludf.DUMMYFUNCTION("IF(REGEXMATCH(C21,""^Sell_""),E20, IF(COUNTA(C21:C147)=0,"""",(COUNTIF(C$4:C21,""Cursor"")-COUNTIF(C$4:C21,""Sell_Cursor""))*(0.1*2^SWITCH(COUNTIF(C$4:C21,""Cursor_up""),0,0,1,1,2,2,3)+SWITCH(COUNTIF(C$4:C21,""Cursor_up""),4,0.1,0)*(ROW(C21)-4-COUNTIF(C$4"&amp;":C21,""Cursor"")-COUNTIF(C$4:C21,""*""&amp;""_up"")-2*COUNTIF(C$4:C21,""Sell_""&amp;""*"")+COUNTIF(C$4:C21,""Sell_Cursor"")-COUNTIF(C$4:C21,"""")))+(COUNTIF(C$4:C21,""Grandma"")-COUNTIF(C$4:C21,""Sell_Grandma""))*(1*2^(COUNTIF(C$4:C21,""Grandma_up"")+COUNTIF(C$4:"&amp;"C21,""Super_up"")))+(COUNTIF(C$4:C21,""Farm"")-COUNTIF(C$4:C21,""Sell_Farm""))*(8*2^COUNTIF(C$4:C21,""Farm_up""))*IF(COUNTIF(C$4:C21,""Super_up"")&gt;0,1+0.01*(COUNTIF(C$4:C21,""Grandma"")-COUNTIF(C$4:C21,""Sell_Grandma"")),1)+(COUNTIF(C$4:C21,""Mine"")-COUN"&amp;"TIF(C$4:C21,""Sell_Mine""))*((47*2^COUNTIF(C$4:C21,""Mine_up""))*IF(COUNTIF(C$4:C21,""Super_up"")&gt;1,1+0.005*(COUNTIF(C$4:C21,""Grandma"")-COUNTIF(C$4:C21,""Sell_Grandma"")),1))+(COUNTIF(C$4:C21,""Factory"")-COUNTIF(C$4:C21,""Sell_Factory""))*(260*2^COUNTI"&amp;"F(C$4:C21,""Factory_up""))))"),11.200000000000001)</f>
        <v>11.2</v>
      </c>
      <c r="F21" s="73">
        <f>IFERROR(__xludf.DUMMYFUNCTION("IF(COUNTA(C21:C147)=0,"""",IF(REGEXMATCH(INDEX(FILTER(C$4:C21,C$4:C21&lt;&gt;""""),ROWS(FILTER(C$4:C21,C$4:C21&lt;&gt;""""))),""^Sell_""),INDEX(FILTER(F$4:F20,C$4:C20&lt;&gt;""""),ROWS(FILTER(C$4:C20,C$4:C20&lt;&gt;""""))),$AC$5*(2^SWITCH(COUNTIF(C$4:C21,""Cursor_up""),0,0,1,1,2"&amp;",2,3)+SWITCH(COUNTIF(C$4:C21,""Cursor_up""),4,0.1,0)*(ROW(C21)-4-COUNTIF(C$4:C21,""Cursor"")-COUNTIF(C$4:C21,""*""&amp;""_up"")-2*COUNTIF(C$4:C21,""Sell_""&amp;""*"")+COUNTIF(C$4:C21,""Sell_Cursor"")-COUNTIF(C$4:C21,""""))+0.01*E21*COUNTIF(C$4:C21,""Plastic_up"")"&amp;")+E21))"),1611.2)</f>
        <v>1611.2</v>
      </c>
      <c r="G21" s="14">
        <f>IFERROR(__xludf.DUMMYFUNCTION("IF(COUNTA(C21:C147)=0,"""",IF(REGEXMATCH(C21,""_up""),VLOOKUP(C21,Upgrades!$F$3:$J$8,1+COUNTIF(C$4:C21,C21),FALSE),IF(C21="""",0,IF(REGEXMATCH(C21,""^Sell_""),-ROUNDDOWN(ROUNDUP(INDEX(Upgrades!$C$3:$C$8,MATCH(SUBSTITUTE(C21,""Sell_"",""""),Upgrades!$B$3:$"&amp;"B$8,0))*1.15^(COUNTIF(C$4:C20,SUBSTITUTE(C21,""Sell_"",""""))-COUNTIF(C$4:C20,""Sell_""&amp;SUBSTITUTE(C21,""Sell_"",""""))))/4),ROUNDUP(INDEX(Upgrades!$C$3:$C$7,MATCH(C21,Upgrades!$B$3:$B$7,0))*1.15^(COUNTIF(C$4:C20,C21)-COUNTIF(C$4:C20,""Sell_""&amp;C21)))))))"),93.0)</f>
        <v>93</v>
      </c>
      <c r="H21" s="14">
        <f t="shared" si="3"/>
        <v>93</v>
      </c>
      <c r="I21" s="75">
        <f t="shared" si="4"/>
        <v>99772.1595</v>
      </c>
      <c r="J21" s="76">
        <f t="shared" si="5"/>
        <v>14.84838112</v>
      </c>
      <c r="K21" s="71" t="str">
        <f t="shared" si="6"/>
        <v>14s</v>
      </c>
      <c r="L21" s="77">
        <f t="shared" si="7"/>
        <v>11213</v>
      </c>
      <c r="M21" s="51">
        <f t="shared" si="8"/>
        <v>-0.03175</v>
      </c>
      <c r="N21" s="52">
        <f>IFERROR(__xludf.DUMMYFUNCTION("IFS(AND(COUNTA(C21:C147)=0,COUNTA(P21:P147)=0),"""",OR(AND(L21&gt;=1000000,OR(Y21&gt;=1000000,COUNTA(P21:P147)=0)),AND(Y21&gt;=1000000,COUNTA(C21:C147)=0),AND(COUNTA(P21:P147)=0,O$3=TRUE)),
ROUNDDOWN((AB$1-AC$1)*MAX(INDEX(S$4:S147,MATCH(LARGE(FILTER(Y$4:Y147,Y$4:Y"&amp;"147&lt;1000000),1),Y$4:Y147)),INDEX(F$4:F147,MATCH(LARGE(FILTER(L$4:L147,L$4:L147&lt;1000000),1),L$4:L147)))),AND(L21&lt;1000000,COUNTA(C21:C147)&gt;0,O$3=FALSE),
ROUNDDOWN(INDEX(Y$4:Y147,MATCH(LARGE(FILTER(W$4:W147,W$4:W147&lt;=J21),1),W$4:W147))+(J21-LARGE(FILTER(W$4:"&amp;"W147,W$4:W147&lt;=J21),1))*INDEX(S$4:S147,MATCH(LARGE(FILTER(W$4:W147,W$4:W147&lt;=J21),1),W$4:W147))-L21),1,
ROUNDDOWN(Y21-INDEX(L$4:L147,MATCH(LARGE(FILTER(J$4:J147,J$4:J147&lt;=W21),1),J$4:J147))-(W21-LARGE(FILTER(J$4:J147,J$4:J147&lt;=W21),1))*INDEX(F$4:F147,MATC"&amp;"H(LARGE(FILTER(J$4:J147,J$4:J147&lt;=W21),1),J$4:J147))))"),51.0)</f>
        <v>51</v>
      </c>
      <c r="O21" s="65">
        <f t="shared" si="9"/>
        <v>13</v>
      </c>
      <c r="P21" s="15" t="s">
        <v>10</v>
      </c>
      <c r="Q21" s="14" t="b">
        <f>IFERROR(__xludf.DUMMYFUNCTION("IF(COUNTA(P21:P147)=0,"""",IFERROR(IF(ISBLANK(P21),FALSE,IF(ISBLANK(T21),1,IF(NOT(COUNTIF($AA$24:$AA$34,SUBSTITUTE(P21,""Sell_"",""""))),1,IF(P21=""Plastic_up"",IF(V21&lt;1000,1),IF(P21=""Super_Up"",IF(OR(COUNTIF(P$4:P21,""Grandma"")-COUNTIF(P$4:P21,""Sell_G"&amp;"randma"")&lt;1,COUNTIF(P$4:P21,VLOOKUP(P21,Upgrades!$F$8:$N$8,7+COUNTIF(P$4:P21,P21)))-COUNTIF(P$4:P21,""Sell_""&amp;VLOOKUP(P21,Upgrades!$F$8:$N$8,7+COUNTIF(P$4:P21,P21)))&lt;15),1),IF(REGEXMATCH(P21,""_up""),IF(COUNTIF(P$4:P21,SUBSTITUTE(P21,""_up"",""""))&lt;IFERRO"&amp;"R(VLOOKUP(P21,Upgrades!$L$3:$P$6,1+COUNTIF(P$4:P21,P21),0),999),1),IF(REGEXMATCH(P21,""Sell_""),IF(COUNTIF(P$4:P21,SUBSTITUTE(P21,""Sell_"",""""))-COUNTIF(P$4:P20,P21)&lt;1,1),FALSE)))))))))"),FALSE)</f>
        <v>0</v>
      </c>
      <c r="R21" s="71">
        <f>IFERROR(__xludf.DUMMYFUNCTION("IF(REGEXMATCH(P21,""^Sell_""),R20, IF(COUNTA(P21:P147)=0,"""",(COUNTIF(P$4:P21,""Cursor"")-COUNTIF(P$4:P21,""Sell_Cursor""))*(0.1*2^SWITCH(COUNTIF(P$4:P21,""Cursor_up""),0,0,1,1,2,2,3)+SWITCH(COUNTIF(P$4:P21,""Cursor_up""),4,0.1,0)*(ROW(P21)-4-COUNTIF(P$4"&amp;":P21,""Cursor"")-COUNTIF(P$4:P21,""*""&amp;""_up"")-2*COUNTIF(P$4:P21,""Sell_""&amp;""*"")+COUNTIF(P$4:P21,""Sell_Cursor"")-COUNTIF(P$4:P21,"""")))+(COUNTIF(P$4:P21,""Grandma"")-COUNTIF(P$4:P21,""Sell_Grandma""))*(1*2^(COUNTIF(P$4:P21,""Grandma_up"")+COUNTIF(P$4:"&amp;"P21,""Super_up"")))+(COUNTIF(P$4:P21,""Farm"")-COUNTIF(P$4:P21,""Sell_Farm""))*(8*2^COUNTIF(P$4:P21,""Farm_up""))*IF(COUNTIF(P$4:P21,""Super_up"")&gt;0,1+0.01*(COUNTIF(P$4:P21,""Grandma"")-COUNTIF(P$4:P21,""Sell_Grandma"")),1)+(COUNTIF(P$4:P21,""Mine"")-COUN"&amp;"TIF(P$4:P21,""Sell_Mine""))*((47*2^COUNTIF(P$4:P21,""Mine_up""))*IF(COUNTIF(P$4:P21,""Super_up"")&gt;1,1+0.005*(COUNTIF(P$4:P21,""Grandma"")-COUNTIF(P$4:P21,""Sell_Grandma"")),1))+(COUNTIF(P$4:P21,""Factory"")-COUNTIF(P$4:P21,""Sell_Factory""))*(260*2^COUNTI"&amp;"F(P$4:P21,""Factory_up""))))"),11.4)</f>
        <v>11.4</v>
      </c>
      <c r="S21" s="73">
        <f>IFERROR(__xludf.DUMMYFUNCTION("IF(COUNTA(P21:P147)=0,"""",IF(REGEXMATCH(INDEX(FILTER(P$4:P21,P$4:P21&lt;&gt;""""),ROWS(FILTER(P$4:P21,P$4:P21&lt;&gt;""""))),""^Sell_""),INDEX(FILTER(S$4:S20,P$4:P20&lt;&gt;""""),ROWS(FILTER(P$4:P20,P$4:P20&lt;&gt;""""))),$AD$5*(2^SWITCH(COUNTIF(P$4:P21,""Cursor_up""),0,0,1,1,2"&amp;",2,3)+SWITCH(COUNTIF(P$4:P21,""Cursor_up""),4,0.1,0)*(ROW(P21)-4-COUNTIF(P$4:P21,""Cursor"")-COUNTIF(P$4:P21,""*""&amp;""_up"")-2*COUNTIF(P$4:P21,""Sell_""&amp;""*"")+COUNTIF(P$4:P21,""Sell_Cursor"")-COUNTIF(P$4:P21,""""))+0.01*R21*COUNTIF(P$4:P21,""Plastic_up"")"&amp;")+R21))"),1611.4)</f>
        <v>1611.4</v>
      </c>
      <c r="T21" s="14">
        <f>IFERROR(__xludf.DUMMYFUNCTION("IF(COUNTA(P21:P147)=0,"""",IF(REGEXMATCH(P21,""_up""),VLOOKUP(P21,Upgrades!$F$3:$J$8,1+COUNTIF(P$4:P21,P21),FALSE),IF(P21="""",0,IF(REGEXMATCH(P21,""^Sell_""),-ROUNDDOWN(ROUNDUP(INDEX(Upgrades!$C$3:$C$8,MATCH(SUBSTITUTE(P21,""Sell_"",""""),Upgrades!$B$3:$"&amp;"B$8,0))*1.15^(COUNTIF(P$4:P20,SUBSTITUTE(P21,""Sell_"",""""))-COUNTIF(P$4:P20,""Sell_""&amp;SUBSTITUTE(P21,""Sell_"",""""))))/4),ROUNDUP(INDEX(Upgrades!$C$3:$C$7,MATCH(P21,Upgrades!$B$3:$B$7,0))*1.15^(COUNTIF(P$4:P20,P21)-COUNTIF(P$4:P20,""Sell_""&amp;P21)))))))"),81.0)</f>
        <v>81</v>
      </c>
      <c r="U21" s="14">
        <f t="shared" si="10"/>
        <v>81</v>
      </c>
      <c r="V21" s="75">
        <f t="shared" si="11"/>
        <v>121241.788</v>
      </c>
      <c r="W21" s="76">
        <f t="shared" si="12"/>
        <v>14.82097705</v>
      </c>
      <c r="X21" s="71" t="str">
        <f t="shared" si="13"/>
        <v>14s</v>
      </c>
      <c r="Y21" s="77">
        <f t="shared" si="14"/>
        <v>11220</v>
      </c>
      <c r="Z21" s="17"/>
      <c r="AA21" s="104" t="s">
        <v>73</v>
      </c>
      <c r="AB21" s="105"/>
      <c r="AC21" s="105"/>
      <c r="AD21" s="105"/>
      <c r="AE21" s="105"/>
      <c r="AF21" s="106"/>
      <c r="AG21" s="13"/>
    </row>
    <row r="22">
      <c r="A22" s="12"/>
      <c r="B22" s="65">
        <f t="shared" si="2"/>
        <v>15</v>
      </c>
      <c r="C22" s="66" t="s">
        <v>10</v>
      </c>
      <c r="D22" s="14" t="b">
        <f>IFERROR(__xludf.DUMMYFUNCTION("IF(COUNTA(C22:C147)=0,"""",IFERROR(IF(ISBLANK(C22),FALSE,IF(ISBLANK(G22),1,IF(NOT(COUNTIF($AA$24:$AA$34,SUBSTITUTE(C22,""Sell_"",""""))),1,IF(C22=""Plastic_up"",IF(I22&lt;1000,1),IF(C22=""Super_Up"",IF(OR(COUNTIF(C$4:C22,""Grandma"")-COUNTIF(C$4:C22,""Sell_G"&amp;"randma"")&lt;1,COUNTIF(C$4:C22,VLOOKUP(C22,Upgrades!$F$8:$N$8,7+COUNTIF(C$4:C22,C22)))-COUNTIF(C$4:C22,""Sell_""&amp;VLOOKUP(C22,Upgrades!$F$8:$N$8,7+COUNTIF(C$4:C22,C22)))&lt;15),1),IF(REGEXMATCH(C22,""_up""),IF(COUNTIF(C$4:C22,SUBSTITUTE(C22,""_up"",""""))&lt;IFERRO"&amp;"R(VLOOKUP(C22,Upgrades!$L$3:$P$6,1+COUNTIF(C$4:C22,C22),0),999),1),IF(REGEXMATCH(C22,""Sell_""),IF(COUNTIF(C$4:C22,SUBSTITUTE(C22,""Sell_"",""""))-COUNTIF(C$4:C21,C22)&lt;1,1),FALSE)))))))))"),FALSE)</f>
        <v>0</v>
      </c>
      <c r="E22" s="71">
        <f>IFERROR(__xludf.DUMMYFUNCTION("IF(REGEXMATCH(C22,""^Sell_""),E21, IF(COUNTA(C22:C147)=0,"""",(COUNTIF(C$4:C22,""Cursor"")-COUNTIF(C$4:C22,""Sell_Cursor""))*(0.1*2^SWITCH(COUNTIF(C$4:C22,""Cursor_up""),0,0,1,1,2,2,3)+SWITCH(COUNTIF(C$4:C22,""Cursor_up""),4,0.1,0)*(ROW(C22)-4-COUNTIF(C$4"&amp;":C22,""Cursor"")-COUNTIF(C$4:C22,""*""&amp;""_up"")-2*COUNTIF(C$4:C22,""Sell_""&amp;""*"")+COUNTIF(C$4:C22,""Sell_Cursor"")-COUNTIF(C$4:C22,"""")))+(COUNTIF(C$4:C22,""Grandma"")-COUNTIF(C$4:C22,""Sell_Grandma""))*(1*2^(COUNTIF(C$4:C22,""Grandma_up"")+COUNTIF(C$4:"&amp;"C22,""Super_up"")))+(COUNTIF(C$4:C22,""Farm"")-COUNTIF(C$4:C22,""Sell_Farm""))*(8*2^COUNTIF(C$4:C22,""Farm_up""))*IF(COUNTIF(C$4:C22,""Super_up"")&gt;0,1+0.01*(COUNTIF(C$4:C22,""Grandma"")-COUNTIF(C$4:C22,""Sell_Grandma"")),1)+(COUNTIF(C$4:C22,""Mine"")-COUN"&amp;"TIF(C$4:C22,""Sell_Mine""))*((47*2^COUNTIF(C$4:C22,""Mine_up""))*IF(COUNTIF(C$4:C22,""Super_up"")&gt;1,1+0.005*(COUNTIF(C$4:C22,""Grandma"")-COUNTIF(C$4:C22,""Sell_Grandma"")),1))+(COUNTIF(C$4:C22,""Factory"")-COUNTIF(C$4:C22,""Sell_Factory""))*(260*2^COUNTI"&amp;"F(C$4:C22,""Factory_up""))))"),12.0)</f>
        <v>12</v>
      </c>
      <c r="F22" s="73">
        <f>IFERROR(__xludf.DUMMYFUNCTION("IF(COUNTA(C22:C147)=0,"""",IF(REGEXMATCH(INDEX(FILTER(C$4:C22,C$4:C22&lt;&gt;""""),ROWS(FILTER(C$4:C22,C$4:C22&lt;&gt;""""))),""^Sell_""),INDEX(FILTER(F$4:F21,C$4:C21&lt;&gt;""""),ROWS(FILTER(C$4:C21,C$4:C21&lt;&gt;""""))),$AC$5*(2^SWITCH(COUNTIF(C$4:C22,""Cursor_up""),0,0,1,1,2"&amp;",2,3)+SWITCH(COUNTIF(C$4:C22,""Cursor_up""),4,0.1,0)*(ROW(C22)-4-COUNTIF(C$4:C22,""Cursor"")-COUNTIF(C$4:C22,""*""&amp;""_up"")-2*COUNTIF(C$4:C22,""Sell_""&amp;""*"")+COUNTIF(C$4:C22,""Sell_Cursor"")-COUNTIF(C$4:C22,""""))+0.01*E22*COUNTIF(C$4:C22,""Plastic_up"")"&amp;")+E22))"),1612.0)</f>
        <v>1612</v>
      </c>
      <c r="G22" s="14">
        <f>IFERROR(__xludf.DUMMYFUNCTION("IF(COUNTA(C22:C147)=0,"""",IF(REGEXMATCH(C22,""_up""),VLOOKUP(C22,Upgrades!$F$3:$J$8,1+COUNTIF(C$4:C22,C22),FALSE),IF(C22="""",0,IF(REGEXMATCH(C22,""^Sell_""),-ROUNDDOWN(ROUNDUP(INDEX(Upgrades!$C$3:$C$8,MATCH(SUBSTITUTE(C22,""Sell_"",""""),Upgrades!$B$3:$"&amp;"B$8,0))*1.15^(COUNTIF(C$4:C21,SUBSTITUTE(C22,""Sell_"",""""))-COUNTIF(C$4:C21,""Sell_""&amp;SUBSTITUTE(C22,""Sell_"",""""))))/4),ROUNDUP(INDEX(Upgrades!$C$3:$C$7,MATCH(C22,Upgrades!$B$3:$B$7,0))*1.15^(COUNTIF(C$4:C21,C22)-COUNTIF(C$4:C21,""Sell_""&amp;C22)))))))"),107.0)</f>
        <v>107</v>
      </c>
      <c r="H22" s="14">
        <f t="shared" si="3"/>
        <v>107</v>
      </c>
      <c r="I22" s="75">
        <f t="shared" si="4"/>
        <v>123635.8255</v>
      </c>
      <c r="J22" s="76">
        <f t="shared" si="5"/>
        <v>14.91479125</v>
      </c>
      <c r="K22" s="71" t="str">
        <f t="shared" si="6"/>
        <v>14s</v>
      </c>
      <c r="L22" s="77">
        <f t="shared" si="7"/>
        <v>11320</v>
      </c>
      <c r="M22" s="51">
        <f t="shared" si="8"/>
        <v>-0.03175</v>
      </c>
      <c r="N22" s="52">
        <f>IFERROR(__xludf.DUMMYFUNCTION("IFS(AND(COUNTA(C22:C147)=0,COUNTA(P22:P147)=0),"""",OR(AND(L22&gt;=1000000,OR(Y22&gt;=1000000,COUNTA(P22:P147)=0)),AND(Y22&gt;=1000000,COUNTA(C22:C147)=0),AND(COUNTA(P22:P147)=0,O$3=TRUE)),
ROUNDDOWN((AB$1-AC$1)*MAX(INDEX(S$4:S147,MATCH(LARGE(FILTER(Y$4:Y147,Y$4:Y"&amp;"147&lt;1000000),1),Y$4:Y147)),INDEX(F$4:F147,MATCH(LARGE(FILTER(L$4:L147,L$4:L147&lt;1000000),1),L$4:L147)))),AND(L22&lt;1000000,COUNTA(C22:C147)&gt;0,O$3=FALSE),
ROUNDDOWN(INDEX(Y$4:Y147,MATCH(LARGE(FILTER(W$4:W147,W$4:W147&lt;=J22),1),W$4:W147))+(J22-LARGE(FILTER(W$4:"&amp;"W147,W$4:W147&lt;=J22),1))*INDEX(S$4:S147,MATCH(LARGE(FILTER(W$4:W147,W$4:W147&lt;=J22),1),W$4:W147))-L22),1,
ROUNDDOWN(Y22-INDEX(L$4:L147,MATCH(LARGE(FILTER(J$4:J147,J$4:J147&lt;=W22),1),J$4:J147))-(W22-LARGE(FILTER(J$4:J147,J$4:J147&lt;=W22),1))*INDEX(F$4:F147,MATC"&amp;"H(LARGE(FILTER(J$4:J147,J$4:J147&lt;=W22),1),J$4:J147))))"),51.0)</f>
        <v>51</v>
      </c>
      <c r="O22" s="65">
        <f t="shared" si="9"/>
        <v>2</v>
      </c>
      <c r="P22" s="15" t="s">
        <v>13</v>
      </c>
      <c r="Q22" s="14" t="b">
        <f>IFERROR(__xludf.DUMMYFUNCTION("IF(COUNTA(P22:P147)=0,"""",IFERROR(IF(ISBLANK(P22),FALSE,IF(ISBLANK(T22),1,IF(NOT(COUNTIF($AA$24:$AA$34,SUBSTITUTE(P22,""Sell_"",""""))),1,IF(P22=""Plastic_up"",IF(V22&lt;1000,1),IF(P22=""Super_Up"",IF(OR(COUNTIF(P$4:P22,""Grandma"")-COUNTIF(P$4:P22,""Sell_G"&amp;"randma"")&lt;1,COUNTIF(P$4:P22,VLOOKUP(P22,Upgrades!$F$8:$N$8,7+COUNTIF(P$4:P22,P22)))-COUNTIF(P$4:P22,""Sell_""&amp;VLOOKUP(P22,Upgrades!$F$8:$N$8,7+COUNTIF(P$4:P22,P22)))&lt;15),1),IF(REGEXMATCH(P22,""_up""),IF(COUNTIF(P$4:P22,SUBSTITUTE(P22,""_up"",""""))&lt;IFERRO"&amp;"R(VLOOKUP(P22,Upgrades!$L$3:$P$6,1+COUNTIF(P$4:P22,P22),0),999),1),IF(REGEXMATCH(P22,""Sell_""),IF(COUNTIF(P$4:P22,SUBSTITUTE(P22,""Sell_"",""""))-COUNTIF(P$4:P21,P22)&lt;1,1),FALSE)))))))))"),FALSE)</f>
        <v>0</v>
      </c>
      <c r="R22" s="71">
        <f>IFERROR(__xludf.DUMMYFUNCTION("IF(REGEXMATCH(P22,""^Sell_""),R21, IF(COUNTA(P22:P147)=0,"""",(COUNTIF(P$4:P22,""Cursor"")-COUNTIF(P$4:P22,""Sell_Cursor""))*(0.1*2^SWITCH(COUNTIF(P$4:P22,""Cursor_up""),0,0,1,1,2,2,3)+SWITCH(COUNTIF(P$4:P22,""Cursor_up""),4,0.1,0)*(ROW(P22)-4-COUNTIF(P$4"&amp;":P22,""Cursor"")-COUNTIF(P$4:P22,""*""&amp;""_up"")-2*COUNTIF(P$4:P22,""Sell_""&amp;""*"")+COUNTIF(P$4:P22,""Sell_Cursor"")-COUNTIF(P$4:P22,"""")))+(COUNTIF(P$4:P22,""Grandma"")-COUNTIF(P$4:P22,""Sell_Grandma""))*(1*2^(COUNTIF(P$4:P22,""Grandma_up"")+COUNTIF(P$4:"&amp;"P22,""Super_up"")))+(COUNTIF(P$4:P22,""Farm"")-COUNTIF(P$4:P22,""Sell_Farm""))*(8*2^COUNTIF(P$4:P22,""Farm_up""))*IF(COUNTIF(P$4:P22,""Super_up"")&gt;0,1+0.01*(COUNTIF(P$4:P22,""Grandma"")-COUNTIF(P$4:P22,""Sell_Grandma"")),1)+(COUNTIF(P$4:P22,""Mine"")-COUN"&amp;"TIF(P$4:P22,""Sell_Mine""))*((47*2^COUNTIF(P$4:P22,""Mine_up""))*IF(COUNTIF(P$4:P22,""Super_up"")&gt;1,1+0.005*(COUNTIF(P$4:P22,""Grandma"")-COUNTIF(P$4:P22,""Sell_Grandma"")),1))+(COUNTIF(P$4:P22,""Factory"")-COUNTIF(P$4:P22,""Sell_Factory""))*(260*2^COUNTI"&amp;"F(P$4:P22,""Factory_up""))))"),12.4)</f>
        <v>12.4</v>
      </c>
      <c r="S22" s="73">
        <f>IFERROR(__xludf.DUMMYFUNCTION("IF(COUNTA(P22:P147)=0,"""",IF(REGEXMATCH(INDEX(FILTER(P$4:P22,P$4:P22&lt;&gt;""""),ROWS(FILTER(P$4:P22,P$4:P22&lt;&gt;""""))),""^Sell_""),INDEX(FILTER(S$4:S21,P$4:P21&lt;&gt;""""),ROWS(FILTER(P$4:P21,P$4:P21&lt;&gt;""""))),$AD$5*(2^SWITCH(COUNTIF(P$4:P22,""Cursor_up""),0,0,1,1,2"&amp;",2,3)+SWITCH(COUNTIF(P$4:P22,""Cursor_up""),4,0.1,0)*(ROW(P22)-4-COUNTIF(P$4:P22,""Cursor"")-COUNTIF(P$4:P22,""*""&amp;""_up"")-2*COUNTIF(P$4:P22,""Sell_""&amp;""*"")+COUNTIF(P$4:P22,""Sell_Cursor"")-COUNTIF(P$4:P22,""""))+0.01*R22*COUNTIF(P$4:P22,""Plastic_up"")"&amp;")+R22))"),1612.4)</f>
        <v>1612.4</v>
      </c>
      <c r="T22" s="14">
        <f>IFERROR(__xludf.DUMMYFUNCTION("IF(COUNTA(P22:P147)=0,"""",IF(REGEXMATCH(P22,""_up""),VLOOKUP(P22,Upgrades!$F$3:$J$8,1+COUNTIF(P$4:P22,P22),FALSE),IF(P22="""",0,IF(REGEXMATCH(P22,""^Sell_""),-ROUNDDOWN(ROUNDUP(INDEX(Upgrades!$C$3:$C$8,MATCH(SUBSTITUTE(P22,""Sell_"",""""),Upgrades!$B$3:$"&amp;"B$8,0))*1.15^(COUNTIF(P$4:P21,SUBSTITUTE(P22,""Sell_"",""""))-COUNTIF(P$4:P21,""Sell_""&amp;SUBSTITUTE(P22,""Sell_"",""""))))/4),ROUNDUP(INDEX(Upgrades!$C$3:$C$7,MATCH(P22,Upgrades!$B$3:$B$7,0))*1.15^(COUNTIF(P$4:P21,P22)-COUNTIF(P$4:P21,""Sell_""&amp;P22)))))))"),115.0)</f>
        <v>115</v>
      </c>
      <c r="U22" s="14">
        <f t="shared" si="10"/>
        <v>115</v>
      </c>
      <c r="V22" s="75">
        <f t="shared" si="11"/>
        <v>145069.5377</v>
      </c>
      <c r="W22" s="76">
        <f t="shared" si="12"/>
        <v>14.89234357</v>
      </c>
      <c r="X22" s="71" t="str">
        <f t="shared" si="13"/>
        <v>14s</v>
      </c>
      <c r="Y22" s="77">
        <f t="shared" si="14"/>
        <v>11335</v>
      </c>
      <c r="Z22" s="17"/>
      <c r="AA22" s="13"/>
      <c r="AB22" s="13"/>
      <c r="AC22" s="13"/>
      <c r="AD22" s="13"/>
      <c r="AE22" s="13"/>
      <c r="AF22" s="13"/>
      <c r="AG22" s="13"/>
    </row>
    <row r="23">
      <c r="A23" s="12"/>
      <c r="B23" s="65">
        <f t="shared" si="2"/>
        <v>16</v>
      </c>
      <c r="C23" s="66" t="s">
        <v>10</v>
      </c>
      <c r="D23" s="14" t="b">
        <f>IFERROR(__xludf.DUMMYFUNCTION("IF(COUNTA(C23:C147)=0,"""",IFERROR(IF(ISBLANK(C23),FALSE,IF(ISBLANK(G23),1,IF(NOT(COUNTIF($AA$24:$AA$34,SUBSTITUTE(C23,""Sell_"",""""))),1,IF(C23=""Plastic_up"",IF(I23&lt;1000,1),IF(C23=""Super_Up"",IF(OR(COUNTIF(C$4:C23,""Grandma"")-COUNTIF(C$4:C23,""Sell_G"&amp;"randma"")&lt;1,COUNTIF(C$4:C23,VLOOKUP(C23,Upgrades!$F$8:$N$8,7+COUNTIF(C$4:C23,C23)))-COUNTIF(C$4:C23,""Sell_""&amp;VLOOKUP(C23,Upgrades!$F$8:$N$8,7+COUNTIF(C$4:C23,C23)))&lt;15),1),IF(REGEXMATCH(C23,""_up""),IF(COUNTIF(C$4:C23,SUBSTITUTE(C23,""_up"",""""))&lt;IFERRO"&amp;"R(VLOOKUP(C23,Upgrades!$L$3:$P$6,1+COUNTIF(C$4:C23,C23),0),999),1),IF(REGEXMATCH(C23,""Sell_""),IF(COUNTIF(C$4:C23,SUBSTITUTE(C23,""Sell_"",""""))-COUNTIF(C$4:C22,C23)&lt;1,1),FALSE)))))))))"),FALSE)</f>
        <v>0</v>
      </c>
      <c r="E23" s="71">
        <f>IFERROR(__xludf.DUMMYFUNCTION("IF(REGEXMATCH(C23,""^Sell_""),E22, IF(COUNTA(C23:C147)=0,"""",(COUNTIF(C$4:C23,""Cursor"")-COUNTIF(C$4:C23,""Sell_Cursor""))*(0.1*2^SWITCH(COUNTIF(C$4:C23,""Cursor_up""),0,0,1,1,2,2,3)+SWITCH(COUNTIF(C$4:C23,""Cursor_up""),4,0.1,0)*(ROW(C23)-4-COUNTIF(C$4"&amp;":C23,""Cursor"")-COUNTIF(C$4:C23,""*""&amp;""_up"")-2*COUNTIF(C$4:C23,""Sell_""&amp;""*"")+COUNTIF(C$4:C23,""Sell_Cursor"")-COUNTIF(C$4:C23,"""")))+(COUNTIF(C$4:C23,""Grandma"")-COUNTIF(C$4:C23,""Sell_Grandma""))*(1*2^(COUNTIF(C$4:C23,""Grandma_up"")+COUNTIF(C$4:"&amp;"C23,""Super_up"")))+(COUNTIF(C$4:C23,""Farm"")-COUNTIF(C$4:C23,""Sell_Farm""))*(8*2^COUNTIF(C$4:C23,""Farm_up""))*IF(COUNTIF(C$4:C23,""Super_up"")&gt;0,1+0.01*(COUNTIF(C$4:C23,""Grandma"")-COUNTIF(C$4:C23,""Sell_Grandma"")),1)+(COUNTIF(C$4:C23,""Mine"")-COUN"&amp;"TIF(C$4:C23,""Sell_Mine""))*((47*2^COUNTIF(C$4:C23,""Mine_up""))*IF(COUNTIF(C$4:C23,""Super_up"")&gt;1,1+0.005*(COUNTIF(C$4:C23,""Grandma"")-COUNTIF(C$4:C23,""Sell_Grandma"")),1))+(COUNTIF(C$4:C23,""Factory"")-COUNTIF(C$4:C23,""Sell_Factory""))*(260*2^COUNTI"&amp;"F(C$4:C23,""Factory_up""))))"),12.8)</f>
        <v>12.8</v>
      </c>
      <c r="F23" s="73">
        <f>IFERROR(__xludf.DUMMYFUNCTION("IF(COUNTA(C23:C147)=0,"""",IF(REGEXMATCH(INDEX(FILTER(C$4:C23,C$4:C23&lt;&gt;""""),ROWS(FILTER(C$4:C23,C$4:C23&lt;&gt;""""))),""^Sell_""),INDEX(FILTER(F$4:F22,C$4:C22&lt;&gt;""""),ROWS(FILTER(C$4:C22,C$4:C22&lt;&gt;""""))),$AC$5*(2^SWITCH(COUNTIF(C$4:C23,""Cursor_up""),0,0,1,1,2"&amp;",2,3)+SWITCH(COUNTIF(C$4:C23,""Cursor_up""),4,0.1,0)*(ROW(C23)-4-COUNTIF(C$4:C23,""Cursor"")-COUNTIF(C$4:C23,""*""&amp;""_up"")-2*COUNTIF(C$4:C23,""Sell_""&amp;""*"")+COUNTIF(C$4:C23,""Sell_Cursor"")-COUNTIF(C$4:C23,""""))+0.01*E23*COUNTIF(C$4:C23,""Plastic_up"")"&amp;")+E23))"),1612.8)</f>
        <v>1612.8</v>
      </c>
      <c r="G23" s="14">
        <f>IFERROR(__xludf.DUMMYFUNCTION("IF(COUNTA(C23:C147)=0,"""",IF(REGEXMATCH(C23,""_up""),VLOOKUP(C23,Upgrades!$F$3:$J$8,1+COUNTIF(C$4:C23,C23),FALSE),IF(C23="""",0,IF(REGEXMATCH(C23,""^Sell_""),-ROUNDDOWN(ROUNDUP(INDEX(Upgrades!$C$3:$C$8,MATCH(SUBSTITUTE(C23,""Sell_"",""""),Upgrades!$B$3:$"&amp;"B$8,0))*1.15^(COUNTIF(C$4:C22,SUBSTITUTE(C23,""Sell_"",""""))-COUNTIF(C$4:C22,""Sell_""&amp;SUBSTITUTE(C23,""Sell_"",""""))))/4),ROUNDUP(INDEX(Upgrades!$C$3:$C$7,MATCH(C23,Upgrades!$B$3:$B$7,0))*1.15^(COUNTIF(C$4:C22,C23)-COUNTIF(C$4:C22,""Sell_""&amp;C23)))))))"),123.0)</f>
        <v>123</v>
      </c>
      <c r="H23" s="14">
        <f t="shared" si="3"/>
        <v>123</v>
      </c>
      <c r="I23" s="75">
        <f t="shared" si="4"/>
        <v>147621.5759</v>
      </c>
      <c r="J23" s="76">
        <f t="shared" si="5"/>
        <v>14.99109398</v>
      </c>
      <c r="K23" s="71" t="str">
        <f t="shared" si="6"/>
        <v>14s</v>
      </c>
      <c r="L23" s="77">
        <f t="shared" si="7"/>
        <v>11443</v>
      </c>
      <c r="M23" s="51">
        <f t="shared" si="8"/>
        <v>-0.03177</v>
      </c>
      <c r="N23" s="52">
        <f>IFERROR(__xludf.DUMMYFUNCTION("IFS(AND(COUNTA(C23:C147)=0,COUNTA(P23:P147)=0),"""",OR(AND(L23&gt;=1000000,OR(Y23&gt;=1000000,COUNTA(P23:P147)=0)),AND(Y23&gt;=1000000,COUNTA(C23:C147)=0),AND(COUNTA(P23:P147)=0,O$3=TRUE)),
ROUNDDOWN((AB$1-AC$1)*MAX(INDEX(S$4:S147,MATCH(LARGE(FILTER(Y$4:Y147,Y$4:Y"&amp;"147&lt;1000000),1),Y$4:Y147)),INDEX(F$4:F147,MATCH(LARGE(FILTER(L$4:L147,L$4:L147&lt;1000000),1),L$4:L147)))),AND(L23&lt;1000000,COUNTA(C23:C147)&gt;0,O$3=FALSE),
ROUNDDOWN(INDEX(Y$4:Y147,MATCH(LARGE(FILTER(W$4:W147,W$4:W147&lt;=J23),1),W$4:W147))+(J23-LARGE(FILTER(W$4:"&amp;"W147,W$4:W147&lt;=J23),1))*INDEX(S$4:S147,MATCH(LARGE(FILTER(W$4:W147,W$4:W147&lt;=J23),1),W$4:W147))-L23),1,
ROUNDDOWN(Y23-INDEX(L$4:L147,MATCH(LARGE(FILTER(J$4:J147,J$4:J147&lt;=W23),1),J$4:J147))-(W23-LARGE(FILTER(J$4:J147,J$4:J147&lt;=W23),1))*INDEX(F$4:F147,MATC"&amp;"H(LARGE(FILTER(J$4:J147,J$4:J147&lt;=W23),1),J$4:J147))))"),51.0)</f>
        <v>51</v>
      </c>
      <c r="O23" s="65">
        <f t="shared" si="9"/>
        <v>14</v>
      </c>
      <c r="P23" s="15" t="s">
        <v>10</v>
      </c>
      <c r="Q23" s="14" t="b">
        <f>IFERROR(__xludf.DUMMYFUNCTION("IF(COUNTA(P23:P147)=0,"""",IFERROR(IF(ISBLANK(P23),FALSE,IF(ISBLANK(T23),1,IF(NOT(COUNTIF($AA$24:$AA$34,SUBSTITUTE(P23,""Sell_"",""""))),1,IF(P23=""Plastic_up"",IF(V23&lt;1000,1),IF(P23=""Super_Up"",IF(OR(COUNTIF(P$4:P23,""Grandma"")-COUNTIF(P$4:P23,""Sell_G"&amp;"randma"")&lt;1,COUNTIF(P$4:P23,VLOOKUP(P23,Upgrades!$F$8:$N$8,7+COUNTIF(P$4:P23,P23)))-COUNTIF(P$4:P23,""Sell_""&amp;VLOOKUP(P23,Upgrades!$F$8:$N$8,7+COUNTIF(P$4:P23,P23)))&lt;15),1),IF(REGEXMATCH(P23,""_up""),IF(COUNTIF(P$4:P23,SUBSTITUTE(P23,""_up"",""""))&lt;IFERRO"&amp;"R(VLOOKUP(P23,Upgrades!$L$3:$P$6,1+COUNTIF(P$4:P23,P23),0),999),1),IF(REGEXMATCH(P23,""Sell_""),IF(COUNTIF(P$4:P23,SUBSTITUTE(P23,""Sell_"",""""))-COUNTIF(P$4:P22,P23)&lt;1,1),FALSE)))))))))"),FALSE)</f>
        <v>0</v>
      </c>
      <c r="R23" s="71">
        <f>IFERROR(__xludf.DUMMYFUNCTION("IF(REGEXMATCH(P23,""^Sell_""),R22, IF(COUNTA(P23:P147)=0,"""",(COUNTIF(P$4:P23,""Cursor"")-COUNTIF(P$4:P23,""Sell_Cursor""))*(0.1*2^SWITCH(COUNTIF(P$4:P23,""Cursor_up""),0,0,1,1,2,2,3)+SWITCH(COUNTIF(P$4:P23,""Cursor_up""),4,0.1,0)*(ROW(P23)-4-COUNTIF(P$4"&amp;":P23,""Cursor"")-COUNTIF(P$4:P23,""*""&amp;""_up"")-2*COUNTIF(P$4:P23,""Sell_""&amp;""*"")+COUNTIF(P$4:P23,""Sell_Cursor"")-COUNTIF(P$4:P23,"""")))+(COUNTIF(P$4:P23,""Grandma"")-COUNTIF(P$4:P23,""Sell_Grandma""))*(1*2^(COUNTIF(P$4:P23,""Grandma_up"")+COUNTIF(P$4:"&amp;"P23,""Super_up"")))+(COUNTIF(P$4:P23,""Farm"")-COUNTIF(P$4:P23,""Sell_Farm""))*(8*2^COUNTIF(P$4:P23,""Farm_up""))*IF(COUNTIF(P$4:P23,""Super_up"")&gt;0,1+0.01*(COUNTIF(P$4:P23,""Grandma"")-COUNTIF(P$4:P23,""Sell_Grandma"")),1)+(COUNTIF(P$4:P23,""Mine"")-COUN"&amp;"TIF(P$4:P23,""Sell_Mine""))*((47*2^COUNTIF(P$4:P23,""Mine_up""))*IF(COUNTIF(P$4:P23,""Super_up"")&gt;1,1+0.005*(COUNTIF(P$4:P23,""Grandma"")-COUNTIF(P$4:P23,""Sell_Grandma"")),1))+(COUNTIF(P$4:P23,""Factory"")-COUNTIF(P$4:P23,""Sell_Factory""))*(260*2^COUNTI"&amp;"F(P$4:P23,""Factory_up""))))"),13.200000000000001)</f>
        <v>13.2</v>
      </c>
      <c r="S23" s="73">
        <f>IFERROR(__xludf.DUMMYFUNCTION("IF(COUNTA(P23:P147)=0,"""",IF(REGEXMATCH(INDEX(FILTER(P$4:P23,P$4:P23&lt;&gt;""""),ROWS(FILTER(P$4:P23,P$4:P23&lt;&gt;""""))),""^Sell_""),INDEX(FILTER(S$4:S22,P$4:P22&lt;&gt;""""),ROWS(FILTER(P$4:P22,P$4:P22&lt;&gt;""""))),$AD$5*(2^SWITCH(COUNTIF(P$4:P23,""Cursor_up""),0,0,1,1,2"&amp;",2,3)+SWITCH(COUNTIF(P$4:P23,""Cursor_up""),4,0.1,0)*(ROW(P23)-4-COUNTIF(P$4:P23,""Cursor"")-COUNTIF(P$4:P23,""*""&amp;""_up"")-2*COUNTIF(P$4:P23,""Sell_""&amp;""*"")+COUNTIF(P$4:P23,""Sell_Cursor"")-COUNTIF(P$4:P23,""""))+0.01*R23*COUNTIF(P$4:P23,""Plastic_up"")"&amp;")+R23))"),1613.2)</f>
        <v>1613.2</v>
      </c>
      <c r="T23" s="14">
        <f>IFERROR(__xludf.DUMMYFUNCTION("IF(COUNTA(P23:P147)=0,"""",IF(REGEXMATCH(P23,""_up""),VLOOKUP(P23,Upgrades!$F$3:$J$8,1+COUNTIF(P$4:P23,P23),FALSE),IF(P23="""",0,IF(REGEXMATCH(P23,""^Sell_""),-ROUNDDOWN(ROUNDUP(INDEX(Upgrades!$C$3:$C$8,MATCH(SUBSTITUTE(P23,""Sell_"",""""),Upgrades!$B$3:$"&amp;"B$8,0))*1.15^(COUNTIF(P$4:P22,SUBSTITUTE(P23,""Sell_"",""""))-COUNTIF(P$4:P22,""Sell_""&amp;SUBSTITUTE(P23,""Sell_"",""""))))/4),ROUNDUP(INDEX(Upgrades!$C$3:$C$7,MATCH(P23,Upgrades!$B$3:$B$7,0))*1.15^(COUNTIF(P$4:P22,P23)-COUNTIF(P$4:P22,""Sell_""&amp;P23)))))))"),93.0)</f>
        <v>93</v>
      </c>
      <c r="U23" s="14">
        <f t="shared" si="10"/>
        <v>93</v>
      </c>
      <c r="V23" s="75">
        <f t="shared" si="11"/>
        <v>168989.5722</v>
      </c>
      <c r="W23" s="76">
        <f t="shared" si="12"/>
        <v>14.95002156</v>
      </c>
      <c r="X23" s="71" t="str">
        <f t="shared" si="13"/>
        <v>14s</v>
      </c>
      <c r="Y23" s="77">
        <f t="shared" si="14"/>
        <v>11428</v>
      </c>
      <c r="Z23" s="17"/>
      <c r="AA23" s="98" t="s">
        <v>74</v>
      </c>
      <c r="AB23" s="107"/>
      <c r="AC23" s="13"/>
      <c r="AD23" s="13"/>
      <c r="AE23" s="13"/>
      <c r="AF23" s="13"/>
      <c r="AG23" s="13"/>
    </row>
    <row r="24">
      <c r="A24" s="12"/>
      <c r="B24" s="65">
        <f t="shared" si="2"/>
        <v>17</v>
      </c>
      <c r="C24" s="66" t="s">
        <v>10</v>
      </c>
      <c r="D24" s="14" t="b">
        <f>IFERROR(__xludf.DUMMYFUNCTION("IF(COUNTA(C24:C147)=0,"""",IFERROR(IF(ISBLANK(C24),FALSE,IF(ISBLANK(G24),1,IF(NOT(COUNTIF($AA$24:$AA$34,SUBSTITUTE(C24,""Sell_"",""""))),1,IF(C24=""Plastic_up"",IF(I24&lt;1000,1),IF(C24=""Super_Up"",IF(OR(COUNTIF(C$4:C24,""Grandma"")-COUNTIF(C$4:C24,""Sell_G"&amp;"randma"")&lt;1,COUNTIF(C$4:C24,VLOOKUP(C24,Upgrades!$F$8:$N$8,7+COUNTIF(C$4:C24,C24)))-COUNTIF(C$4:C24,""Sell_""&amp;VLOOKUP(C24,Upgrades!$F$8:$N$8,7+COUNTIF(C$4:C24,C24)))&lt;15),1),IF(REGEXMATCH(C24,""_up""),IF(COUNTIF(C$4:C24,SUBSTITUTE(C24,""_up"",""""))&lt;IFERRO"&amp;"R(VLOOKUP(C24,Upgrades!$L$3:$P$6,1+COUNTIF(C$4:C24,C24),0),999),1),IF(REGEXMATCH(C24,""Sell_""),IF(COUNTIF(C$4:C24,SUBSTITUTE(C24,""Sell_"",""""))-COUNTIF(C$4:C23,C24)&lt;1,1),FALSE)))))))))"),FALSE)</f>
        <v>0</v>
      </c>
      <c r="E24" s="71">
        <f>IFERROR(__xludf.DUMMYFUNCTION("IF(REGEXMATCH(C24,""^Sell_""),E23, IF(COUNTA(C24:C147)=0,"""",(COUNTIF(C$4:C24,""Cursor"")-COUNTIF(C$4:C24,""Sell_Cursor""))*(0.1*2^SWITCH(COUNTIF(C$4:C24,""Cursor_up""),0,0,1,1,2,2,3)+SWITCH(COUNTIF(C$4:C24,""Cursor_up""),4,0.1,0)*(ROW(C24)-4-COUNTIF(C$4"&amp;":C24,""Cursor"")-COUNTIF(C$4:C24,""*""&amp;""_up"")-2*COUNTIF(C$4:C24,""Sell_""&amp;""*"")+COUNTIF(C$4:C24,""Sell_Cursor"")-COUNTIF(C$4:C24,"""")))+(COUNTIF(C$4:C24,""Grandma"")-COUNTIF(C$4:C24,""Sell_Grandma""))*(1*2^(COUNTIF(C$4:C24,""Grandma_up"")+COUNTIF(C$4:"&amp;"C24,""Super_up"")))+(COUNTIF(C$4:C24,""Farm"")-COUNTIF(C$4:C24,""Sell_Farm""))*(8*2^COUNTIF(C$4:C24,""Farm_up""))*IF(COUNTIF(C$4:C24,""Super_up"")&gt;0,1+0.01*(COUNTIF(C$4:C24,""Grandma"")-COUNTIF(C$4:C24,""Sell_Grandma"")),1)+(COUNTIF(C$4:C24,""Mine"")-COUN"&amp;"TIF(C$4:C24,""Sell_Mine""))*((47*2^COUNTIF(C$4:C24,""Mine_up""))*IF(COUNTIF(C$4:C24,""Super_up"")&gt;1,1+0.005*(COUNTIF(C$4:C24,""Grandma"")-COUNTIF(C$4:C24,""Sell_Grandma"")),1))+(COUNTIF(C$4:C24,""Factory"")-COUNTIF(C$4:C24,""Sell_Factory""))*(260*2^COUNTI"&amp;"F(C$4:C24,""Factory_up""))))"),13.600000000000001)</f>
        <v>13.6</v>
      </c>
      <c r="F24" s="73">
        <f>IFERROR(__xludf.DUMMYFUNCTION("IF(COUNTA(C24:C147)=0,"""",IF(REGEXMATCH(INDEX(FILTER(C$4:C24,C$4:C24&lt;&gt;""""),ROWS(FILTER(C$4:C24,C$4:C24&lt;&gt;""""))),""^Sell_""),INDEX(FILTER(F$4:F23,C$4:C23&lt;&gt;""""),ROWS(FILTER(C$4:C23,C$4:C23&lt;&gt;""""))),$AC$5*(2^SWITCH(COUNTIF(C$4:C24,""Cursor_up""),0,0,1,1,2"&amp;",2,3)+SWITCH(COUNTIF(C$4:C24,""Cursor_up""),4,0.1,0)*(ROW(C24)-4-COUNTIF(C$4:C24,""Cursor"")-COUNTIF(C$4:C24,""*""&amp;""_up"")-2*COUNTIF(C$4:C24,""Sell_""&amp;""*"")+COUNTIF(C$4:C24,""Sell_Cursor"")-COUNTIF(C$4:C24,""""))+0.01*E24*COUNTIF(C$4:C24,""Plastic_up"")"&amp;")+E24))"),1613.6)</f>
        <v>1613.6</v>
      </c>
      <c r="G24" s="14">
        <f>IFERROR(__xludf.DUMMYFUNCTION("IF(COUNTA(C24:C147)=0,"""",IF(REGEXMATCH(C24,""_up""),VLOOKUP(C24,Upgrades!$F$3:$J$8,1+COUNTIF(C$4:C24,C24),FALSE),IF(C24="""",0,IF(REGEXMATCH(C24,""^Sell_""),-ROUNDDOWN(ROUNDUP(INDEX(Upgrades!$C$3:$C$8,MATCH(SUBSTITUTE(C24,""Sell_"",""""),Upgrades!$B$3:$"&amp;"B$8,0))*1.15^(COUNTIF(C$4:C23,SUBSTITUTE(C24,""Sell_"",""""))-COUNTIF(C$4:C23,""Sell_""&amp;SUBSTITUTE(C24,""Sell_"",""""))))/4),ROUNDUP(INDEX(Upgrades!$C$3:$C$7,MATCH(C24,Upgrades!$B$3:$B$7,0))*1.15^(COUNTIF(C$4:C23,C24)-COUNTIF(C$4:C23,""Sell_""&amp;C24)))))))"),141.0)</f>
        <v>141</v>
      </c>
      <c r="H24" s="14">
        <f t="shared" si="3"/>
        <v>141</v>
      </c>
      <c r="I24" s="75">
        <f t="shared" si="4"/>
        <v>171747.2072</v>
      </c>
      <c r="J24" s="76">
        <f t="shared" si="5"/>
        <v>15.07851958</v>
      </c>
      <c r="K24" s="71" t="str">
        <f t="shared" si="6"/>
        <v>15s</v>
      </c>
      <c r="L24" s="77">
        <f t="shared" si="7"/>
        <v>11584</v>
      </c>
      <c r="M24" s="51">
        <f t="shared" si="8"/>
        <v>-0.0318</v>
      </c>
      <c r="N24" s="52">
        <f>IFERROR(__xludf.DUMMYFUNCTION("IFS(AND(COUNTA(C24:C147)=0,COUNTA(P24:P147)=0),"""",OR(AND(L24&gt;=1000000,OR(Y24&gt;=1000000,COUNTA(P24:P147)=0)),AND(Y24&gt;=1000000,COUNTA(C24:C147)=0),AND(COUNTA(P24:P147)=0,O$3=TRUE)),
ROUNDDOWN((AB$1-AC$1)*MAX(INDEX(S$4:S147,MATCH(LARGE(FILTER(Y$4:Y147,Y$4:Y"&amp;"147&lt;1000000),1),Y$4:Y147)),INDEX(F$4:F147,MATCH(LARGE(FILTER(L$4:L147,L$4:L147&lt;1000000),1),L$4:L147)))),AND(L24&lt;1000000,COUNTA(C24:C147)&gt;0,O$3=FALSE),
ROUNDDOWN(INDEX(Y$4:Y147,MATCH(LARGE(FILTER(W$4:W147,W$4:W147&lt;=J24),1),W$4:W147))+(J24-LARGE(FILTER(W$4:"&amp;"W147,W$4:W147&lt;=J24),1))*INDEX(S$4:S147,MATCH(LARGE(FILTER(W$4:W147,W$4:W147&lt;=J24),1),W$4:W147))-L24),1,
ROUNDDOWN(Y24-INDEX(L$4:L147,MATCH(LARGE(FILTER(J$4:J147,J$4:J147&lt;=W24),1),J$4:J147))-(W24-LARGE(FILTER(J$4:J147,J$4:J147&lt;=W24),1))*INDEX(F$4:F147,MATC"&amp;"H(LARGE(FILTER(J$4:J147,J$4:J147&lt;=W24),1),J$4:J147))))"),51.0)</f>
        <v>51</v>
      </c>
      <c r="O24" s="65">
        <f t="shared" si="9"/>
        <v>3</v>
      </c>
      <c r="P24" s="15" t="s">
        <v>13</v>
      </c>
      <c r="Q24" s="14" t="b">
        <f>IFERROR(__xludf.DUMMYFUNCTION("IF(COUNTA(P24:P147)=0,"""",IFERROR(IF(ISBLANK(P24),FALSE,IF(ISBLANK(T24),1,IF(NOT(COUNTIF($AA$24:$AA$34,SUBSTITUTE(P24,""Sell_"",""""))),1,IF(P24=""Plastic_up"",IF(V24&lt;1000,1),IF(P24=""Super_Up"",IF(OR(COUNTIF(P$4:P24,""Grandma"")-COUNTIF(P$4:P24,""Sell_G"&amp;"randma"")&lt;1,COUNTIF(P$4:P24,VLOOKUP(P24,Upgrades!$F$8:$N$8,7+COUNTIF(P$4:P24,P24)))-COUNTIF(P$4:P24,""Sell_""&amp;VLOOKUP(P24,Upgrades!$F$8:$N$8,7+COUNTIF(P$4:P24,P24)))&lt;15),1),IF(REGEXMATCH(P24,""_up""),IF(COUNTIF(P$4:P24,SUBSTITUTE(P24,""_up"",""""))&lt;IFERRO"&amp;"R(VLOOKUP(P24,Upgrades!$L$3:$P$6,1+COUNTIF(P$4:P24,P24),0),999),1),IF(REGEXMATCH(P24,""Sell_""),IF(COUNTIF(P$4:P24,SUBSTITUTE(P24,""Sell_"",""""))-COUNTIF(P$4:P23,P24)&lt;1,1),FALSE)))))))))"),FALSE)</f>
        <v>0</v>
      </c>
      <c r="R24" s="71">
        <f>IFERROR(__xludf.DUMMYFUNCTION("IF(REGEXMATCH(P24,""^Sell_""),R23, IF(COUNTA(P24:P147)=0,"""",(COUNTIF(P$4:P24,""Cursor"")-COUNTIF(P$4:P24,""Sell_Cursor""))*(0.1*2^SWITCH(COUNTIF(P$4:P24,""Cursor_up""),0,0,1,1,2,2,3)+SWITCH(COUNTIF(P$4:P24,""Cursor_up""),4,0.1,0)*(ROW(P24)-4-COUNTIF(P$4"&amp;":P24,""Cursor"")-COUNTIF(P$4:P24,""*""&amp;""_up"")-2*COUNTIF(P$4:P24,""Sell_""&amp;""*"")+COUNTIF(P$4:P24,""Sell_Cursor"")-COUNTIF(P$4:P24,"""")))+(COUNTIF(P$4:P24,""Grandma"")-COUNTIF(P$4:P24,""Sell_Grandma""))*(1*2^(COUNTIF(P$4:P24,""Grandma_up"")+COUNTIF(P$4:"&amp;"P24,""Super_up"")))+(COUNTIF(P$4:P24,""Farm"")-COUNTIF(P$4:P24,""Sell_Farm""))*(8*2^COUNTIF(P$4:P24,""Farm_up""))*IF(COUNTIF(P$4:P24,""Super_up"")&gt;0,1+0.01*(COUNTIF(P$4:P24,""Grandma"")-COUNTIF(P$4:P24,""Sell_Grandma"")),1)+(COUNTIF(P$4:P24,""Mine"")-COUN"&amp;"TIF(P$4:P24,""Sell_Mine""))*((47*2^COUNTIF(P$4:P24,""Mine_up""))*IF(COUNTIF(P$4:P24,""Super_up"")&gt;1,1+0.005*(COUNTIF(P$4:P24,""Grandma"")-COUNTIF(P$4:P24,""Sell_Grandma"")),1))+(COUNTIF(P$4:P24,""Factory"")-COUNTIF(P$4:P24,""Sell_Factory""))*(260*2^COUNTI"&amp;"F(P$4:P24,""Factory_up""))))"),14.200000000000001)</f>
        <v>14.2</v>
      </c>
      <c r="S24" s="73">
        <f>IFERROR(__xludf.DUMMYFUNCTION("IF(COUNTA(P24:P147)=0,"""",IF(REGEXMATCH(INDEX(FILTER(P$4:P24,P$4:P24&lt;&gt;""""),ROWS(FILTER(P$4:P24,P$4:P24&lt;&gt;""""))),""^Sell_""),INDEX(FILTER(S$4:S23,P$4:P23&lt;&gt;""""),ROWS(FILTER(P$4:P23,P$4:P23&lt;&gt;""""))),$AD$5*(2^SWITCH(COUNTIF(P$4:P24,""Cursor_up""),0,0,1,1,2"&amp;",2,3)+SWITCH(COUNTIF(P$4:P24,""Cursor_up""),4,0.1,0)*(ROW(P24)-4-COUNTIF(P$4:P24,""Cursor"")-COUNTIF(P$4:P24,""*""&amp;""_up"")-2*COUNTIF(P$4:P24,""Sell_""&amp;""*"")+COUNTIF(P$4:P24,""Sell_Cursor"")-COUNTIF(P$4:P24,""""))+0.01*R24*COUNTIF(P$4:P24,""Plastic_up"")"&amp;")+R24))"),1614.2)</f>
        <v>1614.2</v>
      </c>
      <c r="T24" s="14">
        <f>IFERROR(__xludf.DUMMYFUNCTION("IF(COUNTA(P24:P147)=0,"""",IF(REGEXMATCH(P24,""_up""),VLOOKUP(P24,Upgrades!$F$3:$J$8,1+COUNTIF(P$4:P24,P24),FALSE),IF(P24="""",0,IF(REGEXMATCH(P24,""^Sell_""),-ROUNDDOWN(ROUNDUP(INDEX(Upgrades!$C$3:$C$8,MATCH(SUBSTITUTE(P24,""Sell_"",""""),Upgrades!$B$3:$"&amp;"B$8,0))*1.15^(COUNTIF(P$4:P23,SUBSTITUTE(P24,""Sell_"",""""))-COUNTIF(P$4:P23,""Sell_""&amp;SUBSTITUTE(P24,""Sell_"",""""))))/4),ROUNDUP(INDEX(Upgrades!$C$3:$C$7,MATCH(P24,Upgrades!$B$3:$B$7,0))*1.15^(COUNTIF(P$4:P23,P24)-COUNTIF(P$4:P23,""Sell_""&amp;P24)))))))"),133.0)</f>
        <v>133</v>
      </c>
      <c r="U24" s="14">
        <f t="shared" si="10"/>
        <v>133</v>
      </c>
      <c r="V24" s="75">
        <f t="shared" si="11"/>
        <v>193041.5184</v>
      </c>
      <c r="W24" s="76">
        <f t="shared" si="12"/>
        <v>15.03246639</v>
      </c>
      <c r="X24" s="71" t="str">
        <f t="shared" si="13"/>
        <v>15s</v>
      </c>
      <c r="Y24" s="77">
        <f t="shared" si="14"/>
        <v>11561</v>
      </c>
      <c r="Z24" s="17"/>
      <c r="AA24" s="32" t="s">
        <v>10</v>
      </c>
      <c r="AB24" s="108" t="s">
        <v>75</v>
      </c>
      <c r="AC24" s="13"/>
      <c r="AD24" s="13"/>
      <c r="AE24" s="13"/>
      <c r="AF24" s="13"/>
      <c r="AG24" s="13"/>
    </row>
    <row r="25">
      <c r="A25" s="12"/>
      <c r="B25" s="65">
        <f t="shared" si="2"/>
        <v>18</v>
      </c>
      <c r="C25" s="66" t="s">
        <v>10</v>
      </c>
      <c r="D25" s="14" t="b">
        <f>IFERROR(__xludf.DUMMYFUNCTION("IF(COUNTA(C25:C147)=0,"""",IFERROR(IF(ISBLANK(C25),FALSE,IF(ISBLANK(G25),1,IF(NOT(COUNTIF($AA$24:$AA$34,SUBSTITUTE(C25,""Sell_"",""""))),1,IF(C25=""Plastic_up"",IF(I25&lt;1000,1),IF(C25=""Super_Up"",IF(OR(COUNTIF(C$4:C25,""Grandma"")-COUNTIF(C$4:C25,""Sell_G"&amp;"randma"")&lt;1,COUNTIF(C$4:C25,VLOOKUP(C25,Upgrades!$F$8:$N$8,7+COUNTIF(C$4:C25,C25)))-COUNTIF(C$4:C25,""Sell_""&amp;VLOOKUP(C25,Upgrades!$F$8:$N$8,7+COUNTIF(C$4:C25,C25)))&lt;15),1),IF(REGEXMATCH(C25,""_up""),IF(COUNTIF(C$4:C25,SUBSTITUTE(C25,""_up"",""""))&lt;IFERRO"&amp;"R(VLOOKUP(C25,Upgrades!$L$3:$P$6,1+COUNTIF(C$4:C25,C25),0),999),1),IF(REGEXMATCH(C25,""Sell_""),IF(COUNTIF(C$4:C25,SUBSTITUTE(C25,""Sell_"",""""))-COUNTIF(C$4:C24,C25)&lt;1,1),FALSE)))))))))"),FALSE)</f>
        <v>0</v>
      </c>
      <c r="E25" s="71">
        <f>IFERROR(__xludf.DUMMYFUNCTION("IF(REGEXMATCH(C25,""^Sell_""),E24, IF(COUNTA(C25:C147)=0,"""",(COUNTIF(C$4:C25,""Cursor"")-COUNTIF(C$4:C25,""Sell_Cursor""))*(0.1*2^SWITCH(COUNTIF(C$4:C25,""Cursor_up""),0,0,1,1,2,2,3)+SWITCH(COUNTIF(C$4:C25,""Cursor_up""),4,0.1,0)*(ROW(C25)-4-COUNTIF(C$4"&amp;":C25,""Cursor"")-COUNTIF(C$4:C25,""*""&amp;""_up"")-2*COUNTIF(C$4:C25,""Sell_""&amp;""*"")+COUNTIF(C$4:C25,""Sell_Cursor"")-COUNTIF(C$4:C25,"""")))+(COUNTIF(C$4:C25,""Grandma"")-COUNTIF(C$4:C25,""Sell_Grandma""))*(1*2^(COUNTIF(C$4:C25,""Grandma_up"")+COUNTIF(C$4:"&amp;"C25,""Super_up"")))+(COUNTIF(C$4:C25,""Farm"")-COUNTIF(C$4:C25,""Sell_Farm""))*(8*2^COUNTIF(C$4:C25,""Farm_up""))*IF(COUNTIF(C$4:C25,""Super_up"")&gt;0,1+0.01*(COUNTIF(C$4:C25,""Grandma"")-COUNTIF(C$4:C25,""Sell_Grandma"")),1)+(COUNTIF(C$4:C25,""Mine"")-COUN"&amp;"TIF(C$4:C25,""Sell_Mine""))*((47*2^COUNTIF(C$4:C25,""Mine_up""))*IF(COUNTIF(C$4:C25,""Super_up"")&gt;1,1+0.005*(COUNTIF(C$4:C25,""Grandma"")-COUNTIF(C$4:C25,""Sell_Grandma"")),1))+(COUNTIF(C$4:C25,""Factory"")-COUNTIF(C$4:C25,""Sell_Factory""))*(260*2^COUNTI"&amp;"F(C$4:C25,""Factory_up""))))"),14.4)</f>
        <v>14.4</v>
      </c>
      <c r="F25" s="73">
        <f>IFERROR(__xludf.DUMMYFUNCTION("IF(COUNTA(C25:C147)=0,"""",IF(REGEXMATCH(INDEX(FILTER(C$4:C25,C$4:C25&lt;&gt;""""),ROWS(FILTER(C$4:C25,C$4:C25&lt;&gt;""""))),""^Sell_""),INDEX(FILTER(F$4:F24,C$4:C24&lt;&gt;""""),ROWS(FILTER(C$4:C24,C$4:C24&lt;&gt;""""))),$AC$5*(2^SWITCH(COUNTIF(C$4:C25,""Cursor_up""),0,0,1,1,2"&amp;",2,3)+SWITCH(COUNTIF(C$4:C25,""Cursor_up""),4,0.1,0)*(ROW(C25)-4-COUNTIF(C$4:C25,""Cursor"")-COUNTIF(C$4:C25,""*""&amp;""_up"")-2*COUNTIF(C$4:C25,""Sell_""&amp;""*"")+COUNTIF(C$4:C25,""Sell_Cursor"")-COUNTIF(C$4:C25,""""))+0.01*E25*COUNTIF(C$4:C25,""Plastic_up"")"&amp;")+E25))"),1614.4)</f>
        <v>1614.4</v>
      </c>
      <c r="G25" s="14">
        <f>IFERROR(__xludf.DUMMYFUNCTION("IF(COUNTA(C25:C147)=0,"""",IF(REGEXMATCH(C25,""_up""),VLOOKUP(C25,Upgrades!$F$3:$J$8,1+COUNTIF(C$4:C25,C25),FALSE),IF(C25="""",0,IF(REGEXMATCH(C25,""^Sell_""),-ROUNDDOWN(ROUNDUP(INDEX(Upgrades!$C$3:$C$8,MATCH(SUBSTITUTE(C25,""Sell_"",""""),Upgrades!$B$3:$"&amp;"B$8,0))*1.15^(COUNTIF(C$4:C24,SUBSTITUTE(C25,""Sell_"",""""))-COUNTIF(C$4:C24,""Sell_""&amp;SUBSTITUTE(C25,""Sell_"",""""))))/4),ROUNDUP(INDEX(Upgrades!$C$3:$C$7,MATCH(C25,Upgrades!$B$3:$B$7,0))*1.15^(COUNTIF(C$4:C24,C25)-COUNTIF(C$4:C24,""Sell_""&amp;C25)))))))"),162.0)</f>
        <v>162</v>
      </c>
      <c r="H25" s="14">
        <f t="shared" si="3"/>
        <v>162</v>
      </c>
      <c r="I25" s="75">
        <f t="shared" si="4"/>
        <v>196033.4731</v>
      </c>
      <c r="J25" s="76">
        <f t="shared" si="5"/>
        <v>15.1789162</v>
      </c>
      <c r="K25" s="71" t="str">
        <f t="shared" si="6"/>
        <v>15s</v>
      </c>
      <c r="L25" s="77">
        <f t="shared" si="7"/>
        <v>11746</v>
      </c>
      <c r="M25" s="51">
        <f t="shared" si="8"/>
        <v>-0.03186</v>
      </c>
      <c r="N25" s="52">
        <f>IFERROR(__xludf.DUMMYFUNCTION("IFS(AND(COUNTA(C25:C147)=0,COUNTA(P25:P147)=0),"""",OR(AND(L25&gt;=1000000,OR(Y25&gt;=1000000,COUNTA(P25:P147)=0)),AND(Y25&gt;=1000000,COUNTA(C25:C147)=0),AND(COUNTA(P25:P147)=0,O$3=TRUE)),
ROUNDDOWN((AB$1-AC$1)*MAX(INDEX(S$4:S147,MATCH(LARGE(FILTER(Y$4:Y147,Y$4:Y"&amp;"147&lt;1000000),1),Y$4:Y147)),INDEX(F$4:F147,MATCH(LARGE(FILTER(L$4:L147,L$4:L147&lt;1000000),1),L$4:L147)))),AND(L25&lt;1000000,COUNTA(C25:C147)&gt;0,O$3=FALSE),
ROUNDDOWN(INDEX(Y$4:Y147,MATCH(LARGE(FILTER(W$4:W147,W$4:W147&lt;=J25),1),W$4:W147))+(J25-LARGE(FILTER(W$4:"&amp;"W147,W$4:W147&lt;=J25),1))*INDEX(S$4:S147,MATCH(LARGE(FILTER(W$4:W147,W$4:W147&lt;=J25),1),W$4:W147))-L25),1,
ROUNDDOWN(Y25-INDEX(L$4:L147,MATCH(LARGE(FILTER(J$4:J147,J$4:J147&lt;=W25),1),J$4:J147))-(W25-LARGE(FILTER(J$4:J147,J$4:J147&lt;=W25),1))*INDEX(F$4:F147,MATC"&amp;"H(LARGE(FILTER(J$4:J147,J$4:J147&lt;=W25),1),J$4:J147))))"),51.0)</f>
        <v>51</v>
      </c>
      <c r="O25" s="65">
        <f t="shared" si="9"/>
        <v>15</v>
      </c>
      <c r="P25" s="15" t="s">
        <v>10</v>
      </c>
      <c r="Q25" s="14" t="b">
        <f>IFERROR(__xludf.DUMMYFUNCTION("IF(COUNTA(P25:P147)=0,"""",IFERROR(IF(ISBLANK(P25),FALSE,IF(ISBLANK(T25),1,IF(NOT(COUNTIF($AA$24:$AA$34,SUBSTITUTE(P25,""Sell_"",""""))),1,IF(P25=""Plastic_up"",IF(V25&lt;1000,1),IF(P25=""Super_Up"",IF(OR(COUNTIF(P$4:P25,""Grandma"")-COUNTIF(P$4:P25,""Sell_G"&amp;"randma"")&lt;1,COUNTIF(P$4:P25,VLOOKUP(P25,Upgrades!$F$8:$N$8,7+COUNTIF(P$4:P25,P25)))-COUNTIF(P$4:P25,""Sell_""&amp;VLOOKUP(P25,Upgrades!$F$8:$N$8,7+COUNTIF(P$4:P25,P25)))&lt;15),1),IF(REGEXMATCH(P25,""_up""),IF(COUNTIF(P$4:P25,SUBSTITUTE(P25,""_up"",""""))&lt;IFERRO"&amp;"R(VLOOKUP(P25,Upgrades!$L$3:$P$6,1+COUNTIF(P$4:P25,P25),0),999),1),IF(REGEXMATCH(P25,""Sell_""),IF(COUNTIF(P$4:P25,SUBSTITUTE(P25,""Sell_"",""""))-COUNTIF(P$4:P24,P25)&lt;1,1),FALSE)))))))))"),FALSE)</f>
        <v>0</v>
      </c>
      <c r="R25" s="71">
        <f>IFERROR(__xludf.DUMMYFUNCTION("IF(REGEXMATCH(P25,""^Sell_""),R24, IF(COUNTA(P25:P147)=0,"""",(COUNTIF(P$4:P25,""Cursor"")-COUNTIF(P$4:P25,""Sell_Cursor""))*(0.1*2^SWITCH(COUNTIF(P$4:P25,""Cursor_up""),0,0,1,1,2,2,3)+SWITCH(COUNTIF(P$4:P25,""Cursor_up""),4,0.1,0)*(ROW(P25)-4-COUNTIF(P$4"&amp;":P25,""Cursor"")-COUNTIF(P$4:P25,""*""&amp;""_up"")-2*COUNTIF(P$4:P25,""Sell_""&amp;""*"")+COUNTIF(P$4:P25,""Sell_Cursor"")-COUNTIF(P$4:P25,"""")))+(COUNTIF(P$4:P25,""Grandma"")-COUNTIF(P$4:P25,""Sell_Grandma""))*(1*2^(COUNTIF(P$4:P25,""Grandma_up"")+COUNTIF(P$4:"&amp;"P25,""Super_up"")))+(COUNTIF(P$4:P25,""Farm"")-COUNTIF(P$4:P25,""Sell_Farm""))*(8*2^COUNTIF(P$4:P25,""Farm_up""))*IF(COUNTIF(P$4:P25,""Super_up"")&gt;0,1+0.01*(COUNTIF(P$4:P25,""Grandma"")-COUNTIF(P$4:P25,""Sell_Grandma"")),1)+(COUNTIF(P$4:P25,""Mine"")-COUN"&amp;"TIF(P$4:P25,""Sell_Mine""))*((47*2^COUNTIF(P$4:P25,""Mine_up""))*IF(COUNTIF(P$4:P25,""Super_up"")&gt;1,1+0.005*(COUNTIF(P$4:P25,""Grandma"")-COUNTIF(P$4:P25,""Sell_Grandma"")),1))+(COUNTIF(P$4:P25,""Factory"")-COUNTIF(P$4:P25,""Sell_Factory""))*(260*2^COUNTI"&amp;"F(P$4:P25,""Factory_up""))))"),15.0)</f>
        <v>15</v>
      </c>
      <c r="S25" s="73">
        <f>IFERROR(__xludf.DUMMYFUNCTION("IF(COUNTA(P25:P147)=0,"""",IF(REGEXMATCH(INDEX(FILTER(P$4:P25,P$4:P25&lt;&gt;""""),ROWS(FILTER(P$4:P25,P$4:P25&lt;&gt;""""))),""^Sell_""),INDEX(FILTER(S$4:S24,P$4:P24&lt;&gt;""""),ROWS(FILTER(P$4:P24,P$4:P24&lt;&gt;""""))),$AD$5*(2^SWITCH(COUNTIF(P$4:P25,""Cursor_up""),0,0,1,1,2"&amp;",2,3)+SWITCH(COUNTIF(P$4:P25,""Cursor_up""),4,0.1,0)*(ROW(P25)-4-COUNTIF(P$4:P25,""Cursor"")-COUNTIF(P$4:P25,""*""&amp;""_up"")-2*COUNTIF(P$4:P25,""Sell_""&amp;""*"")+COUNTIF(P$4:P25,""Sell_Cursor"")-COUNTIF(P$4:P25,""""))+0.01*R25*COUNTIF(P$4:P25,""Plastic_up"")"&amp;")+R25))"),1615.0)</f>
        <v>1615</v>
      </c>
      <c r="T25" s="14">
        <f>IFERROR(__xludf.DUMMYFUNCTION("IF(COUNTA(P25:P147)=0,"""",IF(REGEXMATCH(P25,""_up""),VLOOKUP(P25,Upgrades!$F$3:$J$8,1+COUNTIF(P$4:P25,P25),FALSE),IF(P25="""",0,IF(REGEXMATCH(P25,""^Sell_""),-ROUNDDOWN(ROUNDUP(INDEX(Upgrades!$C$3:$C$8,MATCH(SUBSTITUTE(P25,""Sell_"",""""),Upgrades!$B$3:$"&amp;"B$8,0))*1.15^(COUNTIF(P$4:P24,SUBSTITUTE(P25,""Sell_"",""""))-COUNTIF(P$4:P24,""Sell_""&amp;SUBSTITUTE(P25,""Sell_"",""""))))/4),ROUNDUP(INDEX(Upgrades!$C$3:$C$7,MATCH(P25,Upgrades!$B$3:$B$7,0))*1.15^(COUNTIF(P$4:P24,P25)-COUNTIF(P$4:P24,""Sell_""&amp;P25)))))))"),107.0)</f>
        <v>107</v>
      </c>
      <c r="U25" s="14">
        <f t="shared" si="10"/>
        <v>107</v>
      </c>
      <c r="V25" s="75">
        <f t="shared" si="11"/>
        <v>217199.5234</v>
      </c>
      <c r="W25" s="76">
        <f t="shared" si="12"/>
        <v>15.0987531</v>
      </c>
      <c r="X25" s="71" t="str">
        <f t="shared" si="13"/>
        <v>15s</v>
      </c>
      <c r="Y25" s="77">
        <f t="shared" si="14"/>
        <v>11668</v>
      </c>
      <c r="Z25" s="17"/>
      <c r="AA25" s="32" t="s">
        <v>13</v>
      </c>
      <c r="AB25" s="108" t="s">
        <v>75</v>
      </c>
      <c r="AC25" s="13"/>
      <c r="AD25" s="13"/>
      <c r="AE25" s="13"/>
      <c r="AF25" s="13"/>
      <c r="AG25" s="13"/>
    </row>
    <row r="26">
      <c r="A26" s="12"/>
      <c r="B26" s="65">
        <f t="shared" si="2"/>
        <v>19</v>
      </c>
      <c r="C26" s="66" t="s">
        <v>10</v>
      </c>
      <c r="D26" s="14" t="b">
        <f>IFERROR(__xludf.DUMMYFUNCTION("IF(COUNTA(C26:C147)=0,"""",IFERROR(IF(ISBLANK(C26),FALSE,IF(ISBLANK(G26),1,IF(NOT(COUNTIF($AA$24:$AA$34,SUBSTITUTE(C26,""Sell_"",""""))),1,IF(C26=""Plastic_up"",IF(I26&lt;1000,1),IF(C26=""Super_Up"",IF(OR(COUNTIF(C$4:C26,""Grandma"")-COUNTIF(C$4:C26,""Sell_G"&amp;"randma"")&lt;1,COUNTIF(C$4:C26,VLOOKUP(C26,Upgrades!$F$8:$N$8,7+COUNTIF(C$4:C26,C26)))-COUNTIF(C$4:C26,""Sell_""&amp;VLOOKUP(C26,Upgrades!$F$8:$N$8,7+COUNTIF(C$4:C26,C26)))&lt;15),1),IF(REGEXMATCH(C26,""_up""),IF(COUNTIF(C$4:C26,SUBSTITUTE(C26,""_up"",""""))&lt;IFERRO"&amp;"R(VLOOKUP(C26,Upgrades!$L$3:$P$6,1+COUNTIF(C$4:C26,C26),0),999),1),IF(REGEXMATCH(C26,""Sell_""),IF(COUNTIF(C$4:C26,SUBSTITUTE(C26,""Sell_"",""""))-COUNTIF(C$4:C25,C26)&lt;1,1),FALSE)))))))))"),FALSE)</f>
        <v>0</v>
      </c>
      <c r="E26" s="71">
        <f>IFERROR(__xludf.DUMMYFUNCTION("IF(REGEXMATCH(C26,""^Sell_""),E25, IF(COUNTA(C26:C147)=0,"""",(COUNTIF(C$4:C26,""Cursor"")-COUNTIF(C$4:C26,""Sell_Cursor""))*(0.1*2^SWITCH(COUNTIF(C$4:C26,""Cursor_up""),0,0,1,1,2,2,3)+SWITCH(COUNTIF(C$4:C26,""Cursor_up""),4,0.1,0)*(ROW(C26)-4-COUNTIF(C$4"&amp;":C26,""Cursor"")-COUNTIF(C$4:C26,""*""&amp;""_up"")-2*COUNTIF(C$4:C26,""Sell_""&amp;""*"")+COUNTIF(C$4:C26,""Sell_Cursor"")-COUNTIF(C$4:C26,"""")))+(COUNTIF(C$4:C26,""Grandma"")-COUNTIF(C$4:C26,""Sell_Grandma""))*(1*2^(COUNTIF(C$4:C26,""Grandma_up"")+COUNTIF(C$4:"&amp;"C26,""Super_up"")))+(COUNTIF(C$4:C26,""Farm"")-COUNTIF(C$4:C26,""Sell_Farm""))*(8*2^COUNTIF(C$4:C26,""Farm_up""))*IF(COUNTIF(C$4:C26,""Super_up"")&gt;0,1+0.01*(COUNTIF(C$4:C26,""Grandma"")-COUNTIF(C$4:C26,""Sell_Grandma"")),1)+(COUNTIF(C$4:C26,""Mine"")-COUN"&amp;"TIF(C$4:C26,""Sell_Mine""))*((47*2^COUNTIF(C$4:C26,""Mine_up""))*IF(COUNTIF(C$4:C26,""Super_up"")&gt;1,1+0.005*(COUNTIF(C$4:C26,""Grandma"")-COUNTIF(C$4:C26,""Sell_Grandma"")),1))+(COUNTIF(C$4:C26,""Factory"")-COUNTIF(C$4:C26,""Sell_Factory""))*(260*2^COUNTI"&amp;"F(C$4:C26,""Factory_up""))))"),15.200000000000001)</f>
        <v>15.2</v>
      </c>
      <c r="F26" s="73">
        <f>IFERROR(__xludf.DUMMYFUNCTION("IF(COUNTA(C26:C147)=0,"""",IF(REGEXMATCH(INDEX(FILTER(C$4:C26,C$4:C26&lt;&gt;""""),ROWS(FILTER(C$4:C26,C$4:C26&lt;&gt;""""))),""^Sell_""),INDEX(FILTER(F$4:F25,C$4:C25&lt;&gt;""""),ROWS(FILTER(C$4:C25,C$4:C25&lt;&gt;""""))),$AC$5*(2^SWITCH(COUNTIF(C$4:C26,""Cursor_up""),0,0,1,1,2"&amp;",2,3)+SWITCH(COUNTIF(C$4:C26,""Cursor_up""),4,0.1,0)*(ROW(C26)-4-COUNTIF(C$4:C26,""Cursor"")-COUNTIF(C$4:C26,""*""&amp;""_up"")-2*COUNTIF(C$4:C26,""Sell_""&amp;""*"")+COUNTIF(C$4:C26,""Sell_Cursor"")-COUNTIF(C$4:C26,""""))+0.01*E26*COUNTIF(C$4:C26,""Plastic_up"")"&amp;")+E26))"),1615.2)</f>
        <v>1615.2</v>
      </c>
      <c r="G26" s="14">
        <f>IFERROR(__xludf.DUMMYFUNCTION("IF(COUNTA(C26:C147)=0,"""",IF(REGEXMATCH(C26,""_up""),VLOOKUP(C26,Upgrades!$F$3:$J$8,1+COUNTIF(C$4:C26,C26),FALSE),IF(C26="""",0,IF(REGEXMATCH(C26,""^Sell_""),-ROUNDDOWN(ROUNDUP(INDEX(Upgrades!$C$3:$C$8,MATCH(SUBSTITUTE(C26,""Sell_"",""""),Upgrades!$B$3:$"&amp;"B$8,0))*1.15^(COUNTIF(C$4:C25,SUBSTITUTE(C26,""Sell_"",""""))-COUNTIF(C$4:C25,""Sell_""&amp;SUBSTITUTE(C26,""Sell_"",""""))))/4),ROUNDUP(INDEX(Upgrades!$C$3:$C$7,MATCH(C26,Upgrades!$B$3:$B$7,0))*1.15^(COUNTIF(C$4:C25,C26)-COUNTIF(C$4:C25,""Sell_""&amp;C26)))))))"),186.0)</f>
        <v>186</v>
      </c>
      <c r="H26" s="14">
        <f t="shared" si="3"/>
        <v>186</v>
      </c>
      <c r="I26" s="75">
        <f t="shared" si="4"/>
        <v>220504.08</v>
      </c>
      <c r="J26" s="76">
        <f t="shared" si="5"/>
        <v>15.29412929</v>
      </c>
      <c r="K26" s="71" t="str">
        <f t="shared" si="6"/>
        <v>15s</v>
      </c>
      <c r="L26" s="77">
        <f t="shared" si="7"/>
        <v>11932</v>
      </c>
      <c r="M26" s="51">
        <f t="shared" si="8"/>
        <v>-0.0319</v>
      </c>
      <c r="N26" s="52">
        <f>IFERROR(__xludf.DUMMYFUNCTION("IFS(AND(COUNTA(C26:C147)=0,COUNTA(P26:P147)=0),"""",OR(AND(L26&gt;=1000000,OR(Y26&gt;=1000000,COUNTA(P26:P147)=0)),AND(Y26&gt;=1000000,COUNTA(C26:C147)=0),AND(COUNTA(P26:P147)=0,O$3=TRUE)),
ROUNDDOWN((AB$1-AC$1)*MAX(INDEX(S$4:S147,MATCH(LARGE(FILTER(Y$4:Y147,Y$4:Y"&amp;"147&lt;1000000),1),Y$4:Y147)),INDEX(F$4:F147,MATCH(LARGE(FILTER(L$4:L147,L$4:L147&lt;1000000),1),L$4:L147)))),AND(L26&lt;1000000,COUNTA(C26:C147)&gt;0,O$3=FALSE),
ROUNDDOWN(INDEX(Y$4:Y147,MATCH(LARGE(FILTER(W$4:W147,W$4:W147&lt;=J26),1),W$4:W147))+(J26-LARGE(FILTER(W$4:"&amp;"W147,W$4:W147&lt;=J26),1))*INDEX(S$4:S147,MATCH(LARGE(FILTER(W$4:W147,W$4:W147&lt;=J26),1),W$4:W147))-L26),1,
ROUNDDOWN(Y26-INDEX(L$4:L147,MATCH(LARGE(FILTER(J$4:J147,J$4:J147&lt;=W26),1),J$4:J147))-(W26-LARGE(FILTER(J$4:J147,J$4:J147&lt;=W26),1))*INDEX(F$4:F147,MATC"&amp;"H(LARGE(FILTER(J$4:J147,J$4:J147&lt;=W26),1),J$4:J147))))"),51.0)</f>
        <v>51</v>
      </c>
      <c r="O26" s="65">
        <f t="shared" si="9"/>
        <v>1</v>
      </c>
      <c r="P26" s="15" t="s">
        <v>16</v>
      </c>
      <c r="Q26" s="14" t="b">
        <f>IFERROR(__xludf.DUMMYFUNCTION("IF(COUNTA(P26:P147)=0,"""",IFERROR(IF(ISBLANK(P26),FALSE,IF(ISBLANK(T26),1,IF(NOT(COUNTIF($AA$24:$AA$34,SUBSTITUTE(P26,""Sell_"",""""))),1,IF(P26=""Plastic_up"",IF(V26&lt;1000,1),IF(P26=""Super_Up"",IF(OR(COUNTIF(P$4:P26,""Grandma"")-COUNTIF(P$4:P26,""Sell_G"&amp;"randma"")&lt;1,COUNTIF(P$4:P26,VLOOKUP(P26,Upgrades!$F$8:$N$8,7+COUNTIF(P$4:P26,P26)))-COUNTIF(P$4:P26,""Sell_""&amp;VLOOKUP(P26,Upgrades!$F$8:$N$8,7+COUNTIF(P$4:P26,P26)))&lt;15),1),IF(REGEXMATCH(P26,""_up""),IF(COUNTIF(P$4:P26,SUBSTITUTE(P26,""_up"",""""))&lt;IFERRO"&amp;"R(VLOOKUP(P26,Upgrades!$L$3:$P$6,1+COUNTIF(P$4:P26,P26),0),999),1),IF(REGEXMATCH(P26,""Sell_""),IF(COUNTIF(P$4:P26,SUBSTITUTE(P26,""Sell_"",""""))-COUNTIF(P$4:P25,P26)&lt;1,1),FALSE)))))))))"),FALSE)</f>
        <v>0</v>
      </c>
      <c r="R26" s="71">
        <f>IFERROR(__xludf.DUMMYFUNCTION("IF(REGEXMATCH(P26,""^Sell_""),R25, IF(COUNTA(P26:P147)=0,"""",(COUNTIF(P$4:P26,""Cursor"")-COUNTIF(P$4:P26,""Sell_Cursor""))*(0.1*2^SWITCH(COUNTIF(P$4:P26,""Cursor_up""),0,0,1,1,2,2,3)+SWITCH(COUNTIF(P$4:P26,""Cursor_up""),4,0.1,0)*(ROW(P26)-4-COUNTIF(P$4"&amp;":P26,""Cursor"")-COUNTIF(P$4:P26,""*""&amp;""_up"")-2*COUNTIF(P$4:P26,""Sell_""&amp;""*"")+COUNTIF(P$4:P26,""Sell_Cursor"")-COUNTIF(P$4:P26,"""")))+(COUNTIF(P$4:P26,""Grandma"")-COUNTIF(P$4:P26,""Sell_Grandma""))*(1*2^(COUNTIF(P$4:P26,""Grandma_up"")+COUNTIF(P$4:"&amp;"P26,""Super_up"")))+(COUNTIF(P$4:P26,""Farm"")-COUNTIF(P$4:P26,""Sell_Farm""))*(8*2^COUNTIF(P$4:P26,""Farm_up""))*IF(COUNTIF(P$4:P26,""Super_up"")&gt;0,1+0.01*(COUNTIF(P$4:P26,""Grandma"")-COUNTIF(P$4:P26,""Sell_Grandma"")),1)+(COUNTIF(P$4:P26,""Mine"")-COUN"&amp;"TIF(P$4:P26,""Sell_Mine""))*((47*2^COUNTIF(P$4:P26,""Mine_up""))*IF(COUNTIF(P$4:P26,""Super_up"")&gt;1,1+0.005*(COUNTIF(P$4:P26,""Grandma"")-COUNTIF(P$4:P26,""Sell_Grandma"")),1))+(COUNTIF(P$4:P26,""Factory"")-COUNTIF(P$4:P26,""Sell_Factory""))*(260*2^COUNTI"&amp;"F(P$4:P26,""Factory_up""))))"),23.0)</f>
        <v>23</v>
      </c>
      <c r="S26" s="73">
        <f>IFERROR(__xludf.DUMMYFUNCTION("IF(COUNTA(P26:P147)=0,"""",IF(REGEXMATCH(INDEX(FILTER(P$4:P26,P$4:P26&lt;&gt;""""),ROWS(FILTER(P$4:P26,P$4:P26&lt;&gt;""""))),""^Sell_""),INDEX(FILTER(S$4:S25,P$4:P25&lt;&gt;""""),ROWS(FILTER(P$4:P25,P$4:P25&lt;&gt;""""))),$AD$5*(2^SWITCH(COUNTIF(P$4:P26,""Cursor_up""),0,0,1,1,2"&amp;",2,3)+SWITCH(COUNTIF(P$4:P26,""Cursor_up""),4,0.1,0)*(ROW(P26)-4-COUNTIF(P$4:P26,""Cursor"")-COUNTIF(P$4:P26,""*""&amp;""_up"")-2*COUNTIF(P$4:P26,""Sell_""&amp;""*"")+COUNTIF(P$4:P26,""Sell_Cursor"")-COUNTIF(P$4:P26,""""))+0.01*R26*COUNTIF(P$4:P26,""Plastic_up"")"&amp;")+R26))"),1623.0)</f>
        <v>1623</v>
      </c>
      <c r="T26" s="14">
        <f>IFERROR(__xludf.DUMMYFUNCTION("IF(COUNTA(P26:P147)=0,"""",IF(REGEXMATCH(P26,""_up""),VLOOKUP(P26,Upgrades!$F$3:$J$8,1+COUNTIF(P$4:P26,P26),FALSE),IF(P26="""",0,IF(REGEXMATCH(P26,""^Sell_""),-ROUNDDOWN(ROUNDUP(INDEX(Upgrades!$C$3:$C$8,MATCH(SUBSTITUTE(P26,""Sell_"",""""),Upgrades!$B$3:$"&amp;"B$8,0))*1.15^(COUNTIF(P$4:P25,SUBSTITUTE(P26,""Sell_"",""""))-COUNTIF(P$4:P25,""Sell_""&amp;SUBSTITUTE(P26,""Sell_"",""""))))/4),ROUNDUP(INDEX(Upgrades!$C$3:$C$7,MATCH(P26,Upgrades!$B$3:$B$7,0))*1.15^(COUNTIF(P$4:P25,P26)-COUNTIF(P$4:P25,""Sell_""&amp;P26)))))))"),1100.0)</f>
        <v>1100</v>
      </c>
      <c r="U26" s="14">
        <f t="shared" si="10"/>
        <v>1100</v>
      </c>
      <c r="V26" s="75">
        <f t="shared" si="11"/>
        <v>242447.3116</v>
      </c>
      <c r="W26" s="76">
        <f t="shared" si="12"/>
        <v>15.77986765</v>
      </c>
      <c r="X26" s="71" t="str">
        <f t="shared" si="13"/>
        <v>15s</v>
      </c>
      <c r="Y26" s="77">
        <f t="shared" si="14"/>
        <v>12768</v>
      </c>
      <c r="Z26" s="17"/>
      <c r="AA26" s="32" t="s">
        <v>16</v>
      </c>
      <c r="AB26" s="108" t="s">
        <v>75</v>
      </c>
      <c r="AC26" s="13"/>
      <c r="AD26" s="13"/>
      <c r="AE26" s="13"/>
      <c r="AF26" s="13"/>
      <c r="AG26" s="13"/>
    </row>
    <row r="27">
      <c r="A27" s="12"/>
      <c r="B27" s="65">
        <f t="shared" si="2"/>
        <v>20</v>
      </c>
      <c r="C27" s="66" t="s">
        <v>10</v>
      </c>
      <c r="D27" s="14" t="b">
        <f>IFERROR(__xludf.DUMMYFUNCTION("IF(COUNTA(C27:C147)=0,"""",IFERROR(IF(ISBLANK(C27),FALSE,IF(ISBLANK(G27),1,IF(NOT(COUNTIF($AA$24:$AA$34,SUBSTITUTE(C27,""Sell_"",""""))),1,IF(C27=""Plastic_up"",IF(I27&lt;1000,1),IF(C27=""Super_Up"",IF(OR(COUNTIF(C$4:C27,""Grandma"")-COUNTIF(C$4:C27,""Sell_G"&amp;"randma"")&lt;1,COUNTIF(C$4:C27,VLOOKUP(C27,Upgrades!$F$8:$N$8,7+COUNTIF(C$4:C27,C27)))-COUNTIF(C$4:C27,""Sell_""&amp;VLOOKUP(C27,Upgrades!$F$8:$N$8,7+COUNTIF(C$4:C27,C27)))&lt;15),1),IF(REGEXMATCH(C27,""_up""),IF(COUNTIF(C$4:C27,SUBSTITUTE(C27,""_up"",""""))&lt;IFERRO"&amp;"R(VLOOKUP(C27,Upgrades!$L$3:$P$6,1+COUNTIF(C$4:C27,C27),0),999),1),IF(REGEXMATCH(C27,""Sell_""),IF(COUNTIF(C$4:C27,SUBSTITUTE(C27,""Sell_"",""""))-COUNTIF(C$4:C26,C27)&lt;1,1),FALSE)))))))))"),FALSE)</f>
        <v>0</v>
      </c>
      <c r="E27" s="71">
        <f>IFERROR(__xludf.DUMMYFUNCTION("IF(REGEXMATCH(C27,""^Sell_""),E26, IF(COUNTA(C27:C147)=0,"""",(COUNTIF(C$4:C27,""Cursor"")-COUNTIF(C$4:C27,""Sell_Cursor""))*(0.1*2^SWITCH(COUNTIF(C$4:C27,""Cursor_up""),0,0,1,1,2,2,3)+SWITCH(COUNTIF(C$4:C27,""Cursor_up""),4,0.1,0)*(ROW(C27)-4-COUNTIF(C$4"&amp;":C27,""Cursor"")-COUNTIF(C$4:C27,""*""&amp;""_up"")-2*COUNTIF(C$4:C27,""Sell_""&amp;""*"")+COUNTIF(C$4:C27,""Sell_Cursor"")-COUNTIF(C$4:C27,"""")))+(COUNTIF(C$4:C27,""Grandma"")-COUNTIF(C$4:C27,""Sell_Grandma""))*(1*2^(COUNTIF(C$4:C27,""Grandma_up"")+COUNTIF(C$4:"&amp;"C27,""Super_up"")))+(COUNTIF(C$4:C27,""Farm"")-COUNTIF(C$4:C27,""Sell_Farm""))*(8*2^COUNTIF(C$4:C27,""Farm_up""))*IF(COUNTIF(C$4:C27,""Super_up"")&gt;0,1+0.01*(COUNTIF(C$4:C27,""Grandma"")-COUNTIF(C$4:C27,""Sell_Grandma"")),1)+(COUNTIF(C$4:C27,""Mine"")-COUN"&amp;"TIF(C$4:C27,""Sell_Mine""))*((47*2^COUNTIF(C$4:C27,""Mine_up""))*IF(COUNTIF(C$4:C27,""Super_up"")&gt;1,1+0.005*(COUNTIF(C$4:C27,""Grandma"")-COUNTIF(C$4:C27,""Sell_Grandma"")),1))+(COUNTIF(C$4:C27,""Factory"")-COUNTIF(C$4:C27,""Sell_Factory""))*(260*2^COUNTI"&amp;"F(C$4:C27,""Factory_up""))))"),16.0)</f>
        <v>16</v>
      </c>
      <c r="F27" s="73">
        <f>IFERROR(__xludf.DUMMYFUNCTION("IF(COUNTA(C27:C147)=0,"""",IF(REGEXMATCH(INDEX(FILTER(C$4:C27,C$4:C27&lt;&gt;""""),ROWS(FILTER(C$4:C27,C$4:C27&lt;&gt;""""))),""^Sell_""),INDEX(FILTER(F$4:F26,C$4:C26&lt;&gt;""""),ROWS(FILTER(C$4:C26,C$4:C26&lt;&gt;""""))),$AC$5*(2^SWITCH(COUNTIF(C$4:C27,""Cursor_up""),0,0,1,1,2"&amp;",2,3)+SWITCH(COUNTIF(C$4:C27,""Cursor_up""),4,0.1,0)*(ROW(C27)-4-COUNTIF(C$4:C27,""Cursor"")-COUNTIF(C$4:C27,""*""&amp;""_up"")-2*COUNTIF(C$4:C27,""Sell_""&amp;""*"")+COUNTIF(C$4:C27,""Sell_Cursor"")-COUNTIF(C$4:C27,""""))+0.01*E27*COUNTIF(C$4:C27,""Plastic_up"")"&amp;")+E27))"),1616.0)</f>
        <v>1616</v>
      </c>
      <c r="G27" s="14">
        <f>IFERROR(__xludf.DUMMYFUNCTION("IF(COUNTA(C27:C147)=0,"""",IF(REGEXMATCH(C27,""_up""),VLOOKUP(C27,Upgrades!$F$3:$J$8,1+COUNTIF(C$4:C27,C27),FALSE),IF(C27="""",0,IF(REGEXMATCH(C27,""^Sell_""),-ROUNDDOWN(ROUNDUP(INDEX(Upgrades!$C$3:$C$8,MATCH(SUBSTITUTE(C27,""Sell_"",""""),Upgrades!$B$3:$"&amp;"B$8,0))*1.15^(COUNTIF(C$4:C26,SUBSTITUTE(C27,""Sell_"",""""))-COUNTIF(C$4:C26,""Sell_""&amp;SUBSTITUTE(C27,""Sell_"",""""))))/4),ROUNDUP(INDEX(Upgrades!$C$3:$C$7,MATCH(C27,Upgrades!$B$3:$B$7,0))*1.15^(COUNTIF(C$4:C26,C27)-COUNTIF(C$4:C26,""Sell_""&amp;C27)))))))"),214.0)</f>
        <v>214</v>
      </c>
      <c r="H27" s="14">
        <f t="shared" si="3"/>
        <v>214</v>
      </c>
      <c r="I27" s="75">
        <f t="shared" si="4"/>
        <v>245186.673</v>
      </c>
      <c r="J27" s="76">
        <f t="shared" si="5"/>
        <v>15.42662062</v>
      </c>
      <c r="K27" s="71" t="str">
        <f t="shared" si="6"/>
        <v>15s</v>
      </c>
      <c r="L27" s="77">
        <f t="shared" si="7"/>
        <v>12146</v>
      </c>
      <c r="M27" s="51">
        <f t="shared" si="8"/>
        <v>-0.03189</v>
      </c>
      <c r="N27" s="52">
        <f>IFERROR(__xludf.DUMMYFUNCTION("IFS(AND(COUNTA(C27:C147)=0,COUNTA(P27:P147)=0),"""",OR(AND(L27&gt;=1000000,OR(Y27&gt;=1000000,COUNTA(P27:P147)=0)),AND(Y27&gt;=1000000,COUNTA(C27:C147)=0),AND(COUNTA(P27:P147)=0,O$3=TRUE)),
ROUNDDOWN((AB$1-AC$1)*MAX(INDEX(S$4:S147,MATCH(LARGE(FILTER(Y$4:Y147,Y$4:Y"&amp;"147&lt;1000000),1),Y$4:Y147)),INDEX(F$4:F147,MATCH(LARGE(FILTER(L$4:L147,L$4:L147&lt;1000000),1),L$4:L147)))),AND(L27&lt;1000000,COUNTA(C27:C147)&gt;0,O$3=FALSE),
ROUNDDOWN(INDEX(Y$4:Y147,MATCH(LARGE(FILTER(W$4:W147,W$4:W147&lt;=J27),1),W$4:W147))+(J27-LARGE(FILTER(W$4:"&amp;"W147,W$4:W147&lt;=J27),1))*INDEX(S$4:S147,MATCH(LARGE(FILTER(W$4:W147,W$4:W147&lt;=J27),1),W$4:W147))-L27),1,
ROUNDDOWN(Y27-INDEX(L$4:L147,MATCH(LARGE(FILTER(J$4:J147,J$4:J147&lt;=W27),1),J$4:J147))-(W27-LARGE(FILTER(J$4:J147,J$4:J147&lt;=W27),1))*INDEX(F$4:F147,MATC"&amp;"H(LARGE(FILTER(J$4:J147,J$4:J147&lt;=W27),1),J$4:J147))))"),51.0)</f>
        <v>51</v>
      </c>
      <c r="O27" s="65">
        <f t="shared" si="9"/>
        <v>4</v>
      </c>
      <c r="P27" s="15" t="s">
        <v>13</v>
      </c>
      <c r="Q27" s="14" t="b">
        <f>IFERROR(__xludf.DUMMYFUNCTION("IF(COUNTA(P27:P147)=0,"""",IFERROR(IF(ISBLANK(P27),FALSE,IF(ISBLANK(T27),1,IF(NOT(COUNTIF($AA$24:$AA$34,SUBSTITUTE(P27,""Sell_"",""""))),1,IF(P27=""Plastic_up"",IF(V27&lt;1000,1),IF(P27=""Super_Up"",IF(OR(COUNTIF(P$4:P27,""Grandma"")-COUNTIF(P$4:P27,""Sell_G"&amp;"randma"")&lt;1,COUNTIF(P$4:P27,VLOOKUP(P27,Upgrades!$F$8:$N$8,7+COUNTIF(P$4:P27,P27)))-COUNTIF(P$4:P27,""Sell_""&amp;VLOOKUP(P27,Upgrades!$F$8:$N$8,7+COUNTIF(P$4:P27,P27)))&lt;15),1),IF(REGEXMATCH(P27,""_up""),IF(COUNTIF(P$4:P27,SUBSTITUTE(P27,""_up"",""""))&lt;IFERRO"&amp;"R(VLOOKUP(P27,Upgrades!$L$3:$P$6,1+COUNTIF(P$4:P27,P27),0),999),1),IF(REGEXMATCH(P27,""Sell_""),IF(COUNTIF(P$4:P27,SUBSTITUTE(P27,""Sell_"",""""))-COUNTIF(P$4:P26,P27)&lt;1,1),FALSE)))))))))"),FALSE)</f>
        <v>0</v>
      </c>
      <c r="R27" s="71">
        <f>IFERROR(__xludf.DUMMYFUNCTION("IF(REGEXMATCH(P27,""^Sell_""),R26, IF(COUNTA(P27:P147)=0,"""",(COUNTIF(P$4:P27,""Cursor"")-COUNTIF(P$4:P27,""Sell_Cursor""))*(0.1*2^SWITCH(COUNTIF(P$4:P27,""Cursor_up""),0,0,1,1,2,2,3)+SWITCH(COUNTIF(P$4:P27,""Cursor_up""),4,0.1,0)*(ROW(P27)-4-COUNTIF(P$4"&amp;":P27,""Cursor"")-COUNTIF(P$4:P27,""*""&amp;""_up"")-2*COUNTIF(P$4:P27,""Sell_""&amp;""*"")+COUNTIF(P$4:P27,""Sell_Cursor"")-COUNTIF(P$4:P27,"""")))+(COUNTIF(P$4:P27,""Grandma"")-COUNTIF(P$4:P27,""Sell_Grandma""))*(1*2^(COUNTIF(P$4:P27,""Grandma_up"")+COUNTIF(P$4:"&amp;"P27,""Super_up"")))+(COUNTIF(P$4:P27,""Farm"")-COUNTIF(P$4:P27,""Sell_Farm""))*(8*2^COUNTIF(P$4:P27,""Farm_up""))*IF(COUNTIF(P$4:P27,""Super_up"")&gt;0,1+0.01*(COUNTIF(P$4:P27,""Grandma"")-COUNTIF(P$4:P27,""Sell_Grandma"")),1)+(COUNTIF(P$4:P27,""Mine"")-COUN"&amp;"TIF(P$4:P27,""Sell_Mine""))*((47*2^COUNTIF(P$4:P27,""Mine_up""))*IF(COUNTIF(P$4:P27,""Super_up"")&gt;1,1+0.005*(COUNTIF(P$4:P27,""Grandma"")-COUNTIF(P$4:P27,""Sell_Grandma"")),1))+(COUNTIF(P$4:P27,""Factory"")-COUNTIF(P$4:P27,""Sell_Factory""))*(260*2^COUNTI"&amp;"F(P$4:P27,""Factory_up""))))"),24.0)</f>
        <v>24</v>
      </c>
      <c r="S27" s="73">
        <f>IFERROR(__xludf.DUMMYFUNCTION("IF(COUNTA(P27:P147)=0,"""",IF(REGEXMATCH(INDEX(FILTER(P$4:P27,P$4:P27&lt;&gt;""""),ROWS(FILTER(P$4:P27,P$4:P27&lt;&gt;""""))),""^Sell_""),INDEX(FILTER(S$4:S26,P$4:P26&lt;&gt;""""),ROWS(FILTER(P$4:P26,P$4:P26&lt;&gt;""""))),$AD$5*(2^SWITCH(COUNTIF(P$4:P27,""Cursor_up""),0,0,1,1,2"&amp;",2,3)+SWITCH(COUNTIF(P$4:P27,""Cursor_up""),4,0.1,0)*(ROW(P27)-4-COUNTIF(P$4:P27,""Cursor"")-COUNTIF(P$4:P27,""*""&amp;""_up"")-2*COUNTIF(P$4:P27,""Sell_""&amp;""*"")+COUNTIF(P$4:P27,""Sell_Cursor"")-COUNTIF(P$4:P27,""""))+0.01*R27*COUNTIF(P$4:P27,""Plastic_up"")"&amp;")+R27))"),1624.0)</f>
        <v>1624</v>
      </c>
      <c r="T27" s="14">
        <f>IFERROR(__xludf.DUMMYFUNCTION("IF(COUNTA(P27:P147)=0,"""",IF(REGEXMATCH(P27,""_up""),VLOOKUP(P27,Upgrades!$F$3:$J$8,1+COUNTIF(P$4:P27,P27),FALSE),IF(P27="""",0,IF(REGEXMATCH(P27,""^Sell_""),-ROUNDDOWN(ROUNDUP(INDEX(Upgrades!$C$3:$C$8,MATCH(SUBSTITUTE(P27,""Sell_"",""""),Upgrades!$B$3:$"&amp;"B$8,0))*1.15^(COUNTIF(P$4:P26,SUBSTITUTE(P27,""Sell_"",""""))-COUNTIF(P$4:P26,""Sell_""&amp;SUBSTITUTE(P27,""Sell_"",""""))))/4),ROUNDUP(INDEX(Upgrades!$C$3:$C$7,MATCH(P27,Upgrades!$B$3:$B$7,0))*1.15^(COUNTIF(P$4:P26,P27)-COUNTIF(P$4:P26,""Sell_""&amp;P27)))))))"),153.0)</f>
        <v>153</v>
      </c>
      <c r="U27" s="14">
        <f t="shared" si="10"/>
        <v>153</v>
      </c>
      <c r="V27" s="75">
        <f t="shared" si="11"/>
        <v>267845.9317</v>
      </c>
      <c r="W27" s="76">
        <f t="shared" si="12"/>
        <v>15.87413752</v>
      </c>
      <c r="X27" s="71" t="str">
        <f t="shared" si="13"/>
        <v>15s</v>
      </c>
      <c r="Y27" s="77">
        <f t="shared" si="14"/>
        <v>12921</v>
      </c>
      <c r="Z27" s="17"/>
      <c r="AA27" s="32" t="s">
        <v>18</v>
      </c>
      <c r="AB27" s="108" t="s">
        <v>75</v>
      </c>
      <c r="AC27" s="13"/>
      <c r="AD27" s="13"/>
      <c r="AE27" s="13"/>
      <c r="AF27" s="13"/>
      <c r="AG27" s="13"/>
    </row>
    <row r="28">
      <c r="A28" s="12"/>
      <c r="B28" s="65">
        <f t="shared" si="2"/>
        <v>21</v>
      </c>
      <c r="C28" s="66" t="s">
        <v>10</v>
      </c>
      <c r="D28" s="14" t="b">
        <f>IFERROR(__xludf.DUMMYFUNCTION("IF(COUNTA(C28:C147)=0,"""",IFERROR(IF(ISBLANK(C28),FALSE,IF(ISBLANK(G28),1,IF(NOT(COUNTIF($AA$24:$AA$34,SUBSTITUTE(C28,""Sell_"",""""))),1,IF(C28=""Plastic_up"",IF(I28&lt;1000,1),IF(C28=""Super_Up"",IF(OR(COUNTIF(C$4:C28,""Grandma"")-COUNTIF(C$4:C28,""Sell_G"&amp;"randma"")&lt;1,COUNTIF(C$4:C28,VLOOKUP(C28,Upgrades!$F$8:$N$8,7+COUNTIF(C$4:C28,C28)))-COUNTIF(C$4:C28,""Sell_""&amp;VLOOKUP(C28,Upgrades!$F$8:$N$8,7+COUNTIF(C$4:C28,C28)))&lt;15),1),IF(REGEXMATCH(C28,""_up""),IF(COUNTIF(C$4:C28,SUBSTITUTE(C28,""_up"",""""))&lt;IFERRO"&amp;"R(VLOOKUP(C28,Upgrades!$L$3:$P$6,1+COUNTIF(C$4:C28,C28),0),999),1),IF(REGEXMATCH(C28,""Sell_""),IF(COUNTIF(C$4:C28,SUBSTITUTE(C28,""Sell_"",""""))-COUNTIF(C$4:C27,C28)&lt;1,1),FALSE)))))))))"),FALSE)</f>
        <v>0</v>
      </c>
      <c r="E28" s="71">
        <f>IFERROR(__xludf.DUMMYFUNCTION("IF(REGEXMATCH(C28,""^Sell_""),E27, IF(COUNTA(C28:C147)=0,"""",(COUNTIF(C$4:C28,""Cursor"")-COUNTIF(C$4:C28,""Sell_Cursor""))*(0.1*2^SWITCH(COUNTIF(C$4:C28,""Cursor_up""),0,0,1,1,2,2,3)+SWITCH(COUNTIF(C$4:C28,""Cursor_up""),4,0.1,0)*(ROW(C28)-4-COUNTIF(C$4"&amp;":C28,""Cursor"")-COUNTIF(C$4:C28,""*""&amp;""_up"")-2*COUNTIF(C$4:C28,""Sell_""&amp;""*"")+COUNTIF(C$4:C28,""Sell_Cursor"")-COUNTIF(C$4:C28,"""")))+(COUNTIF(C$4:C28,""Grandma"")-COUNTIF(C$4:C28,""Sell_Grandma""))*(1*2^(COUNTIF(C$4:C28,""Grandma_up"")+COUNTIF(C$4:"&amp;"C28,""Super_up"")))+(COUNTIF(C$4:C28,""Farm"")-COUNTIF(C$4:C28,""Sell_Farm""))*(8*2^COUNTIF(C$4:C28,""Farm_up""))*IF(COUNTIF(C$4:C28,""Super_up"")&gt;0,1+0.01*(COUNTIF(C$4:C28,""Grandma"")-COUNTIF(C$4:C28,""Sell_Grandma"")),1)+(COUNTIF(C$4:C28,""Mine"")-COUN"&amp;"TIF(C$4:C28,""Sell_Mine""))*((47*2^COUNTIF(C$4:C28,""Mine_up""))*IF(COUNTIF(C$4:C28,""Super_up"")&gt;1,1+0.005*(COUNTIF(C$4:C28,""Grandma"")-COUNTIF(C$4:C28,""Sell_Grandma"")),1))+(COUNTIF(C$4:C28,""Factory"")-COUNTIF(C$4:C28,""Sell_Factory""))*(260*2^COUNTI"&amp;"F(C$4:C28,""Factory_up""))))"),16.8)</f>
        <v>16.8</v>
      </c>
      <c r="F28" s="73">
        <f>IFERROR(__xludf.DUMMYFUNCTION("IF(COUNTA(C28:C147)=0,"""",IF(REGEXMATCH(INDEX(FILTER(C$4:C28,C$4:C28&lt;&gt;""""),ROWS(FILTER(C$4:C28,C$4:C28&lt;&gt;""""))),""^Sell_""),INDEX(FILTER(F$4:F27,C$4:C27&lt;&gt;""""),ROWS(FILTER(C$4:C27,C$4:C27&lt;&gt;""""))),$AC$5*(2^SWITCH(COUNTIF(C$4:C28,""Cursor_up""),0,0,1,1,2"&amp;",2,3)+SWITCH(COUNTIF(C$4:C28,""Cursor_up""),4,0.1,0)*(ROW(C28)-4-COUNTIF(C$4:C28,""Cursor"")-COUNTIF(C$4:C28,""*""&amp;""_up"")-2*COUNTIF(C$4:C28,""Sell_""&amp;""*"")+COUNTIF(C$4:C28,""Sell_Cursor"")-COUNTIF(C$4:C28,""""))+0.01*E28*COUNTIF(C$4:C28,""Plastic_up"")"&amp;")+E28))"),1616.8)</f>
        <v>1616.8</v>
      </c>
      <c r="G28" s="14">
        <f>IFERROR(__xludf.DUMMYFUNCTION("IF(COUNTA(C28:C147)=0,"""",IF(REGEXMATCH(C28,""_up""),VLOOKUP(C28,Upgrades!$F$3:$J$8,1+COUNTIF(C$4:C28,C28),FALSE),IF(C28="""",0,IF(REGEXMATCH(C28,""^Sell_""),-ROUNDDOWN(ROUNDUP(INDEX(Upgrades!$C$3:$C$8,MATCH(SUBSTITUTE(C28,""Sell_"",""""),Upgrades!$B$3:$"&amp;"B$8,0))*1.15^(COUNTIF(C$4:C27,SUBSTITUTE(C28,""Sell_"",""""))-COUNTIF(C$4:C27,""Sell_""&amp;SUBSTITUTE(C28,""Sell_"",""""))))/4),ROUNDUP(INDEX(Upgrades!$C$3:$C$7,MATCH(C28,Upgrades!$B$3:$B$7,0))*1.15^(COUNTIF(C$4:C27,C28)-COUNTIF(C$4:C27,""Sell_""&amp;C28)))))))"),246.0)</f>
        <v>246</v>
      </c>
      <c r="H28" s="14">
        <f t="shared" si="3"/>
        <v>246</v>
      </c>
      <c r="I28" s="75">
        <f t="shared" si="4"/>
        <v>270112.8303</v>
      </c>
      <c r="J28" s="76">
        <f t="shared" si="5"/>
        <v>15.57884834</v>
      </c>
      <c r="K28" s="71" t="str">
        <f t="shared" si="6"/>
        <v>15s</v>
      </c>
      <c r="L28" s="77">
        <f t="shared" si="7"/>
        <v>12392</v>
      </c>
      <c r="M28" s="51">
        <f t="shared" si="8"/>
        <v>-0.03179</v>
      </c>
      <c r="N28" s="52">
        <f>IFERROR(__xludf.DUMMYFUNCTION("IFS(AND(COUNTA(C28:C147)=0,COUNTA(P28:P147)=0),"""",OR(AND(L28&gt;=1000000,OR(Y28&gt;=1000000,COUNTA(P28:P147)=0)),AND(Y28&gt;=1000000,COUNTA(C28:C147)=0),AND(COUNTA(P28:P147)=0,O$3=TRUE)),
ROUNDDOWN((AB$1-AC$1)*MAX(INDEX(S$4:S147,MATCH(LARGE(FILTER(Y$4:Y147,Y$4:Y"&amp;"147&lt;1000000),1),Y$4:Y147)),INDEX(F$4:F147,MATCH(LARGE(FILTER(L$4:L147,L$4:L147&lt;1000000),1),L$4:L147)))),AND(L28&lt;1000000,COUNTA(C28:C147)&gt;0,O$3=FALSE),
ROUNDDOWN(INDEX(Y$4:Y147,MATCH(LARGE(FILTER(W$4:W147,W$4:W147&lt;=J28),1),W$4:W147))+(J28-LARGE(FILTER(W$4:"&amp;"W147,W$4:W147&lt;=J28),1))*INDEX(S$4:S147,MATCH(LARGE(FILTER(W$4:W147,W$4:W147&lt;=J28),1),W$4:W147))-L28),1,
ROUNDDOWN(Y28-INDEX(L$4:L147,MATCH(LARGE(FILTER(J$4:J147,J$4:J147&lt;=W28),1),J$4:J147))-(W28-LARGE(FILTER(J$4:J147,J$4:J147&lt;=W28),1))*INDEX(F$4:F147,MATC"&amp;"H(LARGE(FILTER(J$4:J147,J$4:J147&lt;=W28),1),J$4:J147))))"),51.0)</f>
        <v>51</v>
      </c>
      <c r="O28" s="65">
        <f t="shared" si="9"/>
        <v>16</v>
      </c>
      <c r="P28" s="15" t="s">
        <v>10</v>
      </c>
      <c r="Q28" s="14" t="b">
        <f>IFERROR(__xludf.DUMMYFUNCTION("IF(COUNTA(P28:P147)=0,"""",IFERROR(IF(ISBLANK(P28),FALSE,IF(ISBLANK(T28),1,IF(NOT(COUNTIF($AA$24:$AA$34,SUBSTITUTE(P28,""Sell_"",""""))),1,IF(P28=""Plastic_up"",IF(V28&lt;1000,1),IF(P28=""Super_Up"",IF(OR(COUNTIF(P$4:P28,""Grandma"")-COUNTIF(P$4:P28,""Sell_G"&amp;"randma"")&lt;1,COUNTIF(P$4:P28,VLOOKUP(P28,Upgrades!$F$8:$N$8,7+COUNTIF(P$4:P28,P28)))-COUNTIF(P$4:P28,""Sell_""&amp;VLOOKUP(P28,Upgrades!$F$8:$N$8,7+COUNTIF(P$4:P28,P28)))&lt;15),1),IF(REGEXMATCH(P28,""_up""),IF(COUNTIF(P$4:P28,SUBSTITUTE(P28,""_up"",""""))&lt;IFERRO"&amp;"R(VLOOKUP(P28,Upgrades!$L$3:$P$6,1+COUNTIF(P$4:P28,P28),0),999),1),IF(REGEXMATCH(P28,""Sell_""),IF(COUNTIF(P$4:P28,SUBSTITUTE(P28,""Sell_"",""""))-COUNTIF(P$4:P27,P28)&lt;1,1),FALSE)))))))))"),FALSE)</f>
        <v>0</v>
      </c>
      <c r="R28" s="71">
        <f>IFERROR(__xludf.DUMMYFUNCTION("IF(REGEXMATCH(P28,""^Sell_""),R27, IF(COUNTA(P28:P147)=0,"""",(COUNTIF(P$4:P28,""Cursor"")-COUNTIF(P$4:P28,""Sell_Cursor""))*(0.1*2^SWITCH(COUNTIF(P$4:P28,""Cursor_up""),0,0,1,1,2,2,3)+SWITCH(COUNTIF(P$4:P28,""Cursor_up""),4,0.1,0)*(ROW(P28)-4-COUNTIF(P$4"&amp;":P28,""Cursor"")-COUNTIF(P$4:P28,""*""&amp;""_up"")-2*COUNTIF(P$4:P28,""Sell_""&amp;""*"")+COUNTIF(P$4:P28,""Sell_Cursor"")-COUNTIF(P$4:P28,"""")))+(COUNTIF(P$4:P28,""Grandma"")-COUNTIF(P$4:P28,""Sell_Grandma""))*(1*2^(COUNTIF(P$4:P28,""Grandma_up"")+COUNTIF(P$4:"&amp;"P28,""Super_up"")))+(COUNTIF(P$4:P28,""Farm"")-COUNTIF(P$4:P28,""Sell_Farm""))*(8*2^COUNTIF(P$4:P28,""Farm_up""))*IF(COUNTIF(P$4:P28,""Super_up"")&gt;0,1+0.01*(COUNTIF(P$4:P28,""Grandma"")-COUNTIF(P$4:P28,""Sell_Grandma"")),1)+(COUNTIF(P$4:P28,""Mine"")-COUN"&amp;"TIF(P$4:P28,""Sell_Mine""))*((47*2^COUNTIF(P$4:P28,""Mine_up""))*IF(COUNTIF(P$4:P28,""Super_up"")&gt;1,1+0.005*(COUNTIF(P$4:P28,""Grandma"")-COUNTIF(P$4:P28,""Sell_Grandma"")),1))+(COUNTIF(P$4:P28,""Factory"")-COUNTIF(P$4:P28,""Sell_Factory""))*(260*2^COUNTI"&amp;"F(P$4:P28,""Factory_up""))))"),24.8)</f>
        <v>24.8</v>
      </c>
      <c r="S28" s="73">
        <f>IFERROR(__xludf.DUMMYFUNCTION("IF(COUNTA(P28:P147)=0,"""",IF(REGEXMATCH(INDEX(FILTER(P$4:P28,P$4:P28&lt;&gt;""""),ROWS(FILTER(P$4:P28,P$4:P28&lt;&gt;""""))),""^Sell_""),INDEX(FILTER(S$4:S27,P$4:P27&lt;&gt;""""),ROWS(FILTER(P$4:P27,P$4:P27&lt;&gt;""""))),$AD$5*(2^SWITCH(COUNTIF(P$4:P28,""Cursor_up""),0,0,1,1,2"&amp;",2,3)+SWITCH(COUNTIF(P$4:P28,""Cursor_up""),4,0.1,0)*(ROW(P28)-4-COUNTIF(P$4:P28,""Cursor"")-COUNTIF(P$4:P28,""*""&amp;""_up"")-2*COUNTIF(P$4:P28,""Sell_""&amp;""*"")+COUNTIF(P$4:P28,""Sell_Cursor"")-COUNTIF(P$4:P28,""""))+0.01*R28*COUNTIF(P$4:P28,""Plastic_up"")"&amp;")+R28))"),1624.8)</f>
        <v>1624.8</v>
      </c>
      <c r="T28" s="14">
        <f>IFERROR(__xludf.DUMMYFUNCTION("IF(COUNTA(P28:P147)=0,"""",IF(REGEXMATCH(P28,""_up""),VLOOKUP(P28,Upgrades!$F$3:$J$8,1+COUNTIF(P$4:P28,P28),FALSE),IF(P28="""",0,IF(REGEXMATCH(P28,""^Sell_""),-ROUNDDOWN(ROUNDUP(INDEX(Upgrades!$C$3:$C$8,MATCH(SUBSTITUTE(P28,""Sell_"",""""),Upgrades!$B$3:$"&amp;"B$8,0))*1.15^(COUNTIF(P$4:P27,SUBSTITUTE(P28,""Sell_"",""""))-COUNTIF(P$4:P27,""Sell_""&amp;SUBSTITUTE(P28,""Sell_"",""""))))/4),ROUNDUP(INDEX(Upgrades!$C$3:$C$7,MATCH(P28,Upgrades!$B$3:$B$7,0))*1.15^(COUNTIF(P$4:P27,P28)-COUNTIF(P$4:P27,""Sell_""&amp;P28)))))))"),123.0)</f>
        <v>123</v>
      </c>
      <c r="U28" s="14">
        <f t="shared" si="10"/>
        <v>123</v>
      </c>
      <c r="V28" s="75">
        <f t="shared" si="11"/>
        <v>293365.734</v>
      </c>
      <c r="W28" s="76">
        <f t="shared" si="12"/>
        <v>15.94987643</v>
      </c>
      <c r="X28" s="71" t="str">
        <f t="shared" si="13"/>
        <v>15s</v>
      </c>
      <c r="Y28" s="77">
        <f t="shared" si="14"/>
        <v>13044</v>
      </c>
      <c r="Z28" s="17"/>
      <c r="AA28" s="32" t="s">
        <v>20</v>
      </c>
      <c r="AB28" s="108" t="s">
        <v>75</v>
      </c>
      <c r="AC28" s="13"/>
      <c r="AD28" s="13"/>
      <c r="AE28" s="13"/>
      <c r="AF28" s="13"/>
      <c r="AG28" s="13"/>
    </row>
    <row r="29">
      <c r="A29" s="12"/>
      <c r="B29" s="65">
        <f t="shared" si="2"/>
        <v>1</v>
      </c>
      <c r="C29" s="66" t="s">
        <v>13</v>
      </c>
      <c r="D29" s="14" t="b">
        <f>IFERROR(__xludf.DUMMYFUNCTION("IF(COUNTA(C29:C147)=0,"""",IFERROR(IF(ISBLANK(C29),FALSE,IF(ISBLANK(G29),1,IF(NOT(COUNTIF($AA$24:$AA$34,SUBSTITUTE(C29,""Sell_"",""""))),1,IF(C29=""Plastic_up"",IF(I29&lt;1000,1),IF(C29=""Super_Up"",IF(OR(COUNTIF(C$4:C29,""Grandma"")-COUNTIF(C$4:C29,""Sell_G"&amp;"randma"")&lt;1,COUNTIF(C$4:C29,VLOOKUP(C29,Upgrades!$F$8:$N$8,7+COUNTIF(C$4:C29,C29)))-COUNTIF(C$4:C29,""Sell_""&amp;VLOOKUP(C29,Upgrades!$F$8:$N$8,7+COUNTIF(C$4:C29,C29)))&lt;15),1),IF(REGEXMATCH(C29,""_up""),IF(COUNTIF(C$4:C29,SUBSTITUTE(C29,""_up"",""""))&lt;IFERRO"&amp;"R(VLOOKUP(C29,Upgrades!$L$3:$P$6,1+COUNTIF(C$4:C29,C29),0),999),1),IF(REGEXMATCH(C29,""Sell_""),IF(COUNTIF(C$4:C29,SUBSTITUTE(C29,""Sell_"",""""))-COUNTIF(C$4:C28,C29)&lt;1,1),FALSE)))))))))"),FALSE)</f>
        <v>0</v>
      </c>
      <c r="E29" s="71">
        <f>IFERROR(__xludf.DUMMYFUNCTION("IF(REGEXMATCH(C29,""^Sell_""),E28, IF(COUNTA(C29:C147)=0,"""",(COUNTIF(C$4:C29,""Cursor"")-COUNTIF(C$4:C29,""Sell_Cursor""))*(0.1*2^SWITCH(COUNTIF(C$4:C29,""Cursor_up""),0,0,1,1,2,2,3)+SWITCH(COUNTIF(C$4:C29,""Cursor_up""),4,0.1,0)*(ROW(C29)-4-COUNTIF(C$4"&amp;":C29,""Cursor"")-COUNTIF(C$4:C29,""*""&amp;""_up"")-2*COUNTIF(C$4:C29,""Sell_""&amp;""*"")+COUNTIF(C$4:C29,""Sell_Cursor"")-COUNTIF(C$4:C29,"""")))+(COUNTIF(C$4:C29,""Grandma"")-COUNTIF(C$4:C29,""Sell_Grandma""))*(1*2^(COUNTIF(C$4:C29,""Grandma_up"")+COUNTIF(C$4:"&amp;"C29,""Super_up"")))+(COUNTIF(C$4:C29,""Farm"")-COUNTIF(C$4:C29,""Sell_Farm""))*(8*2^COUNTIF(C$4:C29,""Farm_up""))*IF(COUNTIF(C$4:C29,""Super_up"")&gt;0,1+0.01*(COUNTIF(C$4:C29,""Grandma"")-COUNTIF(C$4:C29,""Sell_Grandma"")),1)+(COUNTIF(C$4:C29,""Mine"")-COUN"&amp;"TIF(C$4:C29,""Sell_Mine""))*((47*2^COUNTIF(C$4:C29,""Mine_up""))*IF(COUNTIF(C$4:C29,""Super_up"")&gt;1,1+0.005*(COUNTIF(C$4:C29,""Grandma"")-COUNTIF(C$4:C29,""Sell_Grandma"")),1))+(COUNTIF(C$4:C29,""Factory"")-COUNTIF(C$4:C29,""Sell_Factory""))*(260*2^COUNTI"&amp;"F(C$4:C29,""Factory_up""))))"),17.8)</f>
        <v>17.8</v>
      </c>
      <c r="F29" s="73">
        <f>IFERROR(__xludf.DUMMYFUNCTION("IF(COUNTA(C29:C147)=0,"""",IF(REGEXMATCH(INDEX(FILTER(C$4:C29,C$4:C29&lt;&gt;""""),ROWS(FILTER(C$4:C29,C$4:C29&lt;&gt;""""))),""^Sell_""),INDEX(FILTER(F$4:F28,C$4:C28&lt;&gt;""""),ROWS(FILTER(C$4:C28,C$4:C28&lt;&gt;""""))),$AC$5*(2^SWITCH(COUNTIF(C$4:C29,""Cursor_up""),0,0,1,1,2"&amp;",2,3)+SWITCH(COUNTIF(C$4:C29,""Cursor_up""),4,0.1,0)*(ROW(C29)-4-COUNTIF(C$4:C29,""Cursor"")-COUNTIF(C$4:C29,""*""&amp;""_up"")-2*COUNTIF(C$4:C29,""Sell_""&amp;""*"")+COUNTIF(C$4:C29,""Sell_Cursor"")-COUNTIF(C$4:C29,""""))+0.01*E29*COUNTIF(C$4:C29,""Plastic_up"")"&amp;")+E29))"),1617.8)</f>
        <v>1617.8</v>
      </c>
      <c r="G29" s="14">
        <f>IFERROR(__xludf.DUMMYFUNCTION("IF(COUNTA(C29:C147)=0,"""",IF(REGEXMATCH(C29,""_up""),VLOOKUP(C29,Upgrades!$F$3:$J$8,1+COUNTIF(C$4:C29,C29),FALSE),IF(C29="""",0,IF(REGEXMATCH(C29,""^Sell_""),-ROUNDDOWN(ROUNDUP(INDEX(Upgrades!$C$3:$C$8,MATCH(SUBSTITUTE(C29,""Sell_"",""""),Upgrades!$B$3:$"&amp;"B$8,0))*1.15^(COUNTIF(C$4:C28,SUBSTITUTE(C29,""Sell_"",""""))-COUNTIF(C$4:C28,""Sell_""&amp;SUBSTITUTE(C29,""Sell_"",""""))))/4),ROUNDUP(INDEX(Upgrades!$C$3:$C$7,MATCH(C29,Upgrades!$B$3:$B$7,0))*1.15^(COUNTIF(C$4:C28,C29)-COUNTIF(C$4:C28,""Sell_""&amp;C29)))))))"),100.0)</f>
        <v>100</v>
      </c>
      <c r="H29" s="14">
        <f t="shared" si="3"/>
        <v>100</v>
      </c>
      <c r="I29" s="75">
        <f t="shared" si="4"/>
        <v>295137.9486</v>
      </c>
      <c r="J29" s="76">
        <f t="shared" si="5"/>
        <v>15.64069891</v>
      </c>
      <c r="K29" s="71" t="str">
        <f t="shared" si="6"/>
        <v>15s</v>
      </c>
      <c r="L29" s="77">
        <f t="shared" si="7"/>
        <v>12492</v>
      </c>
      <c r="M29" s="51">
        <f t="shared" si="8"/>
        <v>-0.03172</v>
      </c>
      <c r="N29" s="52">
        <f>IFERROR(__xludf.DUMMYFUNCTION("IFS(AND(COUNTA(C29:C147)=0,COUNTA(P29:P147)=0),"""",OR(AND(L29&gt;=1000000,OR(Y29&gt;=1000000,COUNTA(P29:P147)=0)),AND(Y29&gt;=1000000,COUNTA(C29:C147)=0),AND(COUNTA(P29:P147)=0,O$3=TRUE)),
ROUNDDOWN((AB$1-AC$1)*MAX(INDEX(S$4:S147,MATCH(LARGE(FILTER(Y$4:Y147,Y$4:Y"&amp;"147&lt;1000000),1),Y$4:Y147)),INDEX(F$4:F147,MATCH(LARGE(FILTER(L$4:L147,L$4:L147&lt;1000000),1),L$4:L147)))),AND(L29&lt;1000000,COUNTA(C29:C147)&gt;0,O$3=FALSE),
ROUNDDOWN(INDEX(Y$4:Y147,MATCH(LARGE(FILTER(W$4:W147,W$4:W147&lt;=J29),1),W$4:W147))+(J29-LARGE(FILTER(W$4:"&amp;"W147,W$4:W147&lt;=J29),1))*INDEX(S$4:S147,MATCH(LARGE(FILTER(W$4:W147,W$4:W147&lt;=J29),1),W$4:W147))-L29),1,
ROUNDDOWN(Y29-INDEX(L$4:L147,MATCH(LARGE(FILTER(J$4:J147,J$4:J147&lt;=W29),1),J$4:J147))-(W29-LARGE(FILTER(J$4:J147,J$4:J147&lt;=W29),1))*INDEX(F$4:F147,MATC"&amp;"H(LARGE(FILTER(J$4:J147,J$4:J147&lt;=W29),1),J$4:J147))))"),51.0)</f>
        <v>51</v>
      </c>
      <c r="O29" s="65">
        <f t="shared" si="9"/>
        <v>2</v>
      </c>
      <c r="P29" s="15" t="s">
        <v>16</v>
      </c>
      <c r="Q29" s="14" t="b">
        <f>IFERROR(__xludf.DUMMYFUNCTION("IF(COUNTA(P29:P147)=0,"""",IFERROR(IF(ISBLANK(P29),FALSE,IF(ISBLANK(T29),1,IF(NOT(COUNTIF($AA$24:$AA$34,SUBSTITUTE(P29,""Sell_"",""""))),1,IF(P29=""Plastic_up"",IF(V29&lt;1000,1),IF(P29=""Super_Up"",IF(OR(COUNTIF(P$4:P29,""Grandma"")-COUNTIF(P$4:P29,""Sell_G"&amp;"randma"")&lt;1,COUNTIF(P$4:P29,VLOOKUP(P29,Upgrades!$F$8:$N$8,7+COUNTIF(P$4:P29,P29)))-COUNTIF(P$4:P29,""Sell_""&amp;VLOOKUP(P29,Upgrades!$F$8:$N$8,7+COUNTIF(P$4:P29,P29)))&lt;15),1),IF(REGEXMATCH(P29,""_up""),IF(COUNTIF(P$4:P29,SUBSTITUTE(P29,""_up"",""""))&lt;IFERRO"&amp;"R(VLOOKUP(P29,Upgrades!$L$3:$P$6,1+COUNTIF(P$4:P29,P29),0),999),1),IF(REGEXMATCH(P29,""Sell_""),IF(COUNTIF(P$4:P29,SUBSTITUTE(P29,""Sell_"",""""))-COUNTIF(P$4:P28,P29)&lt;1,1),FALSE)))))))))"),FALSE)</f>
        <v>0</v>
      </c>
      <c r="R29" s="71">
        <f>IFERROR(__xludf.DUMMYFUNCTION("IF(REGEXMATCH(P29,""^Sell_""),R28, IF(COUNTA(P29:P147)=0,"""",(COUNTIF(P$4:P29,""Cursor"")-COUNTIF(P$4:P29,""Sell_Cursor""))*(0.1*2^SWITCH(COUNTIF(P$4:P29,""Cursor_up""),0,0,1,1,2,2,3)+SWITCH(COUNTIF(P$4:P29,""Cursor_up""),4,0.1,0)*(ROW(P29)-4-COUNTIF(P$4"&amp;":P29,""Cursor"")-COUNTIF(P$4:P29,""*""&amp;""_up"")-2*COUNTIF(P$4:P29,""Sell_""&amp;""*"")+COUNTIF(P$4:P29,""Sell_Cursor"")-COUNTIF(P$4:P29,"""")))+(COUNTIF(P$4:P29,""Grandma"")-COUNTIF(P$4:P29,""Sell_Grandma""))*(1*2^(COUNTIF(P$4:P29,""Grandma_up"")+COUNTIF(P$4:"&amp;"P29,""Super_up"")))+(COUNTIF(P$4:P29,""Farm"")-COUNTIF(P$4:P29,""Sell_Farm""))*(8*2^COUNTIF(P$4:P29,""Farm_up""))*IF(COUNTIF(P$4:P29,""Super_up"")&gt;0,1+0.01*(COUNTIF(P$4:P29,""Grandma"")-COUNTIF(P$4:P29,""Sell_Grandma"")),1)+(COUNTIF(P$4:P29,""Mine"")-COUN"&amp;"TIF(P$4:P29,""Sell_Mine""))*((47*2^COUNTIF(P$4:P29,""Mine_up""))*IF(COUNTIF(P$4:P29,""Super_up"")&gt;1,1+0.005*(COUNTIF(P$4:P29,""Grandma"")-COUNTIF(P$4:P29,""Sell_Grandma"")),1))+(COUNTIF(P$4:P29,""Factory"")-COUNTIF(P$4:P29,""Sell_Factory""))*(260*2^COUNTI"&amp;"F(P$4:P29,""Factory_up""))))"),32.8)</f>
        <v>32.8</v>
      </c>
      <c r="S29" s="73">
        <f>IFERROR(__xludf.DUMMYFUNCTION("IF(COUNTA(P29:P147)=0,"""",IF(REGEXMATCH(INDEX(FILTER(P$4:P29,P$4:P29&lt;&gt;""""),ROWS(FILTER(P$4:P29,P$4:P29&lt;&gt;""""))),""^Sell_""),INDEX(FILTER(S$4:S28,P$4:P28&lt;&gt;""""),ROWS(FILTER(P$4:P28,P$4:P28&lt;&gt;""""))),$AD$5*(2^SWITCH(COUNTIF(P$4:P29,""Cursor_up""),0,0,1,1,2"&amp;",2,3)+SWITCH(COUNTIF(P$4:P29,""Cursor_up""),4,0.1,0)*(ROW(P29)-4-COUNTIF(P$4:P29,""Cursor"")-COUNTIF(P$4:P29,""*""&amp;""_up"")-2*COUNTIF(P$4:P29,""Sell_""&amp;""*"")+COUNTIF(P$4:P29,""Sell_Cursor"")-COUNTIF(P$4:P29,""""))+0.01*R29*COUNTIF(P$4:P29,""Plastic_up"")"&amp;")+R29))"),1632.8)</f>
        <v>1632.8</v>
      </c>
      <c r="T29" s="14">
        <f>IFERROR(__xludf.DUMMYFUNCTION("IF(COUNTA(P29:P147)=0,"""",IF(REGEXMATCH(P29,""_up""),VLOOKUP(P29,Upgrades!$F$3:$J$8,1+COUNTIF(P$4:P29,P29),FALSE),IF(P29="""",0,IF(REGEXMATCH(P29,""^Sell_""),-ROUNDDOWN(ROUNDUP(INDEX(Upgrades!$C$3:$C$8,MATCH(SUBSTITUTE(P29,""Sell_"",""""),Upgrades!$B$3:$"&amp;"B$8,0))*1.15^(COUNTIF(P$4:P28,SUBSTITUTE(P29,""Sell_"",""""))-COUNTIF(P$4:P28,""Sell_""&amp;SUBSTITUTE(P29,""Sell_"",""""))))/4),ROUNDUP(INDEX(Upgrades!$C$3:$C$7,MATCH(P29,Upgrades!$B$3:$B$7,0))*1.15^(COUNTIF(P$4:P28,P29)-COUNTIF(P$4:P28,""Sell_""&amp;P29)))))))"),1265.0)</f>
        <v>1265</v>
      </c>
      <c r="U29" s="14">
        <f t="shared" si="10"/>
        <v>1265</v>
      </c>
      <c r="V29" s="75">
        <f t="shared" si="11"/>
        <v>320131.228</v>
      </c>
      <c r="W29" s="76">
        <f t="shared" si="12"/>
        <v>16.7284338</v>
      </c>
      <c r="X29" s="71" t="str">
        <f t="shared" si="13"/>
        <v>16s</v>
      </c>
      <c r="Y29" s="77">
        <f t="shared" si="14"/>
        <v>14309</v>
      </c>
      <c r="Z29" s="17"/>
      <c r="AA29" s="32" t="s">
        <v>11</v>
      </c>
      <c r="AB29" s="108" t="s">
        <v>76</v>
      </c>
      <c r="AC29" s="13"/>
      <c r="AD29" s="13"/>
      <c r="AE29" s="13"/>
      <c r="AF29" s="13"/>
    </row>
    <row r="30">
      <c r="A30" s="12"/>
      <c r="B30" s="65">
        <f t="shared" si="2"/>
        <v>2</v>
      </c>
      <c r="C30" s="66" t="s">
        <v>13</v>
      </c>
      <c r="D30" s="14" t="b">
        <f>IFERROR(__xludf.DUMMYFUNCTION("IF(COUNTA(C30:C147)=0,"""",IFERROR(IF(ISBLANK(C30),FALSE,IF(ISBLANK(G30),1,IF(NOT(COUNTIF($AA$24:$AA$34,SUBSTITUTE(C30,""Sell_"",""""))),1,IF(C30=""Plastic_up"",IF(I30&lt;1000,1),IF(C30=""Super_Up"",IF(OR(COUNTIF(C$4:C30,""Grandma"")-COUNTIF(C$4:C30,""Sell_G"&amp;"randma"")&lt;1,COUNTIF(C$4:C30,VLOOKUP(C30,Upgrades!$F$8:$N$8,7+COUNTIF(C$4:C30,C30)))-COUNTIF(C$4:C30,""Sell_""&amp;VLOOKUP(C30,Upgrades!$F$8:$N$8,7+COUNTIF(C$4:C30,C30)))&lt;15),1),IF(REGEXMATCH(C30,""_up""),IF(COUNTIF(C$4:C30,SUBSTITUTE(C30,""_up"",""""))&lt;IFERRO"&amp;"R(VLOOKUP(C30,Upgrades!$L$3:$P$6,1+COUNTIF(C$4:C30,C30),0),999),1),IF(REGEXMATCH(C30,""Sell_""),IF(COUNTIF(C$4:C30,SUBSTITUTE(C30,""Sell_"",""""))-COUNTIF(C$4:C29,C30)&lt;1,1),FALSE)))))))))"),FALSE)</f>
        <v>0</v>
      </c>
      <c r="E30" s="71">
        <f>IFERROR(__xludf.DUMMYFUNCTION("IF(REGEXMATCH(C30,""^Sell_""),E29, IF(COUNTA(C30:C147)=0,"""",(COUNTIF(C$4:C30,""Cursor"")-COUNTIF(C$4:C30,""Sell_Cursor""))*(0.1*2^SWITCH(COUNTIF(C$4:C30,""Cursor_up""),0,0,1,1,2,2,3)+SWITCH(COUNTIF(C$4:C30,""Cursor_up""),4,0.1,0)*(ROW(C30)-4-COUNTIF(C$4"&amp;":C30,""Cursor"")-COUNTIF(C$4:C30,""*""&amp;""_up"")-2*COUNTIF(C$4:C30,""Sell_""&amp;""*"")+COUNTIF(C$4:C30,""Sell_Cursor"")-COUNTIF(C$4:C30,"""")))+(COUNTIF(C$4:C30,""Grandma"")-COUNTIF(C$4:C30,""Sell_Grandma""))*(1*2^(COUNTIF(C$4:C30,""Grandma_up"")+COUNTIF(C$4:"&amp;"C30,""Super_up"")))+(COUNTIF(C$4:C30,""Farm"")-COUNTIF(C$4:C30,""Sell_Farm""))*(8*2^COUNTIF(C$4:C30,""Farm_up""))*IF(COUNTIF(C$4:C30,""Super_up"")&gt;0,1+0.01*(COUNTIF(C$4:C30,""Grandma"")-COUNTIF(C$4:C30,""Sell_Grandma"")),1)+(COUNTIF(C$4:C30,""Mine"")-COUN"&amp;"TIF(C$4:C30,""Sell_Mine""))*((47*2^COUNTIF(C$4:C30,""Mine_up""))*IF(COUNTIF(C$4:C30,""Super_up"")&gt;1,1+0.005*(COUNTIF(C$4:C30,""Grandma"")-COUNTIF(C$4:C30,""Sell_Grandma"")),1))+(COUNTIF(C$4:C30,""Factory"")-COUNTIF(C$4:C30,""Sell_Factory""))*(260*2^COUNTI"&amp;"F(C$4:C30,""Factory_up""))))"),18.8)</f>
        <v>18.8</v>
      </c>
      <c r="F30" s="73">
        <f>IFERROR(__xludf.DUMMYFUNCTION("IF(COUNTA(C30:C147)=0,"""",IF(REGEXMATCH(INDEX(FILTER(C$4:C30,C$4:C30&lt;&gt;""""),ROWS(FILTER(C$4:C30,C$4:C30&lt;&gt;""""))),""^Sell_""),INDEX(FILTER(F$4:F29,C$4:C29&lt;&gt;""""),ROWS(FILTER(C$4:C29,C$4:C29&lt;&gt;""""))),$AC$5*(2^SWITCH(COUNTIF(C$4:C30,""Cursor_up""),0,0,1,1,2"&amp;",2,3)+SWITCH(COUNTIF(C$4:C30,""Cursor_up""),4,0.1,0)*(ROW(C30)-4-COUNTIF(C$4:C30,""Cursor"")-COUNTIF(C$4:C30,""*""&amp;""_up"")-2*COUNTIF(C$4:C30,""Sell_""&amp;""*"")+COUNTIF(C$4:C30,""Sell_Cursor"")-COUNTIF(C$4:C30,""""))+0.01*E30*COUNTIF(C$4:C30,""Plastic_up"")"&amp;")+E30))"),1618.8)</f>
        <v>1618.8</v>
      </c>
      <c r="G30" s="14">
        <f>IFERROR(__xludf.DUMMYFUNCTION("IF(COUNTA(C30:C147)=0,"""",IF(REGEXMATCH(C30,""_up""),VLOOKUP(C30,Upgrades!$F$3:$J$8,1+COUNTIF(C$4:C30,C30),FALSE),IF(C30="""",0,IF(REGEXMATCH(C30,""^Sell_""),-ROUNDDOWN(ROUNDUP(INDEX(Upgrades!$C$3:$C$8,MATCH(SUBSTITUTE(C30,""Sell_"",""""),Upgrades!$B$3:$"&amp;"B$8,0))*1.15^(COUNTIF(C$4:C29,SUBSTITUTE(C30,""Sell_"",""""))-COUNTIF(C$4:C29,""Sell_""&amp;SUBSTITUTE(C30,""Sell_"",""""))))/4),ROUNDUP(INDEX(Upgrades!$C$3:$C$7,MATCH(C30,Upgrades!$B$3:$B$7,0))*1.15^(COUNTIF(C$4:C29,C30)-COUNTIF(C$4:C29,""Sell_""&amp;C30)))))))"),115.0)</f>
        <v>115</v>
      </c>
      <c r="H30" s="14">
        <f t="shared" si="3"/>
        <v>115</v>
      </c>
      <c r="I30" s="75">
        <f t="shared" si="4"/>
        <v>320276.8015</v>
      </c>
      <c r="J30" s="76">
        <f t="shared" si="5"/>
        <v>15.7117831</v>
      </c>
      <c r="K30" s="71" t="str">
        <f t="shared" si="6"/>
        <v>15s</v>
      </c>
      <c r="L30" s="77">
        <f t="shared" si="7"/>
        <v>12607</v>
      </c>
      <c r="M30" s="51">
        <f t="shared" si="8"/>
        <v>-0.0316</v>
      </c>
      <c r="N30" s="52">
        <f>IFERROR(__xludf.DUMMYFUNCTION("IFS(AND(COUNTA(C30:C147)=0,COUNTA(P30:P147)=0),"""",OR(AND(L30&gt;=1000000,OR(Y30&gt;=1000000,COUNTA(P30:P147)=0)),AND(Y30&gt;=1000000,COUNTA(C30:C147)=0),AND(COUNTA(P30:P147)=0,O$3=TRUE)),
ROUNDDOWN((AB$1-AC$1)*MAX(INDEX(S$4:S147,MATCH(LARGE(FILTER(Y$4:Y147,Y$4:Y"&amp;"147&lt;1000000),1),Y$4:Y147)),INDEX(F$4:F147,MATCH(LARGE(FILTER(L$4:L147,L$4:L147&lt;1000000),1),L$4:L147)))),AND(L30&lt;1000000,COUNTA(C30:C147)&gt;0,O$3=FALSE),
ROUNDDOWN(INDEX(Y$4:Y147,MATCH(LARGE(FILTER(W$4:W147,W$4:W147&lt;=J30),1),W$4:W147))+(J30-LARGE(FILTER(W$4:"&amp;"W147,W$4:W147&lt;=J30),1))*INDEX(S$4:S147,MATCH(LARGE(FILTER(W$4:W147,W$4:W147&lt;=J30),1),W$4:W147))-L30),1,
ROUNDDOWN(Y30-INDEX(L$4:L147,MATCH(LARGE(FILTER(J$4:J147,J$4:J147&lt;=W30),1),J$4:J147))-(W30-LARGE(FILTER(J$4:J147,J$4:J147&lt;=W30),1))*INDEX(F$4:F147,MATC"&amp;"H(LARGE(FILTER(J$4:J147,J$4:J147&lt;=W30),1),J$4:J147))))"),51.0)</f>
        <v>51</v>
      </c>
      <c r="O30" s="65">
        <f t="shared" si="9"/>
        <v>5</v>
      </c>
      <c r="P30" s="15" t="s">
        <v>13</v>
      </c>
      <c r="Q30" s="14" t="b">
        <f>IFERROR(__xludf.DUMMYFUNCTION("IF(COUNTA(P30:P147)=0,"""",IFERROR(IF(ISBLANK(P30),FALSE,IF(ISBLANK(T30),1,IF(NOT(COUNTIF($AA$24:$AA$34,SUBSTITUTE(P30,""Sell_"",""""))),1,IF(P30=""Plastic_up"",IF(V30&lt;1000,1),IF(P30=""Super_Up"",IF(OR(COUNTIF(P$4:P30,""Grandma"")-COUNTIF(P$4:P30,""Sell_G"&amp;"randma"")&lt;1,COUNTIF(P$4:P30,VLOOKUP(P30,Upgrades!$F$8:$N$8,7+COUNTIF(P$4:P30,P30)))-COUNTIF(P$4:P30,""Sell_""&amp;VLOOKUP(P30,Upgrades!$F$8:$N$8,7+COUNTIF(P$4:P30,P30)))&lt;15),1),IF(REGEXMATCH(P30,""_up""),IF(COUNTIF(P$4:P30,SUBSTITUTE(P30,""_up"",""""))&lt;IFERRO"&amp;"R(VLOOKUP(P30,Upgrades!$L$3:$P$6,1+COUNTIF(P$4:P30,P30),0),999),1),IF(REGEXMATCH(P30,""Sell_""),IF(COUNTIF(P$4:P30,SUBSTITUTE(P30,""Sell_"",""""))-COUNTIF(P$4:P29,P30)&lt;1,1),FALSE)))))))))"),FALSE)</f>
        <v>0</v>
      </c>
      <c r="R30" s="71">
        <f>IFERROR(__xludf.DUMMYFUNCTION("IF(REGEXMATCH(P30,""^Sell_""),R29, IF(COUNTA(P30:P147)=0,"""",(COUNTIF(P$4:P30,""Cursor"")-COUNTIF(P$4:P30,""Sell_Cursor""))*(0.1*2^SWITCH(COUNTIF(P$4:P30,""Cursor_up""),0,0,1,1,2,2,3)+SWITCH(COUNTIF(P$4:P30,""Cursor_up""),4,0.1,0)*(ROW(P30)-4-COUNTIF(P$4"&amp;":P30,""Cursor"")-COUNTIF(P$4:P30,""*""&amp;""_up"")-2*COUNTIF(P$4:P30,""Sell_""&amp;""*"")+COUNTIF(P$4:P30,""Sell_Cursor"")-COUNTIF(P$4:P30,"""")))+(COUNTIF(P$4:P30,""Grandma"")-COUNTIF(P$4:P30,""Sell_Grandma""))*(1*2^(COUNTIF(P$4:P30,""Grandma_up"")+COUNTIF(P$4:"&amp;"P30,""Super_up"")))+(COUNTIF(P$4:P30,""Farm"")-COUNTIF(P$4:P30,""Sell_Farm""))*(8*2^COUNTIF(P$4:P30,""Farm_up""))*IF(COUNTIF(P$4:P30,""Super_up"")&gt;0,1+0.01*(COUNTIF(P$4:P30,""Grandma"")-COUNTIF(P$4:P30,""Sell_Grandma"")),1)+(COUNTIF(P$4:P30,""Mine"")-COUN"&amp;"TIF(P$4:P30,""Sell_Mine""))*((47*2^COUNTIF(P$4:P30,""Mine_up""))*IF(COUNTIF(P$4:P30,""Super_up"")&gt;1,1+0.005*(COUNTIF(P$4:P30,""Grandma"")-COUNTIF(P$4:P30,""Sell_Grandma"")),1))+(COUNTIF(P$4:P30,""Factory"")-COUNTIF(P$4:P30,""Sell_Factory""))*(260*2^COUNTI"&amp;"F(P$4:P30,""Factory_up""))))"),33.8)</f>
        <v>33.8</v>
      </c>
      <c r="S30" s="73">
        <f>IFERROR(__xludf.DUMMYFUNCTION("IF(COUNTA(P30:P147)=0,"""",IF(REGEXMATCH(INDEX(FILTER(P$4:P30,P$4:P30&lt;&gt;""""),ROWS(FILTER(P$4:P30,P$4:P30&lt;&gt;""""))),""^Sell_""),INDEX(FILTER(S$4:S29,P$4:P29&lt;&gt;""""),ROWS(FILTER(P$4:P29,P$4:P29&lt;&gt;""""))),$AD$5*(2^SWITCH(COUNTIF(P$4:P30,""Cursor_up""),0,0,1,1,2"&amp;",2,3)+SWITCH(COUNTIF(P$4:P30,""Cursor_up""),4,0.1,0)*(ROW(P30)-4-COUNTIF(P$4:P30,""Cursor"")-COUNTIF(P$4:P30,""*""&amp;""_up"")-2*COUNTIF(P$4:P30,""Sell_""&amp;""*"")+COUNTIF(P$4:P30,""Sell_Cursor"")-COUNTIF(P$4:P30,""""))+0.01*R30*COUNTIF(P$4:P30,""Plastic_up"")"&amp;")+R30))"),1633.8)</f>
        <v>1633.8</v>
      </c>
      <c r="T30" s="14">
        <f>IFERROR(__xludf.DUMMYFUNCTION("IF(COUNTA(P30:P147)=0,"""",IF(REGEXMATCH(P30,""_up""),VLOOKUP(P30,Upgrades!$F$3:$J$8,1+COUNTIF(P$4:P30,P30),FALSE),IF(P30="""",0,IF(REGEXMATCH(P30,""^Sell_""),-ROUNDDOWN(ROUNDUP(INDEX(Upgrades!$C$3:$C$8,MATCH(SUBSTITUTE(P30,""Sell_"",""""),Upgrades!$B$3:$"&amp;"B$8,0))*1.15^(COUNTIF(P$4:P29,SUBSTITUTE(P30,""Sell_"",""""))-COUNTIF(P$4:P29,""Sell_""&amp;SUBSTITUTE(P30,""Sell_"",""""))))/4),ROUNDUP(INDEX(Upgrades!$C$3:$C$7,MATCH(P30,Upgrades!$B$3:$B$7,0))*1.15^(COUNTIF(P$4:P29,P30)-COUNTIF(P$4:P29,""Sell_""&amp;P30)))))))"),175.0)</f>
        <v>175</v>
      </c>
      <c r="U30" s="14">
        <f t="shared" si="10"/>
        <v>175</v>
      </c>
      <c r="V30" s="75">
        <f t="shared" si="11"/>
        <v>347068.2067</v>
      </c>
      <c r="W30" s="76">
        <f t="shared" si="12"/>
        <v>16.83561165</v>
      </c>
      <c r="X30" s="71" t="str">
        <f t="shared" si="13"/>
        <v>16s</v>
      </c>
      <c r="Y30" s="77">
        <f t="shared" si="14"/>
        <v>14484</v>
      </c>
      <c r="Z30" s="17"/>
      <c r="AA30" s="32" t="s">
        <v>14</v>
      </c>
      <c r="AB30" s="108" t="s">
        <v>77</v>
      </c>
      <c r="AC30" s="13"/>
      <c r="AD30" s="13"/>
      <c r="AE30" s="13"/>
      <c r="AG30" s="13"/>
    </row>
    <row r="31">
      <c r="A31" s="12"/>
      <c r="B31" s="65">
        <f t="shared" si="2"/>
        <v>3</v>
      </c>
      <c r="C31" s="66" t="s">
        <v>13</v>
      </c>
      <c r="D31" s="14" t="b">
        <f>IFERROR(__xludf.DUMMYFUNCTION("IF(COUNTA(C31:C147)=0,"""",IFERROR(IF(ISBLANK(C31),FALSE,IF(ISBLANK(G31),1,IF(NOT(COUNTIF($AA$24:$AA$34,SUBSTITUTE(C31,""Sell_"",""""))),1,IF(C31=""Plastic_up"",IF(I31&lt;1000,1),IF(C31=""Super_Up"",IF(OR(COUNTIF(C$4:C31,""Grandma"")-COUNTIF(C$4:C31,""Sell_G"&amp;"randma"")&lt;1,COUNTIF(C$4:C31,VLOOKUP(C31,Upgrades!$F$8:$N$8,7+COUNTIF(C$4:C31,C31)))-COUNTIF(C$4:C31,""Sell_""&amp;VLOOKUP(C31,Upgrades!$F$8:$N$8,7+COUNTIF(C$4:C31,C31)))&lt;15),1),IF(REGEXMATCH(C31,""_up""),IF(COUNTIF(C$4:C31,SUBSTITUTE(C31,""_up"",""""))&lt;IFERRO"&amp;"R(VLOOKUP(C31,Upgrades!$L$3:$P$6,1+COUNTIF(C$4:C31,C31),0),999),1),IF(REGEXMATCH(C31,""Sell_""),IF(COUNTIF(C$4:C31,SUBSTITUTE(C31,""Sell_"",""""))-COUNTIF(C$4:C30,C31)&lt;1,1),FALSE)))))))))"),FALSE)</f>
        <v>0</v>
      </c>
      <c r="E31" s="71">
        <f>IFERROR(__xludf.DUMMYFUNCTION("IF(REGEXMATCH(C31,""^Sell_""),E30, IF(COUNTA(C31:C147)=0,"""",(COUNTIF(C$4:C31,""Cursor"")-COUNTIF(C$4:C31,""Sell_Cursor""))*(0.1*2^SWITCH(COUNTIF(C$4:C31,""Cursor_up""),0,0,1,1,2,2,3)+SWITCH(COUNTIF(C$4:C31,""Cursor_up""),4,0.1,0)*(ROW(C31)-4-COUNTIF(C$4"&amp;":C31,""Cursor"")-COUNTIF(C$4:C31,""*""&amp;""_up"")-2*COUNTIF(C$4:C31,""Sell_""&amp;""*"")+COUNTIF(C$4:C31,""Sell_Cursor"")-COUNTIF(C$4:C31,"""")))+(COUNTIF(C$4:C31,""Grandma"")-COUNTIF(C$4:C31,""Sell_Grandma""))*(1*2^(COUNTIF(C$4:C31,""Grandma_up"")+COUNTIF(C$4:"&amp;"C31,""Super_up"")))+(COUNTIF(C$4:C31,""Farm"")-COUNTIF(C$4:C31,""Sell_Farm""))*(8*2^COUNTIF(C$4:C31,""Farm_up""))*IF(COUNTIF(C$4:C31,""Super_up"")&gt;0,1+0.01*(COUNTIF(C$4:C31,""Grandma"")-COUNTIF(C$4:C31,""Sell_Grandma"")),1)+(COUNTIF(C$4:C31,""Mine"")-COUN"&amp;"TIF(C$4:C31,""Sell_Mine""))*((47*2^COUNTIF(C$4:C31,""Mine_up""))*IF(COUNTIF(C$4:C31,""Super_up"")&gt;1,1+0.005*(COUNTIF(C$4:C31,""Grandma"")-COUNTIF(C$4:C31,""Sell_Grandma"")),1))+(COUNTIF(C$4:C31,""Factory"")-COUNTIF(C$4:C31,""Sell_Factory""))*(260*2^COUNTI"&amp;"F(C$4:C31,""Factory_up""))))"),19.8)</f>
        <v>19.8</v>
      </c>
      <c r="F31" s="73">
        <f>IFERROR(__xludf.DUMMYFUNCTION("IF(COUNTA(C31:C147)=0,"""",IF(REGEXMATCH(INDEX(FILTER(C$4:C31,C$4:C31&lt;&gt;""""),ROWS(FILTER(C$4:C31,C$4:C31&lt;&gt;""""))),""^Sell_""),INDEX(FILTER(F$4:F30,C$4:C30&lt;&gt;""""),ROWS(FILTER(C$4:C30,C$4:C30&lt;&gt;""""))),$AC$5*(2^SWITCH(COUNTIF(C$4:C31,""Cursor_up""),0,0,1,1,2"&amp;",2,3)+SWITCH(COUNTIF(C$4:C31,""Cursor_up""),4,0.1,0)*(ROW(C31)-4-COUNTIF(C$4:C31,""Cursor"")-COUNTIF(C$4:C31,""*""&amp;""_up"")-2*COUNTIF(C$4:C31,""Sell_""&amp;""*"")+COUNTIF(C$4:C31,""Sell_Cursor"")-COUNTIF(C$4:C31,""""))+0.01*E31*COUNTIF(C$4:C31,""Plastic_up"")"&amp;")+E31))"),1619.8)</f>
        <v>1619.8</v>
      </c>
      <c r="G31" s="14">
        <f>IFERROR(__xludf.DUMMYFUNCTION("IF(COUNTA(C31:C147)=0,"""",IF(REGEXMATCH(C31,""_up""),VLOOKUP(C31,Upgrades!$F$3:$J$8,1+COUNTIF(C$4:C31,C31),FALSE),IF(C31="""",0,IF(REGEXMATCH(C31,""^Sell_""),-ROUNDDOWN(ROUNDUP(INDEX(Upgrades!$C$3:$C$8,MATCH(SUBSTITUTE(C31,""Sell_"",""""),Upgrades!$B$3:$"&amp;"B$8,0))*1.15^(COUNTIF(C$4:C30,SUBSTITUTE(C31,""Sell_"",""""))-COUNTIF(C$4:C30,""Sell_""&amp;SUBSTITUTE(C31,""Sell_"",""""))))/4),ROUNDUP(INDEX(Upgrades!$C$3:$C$7,MATCH(C31,Upgrades!$B$3:$B$7,0))*1.15^(COUNTIF(C$4:C30,C31)-COUNTIF(C$4:C30,""Sell_""&amp;C31)))))))"),133.0)</f>
        <v>133</v>
      </c>
      <c r="H31" s="14">
        <f t="shared" si="3"/>
        <v>133</v>
      </c>
      <c r="I31" s="75">
        <f t="shared" si="4"/>
        <v>345547.1099</v>
      </c>
      <c r="J31" s="76">
        <f t="shared" si="5"/>
        <v>15.79394272</v>
      </c>
      <c r="K31" s="71" t="str">
        <f t="shared" si="6"/>
        <v>15s</v>
      </c>
      <c r="L31" s="77">
        <f t="shared" si="7"/>
        <v>12740</v>
      </c>
      <c r="M31" s="51">
        <f t="shared" si="8"/>
        <v>-0.03141</v>
      </c>
      <c r="N31" s="52">
        <f>IFERROR(__xludf.DUMMYFUNCTION("IFS(AND(COUNTA(C31:C147)=0,COUNTA(P31:P147)=0),"""",OR(AND(L31&gt;=1000000,OR(Y31&gt;=1000000,COUNTA(P31:P147)=0)),AND(Y31&gt;=1000000,COUNTA(C31:C147)=0),AND(COUNTA(P31:P147)=0,O$3=TRUE)),
ROUNDDOWN((AB$1-AC$1)*MAX(INDEX(S$4:S147,MATCH(LARGE(FILTER(Y$4:Y147,Y$4:Y"&amp;"147&lt;1000000),1),Y$4:Y147)),INDEX(F$4:F147,MATCH(LARGE(FILTER(L$4:L147,L$4:L147&lt;1000000),1),L$4:L147)))),AND(L31&lt;1000000,COUNTA(C31:C147)&gt;0,O$3=FALSE),
ROUNDDOWN(INDEX(Y$4:Y147,MATCH(LARGE(FILTER(W$4:W147,W$4:W147&lt;=J31),1),W$4:W147))+(J31-LARGE(FILTER(W$4:"&amp;"W147,W$4:W147&lt;=J31),1))*INDEX(S$4:S147,MATCH(LARGE(FILTER(W$4:W147,W$4:W147&lt;=J31),1),W$4:W147))-L31),1,
ROUNDDOWN(Y31-INDEX(L$4:L147,MATCH(LARGE(FILTER(J$4:J147,J$4:J147&lt;=W31),1),J$4:J147))-(W31-LARGE(FILTER(J$4:J147,J$4:J147&lt;=W31),1))*INDEX(F$4:F147,MATC"&amp;"H(LARGE(FILTER(J$4:J147,J$4:J147&lt;=W31),1),J$4:J147))))"),50.0)</f>
        <v>50</v>
      </c>
      <c r="O31" s="65">
        <f t="shared" si="9"/>
        <v>17</v>
      </c>
      <c r="P31" s="15" t="s">
        <v>10</v>
      </c>
      <c r="Q31" s="14" t="b">
        <f>IFERROR(__xludf.DUMMYFUNCTION("IF(COUNTA(P31:P147)=0,"""",IFERROR(IF(ISBLANK(P31),FALSE,IF(ISBLANK(T31),1,IF(NOT(COUNTIF($AA$24:$AA$34,SUBSTITUTE(P31,""Sell_"",""""))),1,IF(P31=""Plastic_up"",IF(V31&lt;1000,1),IF(P31=""Super_Up"",IF(OR(COUNTIF(P$4:P31,""Grandma"")-COUNTIF(P$4:P31,""Sell_G"&amp;"randma"")&lt;1,COUNTIF(P$4:P31,VLOOKUP(P31,Upgrades!$F$8:$N$8,7+COUNTIF(P$4:P31,P31)))-COUNTIF(P$4:P31,""Sell_""&amp;VLOOKUP(P31,Upgrades!$F$8:$N$8,7+COUNTIF(P$4:P31,P31)))&lt;15),1),IF(REGEXMATCH(P31,""_up""),IF(COUNTIF(P$4:P31,SUBSTITUTE(P31,""_up"",""""))&lt;IFERRO"&amp;"R(VLOOKUP(P31,Upgrades!$L$3:$P$6,1+COUNTIF(P$4:P31,P31),0),999),1),IF(REGEXMATCH(P31,""Sell_""),IF(COUNTIF(P$4:P31,SUBSTITUTE(P31,""Sell_"",""""))-COUNTIF(P$4:P30,P31)&lt;1,1),FALSE)))))))))"),FALSE)</f>
        <v>0</v>
      </c>
      <c r="R31" s="71">
        <f>IFERROR(__xludf.DUMMYFUNCTION("IF(REGEXMATCH(P31,""^Sell_""),R30, IF(COUNTA(P31:P147)=0,"""",(COUNTIF(P$4:P31,""Cursor"")-COUNTIF(P$4:P31,""Sell_Cursor""))*(0.1*2^SWITCH(COUNTIF(P$4:P31,""Cursor_up""),0,0,1,1,2,2,3)+SWITCH(COUNTIF(P$4:P31,""Cursor_up""),4,0.1,0)*(ROW(P31)-4-COUNTIF(P$4"&amp;":P31,""Cursor"")-COUNTIF(P$4:P31,""*""&amp;""_up"")-2*COUNTIF(P$4:P31,""Sell_""&amp;""*"")+COUNTIF(P$4:P31,""Sell_Cursor"")-COUNTIF(P$4:P31,"""")))+(COUNTIF(P$4:P31,""Grandma"")-COUNTIF(P$4:P31,""Sell_Grandma""))*(1*2^(COUNTIF(P$4:P31,""Grandma_up"")+COUNTIF(P$4:"&amp;"P31,""Super_up"")))+(COUNTIF(P$4:P31,""Farm"")-COUNTIF(P$4:P31,""Sell_Farm""))*(8*2^COUNTIF(P$4:P31,""Farm_up""))*IF(COUNTIF(P$4:P31,""Super_up"")&gt;0,1+0.01*(COUNTIF(P$4:P31,""Grandma"")-COUNTIF(P$4:P31,""Sell_Grandma"")),1)+(COUNTIF(P$4:P31,""Mine"")-COUN"&amp;"TIF(P$4:P31,""Sell_Mine""))*((47*2^COUNTIF(P$4:P31,""Mine_up""))*IF(COUNTIF(P$4:P31,""Super_up"")&gt;1,1+0.005*(COUNTIF(P$4:P31,""Grandma"")-COUNTIF(P$4:P31,""Sell_Grandma"")),1))+(COUNTIF(P$4:P31,""Factory"")-COUNTIF(P$4:P31,""Sell_Factory""))*(260*2^COUNTI"&amp;"F(P$4:P31,""Factory_up""))))"),34.6)</f>
        <v>34.6</v>
      </c>
      <c r="S31" s="73">
        <f>IFERROR(__xludf.DUMMYFUNCTION("IF(COUNTA(P31:P147)=0,"""",IF(REGEXMATCH(INDEX(FILTER(P$4:P31,P$4:P31&lt;&gt;""""),ROWS(FILTER(P$4:P31,P$4:P31&lt;&gt;""""))),""^Sell_""),INDEX(FILTER(S$4:S30,P$4:P30&lt;&gt;""""),ROWS(FILTER(P$4:P30,P$4:P30&lt;&gt;""""))),$AD$5*(2^SWITCH(COUNTIF(P$4:P31,""Cursor_up""),0,0,1,1,2"&amp;",2,3)+SWITCH(COUNTIF(P$4:P31,""Cursor_up""),4,0.1,0)*(ROW(P31)-4-COUNTIF(P$4:P31,""Cursor"")-COUNTIF(P$4:P31,""*""&amp;""_up"")-2*COUNTIF(P$4:P31,""Sell_""&amp;""*"")+COUNTIF(P$4:P31,""Sell_Cursor"")-COUNTIF(P$4:P31,""""))+0.01*R31*COUNTIF(P$4:P31,""Plastic_up"")"&amp;")+R31))"),1634.6)</f>
        <v>1634.6</v>
      </c>
      <c r="T31" s="14">
        <f>IFERROR(__xludf.DUMMYFUNCTION("IF(COUNTA(P31:P147)=0,"""",IF(REGEXMATCH(P31,""_up""),VLOOKUP(P31,Upgrades!$F$3:$J$8,1+COUNTIF(P$4:P31,P31),FALSE),IF(P31="""",0,IF(REGEXMATCH(P31,""^Sell_""),-ROUNDDOWN(ROUNDUP(INDEX(Upgrades!$C$3:$C$8,MATCH(SUBSTITUTE(P31,""Sell_"",""""),Upgrades!$B$3:$"&amp;"B$8,0))*1.15^(COUNTIF(P$4:P30,SUBSTITUTE(P31,""Sell_"",""""))-COUNTIF(P$4:P30,""Sell_""&amp;SUBSTITUTE(P31,""Sell_"",""""))))/4),ROUNDUP(INDEX(Upgrades!$C$3:$C$7,MATCH(P31,Upgrades!$B$3:$B$7,0))*1.15^(COUNTIF(P$4:P30,P31)-COUNTIF(P$4:P30,""Sell_""&amp;P31)))))))"),141.0)</f>
        <v>141</v>
      </c>
      <c r="U31" s="14">
        <f t="shared" si="10"/>
        <v>141</v>
      </c>
      <c r="V31" s="75">
        <f t="shared" si="11"/>
        <v>374143.2683</v>
      </c>
      <c r="W31" s="76">
        <f t="shared" si="12"/>
        <v>16.92191352</v>
      </c>
      <c r="X31" s="71" t="str">
        <f t="shared" si="13"/>
        <v>16s</v>
      </c>
      <c r="Y31" s="77">
        <f t="shared" si="14"/>
        <v>14625</v>
      </c>
      <c r="Z31" s="17"/>
      <c r="AA31" s="32" t="s">
        <v>17</v>
      </c>
      <c r="AB31" s="108" t="s">
        <v>77</v>
      </c>
      <c r="AC31" s="13"/>
      <c r="AD31" s="13"/>
      <c r="AE31" s="13"/>
      <c r="AF31" s="13"/>
      <c r="AG31" s="13"/>
    </row>
    <row r="32">
      <c r="A32" s="12"/>
      <c r="B32" s="65">
        <f t="shared" si="2"/>
        <v>4</v>
      </c>
      <c r="C32" s="66" t="s">
        <v>13</v>
      </c>
      <c r="D32" s="14" t="b">
        <f>IFERROR(__xludf.DUMMYFUNCTION("IF(COUNTA(C32:C147)=0,"""",IFERROR(IF(ISBLANK(C32),FALSE,IF(ISBLANK(G32),1,IF(NOT(COUNTIF($AA$24:$AA$34,SUBSTITUTE(C32,""Sell_"",""""))),1,IF(C32=""Plastic_up"",IF(I32&lt;1000,1),IF(C32=""Super_Up"",IF(OR(COUNTIF(C$4:C32,""Grandma"")-COUNTIF(C$4:C32,""Sell_G"&amp;"randma"")&lt;1,COUNTIF(C$4:C32,VLOOKUP(C32,Upgrades!$F$8:$N$8,7+COUNTIF(C$4:C32,C32)))-COUNTIF(C$4:C32,""Sell_""&amp;VLOOKUP(C32,Upgrades!$F$8:$N$8,7+COUNTIF(C$4:C32,C32)))&lt;15),1),IF(REGEXMATCH(C32,""_up""),IF(COUNTIF(C$4:C32,SUBSTITUTE(C32,""_up"",""""))&lt;IFERRO"&amp;"R(VLOOKUP(C32,Upgrades!$L$3:$P$6,1+COUNTIF(C$4:C32,C32),0),999),1),IF(REGEXMATCH(C32,""Sell_""),IF(COUNTIF(C$4:C32,SUBSTITUTE(C32,""Sell_"",""""))-COUNTIF(C$4:C31,C32)&lt;1,1),FALSE)))))))))"),FALSE)</f>
        <v>0</v>
      </c>
      <c r="E32" s="71">
        <f>IFERROR(__xludf.DUMMYFUNCTION("IF(REGEXMATCH(C32,""^Sell_""),E31, IF(COUNTA(C32:C147)=0,"""",(COUNTIF(C$4:C32,""Cursor"")-COUNTIF(C$4:C32,""Sell_Cursor""))*(0.1*2^SWITCH(COUNTIF(C$4:C32,""Cursor_up""),0,0,1,1,2,2,3)+SWITCH(COUNTIF(C$4:C32,""Cursor_up""),4,0.1,0)*(ROW(C32)-4-COUNTIF(C$4"&amp;":C32,""Cursor"")-COUNTIF(C$4:C32,""*""&amp;""_up"")-2*COUNTIF(C$4:C32,""Sell_""&amp;""*"")+COUNTIF(C$4:C32,""Sell_Cursor"")-COUNTIF(C$4:C32,"""")))+(COUNTIF(C$4:C32,""Grandma"")-COUNTIF(C$4:C32,""Sell_Grandma""))*(1*2^(COUNTIF(C$4:C32,""Grandma_up"")+COUNTIF(C$4:"&amp;"C32,""Super_up"")))+(COUNTIF(C$4:C32,""Farm"")-COUNTIF(C$4:C32,""Sell_Farm""))*(8*2^COUNTIF(C$4:C32,""Farm_up""))*IF(COUNTIF(C$4:C32,""Super_up"")&gt;0,1+0.01*(COUNTIF(C$4:C32,""Grandma"")-COUNTIF(C$4:C32,""Sell_Grandma"")),1)+(COUNTIF(C$4:C32,""Mine"")-COUN"&amp;"TIF(C$4:C32,""Sell_Mine""))*((47*2^COUNTIF(C$4:C32,""Mine_up""))*IF(COUNTIF(C$4:C32,""Super_up"")&gt;1,1+0.005*(COUNTIF(C$4:C32,""Grandma"")-COUNTIF(C$4:C32,""Sell_Grandma"")),1))+(COUNTIF(C$4:C32,""Factory"")-COUNTIF(C$4:C32,""Sell_Factory""))*(260*2^COUNTI"&amp;"F(C$4:C32,""Factory_up""))))"),20.8)</f>
        <v>20.8</v>
      </c>
      <c r="F32" s="73">
        <f>IFERROR(__xludf.DUMMYFUNCTION("IF(COUNTA(C32:C147)=0,"""",IF(REGEXMATCH(INDEX(FILTER(C$4:C32,C$4:C32&lt;&gt;""""),ROWS(FILTER(C$4:C32,C$4:C32&lt;&gt;""""))),""^Sell_""),INDEX(FILTER(F$4:F31,C$4:C31&lt;&gt;""""),ROWS(FILTER(C$4:C31,C$4:C31&lt;&gt;""""))),$AC$5*(2^SWITCH(COUNTIF(C$4:C32,""Cursor_up""),0,0,1,1,2"&amp;",2,3)+SWITCH(COUNTIF(C$4:C32,""Cursor_up""),4,0.1,0)*(ROW(C32)-4-COUNTIF(C$4:C32,""Cursor"")-COUNTIF(C$4:C32,""*""&amp;""_up"")-2*COUNTIF(C$4:C32,""Sell_""&amp;""*"")+COUNTIF(C$4:C32,""Sell_Cursor"")-COUNTIF(C$4:C32,""""))+0.01*E32*COUNTIF(C$4:C32,""Plastic_up"")"&amp;")+E32))"),1620.8)</f>
        <v>1620.8</v>
      </c>
      <c r="G32" s="14">
        <f>IFERROR(__xludf.DUMMYFUNCTION("IF(COUNTA(C32:C147)=0,"""",IF(REGEXMATCH(C32,""_up""),VLOOKUP(C32,Upgrades!$F$3:$J$8,1+COUNTIF(C$4:C32,C32),FALSE),IF(C32="""",0,IF(REGEXMATCH(C32,""^Sell_""),-ROUNDDOWN(ROUNDUP(INDEX(Upgrades!$C$3:$C$8,MATCH(SUBSTITUTE(C32,""Sell_"",""""),Upgrades!$B$3:$"&amp;"B$8,0))*1.15^(COUNTIF(C$4:C31,SUBSTITUTE(C32,""Sell_"",""""))-COUNTIF(C$4:C31,""Sell_""&amp;SUBSTITUTE(C32,""Sell_"",""""))))/4),ROUNDUP(INDEX(Upgrades!$C$3:$C$7,MATCH(C32,Upgrades!$B$3:$B$7,0))*1.15^(COUNTIF(C$4:C31,C32)-COUNTIF(C$4:C31,""Sell_""&amp;C32)))))))"),153.0)</f>
        <v>153</v>
      </c>
      <c r="H32" s="14">
        <f t="shared" si="3"/>
        <v>153</v>
      </c>
      <c r="I32" s="75">
        <f t="shared" si="4"/>
        <v>370968.548</v>
      </c>
      <c r="J32" s="76">
        <f t="shared" si="5"/>
        <v>15.88839883</v>
      </c>
      <c r="K32" s="71" t="str">
        <f t="shared" si="6"/>
        <v>15s</v>
      </c>
      <c r="L32" s="77">
        <f t="shared" si="7"/>
        <v>12893</v>
      </c>
      <c r="M32" s="51">
        <f t="shared" si="8"/>
        <v>-0.03151</v>
      </c>
      <c r="N32" s="52">
        <f>IFERROR(__xludf.DUMMYFUNCTION("IFS(AND(COUNTA(C32:C147)=0,COUNTA(P32:P147)=0),"""",OR(AND(L32&gt;=1000000,OR(Y32&gt;=1000000,COUNTA(P32:P147)=0)),AND(Y32&gt;=1000000,COUNTA(C32:C147)=0),AND(COUNTA(P32:P147)=0,O$3=TRUE)),
ROUNDDOWN((AB$1-AC$1)*MAX(INDEX(S$4:S147,MATCH(LARGE(FILTER(Y$4:Y147,Y$4:Y"&amp;"147&lt;1000000),1),Y$4:Y147)),INDEX(F$4:F147,MATCH(LARGE(FILTER(L$4:L147,L$4:L147&lt;1000000),1),L$4:L147)))),AND(L32&lt;1000000,COUNTA(C32:C147)&gt;0,O$3=FALSE),
ROUNDDOWN(INDEX(Y$4:Y147,MATCH(LARGE(FILTER(W$4:W147,W$4:W147&lt;=J32),1),W$4:W147))+(J32-LARGE(FILTER(W$4:"&amp;"W147,W$4:W147&lt;=J32),1))*INDEX(S$4:S147,MATCH(LARGE(FILTER(W$4:W147,W$4:W147&lt;=J32),1),W$4:W147))-L32),1,
ROUNDDOWN(Y32-INDEX(L$4:L147,MATCH(LARGE(FILTER(J$4:J147,J$4:J147&lt;=W32),1),J$4:J147))-(W32-LARGE(FILTER(J$4:J147,J$4:J147&lt;=W32),1))*INDEX(F$4:F147,MATC"&amp;"H(LARGE(FILTER(J$4:J147,J$4:J147&lt;=W32),1),J$4:J147))))"),51.0)</f>
        <v>51</v>
      </c>
      <c r="O32" s="65">
        <f t="shared" si="9"/>
        <v>3</v>
      </c>
      <c r="P32" s="15" t="s">
        <v>16</v>
      </c>
      <c r="Q32" s="14" t="b">
        <f>IFERROR(__xludf.DUMMYFUNCTION("IF(COUNTA(P32:P147)=0,"""",IFERROR(IF(ISBLANK(P32),FALSE,IF(ISBLANK(T32),1,IF(NOT(COUNTIF($AA$24:$AA$34,SUBSTITUTE(P32,""Sell_"",""""))),1,IF(P32=""Plastic_up"",IF(V32&lt;1000,1),IF(P32=""Super_Up"",IF(OR(COUNTIF(P$4:P32,""Grandma"")-COUNTIF(P$4:P32,""Sell_G"&amp;"randma"")&lt;1,COUNTIF(P$4:P32,VLOOKUP(P32,Upgrades!$F$8:$N$8,7+COUNTIF(P$4:P32,P32)))-COUNTIF(P$4:P32,""Sell_""&amp;VLOOKUP(P32,Upgrades!$F$8:$N$8,7+COUNTIF(P$4:P32,P32)))&lt;15),1),IF(REGEXMATCH(P32,""_up""),IF(COUNTIF(P$4:P32,SUBSTITUTE(P32,""_up"",""""))&lt;IFERRO"&amp;"R(VLOOKUP(P32,Upgrades!$L$3:$P$6,1+COUNTIF(P$4:P32,P32),0),999),1),IF(REGEXMATCH(P32,""Sell_""),IF(COUNTIF(P$4:P32,SUBSTITUTE(P32,""Sell_"",""""))-COUNTIF(P$4:P31,P32)&lt;1,1),FALSE)))))))))"),FALSE)</f>
        <v>0</v>
      </c>
      <c r="R32" s="71">
        <f>IFERROR(__xludf.DUMMYFUNCTION("IF(REGEXMATCH(P32,""^Sell_""),R31, IF(COUNTA(P32:P147)=0,"""",(COUNTIF(P$4:P32,""Cursor"")-COUNTIF(P$4:P32,""Sell_Cursor""))*(0.1*2^SWITCH(COUNTIF(P$4:P32,""Cursor_up""),0,0,1,1,2,2,3)+SWITCH(COUNTIF(P$4:P32,""Cursor_up""),4,0.1,0)*(ROW(P32)-4-COUNTIF(P$4"&amp;":P32,""Cursor"")-COUNTIF(P$4:P32,""*""&amp;""_up"")-2*COUNTIF(P$4:P32,""Sell_""&amp;""*"")+COUNTIF(P$4:P32,""Sell_Cursor"")-COUNTIF(P$4:P32,"""")))+(COUNTIF(P$4:P32,""Grandma"")-COUNTIF(P$4:P32,""Sell_Grandma""))*(1*2^(COUNTIF(P$4:P32,""Grandma_up"")+COUNTIF(P$4:"&amp;"P32,""Super_up"")))+(COUNTIF(P$4:P32,""Farm"")-COUNTIF(P$4:P32,""Sell_Farm""))*(8*2^COUNTIF(P$4:P32,""Farm_up""))*IF(COUNTIF(P$4:P32,""Super_up"")&gt;0,1+0.01*(COUNTIF(P$4:P32,""Grandma"")-COUNTIF(P$4:P32,""Sell_Grandma"")),1)+(COUNTIF(P$4:P32,""Mine"")-COUN"&amp;"TIF(P$4:P32,""Sell_Mine""))*((47*2^COUNTIF(P$4:P32,""Mine_up""))*IF(COUNTIF(P$4:P32,""Super_up"")&gt;1,1+0.005*(COUNTIF(P$4:P32,""Grandma"")-COUNTIF(P$4:P32,""Sell_Grandma"")),1))+(COUNTIF(P$4:P32,""Factory"")-COUNTIF(P$4:P32,""Sell_Factory""))*(260*2^COUNTI"&amp;"F(P$4:P32,""Factory_up""))))"),42.6)</f>
        <v>42.6</v>
      </c>
      <c r="S32" s="73">
        <f>IFERROR(__xludf.DUMMYFUNCTION("IF(COUNTA(P32:P147)=0,"""",IF(REGEXMATCH(INDEX(FILTER(P$4:P32,P$4:P32&lt;&gt;""""),ROWS(FILTER(P$4:P32,P$4:P32&lt;&gt;""""))),""^Sell_""),INDEX(FILTER(S$4:S31,P$4:P31&lt;&gt;""""),ROWS(FILTER(P$4:P31,P$4:P31&lt;&gt;""""))),$AD$5*(2^SWITCH(COUNTIF(P$4:P32,""Cursor_up""),0,0,1,1,2"&amp;",2,3)+SWITCH(COUNTIF(P$4:P32,""Cursor_up""),4,0.1,0)*(ROW(P32)-4-COUNTIF(P$4:P32,""Cursor"")-COUNTIF(P$4:P32,""*""&amp;""_up"")-2*COUNTIF(P$4:P32,""Sell_""&amp;""*"")+COUNTIF(P$4:P32,""Sell_Cursor"")-COUNTIF(P$4:P32,""""))+0.01*R32*COUNTIF(P$4:P32,""Plastic_up"")"&amp;")+R32))"),1642.6)</f>
        <v>1642.6</v>
      </c>
      <c r="T32" s="14">
        <f>IFERROR(__xludf.DUMMYFUNCTION("IF(COUNTA(P32:P147)=0,"""",IF(REGEXMATCH(P32,""_up""),VLOOKUP(P32,Upgrades!$F$3:$J$8,1+COUNTIF(P$4:P32,P32),FALSE),IF(P32="""",0,IF(REGEXMATCH(P32,""^Sell_""),-ROUNDDOWN(ROUNDUP(INDEX(Upgrades!$C$3:$C$8,MATCH(SUBSTITUTE(P32,""Sell_"",""""),Upgrades!$B$3:$"&amp;"B$8,0))*1.15^(COUNTIF(P$4:P31,SUBSTITUTE(P32,""Sell_"",""""))-COUNTIF(P$4:P31,""Sell_""&amp;SUBSTITUTE(P32,""Sell_"",""""))))/4),ROUNDUP(INDEX(Upgrades!$C$3:$C$7,MATCH(P32,Upgrades!$B$3:$B$7,0))*1.15^(COUNTIF(P$4:P31,P32)-COUNTIF(P$4:P31,""Sell_""&amp;P32)))))))"),1455.0)</f>
        <v>1455</v>
      </c>
      <c r="U32" s="14">
        <f t="shared" si="10"/>
        <v>1455</v>
      </c>
      <c r="V32" s="75">
        <f t="shared" si="11"/>
        <v>402642.5316</v>
      </c>
      <c r="W32" s="76">
        <f t="shared" si="12"/>
        <v>17.81203955</v>
      </c>
      <c r="X32" s="71" t="str">
        <f t="shared" si="13"/>
        <v>17s</v>
      </c>
      <c r="Y32" s="77">
        <f t="shared" si="14"/>
        <v>16080</v>
      </c>
      <c r="Z32" s="17"/>
      <c r="AA32" s="32" t="s">
        <v>19</v>
      </c>
      <c r="AB32" s="108" t="s">
        <v>78</v>
      </c>
      <c r="AC32" s="13"/>
      <c r="AD32" s="13"/>
      <c r="AE32" s="13"/>
      <c r="AF32" s="13"/>
      <c r="AG32" s="13"/>
    </row>
    <row r="33">
      <c r="A33" s="12"/>
      <c r="B33" s="65">
        <f t="shared" si="2"/>
        <v>5</v>
      </c>
      <c r="C33" s="66" t="s">
        <v>13</v>
      </c>
      <c r="D33" s="14" t="b">
        <f>IFERROR(__xludf.DUMMYFUNCTION("IF(COUNTA(C33:C147)=0,"""",IFERROR(IF(ISBLANK(C33),FALSE,IF(ISBLANK(G33),1,IF(NOT(COUNTIF($AA$24:$AA$34,SUBSTITUTE(C33,""Sell_"",""""))),1,IF(C33=""Plastic_up"",IF(I33&lt;1000,1),IF(C33=""Super_Up"",IF(OR(COUNTIF(C$4:C33,""Grandma"")-COUNTIF(C$4:C33,""Sell_G"&amp;"randma"")&lt;1,COUNTIF(C$4:C33,VLOOKUP(C33,Upgrades!$F$8:$N$8,7+COUNTIF(C$4:C33,C33)))-COUNTIF(C$4:C33,""Sell_""&amp;VLOOKUP(C33,Upgrades!$F$8:$N$8,7+COUNTIF(C$4:C33,C33)))&lt;15),1),IF(REGEXMATCH(C33,""_up""),IF(COUNTIF(C$4:C33,SUBSTITUTE(C33,""_up"",""""))&lt;IFERRO"&amp;"R(VLOOKUP(C33,Upgrades!$L$3:$P$6,1+COUNTIF(C$4:C33,C33),0),999),1),IF(REGEXMATCH(C33,""Sell_""),IF(COUNTIF(C$4:C33,SUBSTITUTE(C33,""Sell_"",""""))-COUNTIF(C$4:C32,C33)&lt;1,1),FALSE)))))))))"),FALSE)</f>
        <v>0</v>
      </c>
      <c r="E33" s="71">
        <f>IFERROR(__xludf.DUMMYFUNCTION("IF(REGEXMATCH(C33,""^Sell_""),E32, IF(COUNTA(C33:C147)=0,"""",(COUNTIF(C$4:C33,""Cursor"")-COUNTIF(C$4:C33,""Sell_Cursor""))*(0.1*2^SWITCH(COUNTIF(C$4:C33,""Cursor_up""),0,0,1,1,2,2,3)+SWITCH(COUNTIF(C$4:C33,""Cursor_up""),4,0.1,0)*(ROW(C33)-4-COUNTIF(C$4"&amp;":C33,""Cursor"")-COUNTIF(C$4:C33,""*""&amp;""_up"")-2*COUNTIF(C$4:C33,""Sell_""&amp;""*"")+COUNTIF(C$4:C33,""Sell_Cursor"")-COUNTIF(C$4:C33,"""")))+(COUNTIF(C$4:C33,""Grandma"")-COUNTIF(C$4:C33,""Sell_Grandma""))*(1*2^(COUNTIF(C$4:C33,""Grandma_up"")+COUNTIF(C$4:"&amp;"C33,""Super_up"")))+(COUNTIF(C$4:C33,""Farm"")-COUNTIF(C$4:C33,""Sell_Farm""))*(8*2^COUNTIF(C$4:C33,""Farm_up""))*IF(COUNTIF(C$4:C33,""Super_up"")&gt;0,1+0.01*(COUNTIF(C$4:C33,""Grandma"")-COUNTIF(C$4:C33,""Sell_Grandma"")),1)+(COUNTIF(C$4:C33,""Mine"")-COUN"&amp;"TIF(C$4:C33,""Sell_Mine""))*((47*2^COUNTIF(C$4:C33,""Mine_up""))*IF(COUNTIF(C$4:C33,""Super_up"")&gt;1,1+0.005*(COUNTIF(C$4:C33,""Grandma"")-COUNTIF(C$4:C33,""Sell_Grandma"")),1))+(COUNTIF(C$4:C33,""Factory"")-COUNTIF(C$4:C33,""Sell_Factory""))*(260*2^COUNTI"&amp;"F(C$4:C33,""Factory_up""))))"),21.8)</f>
        <v>21.8</v>
      </c>
      <c r="F33" s="73">
        <f>IFERROR(__xludf.DUMMYFUNCTION("IF(COUNTA(C33:C147)=0,"""",IF(REGEXMATCH(INDEX(FILTER(C$4:C33,C$4:C33&lt;&gt;""""),ROWS(FILTER(C$4:C33,C$4:C33&lt;&gt;""""))),""^Sell_""),INDEX(FILTER(F$4:F32,C$4:C32&lt;&gt;""""),ROWS(FILTER(C$4:C32,C$4:C32&lt;&gt;""""))),$AC$5*(2^SWITCH(COUNTIF(C$4:C33,""Cursor_up""),0,0,1,1,2"&amp;",2,3)+SWITCH(COUNTIF(C$4:C33,""Cursor_up""),4,0.1,0)*(ROW(C33)-4-COUNTIF(C$4:C33,""Cursor"")-COUNTIF(C$4:C33,""*""&amp;""_up"")-2*COUNTIF(C$4:C33,""Sell_""&amp;""*"")+COUNTIF(C$4:C33,""Sell_Cursor"")-COUNTIF(C$4:C33,""""))+0.01*E33*COUNTIF(C$4:C33,""Plastic_up"")"&amp;")+E33))"),1621.8)</f>
        <v>1621.8</v>
      </c>
      <c r="G33" s="14">
        <f>IFERROR(__xludf.DUMMYFUNCTION("IF(COUNTA(C33:C147)=0,"""",IF(REGEXMATCH(C33,""_up""),VLOOKUP(C33,Upgrades!$F$3:$J$8,1+COUNTIF(C$4:C33,C33),FALSE),IF(C33="""",0,IF(REGEXMATCH(C33,""^Sell_""),-ROUNDDOWN(ROUNDUP(INDEX(Upgrades!$C$3:$C$8,MATCH(SUBSTITUTE(C33,""Sell_"",""""),Upgrades!$B$3:$"&amp;"B$8,0))*1.15^(COUNTIF(C$4:C32,SUBSTITUTE(C33,""Sell_"",""""))-COUNTIF(C$4:C32,""Sell_""&amp;SUBSTITUTE(C33,""Sell_"",""""))))/4),ROUNDUP(INDEX(Upgrades!$C$3:$C$7,MATCH(C33,Upgrades!$B$3:$B$7,0))*1.15^(COUNTIF(C$4:C32,C33)-COUNTIF(C$4:C32,""Sell_""&amp;C33)))))))"),175.0)</f>
        <v>175</v>
      </c>
      <c r="H33" s="14">
        <f t="shared" si="3"/>
        <v>175</v>
      </c>
      <c r="I33" s="75">
        <f t="shared" si="4"/>
        <v>396562.7403</v>
      </c>
      <c r="J33" s="76">
        <f t="shared" si="5"/>
        <v>15.9963702</v>
      </c>
      <c r="K33" s="71" t="str">
        <f t="shared" si="6"/>
        <v>15s</v>
      </c>
      <c r="L33" s="77">
        <f t="shared" si="7"/>
        <v>13068</v>
      </c>
      <c r="M33" s="51">
        <f t="shared" si="8"/>
        <v>-0.03172</v>
      </c>
      <c r="N33" s="52">
        <f>IFERROR(__xludf.DUMMYFUNCTION("IFS(AND(COUNTA(C33:C147)=0,COUNTA(P33:P147)=0),"""",OR(AND(L33&gt;=1000000,OR(Y33&gt;=1000000,COUNTA(P33:P147)=0)),AND(Y33&gt;=1000000,COUNTA(C33:C147)=0),AND(COUNTA(P33:P147)=0,O$3=TRUE)),
ROUNDDOWN((AB$1-AC$1)*MAX(INDEX(S$4:S147,MATCH(LARGE(FILTER(Y$4:Y147,Y$4:Y"&amp;"147&lt;1000000),1),Y$4:Y147)),INDEX(F$4:F147,MATCH(LARGE(FILTER(L$4:L147,L$4:L147&lt;1000000),1),L$4:L147)))),AND(L33&lt;1000000,COUNTA(C33:C147)&gt;0,O$3=FALSE),
ROUNDDOWN(INDEX(Y$4:Y147,MATCH(LARGE(FILTER(W$4:W147,W$4:W147&lt;=J33),1),W$4:W147))+(J33-LARGE(FILTER(W$4:"&amp;"W147,W$4:W147&lt;=J33),1))*INDEX(S$4:S147,MATCH(LARGE(FILTER(W$4:W147,W$4:W147&lt;=J33),1),W$4:W147))-L33),1,
ROUNDDOWN(Y33-INDEX(L$4:L147,MATCH(LARGE(FILTER(J$4:J147,J$4:J147&lt;=W33),1),J$4:J147))-(W33-LARGE(FILTER(J$4:J147,J$4:J147&lt;=W33),1))*INDEX(F$4:F147,MATC"&amp;"H(LARGE(FILTER(J$4:J147,J$4:J147&lt;=W33),1),J$4:J147))))"),51.0)</f>
        <v>51</v>
      </c>
      <c r="O33" s="65">
        <f t="shared" si="9"/>
        <v>1</v>
      </c>
      <c r="P33" s="15" t="s">
        <v>14</v>
      </c>
      <c r="Q33" s="14" t="b">
        <f>IFERROR(__xludf.DUMMYFUNCTION("IF(COUNTA(P33:P147)=0,"""",IFERROR(IF(ISBLANK(P33),FALSE,IF(ISBLANK(T33),1,IF(NOT(COUNTIF($AA$24:$AA$34,SUBSTITUTE(P33,""Sell_"",""""))),1,IF(P33=""Plastic_up"",IF(V33&lt;1000,1),IF(P33=""Super_Up"",IF(OR(COUNTIF(P$4:P33,""Grandma"")-COUNTIF(P$4:P33,""Sell_G"&amp;"randma"")&lt;1,COUNTIF(P$4:P33,VLOOKUP(P33,Upgrades!$F$8:$N$8,7+COUNTIF(P$4:P33,P33)))-COUNTIF(P$4:P33,""Sell_""&amp;VLOOKUP(P33,Upgrades!$F$8:$N$8,7+COUNTIF(P$4:P33,P33)))&lt;15),1),IF(REGEXMATCH(P33,""_up""),IF(COUNTIF(P$4:P33,SUBSTITUTE(P33,""_up"",""""))&lt;IFERRO"&amp;"R(VLOOKUP(P33,Upgrades!$L$3:$P$6,1+COUNTIF(P$4:P33,P33),0),999),1),IF(REGEXMATCH(P33,""Sell_""),IF(COUNTIF(P$4:P33,SUBSTITUTE(P33,""Sell_"",""""))-COUNTIF(P$4:P32,P33)&lt;1,1),FALSE)))))))))"),FALSE)</f>
        <v>0</v>
      </c>
      <c r="R33" s="71">
        <f>IFERROR(__xludf.DUMMYFUNCTION("IF(REGEXMATCH(P33,""^Sell_""),R32, IF(COUNTA(P33:P147)=0,"""",(COUNTIF(P$4:P33,""Cursor"")-COUNTIF(P$4:P33,""Sell_Cursor""))*(0.1*2^SWITCH(COUNTIF(P$4:P33,""Cursor_up""),0,0,1,1,2,2,3)+SWITCH(COUNTIF(P$4:P33,""Cursor_up""),4,0.1,0)*(ROW(P33)-4-COUNTIF(P$4"&amp;":P33,""Cursor"")-COUNTIF(P$4:P33,""*""&amp;""_up"")-2*COUNTIF(P$4:P33,""Sell_""&amp;""*"")+COUNTIF(P$4:P33,""Sell_Cursor"")-COUNTIF(P$4:P33,"""")))+(COUNTIF(P$4:P33,""Grandma"")-COUNTIF(P$4:P33,""Sell_Grandma""))*(1*2^(COUNTIF(P$4:P33,""Grandma_up"")+COUNTIF(P$4:"&amp;"P33,""Super_up"")))+(COUNTIF(P$4:P33,""Farm"")-COUNTIF(P$4:P33,""Sell_Farm""))*(8*2^COUNTIF(P$4:P33,""Farm_up""))*IF(COUNTIF(P$4:P33,""Super_up"")&gt;0,1+0.01*(COUNTIF(P$4:P33,""Grandma"")-COUNTIF(P$4:P33,""Sell_Grandma"")),1)+(COUNTIF(P$4:P33,""Mine"")-COUN"&amp;"TIF(P$4:P33,""Sell_Mine""))*((47*2^COUNTIF(P$4:P33,""Mine_up""))*IF(COUNTIF(P$4:P33,""Super_up"")&gt;1,1+0.005*(COUNTIF(P$4:P33,""Grandma"")-COUNTIF(P$4:P33,""Sell_Grandma"")),1))+(COUNTIF(P$4:P33,""Factory"")-COUNTIF(P$4:P33,""Sell_Factory""))*(260*2^COUNTI"&amp;"F(P$4:P33,""Factory_up""))))"),47.6)</f>
        <v>47.6</v>
      </c>
      <c r="S33" s="73">
        <f>IFERROR(__xludf.DUMMYFUNCTION("IF(COUNTA(P33:P147)=0,"""",IF(REGEXMATCH(INDEX(FILTER(P$4:P33,P$4:P33&lt;&gt;""""),ROWS(FILTER(P$4:P33,P$4:P33&lt;&gt;""""))),""^Sell_""),INDEX(FILTER(S$4:S32,P$4:P32&lt;&gt;""""),ROWS(FILTER(P$4:P32,P$4:P32&lt;&gt;""""))),$AD$5*(2^SWITCH(COUNTIF(P$4:P33,""Cursor_up""),0,0,1,1,2"&amp;",2,3)+SWITCH(COUNTIF(P$4:P33,""Cursor_up""),4,0.1,0)*(ROW(P33)-4-COUNTIF(P$4:P33,""Cursor"")-COUNTIF(P$4:P33,""*""&amp;""_up"")-2*COUNTIF(P$4:P33,""Sell_""&amp;""*"")+COUNTIF(P$4:P33,""Sell_Cursor"")-COUNTIF(P$4:P33,""""))+0.01*R33*COUNTIF(P$4:P33,""Plastic_up"")"&amp;")+R33))"),1647.6)</f>
        <v>1647.6</v>
      </c>
      <c r="T33" s="14">
        <f>IFERROR(__xludf.DUMMYFUNCTION("IF(COUNTA(P33:P147)=0,"""",IF(REGEXMATCH(P33,""_up""),VLOOKUP(P33,Upgrades!$F$3:$J$8,1+COUNTIF(P$4:P33,P33),FALSE),IF(P33="""",0,IF(REGEXMATCH(P33,""^Sell_""),-ROUNDDOWN(ROUNDUP(INDEX(Upgrades!$C$3:$C$8,MATCH(SUBSTITUTE(P33,""Sell_"",""""),Upgrades!$B$3:$"&amp;"B$8,0))*1.15^(COUNTIF(P$4:P32,SUBSTITUTE(P33,""Sell_"",""""))-COUNTIF(P$4:P32,""Sell_""&amp;SUBSTITUTE(P33,""Sell_"",""""))))/4),ROUNDUP(INDEX(Upgrades!$C$3:$C$7,MATCH(P33,Upgrades!$B$3:$B$7,0))*1.15^(COUNTIF(P$4:P32,P33)-COUNTIF(P$4:P32,""Sell_""&amp;P33)))))))"),1000.0)</f>
        <v>1000</v>
      </c>
      <c r="U33" s="14">
        <f t="shared" si="10"/>
        <v>1000</v>
      </c>
      <c r="V33" s="75">
        <f t="shared" si="11"/>
        <v>432115.8604</v>
      </c>
      <c r="W33" s="76">
        <f t="shared" si="12"/>
        <v>18.42083049</v>
      </c>
      <c r="X33" s="71" t="str">
        <f t="shared" si="13"/>
        <v>18s</v>
      </c>
      <c r="Y33" s="77">
        <f t="shared" si="14"/>
        <v>17080</v>
      </c>
      <c r="Z33" s="17"/>
      <c r="AA33" s="32" t="s">
        <v>24</v>
      </c>
      <c r="AB33" s="32" t="s">
        <v>78</v>
      </c>
      <c r="AC33" s="109" t="s">
        <v>79</v>
      </c>
      <c r="AD33" s="109"/>
      <c r="AE33" s="110"/>
      <c r="AF33" s="13"/>
      <c r="AG33" s="13"/>
    </row>
    <row r="34">
      <c r="A34" s="12"/>
      <c r="B34" s="65">
        <f t="shared" si="2"/>
        <v>6</v>
      </c>
      <c r="C34" s="66" t="s">
        <v>13</v>
      </c>
      <c r="D34" s="14" t="b">
        <f>IFERROR(__xludf.DUMMYFUNCTION("IF(COUNTA(C34:C147)=0,"""",IFERROR(IF(ISBLANK(C34),FALSE,IF(ISBLANK(G34),1,IF(NOT(COUNTIF($AA$24:$AA$34,SUBSTITUTE(C34,""Sell_"",""""))),1,IF(C34=""Plastic_up"",IF(I34&lt;1000,1),IF(C34=""Super_Up"",IF(OR(COUNTIF(C$4:C34,""Grandma"")-COUNTIF(C$4:C34,""Sell_G"&amp;"randma"")&lt;1,COUNTIF(C$4:C34,VLOOKUP(C34,Upgrades!$F$8:$N$8,7+COUNTIF(C$4:C34,C34)))-COUNTIF(C$4:C34,""Sell_""&amp;VLOOKUP(C34,Upgrades!$F$8:$N$8,7+COUNTIF(C$4:C34,C34)))&lt;15),1),IF(REGEXMATCH(C34,""_up""),IF(COUNTIF(C$4:C34,SUBSTITUTE(C34,""_up"",""""))&lt;IFERRO"&amp;"R(VLOOKUP(C34,Upgrades!$L$3:$P$6,1+COUNTIF(C$4:C34,C34),0),999),1),IF(REGEXMATCH(C34,""Sell_""),IF(COUNTIF(C$4:C34,SUBSTITUTE(C34,""Sell_"",""""))-COUNTIF(C$4:C33,C34)&lt;1,1),FALSE)))))))))"),FALSE)</f>
        <v>0</v>
      </c>
      <c r="E34" s="71">
        <f>IFERROR(__xludf.DUMMYFUNCTION("IF(REGEXMATCH(C34,""^Sell_""),E33, IF(COUNTA(C34:C147)=0,"""",(COUNTIF(C$4:C34,""Cursor"")-COUNTIF(C$4:C34,""Sell_Cursor""))*(0.1*2^SWITCH(COUNTIF(C$4:C34,""Cursor_up""),0,0,1,1,2,2,3)+SWITCH(COUNTIF(C$4:C34,""Cursor_up""),4,0.1,0)*(ROW(C34)-4-COUNTIF(C$4"&amp;":C34,""Cursor"")-COUNTIF(C$4:C34,""*""&amp;""_up"")-2*COUNTIF(C$4:C34,""Sell_""&amp;""*"")+COUNTIF(C$4:C34,""Sell_Cursor"")-COUNTIF(C$4:C34,"""")))+(COUNTIF(C$4:C34,""Grandma"")-COUNTIF(C$4:C34,""Sell_Grandma""))*(1*2^(COUNTIF(C$4:C34,""Grandma_up"")+COUNTIF(C$4:"&amp;"C34,""Super_up"")))+(COUNTIF(C$4:C34,""Farm"")-COUNTIF(C$4:C34,""Sell_Farm""))*(8*2^COUNTIF(C$4:C34,""Farm_up""))*IF(COUNTIF(C$4:C34,""Super_up"")&gt;0,1+0.01*(COUNTIF(C$4:C34,""Grandma"")-COUNTIF(C$4:C34,""Sell_Grandma"")),1)+(COUNTIF(C$4:C34,""Mine"")-COUN"&amp;"TIF(C$4:C34,""Sell_Mine""))*((47*2^COUNTIF(C$4:C34,""Mine_up""))*IF(COUNTIF(C$4:C34,""Super_up"")&gt;1,1+0.005*(COUNTIF(C$4:C34,""Grandma"")-COUNTIF(C$4:C34,""Sell_Grandma"")),1))+(COUNTIF(C$4:C34,""Factory"")-COUNTIF(C$4:C34,""Sell_Factory""))*(260*2^COUNTI"&amp;"F(C$4:C34,""Factory_up""))))"),22.8)</f>
        <v>22.8</v>
      </c>
      <c r="F34" s="73">
        <f>IFERROR(__xludf.DUMMYFUNCTION("IF(COUNTA(C34:C147)=0,"""",IF(REGEXMATCH(INDEX(FILTER(C$4:C34,C$4:C34&lt;&gt;""""),ROWS(FILTER(C$4:C34,C$4:C34&lt;&gt;""""))),""^Sell_""),INDEX(FILTER(F$4:F33,C$4:C33&lt;&gt;""""),ROWS(FILTER(C$4:C33,C$4:C33&lt;&gt;""""))),$AC$5*(2^SWITCH(COUNTIF(C$4:C34,""Cursor_up""),0,0,1,1,2"&amp;",2,3)+SWITCH(COUNTIF(C$4:C34,""Cursor_up""),4,0.1,0)*(ROW(C34)-4-COUNTIF(C$4:C34,""Cursor"")-COUNTIF(C$4:C34,""*""&amp;""_up"")-2*COUNTIF(C$4:C34,""Sell_""&amp;""*"")+COUNTIF(C$4:C34,""Sell_Cursor"")-COUNTIF(C$4:C34,""""))+0.01*E34*COUNTIF(C$4:C34,""Plastic_up"")"&amp;")+E34))"),1622.8)</f>
        <v>1622.8</v>
      </c>
      <c r="G34" s="14">
        <f>IFERROR(__xludf.DUMMYFUNCTION("IF(COUNTA(C34:C147)=0,"""",IF(REGEXMATCH(C34,""_up""),VLOOKUP(C34,Upgrades!$F$3:$J$8,1+COUNTIF(C$4:C34,C34),FALSE),IF(C34="""",0,IF(REGEXMATCH(C34,""^Sell_""),-ROUNDDOWN(ROUNDUP(INDEX(Upgrades!$C$3:$C$8,MATCH(SUBSTITUTE(C34,""Sell_"",""""),Upgrades!$B$3:$"&amp;"B$8,0))*1.15^(COUNTIF(C$4:C33,SUBSTITUTE(C34,""Sell_"",""""))-COUNTIF(C$4:C33,""Sell_""&amp;SUBSTITUTE(C34,""Sell_"",""""))))/4),ROUNDUP(INDEX(Upgrades!$C$3:$C$7,MATCH(C34,Upgrades!$B$3:$B$7,0))*1.15^(COUNTIF(C$4:C33,C34)-COUNTIF(C$4:C33,""Sell_""&amp;C34)))))))"),202.0)</f>
        <v>202</v>
      </c>
      <c r="H34" s="14">
        <f t="shared" si="3"/>
        <v>202</v>
      </c>
      <c r="I34" s="75">
        <f t="shared" si="4"/>
        <v>422356.2174</v>
      </c>
      <c r="J34" s="76">
        <f t="shared" si="5"/>
        <v>16.12092317</v>
      </c>
      <c r="K34" s="71" t="str">
        <f t="shared" si="6"/>
        <v>16s</v>
      </c>
      <c r="L34" s="77">
        <f t="shared" si="7"/>
        <v>13270</v>
      </c>
      <c r="M34" s="51">
        <f t="shared" si="8"/>
        <v>-0.03195</v>
      </c>
      <c r="N34" s="52">
        <f>IFERROR(__xludf.DUMMYFUNCTION("IFS(AND(COUNTA(C34:C147)=0,COUNTA(P34:P147)=0),"""",OR(AND(L34&gt;=1000000,OR(Y34&gt;=1000000,COUNTA(P34:P147)=0)),AND(Y34&gt;=1000000,COUNTA(C34:C147)=0),AND(COUNTA(P34:P147)=0,O$3=TRUE)),
ROUNDDOWN((AB$1-AC$1)*MAX(INDEX(S$4:S147,MATCH(LARGE(FILTER(Y$4:Y147,Y$4:Y"&amp;"147&lt;1000000),1),Y$4:Y147)),INDEX(F$4:F147,MATCH(LARGE(FILTER(L$4:L147,L$4:L147&lt;1000000),1),L$4:L147)))),AND(L34&lt;1000000,COUNTA(C34:C147)&gt;0,O$3=FALSE),
ROUNDDOWN(INDEX(Y$4:Y147,MATCH(LARGE(FILTER(W$4:W147,W$4:W147&lt;=J34),1),W$4:W147))+(J34-LARGE(FILTER(W$4:"&amp;"W147,W$4:W147&lt;=J34),1))*INDEX(S$4:S147,MATCH(LARGE(FILTER(W$4:W147,W$4:W147&lt;=J34),1),W$4:W147))-L34),1,
ROUNDDOWN(Y34-INDEX(L$4:L147,MATCH(LARGE(FILTER(J$4:J147,J$4:J147&lt;=W34),1),J$4:J147))-(W34-LARGE(FILTER(J$4:J147,J$4:J147&lt;=W34),1))*INDEX(F$4:F147,MATC"&amp;"H(LARGE(FILTER(J$4:J147,J$4:J147&lt;=W34),1),J$4:J147))))"),51.0)</f>
        <v>51</v>
      </c>
      <c r="O34" s="65">
        <f t="shared" si="9"/>
        <v>6</v>
      </c>
      <c r="P34" s="15" t="s">
        <v>13</v>
      </c>
      <c r="Q34" s="14" t="b">
        <f>IFERROR(__xludf.DUMMYFUNCTION("IF(COUNTA(P34:P147)=0,"""",IFERROR(IF(ISBLANK(P34),FALSE,IF(ISBLANK(T34),1,IF(NOT(COUNTIF($AA$24:$AA$34,SUBSTITUTE(P34,""Sell_"",""""))),1,IF(P34=""Plastic_up"",IF(V34&lt;1000,1),IF(P34=""Super_Up"",IF(OR(COUNTIF(P$4:P34,""Grandma"")-COUNTIF(P$4:P34,""Sell_G"&amp;"randma"")&lt;1,COUNTIF(P$4:P34,VLOOKUP(P34,Upgrades!$F$8:$N$8,7+COUNTIF(P$4:P34,P34)))-COUNTIF(P$4:P34,""Sell_""&amp;VLOOKUP(P34,Upgrades!$F$8:$N$8,7+COUNTIF(P$4:P34,P34)))&lt;15),1),IF(REGEXMATCH(P34,""_up""),IF(COUNTIF(P$4:P34,SUBSTITUTE(P34,""_up"",""""))&lt;IFERRO"&amp;"R(VLOOKUP(P34,Upgrades!$L$3:$P$6,1+COUNTIF(P$4:P34,P34),0),999),1),IF(REGEXMATCH(P34,""Sell_""),IF(COUNTIF(P$4:P34,SUBSTITUTE(P34,""Sell_"",""""))-COUNTIF(P$4:P33,P34)&lt;1,1),FALSE)))))))))"),FALSE)</f>
        <v>0</v>
      </c>
      <c r="R34" s="71">
        <f>IFERROR(__xludf.DUMMYFUNCTION("IF(REGEXMATCH(P34,""^Sell_""),R33, IF(COUNTA(P34:P147)=0,"""",(COUNTIF(P$4:P34,""Cursor"")-COUNTIF(P$4:P34,""Sell_Cursor""))*(0.1*2^SWITCH(COUNTIF(P$4:P34,""Cursor_up""),0,0,1,1,2,2,3)+SWITCH(COUNTIF(P$4:P34,""Cursor_up""),4,0.1,0)*(ROW(P34)-4-COUNTIF(P$4"&amp;":P34,""Cursor"")-COUNTIF(P$4:P34,""*""&amp;""_up"")-2*COUNTIF(P$4:P34,""Sell_""&amp;""*"")+COUNTIF(P$4:P34,""Sell_Cursor"")-COUNTIF(P$4:P34,"""")))+(COUNTIF(P$4:P34,""Grandma"")-COUNTIF(P$4:P34,""Sell_Grandma""))*(1*2^(COUNTIF(P$4:P34,""Grandma_up"")+COUNTIF(P$4:"&amp;"P34,""Super_up"")))+(COUNTIF(P$4:P34,""Farm"")-COUNTIF(P$4:P34,""Sell_Farm""))*(8*2^COUNTIF(P$4:P34,""Farm_up""))*IF(COUNTIF(P$4:P34,""Super_up"")&gt;0,1+0.01*(COUNTIF(P$4:P34,""Grandma"")-COUNTIF(P$4:P34,""Sell_Grandma"")),1)+(COUNTIF(P$4:P34,""Mine"")-COUN"&amp;"TIF(P$4:P34,""Sell_Mine""))*((47*2^COUNTIF(P$4:P34,""Mine_up""))*IF(COUNTIF(P$4:P34,""Super_up"")&gt;1,1+0.005*(COUNTIF(P$4:P34,""Grandma"")-COUNTIF(P$4:P34,""Sell_Grandma"")),1))+(COUNTIF(P$4:P34,""Factory"")-COUNTIF(P$4:P34,""Sell_Factory""))*(260*2^COUNTI"&amp;"F(P$4:P34,""Factory_up""))))"),49.6)</f>
        <v>49.6</v>
      </c>
      <c r="S34" s="73">
        <f>IFERROR(__xludf.DUMMYFUNCTION("IF(COUNTA(P34:P147)=0,"""",IF(REGEXMATCH(INDEX(FILTER(P$4:P34,P$4:P34&lt;&gt;""""),ROWS(FILTER(P$4:P34,P$4:P34&lt;&gt;""""))),""^Sell_""),INDEX(FILTER(S$4:S33,P$4:P33&lt;&gt;""""),ROWS(FILTER(P$4:P33,P$4:P33&lt;&gt;""""))),$AD$5*(2^SWITCH(COUNTIF(P$4:P34,""Cursor_up""),0,0,1,1,2"&amp;",2,3)+SWITCH(COUNTIF(P$4:P34,""Cursor_up""),4,0.1,0)*(ROW(P34)-4-COUNTIF(P$4:P34,""Cursor"")-COUNTIF(P$4:P34,""*""&amp;""_up"")-2*COUNTIF(P$4:P34,""Sell_""&amp;""*"")+COUNTIF(P$4:P34,""Sell_Cursor"")-COUNTIF(P$4:P34,""""))+0.01*R34*COUNTIF(P$4:P34,""Plastic_up"")"&amp;")+R34))"),1649.6)</f>
        <v>1649.6</v>
      </c>
      <c r="T34" s="14">
        <f>IFERROR(__xludf.DUMMYFUNCTION("IF(COUNTA(P34:P147)=0,"""",IF(REGEXMATCH(P34,""_up""),VLOOKUP(P34,Upgrades!$F$3:$J$8,1+COUNTIF(P$4:P34,P34),FALSE),IF(P34="""",0,IF(REGEXMATCH(P34,""^Sell_""),-ROUNDDOWN(ROUNDUP(INDEX(Upgrades!$C$3:$C$8,MATCH(SUBSTITUTE(P34,""Sell_"",""""),Upgrades!$B$3:$"&amp;"B$8,0))*1.15^(COUNTIF(P$4:P33,SUBSTITUTE(P34,""Sell_"",""""))-COUNTIF(P$4:P33,""Sell_""&amp;SUBSTITUTE(P34,""Sell_"",""""))))/4),ROUNDUP(INDEX(Upgrades!$C$3:$C$7,MATCH(P34,Upgrades!$B$3:$B$7,0))*1.15^(COUNTIF(P$4:P33,P34)-COUNTIF(P$4:P33,""Sell_""&amp;P34)))))))"),202.0)</f>
        <v>202</v>
      </c>
      <c r="U34" s="14">
        <f t="shared" si="10"/>
        <v>202</v>
      </c>
      <c r="V34" s="75">
        <f t="shared" si="11"/>
        <v>461785.3533</v>
      </c>
      <c r="W34" s="76">
        <f t="shared" si="12"/>
        <v>18.54343306</v>
      </c>
      <c r="X34" s="71" t="str">
        <f t="shared" si="13"/>
        <v>18s</v>
      </c>
      <c r="Y34" s="77">
        <f t="shared" si="14"/>
        <v>17282</v>
      </c>
      <c r="Z34" s="17"/>
      <c r="AA34" s="111" t="s">
        <v>21</v>
      </c>
      <c r="AB34" s="111" t="s">
        <v>80</v>
      </c>
      <c r="AC34" s="111" t="s">
        <v>81</v>
      </c>
      <c r="AD34" s="111"/>
      <c r="AE34" s="112"/>
      <c r="AF34" s="13"/>
      <c r="AG34" s="13"/>
    </row>
    <row r="35">
      <c r="A35" s="12"/>
      <c r="B35" s="65">
        <f t="shared" si="2"/>
        <v>7</v>
      </c>
      <c r="C35" s="66" t="s">
        <v>13</v>
      </c>
      <c r="D35" s="14" t="b">
        <f>IFERROR(__xludf.DUMMYFUNCTION("IF(COUNTA(C35:C147)=0,"""",IFERROR(IF(ISBLANK(C35),FALSE,IF(ISBLANK(G35),1,IF(NOT(COUNTIF($AA$24:$AA$34,SUBSTITUTE(C35,""Sell_"",""""))),1,IF(C35=""Plastic_up"",IF(I35&lt;1000,1),IF(C35=""Super_Up"",IF(OR(COUNTIF(C$4:C35,""Grandma"")-COUNTIF(C$4:C35,""Sell_G"&amp;"randma"")&lt;1,COUNTIF(C$4:C35,VLOOKUP(C35,Upgrades!$F$8:$N$8,7+COUNTIF(C$4:C35,C35)))-COUNTIF(C$4:C35,""Sell_""&amp;VLOOKUP(C35,Upgrades!$F$8:$N$8,7+COUNTIF(C$4:C35,C35)))&lt;15),1),IF(REGEXMATCH(C35,""_up""),IF(COUNTIF(C$4:C35,SUBSTITUTE(C35,""_up"",""""))&lt;IFERRO"&amp;"R(VLOOKUP(C35,Upgrades!$L$3:$P$6,1+COUNTIF(C$4:C35,C35),0),999),1),IF(REGEXMATCH(C35,""Sell_""),IF(COUNTIF(C$4:C35,SUBSTITUTE(C35,""Sell_"",""""))-COUNTIF(C$4:C34,C35)&lt;1,1),FALSE)))))))))"),FALSE)</f>
        <v>0</v>
      </c>
      <c r="E35" s="71">
        <f>IFERROR(__xludf.DUMMYFUNCTION("IF(REGEXMATCH(C35,""^Sell_""),E34, IF(COUNTA(C35:C147)=0,"""",(COUNTIF(C$4:C35,""Cursor"")-COUNTIF(C$4:C35,""Sell_Cursor""))*(0.1*2^SWITCH(COUNTIF(C$4:C35,""Cursor_up""),0,0,1,1,2,2,3)+SWITCH(COUNTIF(C$4:C35,""Cursor_up""),4,0.1,0)*(ROW(C35)-4-COUNTIF(C$4"&amp;":C35,""Cursor"")-COUNTIF(C$4:C35,""*""&amp;""_up"")-2*COUNTIF(C$4:C35,""Sell_""&amp;""*"")+COUNTIF(C$4:C35,""Sell_Cursor"")-COUNTIF(C$4:C35,"""")))+(COUNTIF(C$4:C35,""Grandma"")-COUNTIF(C$4:C35,""Sell_Grandma""))*(1*2^(COUNTIF(C$4:C35,""Grandma_up"")+COUNTIF(C$4:"&amp;"C35,""Super_up"")))+(COUNTIF(C$4:C35,""Farm"")-COUNTIF(C$4:C35,""Sell_Farm""))*(8*2^COUNTIF(C$4:C35,""Farm_up""))*IF(COUNTIF(C$4:C35,""Super_up"")&gt;0,1+0.01*(COUNTIF(C$4:C35,""Grandma"")-COUNTIF(C$4:C35,""Sell_Grandma"")),1)+(COUNTIF(C$4:C35,""Mine"")-COUN"&amp;"TIF(C$4:C35,""Sell_Mine""))*((47*2^COUNTIF(C$4:C35,""Mine_up""))*IF(COUNTIF(C$4:C35,""Super_up"")&gt;1,1+0.005*(COUNTIF(C$4:C35,""Grandma"")-COUNTIF(C$4:C35,""Sell_Grandma"")),1))+(COUNTIF(C$4:C35,""Factory"")-COUNTIF(C$4:C35,""Sell_Factory""))*(260*2^COUNTI"&amp;"F(C$4:C35,""Factory_up""))))"),23.8)</f>
        <v>23.8</v>
      </c>
      <c r="F35" s="73">
        <f>IFERROR(__xludf.DUMMYFUNCTION("IF(COUNTA(C35:C147)=0,"""",IF(REGEXMATCH(INDEX(FILTER(C$4:C35,C$4:C35&lt;&gt;""""),ROWS(FILTER(C$4:C35,C$4:C35&lt;&gt;""""))),""^Sell_""),INDEX(FILTER(F$4:F34,C$4:C34&lt;&gt;""""),ROWS(FILTER(C$4:C34,C$4:C34&lt;&gt;""""))),$AC$5*(2^SWITCH(COUNTIF(C$4:C35,""Cursor_up""),0,0,1,1,2"&amp;",2,3)+SWITCH(COUNTIF(C$4:C35,""Cursor_up""),4,0.1,0)*(ROW(C35)-4-COUNTIF(C$4:C35,""Cursor"")-COUNTIF(C$4:C35,""*""&amp;""_up"")-2*COUNTIF(C$4:C35,""Sell_""&amp;""*"")+COUNTIF(C$4:C35,""Sell_Cursor"")-COUNTIF(C$4:C35,""""))+0.01*E35*COUNTIF(C$4:C35,""Plastic_up"")"&amp;")+E35))"),1623.8)</f>
        <v>1623.8</v>
      </c>
      <c r="G35" s="14">
        <f>IFERROR(__xludf.DUMMYFUNCTION("IF(COUNTA(C35:C147)=0,"""",IF(REGEXMATCH(C35,""_up""),VLOOKUP(C35,Upgrades!$F$3:$J$8,1+COUNTIF(C$4:C35,C35),FALSE),IF(C35="""",0,IF(REGEXMATCH(C35,""^Sell_""),-ROUNDDOWN(ROUNDUP(INDEX(Upgrades!$C$3:$C$8,MATCH(SUBSTITUTE(C35,""Sell_"",""""),Upgrades!$B$3:$"&amp;"B$8,0))*1.15^(COUNTIF(C$4:C34,SUBSTITUTE(C35,""Sell_"",""""))-COUNTIF(C$4:C34,""Sell_""&amp;SUBSTITUTE(C35,""Sell_"",""""))))/4),ROUNDUP(INDEX(Upgrades!$C$3:$C$7,MATCH(C35,Upgrades!$B$3:$B$7,0))*1.15^(COUNTIF(C$4:C34,C35)-COUNTIF(C$4:C34,""Sell_""&amp;C35)))))))"),232.0)</f>
        <v>232</v>
      </c>
      <c r="H35" s="14">
        <f t="shared" si="3"/>
        <v>232</v>
      </c>
      <c r="I35" s="75">
        <f t="shared" si="4"/>
        <v>448378.4349</v>
      </c>
      <c r="J35" s="76">
        <f t="shared" si="5"/>
        <v>16.26388595</v>
      </c>
      <c r="K35" s="71" t="str">
        <f t="shared" si="6"/>
        <v>16s</v>
      </c>
      <c r="L35" s="77">
        <f t="shared" si="7"/>
        <v>13502</v>
      </c>
      <c r="M35" s="51">
        <f t="shared" si="8"/>
        <v>-0.03212</v>
      </c>
      <c r="N35" s="52">
        <f>IFERROR(__xludf.DUMMYFUNCTION("IFS(AND(COUNTA(C35:C147)=0,COUNTA(P35:P147)=0),"""",OR(AND(L35&gt;=1000000,OR(Y35&gt;=1000000,COUNTA(P35:P147)=0)),AND(Y35&gt;=1000000,COUNTA(C35:C147)=0),AND(COUNTA(P35:P147)=0,O$3=TRUE)),
ROUNDDOWN((AB$1-AC$1)*MAX(INDEX(S$4:S147,MATCH(LARGE(FILTER(Y$4:Y147,Y$4:Y"&amp;"147&lt;1000000),1),Y$4:Y147)),INDEX(F$4:F147,MATCH(LARGE(FILTER(L$4:L147,L$4:L147&lt;1000000),1),L$4:L147)))),AND(L35&lt;1000000,COUNTA(C35:C147)&gt;0,O$3=FALSE),
ROUNDDOWN(INDEX(Y$4:Y147,MATCH(LARGE(FILTER(W$4:W147,W$4:W147&lt;=J35),1),W$4:W147))+(J35-LARGE(FILTER(W$4:"&amp;"W147,W$4:W147&lt;=J35),1))*INDEX(S$4:S147,MATCH(LARGE(FILTER(W$4:W147,W$4:W147&lt;=J35),1),W$4:W147))-L35),1,
ROUNDDOWN(Y35-INDEX(L$4:L147,MATCH(LARGE(FILTER(J$4:J147,J$4:J147&lt;=W35),1),J$4:J147))-(W35-LARGE(FILTER(J$4:J147,J$4:J147&lt;=W35),1))*INDEX(F$4:F147,MATC"&amp;"H(LARGE(FILTER(J$4:J147,J$4:J147&lt;=W35),1),J$4:J147))))"),52.0)</f>
        <v>52</v>
      </c>
      <c r="O35" s="65">
        <f t="shared" si="9"/>
        <v>7</v>
      </c>
      <c r="P35" s="15" t="s">
        <v>13</v>
      </c>
      <c r="Q35" s="14" t="b">
        <f>IFERROR(__xludf.DUMMYFUNCTION("IF(COUNTA(P35:P147)=0,"""",IFERROR(IF(ISBLANK(P35),FALSE,IF(ISBLANK(T35),1,IF(NOT(COUNTIF($AA$24:$AA$34,SUBSTITUTE(P35,""Sell_"",""""))),1,IF(P35=""Plastic_up"",IF(V35&lt;1000,1),IF(P35=""Super_Up"",IF(OR(COUNTIF(P$4:P35,""Grandma"")-COUNTIF(P$4:P35,""Sell_G"&amp;"randma"")&lt;1,COUNTIF(P$4:P35,VLOOKUP(P35,Upgrades!$F$8:$N$8,7+COUNTIF(P$4:P35,P35)))-COUNTIF(P$4:P35,""Sell_""&amp;VLOOKUP(P35,Upgrades!$F$8:$N$8,7+COUNTIF(P$4:P35,P35)))&lt;15),1),IF(REGEXMATCH(P35,""_up""),IF(COUNTIF(P$4:P35,SUBSTITUTE(P35,""_up"",""""))&lt;IFERRO"&amp;"R(VLOOKUP(P35,Upgrades!$L$3:$P$6,1+COUNTIF(P$4:P35,P35),0),999),1),IF(REGEXMATCH(P35,""Sell_""),IF(COUNTIF(P$4:P35,SUBSTITUTE(P35,""Sell_"",""""))-COUNTIF(P$4:P34,P35)&lt;1,1),FALSE)))))))))"),FALSE)</f>
        <v>0</v>
      </c>
      <c r="R35" s="71">
        <f>IFERROR(__xludf.DUMMYFUNCTION("IF(REGEXMATCH(P35,""^Sell_""),R34, IF(COUNTA(P35:P147)=0,"""",(COUNTIF(P$4:P35,""Cursor"")-COUNTIF(P$4:P35,""Sell_Cursor""))*(0.1*2^SWITCH(COUNTIF(P$4:P35,""Cursor_up""),0,0,1,1,2,2,3)+SWITCH(COUNTIF(P$4:P35,""Cursor_up""),4,0.1,0)*(ROW(P35)-4-COUNTIF(P$4"&amp;":P35,""Cursor"")-COUNTIF(P$4:P35,""*""&amp;""_up"")-2*COUNTIF(P$4:P35,""Sell_""&amp;""*"")+COUNTIF(P$4:P35,""Sell_Cursor"")-COUNTIF(P$4:P35,"""")))+(COUNTIF(P$4:P35,""Grandma"")-COUNTIF(P$4:P35,""Sell_Grandma""))*(1*2^(COUNTIF(P$4:P35,""Grandma_up"")+COUNTIF(P$4:"&amp;"P35,""Super_up"")))+(COUNTIF(P$4:P35,""Farm"")-COUNTIF(P$4:P35,""Sell_Farm""))*(8*2^COUNTIF(P$4:P35,""Farm_up""))*IF(COUNTIF(P$4:P35,""Super_up"")&gt;0,1+0.01*(COUNTIF(P$4:P35,""Grandma"")-COUNTIF(P$4:P35,""Sell_Grandma"")),1)+(COUNTIF(P$4:P35,""Mine"")-COUN"&amp;"TIF(P$4:P35,""Sell_Mine""))*((47*2^COUNTIF(P$4:P35,""Mine_up""))*IF(COUNTIF(P$4:P35,""Super_up"")&gt;1,1+0.005*(COUNTIF(P$4:P35,""Grandma"")-COUNTIF(P$4:P35,""Sell_Grandma"")),1))+(COUNTIF(P$4:P35,""Factory"")-COUNTIF(P$4:P35,""Sell_Factory""))*(260*2^COUNTI"&amp;"F(P$4:P35,""Factory_up""))))"),51.6)</f>
        <v>51.6</v>
      </c>
      <c r="S35" s="73">
        <f>IFERROR(__xludf.DUMMYFUNCTION("IF(COUNTA(P35:P147)=0,"""",IF(REGEXMATCH(INDEX(FILTER(P$4:P35,P$4:P35&lt;&gt;""""),ROWS(FILTER(P$4:P35,P$4:P35&lt;&gt;""""))),""^Sell_""),INDEX(FILTER(S$4:S34,P$4:P34&lt;&gt;""""),ROWS(FILTER(P$4:P34,P$4:P34&lt;&gt;""""))),$AD$5*(2^SWITCH(COUNTIF(P$4:P35,""Cursor_up""),0,0,1,1,2"&amp;",2,3)+SWITCH(COUNTIF(P$4:P35,""Cursor_up""),4,0.1,0)*(ROW(P35)-4-COUNTIF(P$4:P35,""Cursor"")-COUNTIF(P$4:P35,""*""&amp;""_up"")-2*COUNTIF(P$4:P35,""Sell_""&amp;""*"")+COUNTIF(P$4:P35,""Sell_Cursor"")-COUNTIF(P$4:P35,""""))+0.01*R35*COUNTIF(P$4:P35,""Plastic_up"")"&amp;")+R35))"),1651.6)</f>
        <v>1651.6</v>
      </c>
      <c r="T35" s="14">
        <f>IFERROR(__xludf.DUMMYFUNCTION("IF(COUNTA(P35:P147)=0,"""",IF(REGEXMATCH(P35,""_up""),VLOOKUP(P35,Upgrades!$F$3:$J$8,1+COUNTIF(P$4:P35,P35),FALSE),IF(P35="""",0,IF(REGEXMATCH(P35,""^Sell_""),-ROUNDDOWN(ROUNDUP(INDEX(Upgrades!$C$3:$C$8,MATCH(SUBSTITUTE(P35,""Sell_"",""""),Upgrades!$B$3:$"&amp;"B$8,0))*1.15^(COUNTIF(P$4:P34,SUBSTITUTE(P35,""Sell_"",""""))-COUNTIF(P$4:P34,""Sell_""&amp;SUBSTITUTE(P35,""Sell_"",""""))))/4),ROUNDUP(INDEX(Upgrades!$C$3:$C$7,MATCH(P35,Upgrades!$B$3:$B$7,0))*1.15^(COUNTIF(P$4:P34,P35)-COUNTIF(P$4:P34,""Sell_""&amp;P35)))))))"),232.0)</f>
        <v>232</v>
      </c>
      <c r="U35" s="14">
        <f t="shared" si="10"/>
        <v>232</v>
      </c>
      <c r="V35" s="75">
        <f t="shared" si="11"/>
        <v>491679.8704</v>
      </c>
      <c r="W35" s="76">
        <f t="shared" si="12"/>
        <v>18.68407322</v>
      </c>
      <c r="X35" s="71" t="str">
        <f t="shared" si="13"/>
        <v>18s</v>
      </c>
      <c r="Y35" s="77">
        <f t="shared" si="14"/>
        <v>17514</v>
      </c>
      <c r="Z35" s="17"/>
      <c r="AF35" s="13"/>
      <c r="AG35" s="13"/>
    </row>
    <row r="36">
      <c r="A36" s="12"/>
      <c r="B36" s="65">
        <f t="shared" si="2"/>
        <v>8</v>
      </c>
      <c r="C36" s="66" t="s">
        <v>13</v>
      </c>
      <c r="D36" s="14" t="b">
        <f>IFERROR(__xludf.DUMMYFUNCTION("IF(COUNTA(C36:C147)=0,"""",IFERROR(IF(ISBLANK(C36),FALSE,IF(ISBLANK(G36),1,IF(NOT(COUNTIF($AA$24:$AA$34,SUBSTITUTE(C36,""Sell_"",""""))),1,IF(C36=""Plastic_up"",IF(I36&lt;1000,1),IF(C36=""Super_Up"",IF(OR(COUNTIF(C$4:C36,""Grandma"")-COUNTIF(C$4:C36,""Sell_G"&amp;"randma"")&lt;1,COUNTIF(C$4:C36,VLOOKUP(C36,Upgrades!$F$8:$N$8,7+COUNTIF(C$4:C36,C36)))-COUNTIF(C$4:C36,""Sell_""&amp;VLOOKUP(C36,Upgrades!$F$8:$N$8,7+COUNTIF(C$4:C36,C36)))&lt;15),1),IF(REGEXMATCH(C36,""_up""),IF(COUNTIF(C$4:C36,SUBSTITUTE(C36,""_up"",""""))&lt;IFERRO"&amp;"R(VLOOKUP(C36,Upgrades!$L$3:$P$6,1+COUNTIF(C$4:C36,C36),0),999),1),IF(REGEXMATCH(C36,""Sell_""),IF(COUNTIF(C$4:C36,SUBSTITUTE(C36,""Sell_"",""""))-COUNTIF(C$4:C35,C36)&lt;1,1),FALSE)))))))))"),FALSE)</f>
        <v>0</v>
      </c>
      <c r="E36" s="71">
        <f>IFERROR(__xludf.DUMMYFUNCTION("IF(REGEXMATCH(C36,""^Sell_""),E35, IF(COUNTA(C36:C147)=0,"""",(COUNTIF(C$4:C36,""Cursor"")-COUNTIF(C$4:C36,""Sell_Cursor""))*(0.1*2^SWITCH(COUNTIF(C$4:C36,""Cursor_up""),0,0,1,1,2,2,3)+SWITCH(COUNTIF(C$4:C36,""Cursor_up""),4,0.1,0)*(ROW(C36)-4-COUNTIF(C$4"&amp;":C36,""Cursor"")-COUNTIF(C$4:C36,""*""&amp;""_up"")-2*COUNTIF(C$4:C36,""Sell_""&amp;""*"")+COUNTIF(C$4:C36,""Sell_Cursor"")-COUNTIF(C$4:C36,"""")))+(COUNTIF(C$4:C36,""Grandma"")-COUNTIF(C$4:C36,""Sell_Grandma""))*(1*2^(COUNTIF(C$4:C36,""Grandma_up"")+COUNTIF(C$4:"&amp;"C36,""Super_up"")))+(COUNTIF(C$4:C36,""Farm"")-COUNTIF(C$4:C36,""Sell_Farm""))*(8*2^COUNTIF(C$4:C36,""Farm_up""))*IF(COUNTIF(C$4:C36,""Super_up"")&gt;0,1+0.01*(COUNTIF(C$4:C36,""Grandma"")-COUNTIF(C$4:C36,""Sell_Grandma"")),1)+(COUNTIF(C$4:C36,""Mine"")-COUN"&amp;"TIF(C$4:C36,""Sell_Mine""))*((47*2^COUNTIF(C$4:C36,""Mine_up""))*IF(COUNTIF(C$4:C36,""Super_up"")&gt;1,1+0.005*(COUNTIF(C$4:C36,""Grandma"")-COUNTIF(C$4:C36,""Sell_Grandma"")),1))+(COUNTIF(C$4:C36,""Factory"")-COUNTIF(C$4:C36,""Sell_Factory""))*(260*2^COUNTI"&amp;"F(C$4:C36,""Factory_up""))))"),24.8)</f>
        <v>24.8</v>
      </c>
      <c r="F36" s="73">
        <f>IFERROR(__xludf.DUMMYFUNCTION("IF(COUNTA(C36:C147)=0,"""",IF(REGEXMATCH(INDEX(FILTER(C$4:C36,C$4:C36&lt;&gt;""""),ROWS(FILTER(C$4:C36,C$4:C36&lt;&gt;""""))),""^Sell_""),INDEX(FILTER(F$4:F35,C$4:C35&lt;&gt;""""),ROWS(FILTER(C$4:C35,C$4:C35&lt;&gt;""""))),$AC$5*(2^SWITCH(COUNTIF(C$4:C36,""Cursor_up""),0,0,1,1,2"&amp;",2,3)+SWITCH(COUNTIF(C$4:C36,""Cursor_up""),4,0.1,0)*(ROW(C36)-4-COUNTIF(C$4:C36,""Cursor"")-COUNTIF(C$4:C36,""*""&amp;""_up"")-2*COUNTIF(C$4:C36,""Sell_""&amp;""*"")+COUNTIF(C$4:C36,""Sell_Cursor"")-COUNTIF(C$4:C36,""""))+0.01*E36*COUNTIF(C$4:C36,""Plastic_up"")"&amp;")+E36))"),1624.8)</f>
        <v>1624.8</v>
      </c>
      <c r="G36" s="14">
        <f>IFERROR(__xludf.DUMMYFUNCTION("IF(COUNTA(C36:C147)=0,"""",IF(REGEXMATCH(C36,""_up""),VLOOKUP(C36,Upgrades!$F$3:$J$8,1+COUNTIF(C$4:C36,C36),FALSE),IF(C36="""",0,IF(REGEXMATCH(C36,""^Sell_""),-ROUNDDOWN(ROUNDUP(INDEX(Upgrades!$C$3:$C$8,MATCH(SUBSTITUTE(C36,""Sell_"",""""),Upgrades!$B$3:$"&amp;"B$8,0))*1.15^(COUNTIF(C$4:C35,SUBSTITUTE(C36,""Sell_"",""""))-COUNTIF(C$4:C35,""Sell_""&amp;SUBSTITUTE(C36,""Sell_"",""""))))/4),ROUNDUP(INDEX(Upgrades!$C$3:$C$7,MATCH(C36,Upgrades!$B$3:$B$7,0))*1.15^(COUNTIF(C$4:C35,C36)-COUNTIF(C$4:C35,""Sell_""&amp;C36)))))))"),267.0)</f>
        <v>267</v>
      </c>
      <c r="H36" s="14">
        <f t="shared" si="3"/>
        <v>267</v>
      </c>
      <c r="I36" s="75">
        <f t="shared" si="4"/>
        <v>474663.739</v>
      </c>
      <c r="J36" s="76">
        <f t="shared" si="5"/>
        <v>16.42831507</v>
      </c>
      <c r="K36" s="71" t="str">
        <f t="shared" si="6"/>
        <v>16s</v>
      </c>
      <c r="L36" s="77">
        <f t="shared" si="7"/>
        <v>13769</v>
      </c>
      <c r="M36" s="51">
        <f t="shared" si="8"/>
        <v>-0.03222</v>
      </c>
      <c r="N36" s="52">
        <f>IFERROR(__xludf.DUMMYFUNCTION("IFS(AND(COUNTA(C36:C147)=0,COUNTA(P36:P147)=0),"""",OR(AND(L36&gt;=1000000,OR(Y36&gt;=1000000,COUNTA(P36:P147)=0)),AND(Y36&gt;=1000000,COUNTA(C36:C147)=0),AND(COUNTA(P36:P147)=0,O$3=TRUE)),
ROUNDDOWN((AB$1-AC$1)*MAX(INDEX(S$4:S147,MATCH(LARGE(FILTER(Y$4:Y147,Y$4:Y"&amp;"147&lt;1000000),1),Y$4:Y147)),INDEX(F$4:F147,MATCH(LARGE(FILTER(L$4:L147,L$4:L147&lt;1000000),1),L$4:L147)))),AND(L36&lt;1000000,COUNTA(C36:C147)&gt;0,O$3=FALSE),
ROUNDDOWN(INDEX(Y$4:Y147,MATCH(LARGE(FILTER(W$4:W147,W$4:W147&lt;=J36),1),W$4:W147))+(J36-LARGE(FILTER(W$4:"&amp;"W147,W$4:W147&lt;=J36),1))*INDEX(S$4:S147,MATCH(LARGE(FILTER(W$4:W147,W$4:W147&lt;=J36),1),W$4:W147))-L36),1,
ROUNDDOWN(Y36-INDEX(L$4:L147,MATCH(LARGE(FILTER(J$4:J147,J$4:J147&lt;=W36),1),J$4:J147))-(W36-LARGE(FILTER(J$4:J147,J$4:J147&lt;=W36),1))*INDEX(F$4:F147,MATC"&amp;"H(LARGE(FILTER(J$4:J147,J$4:J147&lt;=W36),1),J$4:J147))))"),52.0)</f>
        <v>52</v>
      </c>
      <c r="O36" s="65">
        <f t="shared" si="9"/>
        <v>8</v>
      </c>
      <c r="P36" s="15" t="s">
        <v>13</v>
      </c>
      <c r="Q36" s="14" t="b">
        <f>IFERROR(__xludf.DUMMYFUNCTION("IF(COUNTA(P36:P147)=0,"""",IFERROR(IF(ISBLANK(P36),FALSE,IF(ISBLANK(T36),1,IF(NOT(COUNTIF($AA$24:$AA$34,SUBSTITUTE(P36,""Sell_"",""""))),1,IF(P36=""Plastic_up"",IF(V36&lt;1000,1),IF(P36=""Super_Up"",IF(OR(COUNTIF(P$4:P36,""Grandma"")-COUNTIF(P$4:P36,""Sell_G"&amp;"randma"")&lt;1,COUNTIF(P$4:P36,VLOOKUP(P36,Upgrades!$F$8:$N$8,7+COUNTIF(P$4:P36,P36)))-COUNTIF(P$4:P36,""Sell_""&amp;VLOOKUP(P36,Upgrades!$F$8:$N$8,7+COUNTIF(P$4:P36,P36)))&lt;15),1),IF(REGEXMATCH(P36,""_up""),IF(COUNTIF(P$4:P36,SUBSTITUTE(P36,""_up"",""""))&lt;IFERRO"&amp;"R(VLOOKUP(P36,Upgrades!$L$3:$P$6,1+COUNTIF(P$4:P36,P36),0),999),1),IF(REGEXMATCH(P36,""Sell_""),IF(COUNTIF(P$4:P36,SUBSTITUTE(P36,""Sell_"",""""))-COUNTIF(P$4:P35,P36)&lt;1,1),FALSE)))))))))"),FALSE)</f>
        <v>0</v>
      </c>
      <c r="R36" s="71">
        <f>IFERROR(__xludf.DUMMYFUNCTION("IF(REGEXMATCH(P36,""^Sell_""),R35, IF(COUNTA(P36:P147)=0,"""",(COUNTIF(P$4:P36,""Cursor"")-COUNTIF(P$4:P36,""Sell_Cursor""))*(0.1*2^SWITCH(COUNTIF(P$4:P36,""Cursor_up""),0,0,1,1,2,2,3)+SWITCH(COUNTIF(P$4:P36,""Cursor_up""),4,0.1,0)*(ROW(P36)-4-COUNTIF(P$4"&amp;":P36,""Cursor"")-COUNTIF(P$4:P36,""*""&amp;""_up"")-2*COUNTIF(P$4:P36,""Sell_""&amp;""*"")+COUNTIF(P$4:P36,""Sell_Cursor"")-COUNTIF(P$4:P36,"""")))+(COUNTIF(P$4:P36,""Grandma"")-COUNTIF(P$4:P36,""Sell_Grandma""))*(1*2^(COUNTIF(P$4:P36,""Grandma_up"")+COUNTIF(P$4:"&amp;"P36,""Super_up"")))+(COUNTIF(P$4:P36,""Farm"")-COUNTIF(P$4:P36,""Sell_Farm""))*(8*2^COUNTIF(P$4:P36,""Farm_up""))*IF(COUNTIF(P$4:P36,""Super_up"")&gt;0,1+0.01*(COUNTIF(P$4:P36,""Grandma"")-COUNTIF(P$4:P36,""Sell_Grandma"")),1)+(COUNTIF(P$4:P36,""Mine"")-COUN"&amp;"TIF(P$4:P36,""Sell_Mine""))*((47*2^COUNTIF(P$4:P36,""Mine_up""))*IF(COUNTIF(P$4:P36,""Super_up"")&gt;1,1+0.005*(COUNTIF(P$4:P36,""Grandma"")-COUNTIF(P$4:P36,""Sell_Grandma"")),1))+(COUNTIF(P$4:P36,""Factory"")-COUNTIF(P$4:P36,""Sell_Factory""))*(260*2^COUNTI"&amp;"F(P$4:P36,""Factory_up""))))"),53.6)</f>
        <v>53.6</v>
      </c>
      <c r="S36" s="73">
        <f>IFERROR(__xludf.DUMMYFUNCTION("IF(COUNTA(P36:P147)=0,"""",IF(REGEXMATCH(INDEX(FILTER(P$4:P36,P$4:P36&lt;&gt;""""),ROWS(FILTER(P$4:P36,P$4:P36&lt;&gt;""""))),""^Sell_""),INDEX(FILTER(S$4:S35,P$4:P35&lt;&gt;""""),ROWS(FILTER(P$4:P35,P$4:P35&lt;&gt;""""))),$AD$5*(2^SWITCH(COUNTIF(P$4:P36,""Cursor_up""),0,0,1,1,2"&amp;",2,3)+SWITCH(COUNTIF(P$4:P36,""Cursor_up""),4,0.1,0)*(ROW(P36)-4-COUNTIF(P$4:P36,""Cursor"")-COUNTIF(P$4:P36,""*""&amp;""_up"")-2*COUNTIF(P$4:P36,""Sell_""&amp;""*"")+COUNTIF(P$4:P36,""Sell_Cursor"")-COUNTIF(P$4:P36,""""))+0.01*R36*COUNTIF(P$4:P36,""Plastic_up"")"&amp;")+R36))"),1653.6)</f>
        <v>1653.6</v>
      </c>
      <c r="T36" s="14">
        <f>IFERROR(__xludf.DUMMYFUNCTION("IF(COUNTA(P36:P147)=0,"""",IF(REGEXMATCH(P36,""_up""),VLOOKUP(P36,Upgrades!$F$3:$J$8,1+COUNTIF(P$4:P36,P36),FALSE),IF(P36="""",0,IF(REGEXMATCH(P36,""^Sell_""),-ROUNDDOWN(ROUNDUP(INDEX(Upgrades!$C$3:$C$8,MATCH(SUBSTITUTE(P36,""Sell_"",""""),Upgrades!$B$3:$"&amp;"B$8,0))*1.15^(COUNTIF(P$4:P35,SUBSTITUTE(P36,""Sell_"",""""))-COUNTIF(P$4:P35,""Sell_""&amp;SUBSTITUTE(P36,""Sell_"",""""))))/4),ROUNDUP(INDEX(Upgrades!$C$3:$C$7,MATCH(P36,Upgrades!$B$3:$B$7,0))*1.15^(COUNTIF(P$4:P35,P36)-COUNTIF(P$4:P35,""Sell_""&amp;P36)))))))"),267.0)</f>
        <v>267</v>
      </c>
      <c r="U36" s="14">
        <f t="shared" si="10"/>
        <v>267</v>
      </c>
      <c r="V36" s="75">
        <f t="shared" si="11"/>
        <v>521833.0458</v>
      </c>
      <c r="W36" s="76">
        <f t="shared" si="12"/>
        <v>18.84573464</v>
      </c>
      <c r="X36" s="71" t="str">
        <f t="shared" si="13"/>
        <v>18s</v>
      </c>
      <c r="Y36" s="77">
        <f t="shared" si="14"/>
        <v>17781</v>
      </c>
      <c r="Z36" s="17"/>
      <c r="AA36" s="113" t="s">
        <v>82</v>
      </c>
      <c r="AB36" s="113"/>
      <c r="AC36" s="113"/>
      <c r="AD36" s="113"/>
      <c r="AE36" s="114"/>
      <c r="AF36" s="13"/>
      <c r="AG36" s="13"/>
    </row>
    <row r="37">
      <c r="A37" s="12"/>
      <c r="B37" s="65">
        <f t="shared" si="2"/>
        <v>9</v>
      </c>
      <c r="C37" s="66" t="s">
        <v>13</v>
      </c>
      <c r="D37" s="14" t="b">
        <f>IFERROR(__xludf.DUMMYFUNCTION("IF(COUNTA(C37:C147)=0,"""",IFERROR(IF(ISBLANK(C37),FALSE,IF(ISBLANK(G37),1,IF(NOT(COUNTIF($AA$24:$AA$34,SUBSTITUTE(C37,""Sell_"",""""))),1,IF(C37=""Plastic_up"",IF(I37&lt;1000,1),IF(C37=""Super_Up"",IF(OR(COUNTIF(C$4:C37,""Grandma"")-COUNTIF(C$4:C37,""Sell_G"&amp;"randma"")&lt;1,COUNTIF(C$4:C37,VLOOKUP(C37,Upgrades!$F$8:$N$8,7+COUNTIF(C$4:C37,C37)))-COUNTIF(C$4:C37,""Sell_""&amp;VLOOKUP(C37,Upgrades!$F$8:$N$8,7+COUNTIF(C$4:C37,C37)))&lt;15),1),IF(REGEXMATCH(C37,""_up""),IF(COUNTIF(C$4:C37,SUBSTITUTE(C37,""_up"",""""))&lt;IFERRO"&amp;"R(VLOOKUP(C37,Upgrades!$L$3:$P$6,1+COUNTIF(C$4:C37,C37),0),999),1),IF(REGEXMATCH(C37,""Sell_""),IF(COUNTIF(C$4:C37,SUBSTITUTE(C37,""Sell_"",""""))-COUNTIF(C$4:C36,C37)&lt;1,1),FALSE)))))))))"),FALSE)</f>
        <v>0</v>
      </c>
      <c r="E37" s="71">
        <f>IFERROR(__xludf.DUMMYFUNCTION("IF(REGEXMATCH(C37,""^Sell_""),E36, IF(COUNTA(C37:C147)=0,"""",(COUNTIF(C$4:C37,""Cursor"")-COUNTIF(C$4:C37,""Sell_Cursor""))*(0.1*2^SWITCH(COUNTIF(C$4:C37,""Cursor_up""),0,0,1,1,2,2,3)+SWITCH(COUNTIF(C$4:C37,""Cursor_up""),4,0.1,0)*(ROW(C37)-4-COUNTIF(C$4"&amp;":C37,""Cursor"")-COUNTIF(C$4:C37,""*""&amp;""_up"")-2*COUNTIF(C$4:C37,""Sell_""&amp;""*"")+COUNTIF(C$4:C37,""Sell_Cursor"")-COUNTIF(C$4:C37,"""")))+(COUNTIF(C$4:C37,""Grandma"")-COUNTIF(C$4:C37,""Sell_Grandma""))*(1*2^(COUNTIF(C$4:C37,""Grandma_up"")+COUNTIF(C$4:"&amp;"C37,""Super_up"")))+(COUNTIF(C$4:C37,""Farm"")-COUNTIF(C$4:C37,""Sell_Farm""))*(8*2^COUNTIF(C$4:C37,""Farm_up""))*IF(COUNTIF(C$4:C37,""Super_up"")&gt;0,1+0.01*(COUNTIF(C$4:C37,""Grandma"")-COUNTIF(C$4:C37,""Sell_Grandma"")),1)+(COUNTIF(C$4:C37,""Mine"")-COUN"&amp;"TIF(C$4:C37,""Sell_Mine""))*((47*2^COUNTIF(C$4:C37,""Mine_up""))*IF(COUNTIF(C$4:C37,""Super_up"")&gt;1,1+0.005*(COUNTIF(C$4:C37,""Grandma"")-COUNTIF(C$4:C37,""Sell_Grandma"")),1))+(COUNTIF(C$4:C37,""Factory"")-COUNTIF(C$4:C37,""Sell_Factory""))*(260*2^COUNTI"&amp;"F(C$4:C37,""Factory_up""))))"),25.8)</f>
        <v>25.8</v>
      </c>
      <c r="F37" s="73">
        <f>IFERROR(__xludf.DUMMYFUNCTION("IF(COUNTA(C37:C147)=0,"""",IF(REGEXMATCH(INDEX(FILTER(C$4:C37,C$4:C37&lt;&gt;""""),ROWS(FILTER(C$4:C37,C$4:C37&lt;&gt;""""))),""^Sell_""),INDEX(FILTER(F$4:F36,C$4:C36&lt;&gt;""""),ROWS(FILTER(C$4:C36,C$4:C36&lt;&gt;""""))),$AC$5*(2^SWITCH(COUNTIF(C$4:C37,""Cursor_up""),0,0,1,1,2"&amp;",2,3)+SWITCH(COUNTIF(C$4:C37,""Cursor_up""),4,0.1,0)*(ROW(C37)-4-COUNTIF(C$4:C37,""Cursor"")-COUNTIF(C$4:C37,""*""&amp;""_up"")-2*COUNTIF(C$4:C37,""Sell_""&amp;""*"")+COUNTIF(C$4:C37,""Sell_Cursor"")-COUNTIF(C$4:C37,""""))+0.01*E37*COUNTIF(C$4:C37,""Plastic_up"")"&amp;")+E37))"),1625.8)</f>
        <v>1625.8</v>
      </c>
      <c r="G37" s="14">
        <f>IFERROR(__xludf.DUMMYFUNCTION("IF(COUNTA(C37:C147)=0,"""",IF(REGEXMATCH(C37,""_up""),VLOOKUP(C37,Upgrades!$F$3:$J$8,1+COUNTIF(C$4:C37,C37),FALSE),IF(C37="""",0,IF(REGEXMATCH(C37,""^Sell_""),-ROUNDDOWN(ROUNDUP(INDEX(Upgrades!$C$3:$C$8,MATCH(SUBSTITUTE(C37,""Sell_"",""""),Upgrades!$B$3:$"&amp;"B$8,0))*1.15^(COUNTIF(C$4:C36,SUBSTITUTE(C37,""Sell_"",""""))-COUNTIF(C$4:C36,""Sell_""&amp;SUBSTITUTE(C37,""Sell_"",""""))))/4),ROUNDUP(INDEX(Upgrades!$C$3:$C$7,MATCH(C37,Upgrades!$B$3:$B$7,0))*1.15^(COUNTIF(C$4:C36,C37)-COUNTIF(C$4:C36,""Sell_""&amp;C37)))))))"),306.0)</f>
        <v>306</v>
      </c>
      <c r="H37" s="14">
        <f t="shared" si="3"/>
        <v>306</v>
      </c>
      <c r="I37" s="75">
        <f t="shared" si="4"/>
        <v>501250.3725</v>
      </c>
      <c r="J37" s="76">
        <f t="shared" si="5"/>
        <v>16.61664594</v>
      </c>
      <c r="K37" s="71" t="str">
        <f t="shared" si="6"/>
        <v>16s</v>
      </c>
      <c r="L37" s="77">
        <f t="shared" si="7"/>
        <v>14075</v>
      </c>
      <c r="M37" s="51">
        <f t="shared" si="8"/>
        <v>-0.03222</v>
      </c>
      <c r="N37" s="52">
        <f>IFERROR(__xludf.DUMMYFUNCTION("IFS(AND(COUNTA(C37:C147)=0,COUNTA(P37:P147)=0),"""",OR(AND(L37&gt;=1000000,OR(Y37&gt;=1000000,COUNTA(P37:P147)=0)),AND(Y37&gt;=1000000,COUNTA(C37:C147)=0),AND(COUNTA(P37:P147)=0,O$3=TRUE)),
ROUNDDOWN((AB$1-AC$1)*MAX(INDEX(S$4:S147,MATCH(LARGE(FILTER(Y$4:Y147,Y$4:Y"&amp;"147&lt;1000000),1),Y$4:Y147)),INDEX(F$4:F147,MATCH(LARGE(FILTER(L$4:L147,L$4:L147&lt;1000000),1),L$4:L147)))),AND(L37&lt;1000000,COUNTA(C37:C147)&gt;0,O$3=FALSE),
ROUNDDOWN(INDEX(Y$4:Y147,MATCH(LARGE(FILTER(W$4:W147,W$4:W147&lt;=J37),1),W$4:W147))+(J37-LARGE(FILTER(W$4:"&amp;"W147,W$4:W147&lt;=J37),1))*INDEX(S$4:S147,MATCH(LARGE(FILTER(W$4:W147,W$4:W147&lt;=J37),1),W$4:W147))-L37),1,
ROUNDDOWN(Y37-INDEX(L$4:L147,MATCH(LARGE(FILTER(J$4:J147,J$4:J147&lt;=W37),1),J$4:J147))-(W37-LARGE(FILTER(J$4:J147,J$4:J147&lt;=W37),1))*INDEX(F$4:F147,MATC"&amp;"H(LARGE(FILTER(J$4:J147,J$4:J147&lt;=W37),1),J$4:J147))))"),52.0)</f>
        <v>52</v>
      </c>
      <c r="O37" s="65">
        <f t="shared" si="9"/>
        <v>9</v>
      </c>
      <c r="P37" s="15" t="s">
        <v>13</v>
      </c>
      <c r="Q37" s="14" t="b">
        <f>IFERROR(__xludf.DUMMYFUNCTION("IF(COUNTA(P37:P147)=0,"""",IFERROR(IF(ISBLANK(P37),FALSE,IF(ISBLANK(T37),1,IF(NOT(COUNTIF($AA$24:$AA$34,SUBSTITUTE(P37,""Sell_"",""""))),1,IF(P37=""Plastic_up"",IF(V37&lt;1000,1),IF(P37=""Super_Up"",IF(OR(COUNTIF(P$4:P37,""Grandma"")-COUNTIF(P$4:P37,""Sell_G"&amp;"randma"")&lt;1,COUNTIF(P$4:P37,VLOOKUP(P37,Upgrades!$F$8:$N$8,7+COUNTIF(P$4:P37,P37)))-COUNTIF(P$4:P37,""Sell_""&amp;VLOOKUP(P37,Upgrades!$F$8:$N$8,7+COUNTIF(P$4:P37,P37)))&lt;15),1),IF(REGEXMATCH(P37,""_up""),IF(COUNTIF(P$4:P37,SUBSTITUTE(P37,""_up"",""""))&lt;IFERRO"&amp;"R(VLOOKUP(P37,Upgrades!$L$3:$P$6,1+COUNTIF(P$4:P37,P37),0),999),1),IF(REGEXMATCH(P37,""Sell_""),IF(COUNTIF(P$4:P37,SUBSTITUTE(P37,""Sell_"",""""))-COUNTIF(P$4:P36,P37)&lt;1,1),FALSE)))))))))"),FALSE)</f>
        <v>0</v>
      </c>
      <c r="R37" s="71">
        <f>IFERROR(__xludf.DUMMYFUNCTION("IF(REGEXMATCH(P37,""^Sell_""),R36, IF(COUNTA(P37:P147)=0,"""",(COUNTIF(P$4:P37,""Cursor"")-COUNTIF(P$4:P37,""Sell_Cursor""))*(0.1*2^SWITCH(COUNTIF(P$4:P37,""Cursor_up""),0,0,1,1,2,2,3)+SWITCH(COUNTIF(P$4:P37,""Cursor_up""),4,0.1,0)*(ROW(P37)-4-COUNTIF(P$4"&amp;":P37,""Cursor"")-COUNTIF(P$4:P37,""*""&amp;""_up"")-2*COUNTIF(P$4:P37,""Sell_""&amp;""*"")+COUNTIF(P$4:P37,""Sell_Cursor"")-COUNTIF(P$4:P37,"""")))+(COUNTIF(P$4:P37,""Grandma"")-COUNTIF(P$4:P37,""Sell_Grandma""))*(1*2^(COUNTIF(P$4:P37,""Grandma_up"")+COUNTIF(P$4:"&amp;"P37,""Super_up"")))+(COUNTIF(P$4:P37,""Farm"")-COUNTIF(P$4:P37,""Sell_Farm""))*(8*2^COUNTIF(P$4:P37,""Farm_up""))*IF(COUNTIF(P$4:P37,""Super_up"")&gt;0,1+0.01*(COUNTIF(P$4:P37,""Grandma"")-COUNTIF(P$4:P37,""Sell_Grandma"")),1)+(COUNTIF(P$4:P37,""Mine"")-COUN"&amp;"TIF(P$4:P37,""Sell_Mine""))*((47*2^COUNTIF(P$4:P37,""Mine_up""))*IF(COUNTIF(P$4:P37,""Super_up"")&gt;1,1+0.005*(COUNTIF(P$4:P37,""Grandma"")-COUNTIF(P$4:P37,""Sell_Grandma"")),1))+(COUNTIF(P$4:P37,""Factory"")-COUNTIF(P$4:P37,""Sell_Factory""))*(260*2^COUNTI"&amp;"F(P$4:P37,""Factory_up""))))"),55.6)</f>
        <v>55.6</v>
      </c>
      <c r="S37" s="73">
        <f>IFERROR(__xludf.DUMMYFUNCTION("IF(COUNTA(P37:P147)=0,"""",IF(REGEXMATCH(INDEX(FILTER(P$4:P37,P$4:P37&lt;&gt;""""),ROWS(FILTER(P$4:P37,P$4:P37&lt;&gt;""""))),""^Sell_""),INDEX(FILTER(S$4:S36,P$4:P36&lt;&gt;""""),ROWS(FILTER(P$4:P36,P$4:P36&lt;&gt;""""))),$AD$5*(2^SWITCH(COUNTIF(P$4:P37,""Cursor_up""),0,0,1,1,2"&amp;",2,3)+SWITCH(COUNTIF(P$4:P37,""Cursor_up""),4,0.1,0)*(ROW(P37)-4-COUNTIF(P$4:P37,""Cursor"")-COUNTIF(P$4:P37,""*""&amp;""_up"")-2*COUNTIF(P$4:P37,""Sell_""&amp;""*"")+COUNTIF(P$4:P37,""Sell_Cursor"")-COUNTIF(P$4:P37,""""))+0.01*R37*COUNTIF(P$4:P37,""Plastic_up"")"&amp;")+R37))"),1655.6)</f>
        <v>1655.6</v>
      </c>
      <c r="T37" s="14">
        <f>IFERROR(__xludf.DUMMYFUNCTION("IF(COUNTA(P37:P147)=0,"""",IF(REGEXMATCH(P37,""_up""),VLOOKUP(P37,Upgrades!$F$3:$J$8,1+COUNTIF(P$4:P37,P37),FALSE),IF(P37="""",0,IF(REGEXMATCH(P37,""^Sell_""),-ROUNDDOWN(ROUNDUP(INDEX(Upgrades!$C$3:$C$8,MATCH(SUBSTITUTE(P37,""Sell_"",""""),Upgrades!$B$3:$"&amp;"B$8,0))*1.15^(COUNTIF(P$4:P36,SUBSTITUTE(P37,""Sell_"",""""))-COUNTIF(P$4:P36,""Sell_""&amp;SUBSTITUTE(P37,""Sell_"",""""))))/4),ROUNDUP(INDEX(Upgrades!$C$3:$C$7,MATCH(P37,Upgrades!$B$3:$B$7,0))*1.15^(COUNTIF(P$4:P36,P37)-COUNTIF(P$4:P36,""Sell_""&amp;P37)))))))"),306.0)</f>
        <v>306</v>
      </c>
      <c r="U37" s="14">
        <f t="shared" si="10"/>
        <v>306</v>
      </c>
      <c r="V37" s="75">
        <f t="shared" si="11"/>
        <v>552282.3025</v>
      </c>
      <c r="W37" s="76">
        <f t="shared" si="12"/>
        <v>19.03078543</v>
      </c>
      <c r="X37" s="71" t="str">
        <f t="shared" si="13"/>
        <v>19s</v>
      </c>
      <c r="Y37" s="77">
        <f t="shared" si="14"/>
        <v>18087</v>
      </c>
      <c r="Z37" s="17"/>
      <c r="AA37" s="115" t="s">
        <v>83</v>
      </c>
      <c r="AB37" s="115"/>
      <c r="AC37" s="115"/>
      <c r="AD37" s="115"/>
      <c r="AE37" s="116"/>
      <c r="AF37" s="13"/>
      <c r="AG37" s="13"/>
    </row>
    <row r="38">
      <c r="A38" s="12"/>
      <c r="B38" s="65">
        <f t="shared" si="2"/>
        <v>10</v>
      </c>
      <c r="C38" s="66" t="s">
        <v>13</v>
      </c>
      <c r="D38" s="14" t="b">
        <f>IFERROR(__xludf.DUMMYFUNCTION("IF(COUNTA(C38:C147)=0,"""",IFERROR(IF(ISBLANK(C38),FALSE,IF(ISBLANK(G38),1,IF(NOT(COUNTIF($AA$24:$AA$34,SUBSTITUTE(C38,""Sell_"",""""))),1,IF(C38=""Plastic_up"",IF(I38&lt;1000,1),IF(C38=""Super_Up"",IF(OR(COUNTIF(C$4:C38,""Grandma"")-COUNTIF(C$4:C38,""Sell_G"&amp;"randma"")&lt;1,COUNTIF(C$4:C38,VLOOKUP(C38,Upgrades!$F$8:$N$8,7+COUNTIF(C$4:C38,C38)))-COUNTIF(C$4:C38,""Sell_""&amp;VLOOKUP(C38,Upgrades!$F$8:$N$8,7+COUNTIF(C$4:C38,C38)))&lt;15),1),IF(REGEXMATCH(C38,""_up""),IF(COUNTIF(C$4:C38,SUBSTITUTE(C38,""_up"",""""))&lt;IFERRO"&amp;"R(VLOOKUP(C38,Upgrades!$L$3:$P$6,1+COUNTIF(C$4:C38,C38),0),999),1),IF(REGEXMATCH(C38,""Sell_""),IF(COUNTIF(C$4:C38,SUBSTITUTE(C38,""Sell_"",""""))-COUNTIF(C$4:C37,C38)&lt;1,1),FALSE)))))))))"),FALSE)</f>
        <v>0</v>
      </c>
      <c r="E38" s="71">
        <f>IFERROR(__xludf.DUMMYFUNCTION("IF(REGEXMATCH(C38,""^Sell_""),E37, IF(COUNTA(C38:C147)=0,"""",(COUNTIF(C$4:C38,""Cursor"")-COUNTIF(C$4:C38,""Sell_Cursor""))*(0.1*2^SWITCH(COUNTIF(C$4:C38,""Cursor_up""),0,0,1,1,2,2,3)+SWITCH(COUNTIF(C$4:C38,""Cursor_up""),4,0.1,0)*(ROW(C38)-4-COUNTIF(C$4"&amp;":C38,""Cursor"")-COUNTIF(C$4:C38,""*""&amp;""_up"")-2*COUNTIF(C$4:C38,""Sell_""&amp;""*"")+COUNTIF(C$4:C38,""Sell_Cursor"")-COUNTIF(C$4:C38,"""")))+(COUNTIF(C$4:C38,""Grandma"")-COUNTIF(C$4:C38,""Sell_Grandma""))*(1*2^(COUNTIF(C$4:C38,""Grandma_up"")+COUNTIF(C$4:"&amp;"C38,""Super_up"")))+(COUNTIF(C$4:C38,""Farm"")-COUNTIF(C$4:C38,""Sell_Farm""))*(8*2^COUNTIF(C$4:C38,""Farm_up""))*IF(COUNTIF(C$4:C38,""Super_up"")&gt;0,1+0.01*(COUNTIF(C$4:C38,""Grandma"")-COUNTIF(C$4:C38,""Sell_Grandma"")),1)+(COUNTIF(C$4:C38,""Mine"")-COUN"&amp;"TIF(C$4:C38,""Sell_Mine""))*((47*2^COUNTIF(C$4:C38,""Mine_up""))*IF(COUNTIF(C$4:C38,""Super_up"")&gt;1,1+0.005*(COUNTIF(C$4:C38,""Grandma"")-COUNTIF(C$4:C38,""Sell_Grandma"")),1))+(COUNTIF(C$4:C38,""Factory"")-COUNTIF(C$4:C38,""Sell_Factory""))*(260*2^COUNTI"&amp;"F(C$4:C38,""Factory_up""))))"),26.8)</f>
        <v>26.8</v>
      </c>
      <c r="F38" s="73">
        <f>IFERROR(__xludf.DUMMYFUNCTION("IF(COUNTA(C38:C147)=0,"""",IF(REGEXMATCH(INDEX(FILTER(C$4:C38,C$4:C38&lt;&gt;""""),ROWS(FILTER(C$4:C38,C$4:C38&lt;&gt;""""))),""^Sell_""),INDEX(FILTER(F$4:F37,C$4:C37&lt;&gt;""""),ROWS(FILTER(C$4:C37,C$4:C37&lt;&gt;""""))),$AC$5*(2^SWITCH(COUNTIF(C$4:C38,""Cursor_up""),0,0,1,1,2"&amp;",2,3)+SWITCH(COUNTIF(C$4:C38,""Cursor_up""),4,0.1,0)*(ROW(C38)-4-COUNTIF(C$4:C38,""Cursor"")-COUNTIF(C$4:C38,""*""&amp;""_up"")-2*COUNTIF(C$4:C38,""Sell_""&amp;""*"")+COUNTIF(C$4:C38,""Sell_Cursor"")-COUNTIF(C$4:C38,""""))+0.01*E38*COUNTIF(C$4:C38,""Plastic_up"")"&amp;")+E38))"),1626.8)</f>
        <v>1626.8</v>
      </c>
      <c r="G38" s="14">
        <f>IFERROR(__xludf.DUMMYFUNCTION("IF(COUNTA(C38:C147)=0,"""",IF(REGEXMATCH(C38,""_up""),VLOOKUP(C38,Upgrades!$F$3:$J$8,1+COUNTIF(C$4:C38,C38),FALSE),IF(C38="""",0,IF(REGEXMATCH(C38,""^Sell_""),-ROUNDDOWN(ROUNDUP(INDEX(Upgrades!$C$3:$C$8,MATCH(SUBSTITUTE(C38,""Sell_"",""""),Upgrades!$B$3:$"&amp;"B$8,0))*1.15^(COUNTIF(C$4:C37,SUBSTITUTE(C38,""Sell_"",""""))-COUNTIF(C$4:C37,""Sell_""&amp;SUBSTITUTE(C38,""Sell_"",""""))))/4),ROUNDUP(INDEX(Upgrades!$C$3:$C$7,MATCH(C38,Upgrades!$B$3:$B$7,0))*1.15^(COUNTIF(C$4:C37,C38)-COUNTIF(C$4:C37,""Sell_""&amp;C38)))))))"),352.0)</f>
        <v>352</v>
      </c>
      <c r="H38" s="14">
        <f t="shared" si="3"/>
        <v>352</v>
      </c>
      <c r="I38" s="75">
        <f t="shared" si="4"/>
        <v>528183.4201</v>
      </c>
      <c r="J38" s="76">
        <f t="shared" si="5"/>
        <v>16.83315473</v>
      </c>
      <c r="K38" s="71" t="str">
        <f t="shared" si="6"/>
        <v>16s</v>
      </c>
      <c r="L38" s="77">
        <f t="shared" si="7"/>
        <v>14427</v>
      </c>
      <c r="M38" s="51">
        <f t="shared" si="8"/>
        <v>-0.03245</v>
      </c>
      <c r="N38" s="52">
        <f>IFERROR(__xludf.DUMMYFUNCTION("IFS(AND(COUNTA(C38:C147)=0,COUNTA(P38:P147)=0),"""",OR(AND(L38&gt;=1000000,OR(Y38&gt;=1000000,COUNTA(P38:P147)=0)),AND(Y38&gt;=1000000,COUNTA(C38:C147)=0),AND(COUNTA(P38:P147)=0,O$3=TRUE)),
ROUNDDOWN((AB$1-AC$1)*MAX(INDEX(S$4:S147,MATCH(LARGE(FILTER(Y$4:Y147,Y$4:Y"&amp;"147&lt;1000000),1),Y$4:Y147)),INDEX(F$4:F147,MATCH(LARGE(FILTER(L$4:L147,L$4:L147&lt;1000000),1),L$4:L147)))),AND(L38&lt;1000000,COUNTA(C38:C147)&gt;0,O$3=FALSE),
ROUNDDOWN(INDEX(Y$4:Y147,MATCH(LARGE(FILTER(W$4:W147,W$4:W147&lt;=J38),1),W$4:W147))+(J38-LARGE(FILTER(W$4:"&amp;"W147,W$4:W147&lt;=J38),1))*INDEX(S$4:S147,MATCH(LARGE(FILTER(W$4:W147,W$4:W147&lt;=J38),1),W$4:W147))-L38),1,
ROUNDDOWN(Y38-INDEX(L$4:L147,MATCH(LARGE(FILTER(J$4:J147,J$4:J147&lt;=W38),1),J$4:J147))-(W38-LARGE(FILTER(J$4:J147,J$4:J147&lt;=W38),1))*INDEX(F$4:F147,MATC"&amp;"H(LARGE(FILTER(J$4:J147,J$4:J147&lt;=W38),1),J$4:J147))))"),52.0)</f>
        <v>52</v>
      </c>
      <c r="O38" s="65">
        <f t="shared" si="9"/>
        <v>10</v>
      </c>
      <c r="P38" s="15" t="s">
        <v>13</v>
      </c>
      <c r="Q38" s="14" t="b">
        <f>IFERROR(__xludf.DUMMYFUNCTION("IF(COUNTA(P38:P147)=0,"""",IFERROR(IF(ISBLANK(P38),FALSE,IF(ISBLANK(T38),1,IF(NOT(COUNTIF($AA$24:$AA$34,SUBSTITUTE(P38,""Sell_"",""""))),1,IF(P38=""Plastic_up"",IF(V38&lt;1000,1),IF(P38=""Super_Up"",IF(OR(COUNTIF(P$4:P38,""Grandma"")-COUNTIF(P$4:P38,""Sell_G"&amp;"randma"")&lt;1,COUNTIF(P$4:P38,VLOOKUP(P38,Upgrades!$F$8:$N$8,7+COUNTIF(P$4:P38,P38)))-COUNTIF(P$4:P38,""Sell_""&amp;VLOOKUP(P38,Upgrades!$F$8:$N$8,7+COUNTIF(P$4:P38,P38)))&lt;15),1),IF(REGEXMATCH(P38,""_up""),IF(COUNTIF(P$4:P38,SUBSTITUTE(P38,""_up"",""""))&lt;IFERRO"&amp;"R(VLOOKUP(P38,Upgrades!$L$3:$P$6,1+COUNTIF(P$4:P38,P38),0),999),1),IF(REGEXMATCH(P38,""Sell_""),IF(COUNTIF(P$4:P38,SUBSTITUTE(P38,""Sell_"",""""))-COUNTIF(P$4:P37,P38)&lt;1,1),FALSE)))))))))"),FALSE)</f>
        <v>0</v>
      </c>
      <c r="R38" s="71">
        <f>IFERROR(__xludf.DUMMYFUNCTION("IF(REGEXMATCH(P38,""^Sell_""),R37, IF(COUNTA(P38:P147)=0,"""",(COUNTIF(P$4:P38,""Cursor"")-COUNTIF(P$4:P38,""Sell_Cursor""))*(0.1*2^SWITCH(COUNTIF(P$4:P38,""Cursor_up""),0,0,1,1,2,2,3)+SWITCH(COUNTIF(P$4:P38,""Cursor_up""),4,0.1,0)*(ROW(P38)-4-COUNTIF(P$4"&amp;":P38,""Cursor"")-COUNTIF(P$4:P38,""*""&amp;""_up"")-2*COUNTIF(P$4:P38,""Sell_""&amp;""*"")+COUNTIF(P$4:P38,""Sell_Cursor"")-COUNTIF(P$4:P38,"""")))+(COUNTIF(P$4:P38,""Grandma"")-COUNTIF(P$4:P38,""Sell_Grandma""))*(1*2^(COUNTIF(P$4:P38,""Grandma_up"")+COUNTIF(P$4:"&amp;"P38,""Super_up"")))+(COUNTIF(P$4:P38,""Farm"")-COUNTIF(P$4:P38,""Sell_Farm""))*(8*2^COUNTIF(P$4:P38,""Farm_up""))*IF(COUNTIF(P$4:P38,""Super_up"")&gt;0,1+0.01*(COUNTIF(P$4:P38,""Grandma"")-COUNTIF(P$4:P38,""Sell_Grandma"")),1)+(COUNTIF(P$4:P38,""Mine"")-COUN"&amp;"TIF(P$4:P38,""Sell_Mine""))*((47*2^COUNTIF(P$4:P38,""Mine_up""))*IF(COUNTIF(P$4:P38,""Super_up"")&gt;1,1+0.005*(COUNTIF(P$4:P38,""Grandma"")-COUNTIF(P$4:P38,""Sell_Grandma"")),1))+(COUNTIF(P$4:P38,""Factory"")-COUNTIF(P$4:P38,""Sell_Factory""))*(260*2^COUNTI"&amp;"F(P$4:P38,""Factory_up""))))"),57.6)</f>
        <v>57.6</v>
      </c>
      <c r="S38" s="73">
        <f>IFERROR(__xludf.DUMMYFUNCTION("IF(COUNTA(P38:P147)=0,"""",IF(REGEXMATCH(INDEX(FILTER(P$4:P38,P$4:P38&lt;&gt;""""),ROWS(FILTER(P$4:P38,P$4:P38&lt;&gt;""""))),""^Sell_""),INDEX(FILTER(S$4:S37,P$4:P37&lt;&gt;""""),ROWS(FILTER(P$4:P37,P$4:P37&lt;&gt;""""))),$AD$5*(2^SWITCH(COUNTIF(P$4:P38,""Cursor_up""),0,0,1,1,2"&amp;",2,3)+SWITCH(COUNTIF(P$4:P38,""Cursor_up""),4,0.1,0)*(ROW(P38)-4-COUNTIF(P$4:P38,""Cursor"")-COUNTIF(P$4:P38,""*""&amp;""_up"")-2*COUNTIF(P$4:P38,""Sell_""&amp;""*"")+COUNTIF(P$4:P38,""Sell_Cursor"")-COUNTIF(P$4:P38,""""))+0.01*R38*COUNTIF(P$4:P38,""Plastic_up"")"&amp;")+R38))"),1657.6)</f>
        <v>1657.6</v>
      </c>
      <c r="T38" s="14">
        <f>IFERROR(__xludf.DUMMYFUNCTION("IF(COUNTA(P38:P147)=0,"""",IF(REGEXMATCH(P38,""_up""),VLOOKUP(P38,Upgrades!$F$3:$J$8,1+COUNTIF(P$4:P38,P38),FALSE),IF(P38="""",0,IF(REGEXMATCH(P38,""^Sell_""),-ROUNDDOWN(ROUNDUP(INDEX(Upgrades!$C$3:$C$8,MATCH(SUBSTITUTE(P38,""Sell_"",""""),Upgrades!$B$3:$"&amp;"B$8,0))*1.15^(COUNTIF(P$4:P37,SUBSTITUTE(P38,""Sell_"",""""))-COUNTIF(P$4:P37,""Sell_""&amp;SUBSTITUTE(P38,""Sell_"",""""))))/4),ROUNDUP(INDEX(Upgrades!$C$3:$C$7,MATCH(P38,Upgrades!$B$3:$B$7,0))*1.15^(COUNTIF(P$4:P37,P38)-COUNTIF(P$4:P37,""Sell_""&amp;P38)))))))"),352.0)</f>
        <v>352</v>
      </c>
      <c r="U38" s="14">
        <f t="shared" si="10"/>
        <v>352</v>
      </c>
      <c r="V38" s="75">
        <f t="shared" si="11"/>
        <v>583071.738</v>
      </c>
      <c r="W38" s="76">
        <f t="shared" si="12"/>
        <v>19.24339718</v>
      </c>
      <c r="X38" s="71" t="str">
        <f t="shared" si="13"/>
        <v>19s</v>
      </c>
      <c r="Y38" s="77">
        <f t="shared" si="14"/>
        <v>18439</v>
      </c>
      <c r="Z38" s="17"/>
      <c r="AF38" s="13"/>
    </row>
    <row r="39">
      <c r="A39" s="12"/>
      <c r="B39" s="65">
        <f t="shared" si="2"/>
        <v>1</v>
      </c>
      <c r="C39" s="66" t="s">
        <v>16</v>
      </c>
      <c r="D39" s="14" t="b">
        <f>IFERROR(__xludf.DUMMYFUNCTION("IF(COUNTA(C39:C147)=0,"""",IFERROR(IF(ISBLANK(C39),FALSE,IF(ISBLANK(G39),1,IF(NOT(COUNTIF($AA$24:$AA$34,SUBSTITUTE(C39,""Sell_"",""""))),1,IF(C39=""Plastic_up"",IF(I39&lt;1000,1),IF(C39=""Super_Up"",IF(OR(COUNTIF(C$4:C39,""Grandma"")-COUNTIF(C$4:C39,""Sell_G"&amp;"randma"")&lt;1,COUNTIF(C$4:C39,VLOOKUP(C39,Upgrades!$F$8:$N$8,7+COUNTIF(C$4:C39,C39)))-COUNTIF(C$4:C39,""Sell_""&amp;VLOOKUP(C39,Upgrades!$F$8:$N$8,7+COUNTIF(C$4:C39,C39)))&lt;15),1),IF(REGEXMATCH(C39,""_up""),IF(COUNTIF(C$4:C39,SUBSTITUTE(C39,""_up"",""""))&lt;IFERRO"&amp;"R(VLOOKUP(C39,Upgrades!$L$3:$P$6,1+COUNTIF(C$4:C39,C39),0),999),1),IF(REGEXMATCH(C39,""Sell_""),IF(COUNTIF(C$4:C39,SUBSTITUTE(C39,""Sell_"",""""))-COUNTIF(C$4:C38,C39)&lt;1,1),FALSE)))))))))"),FALSE)</f>
        <v>0</v>
      </c>
      <c r="E39" s="71">
        <f>IFERROR(__xludf.DUMMYFUNCTION("IF(REGEXMATCH(C39,""^Sell_""),E38, IF(COUNTA(C39:C147)=0,"""",(COUNTIF(C$4:C39,""Cursor"")-COUNTIF(C$4:C39,""Sell_Cursor""))*(0.1*2^SWITCH(COUNTIF(C$4:C39,""Cursor_up""),0,0,1,1,2,2,3)+SWITCH(COUNTIF(C$4:C39,""Cursor_up""),4,0.1,0)*(ROW(C39)-4-COUNTIF(C$4"&amp;":C39,""Cursor"")-COUNTIF(C$4:C39,""*""&amp;""_up"")-2*COUNTIF(C$4:C39,""Sell_""&amp;""*"")+COUNTIF(C$4:C39,""Sell_Cursor"")-COUNTIF(C$4:C39,"""")))+(COUNTIF(C$4:C39,""Grandma"")-COUNTIF(C$4:C39,""Sell_Grandma""))*(1*2^(COUNTIF(C$4:C39,""Grandma_up"")+COUNTIF(C$4:"&amp;"C39,""Super_up"")))+(COUNTIF(C$4:C39,""Farm"")-COUNTIF(C$4:C39,""Sell_Farm""))*(8*2^COUNTIF(C$4:C39,""Farm_up""))*IF(COUNTIF(C$4:C39,""Super_up"")&gt;0,1+0.01*(COUNTIF(C$4:C39,""Grandma"")-COUNTIF(C$4:C39,""Sell_Grandma"")),1)+(COUNTIF(C$4:C39,""Mine"")-COUN"&amp;"TIF(C$4:C39,""Sell_Mine""))*((47*2^COUNTIF(C$4:C39,""Mine_up""))*IF(COUNTIF(C$4:C39,""Super_up"")&gt;1,1+0.005*(COUNTIF(C$4:C39,""Grandma"")-COUNTIF(C$4:C39,""Sell_Grandma"")),1))+(COUNTIF(C$4:C39,""Factory"")-COUNTIF(C$4:C39,""Sell_Factory""))*(260*2^COUNTI"&amp;"F(C$4:C39,""Factory_up""))))"),34.8)</f>
        <v>34.8</v>
      </c>
      <c r="F39" s="73">
        <f>IFERROR(__xludf.DUMMYFUNCTION("IF(COUNTA(C39:C147)=0,"""",IF(REGEXMATCH(INDEX(FILTER(C$4:C39,C$4:C39&lt;&gt;""""),ROWS(FILTER(C$4:C39,C$4:C39&lt;&gt;""""))),""^Sell_""),INDEX(FILTER(F$4:F38,C$4:C38&lt;&gt;""""),ROWS(FILTER(C$4:C38,C$4:C38&lt;&gt;""""))),$AC$5*(2^SWITCH(COUNTIF(C$4:C39,""Cursor_up""),0,0,1,1,2"&amp;",2,3)+SWITCH(COUNTIF(C$4:C39,""Cursor_up""),4,0.1,0)*(ROW(C39)-4-COUNTIF(C$4:C39,""Cursor"")-COUNTIF(C$4:C39,""*""&amp;""_up"")-2*COUNTIF(C$4:C39,""Sell_""&amp;""*"")+COUNTIF(C$4:C39,""Sell_Cursor"")-COUNTIF(C$4:C39,""""))+0.01*E39*COUNTIF(C$4:C39,""Plastic_up"")"&amp;")+E39))"),1634.8)</f>
        <v>1634.8</v>
      </c>
      <c r="G39" s="14">
        <f>IFERROR(__xludf.DUMMYFUNCTION("IF(COUNTA(C39:C147)=0,"""",IF(REGEXMATCH(C39,""_up""),VLOOKUP(C39,Upgrades!$F$3:$J$8,1+COUNTIF(C$4:C39,C39),FALSE),IF(C39="""",0,IF(REGEXMATCH(C39,""^Sell_""),-ROUNDDOWN(ROUNDUP(INDEX(Upgrades!$C$3:$C$8,MATCH(SUBSTITUTE(C39,""Sell_"",""""),Upgrades!$B$3:$"&amp;"B$8,0))*1.15^(COUNTIF(C$4:C38,SUBSTITUTE(C39,""Sell_"",""""))-COUNTIF(C$4:C38,""Sell_""&amp;SUBSTITUTE(C39,""Sell_"",""""))))/4),ROUNDUP(INDEX(Upgrades!$C$3:$C$7,MATCH(C39,Upgrades!$B$3:$B$7,0))*1.15^(COUNTIF(C$4:C38,C39)-COUNTIF(C$4:C38,""Sell_""&amp;C39)))))))"),1100.0)</f>
        <v>1100</v>
      </c>
      <c r="H39" s="14">
        <f t="shared" si="3"/>
        <v>1100</v>
      </c>
      <c r="I39" s="75">
        <f t="shared" si="4"/>
        <v>556198.3462</v>
      </c>
      <c r="J39" s="76">
        <f t="shared" si="5"/>
        <v>17.50932882</v>
      </c>
      <c r="K39" s="71" t="str">
        <f t="shared" si="6"/>
        <v>17s</v>
      </c>
      <c r="L39" s="77">
        <f t="shared" si="7"/>
        <v>15527</v>
      </c>
      <c r="M39" s="51">
        <f t="shared" si="8"/>
        <v>-0.03559</v>
      </c>
      <c r="N39" s="52">
        <f>IFERROR(__xludf.DUMMYFUNCTION("IFS(AND(COUNTA(C39:C147)=0,COUNTA(P39:P147)=0),"""",OR(AND(L39&gt;=1000000,OR(Y39&gt;=1000000,COUNTA(P39:P147)=0)),AND(Y39&gt;=1000000,COUNTA(C39:C147)=0),AND(COUNTA(P39:P147)=0,O$3=TRUE)),
ROUNDDOWN((AB$1-AC$1)*MAX(INDEX(S$4:S147,MATCH(LARGE(FILTER(Y$4:Y147,Y$4:Y"&amp;"147&lt;1000000),1),Y$4:Y147)),INDEX(F$4:F147,MATCH(LARGE(FILTER(L$4:L147,L$4:L147&lt;1000000),1),L$4:L147)))),AND(L39&lt;1000000,COUNTA(C39:C147)&gt;0,O$3=FALSE),
ROUNDDOWN(INDEX(Y$4:Y147,MATCH(LARGE(FILTER(W$4:W147,W$4:W147&lt;=J39),1),W$4:W147))+(J39-LARGE(FILTER(W$4:"&amp;"W147,W$4:W147&lt;=J39),1))*INDEX(S$4:S147,MATCH(LARGE(FILTER(W$4:W147,W$4:W147&lt;=J39),1),W$4:W147))-L39),1,
ROUNDDOWN(Y39-INDEX(L$4:L147,MATCH(LARGE(FILTER(J$4:J147,J$4:J147&lt;=W39),1),J$4:J147))-(W39-LARGE(FILTER(J$4:J147,J$4:J147&lt;=W39),1))*INDEX(F$4:F147,MATC"&amp;"H(LARGE(FILTER(J$4:J147,J$4:J147&lt;=W39),1),J$4:J147))))"),58.0)</f>
        <v>58</v>
      </c>
      <c r="O39" s="65">
        <f t="shared" si="9"/>
        <v>11</v>
      </c>
      <c r="P39" s="15" t="s">
        <v>13</v>
      </c>
      <c r="Q39" s="14" t="b">
        <f>IFERROR(__xludf.DUMMYFUNCTION("IF(COUNTA(P39:P147)=0,"""",IFERROR(IF(ISBLANK(P39),FALSE,IF(ISBLANK(T39),1,IF(NOT(COUNTIF($AA$24:$AA$34,SUBSTITUTE(P39,""Sell_"",""""))),1,IF(P39=""Plastic_up"",IF(V39&lt;1000,1),IF(P39=""Super_Up"",IF(OR(COUNTIF(P$4:P39,""Grandma"")-COUNTIF(P$4:P39,""Sell_G"&amp;"randma"")&lt;1,COUNTIF(P$4:P39,VLOOKUP(P39,Upgrades!$F$8:$N$8,7+COUNTIF(P$4:P39,P39)))-COUNTIF(P$4:P39,""Sell_""&amp;VLOOKUP(P39,Upgrades!$F$8:$N$8,7+COUNTIF(P$4:P39,P39)))&lt;15),1),IF(REGEXMATCH(P39,""_up""),IF(COUNTIF(P$4:P39,SUBSTITUTE(P39,""_up"",""""))&lt;IFERRO"&amp;"R(VLOOKUP(P39,Upgrades!$L$3:$P$6,1+COUNTIF(P$4:P39,P39),0),999),1),IF(REGEXMATCH(P39,""Sell_""),IF(COUNTIF(P$4:P39,SUBSTITUTE(P39,""Sell_"",""""))-COUNTIF(P$4:P38,P39)&lt;1,1),FALSE)))))))))"),FALSE)</f>
        <v>0</v>
      </c>
      <c r="R39" s="71">
        <f>IFERROR(__xludf.DUMMYFUNCTION("IF(REGEXMATCH(P39,""^Sell_""),R38, IF(COUNTA(P39:P147)=0,"""",(COUNTIF(P$4:P39,""Cursor"")-COUNTIF(P$4:P39,""Sell_Cursor""))*(0.1*2^SWITCH(COUNTIF(P$4:P39,""Cursor_up""),0,0,1,1,2,2,3)+SWITCH(COUNTIF(P$4:P39,""Cursor_up""),4,0.1,0)*(ROW(P39)-4-COUNTIF(P$4"&amp;":P39,""Cursor"")-COUNTIF(P$4:P39,""*""&amp;""_up"")-2*COUNTIF(P$4:P39,""Sell_""&amp;""*"")+COUNTIF(P$4:P39,""Sell_Cursor"")-COUNTIF(P$4:P39,"""")))+(COUNTIF(P$4:P39,""Grandma"")-COUNTIF(P$4:P39,""Sell_Grandma""))*(1*2^(COUNTIF(P$4:P39,""Grandma_up"")+COUNTIF(P$4:"&amp;"P39,""Super_up"")))+(COUNTIF(P$4:P39,""Farm"")-COUNTIF(P$4:P39,""Sell_Farm""))*(8*2^COUNTIF(P$4:P39,""Farm_up""))*IF(COUNTIF(P$4:P39,""Super_up"")&gt;0,1+0.01*(COUNTIF(P$4:P39,""Grandma"")-COUNTIF(P$4:P39,""Sell_Grandma"")),1)+(COUNTIF(P$4:P39,""Mine"")-COUN"&amp;"TIF(P$4:P39,""Sell_Mine""))*((47*2^COUNTIF(P$4:P39,""Mine_up""))*IF(COUNTIF(P$4:P39,""Super_up"")&gt;1,1+0.005*(COUNTIF(P$4:P39,""Grandma"")-COUNTIF(P$4:P39,""Sell_Grandma"")),1))+(COUNTIF(P$4:P39,""Factory"")-COUNTIF(P$4:P39,""Sell_Factory""))*(260*2^COUNTI"&amp;"F(P$4:P39,""Factory_up""))))"),59.6)</f>
        <v>59.6</v>
      </c>
      <c r="S39" s="73">
        <f>IFERROR(__xludf.DUMMYFUNCTION("IF(COUNTA(P39:P147)=0,"""",IF(REGEXMATCH(INDEX(FILTER(P$4:P39,P$4:P39&lt;&gt;""""),ROWS(FILTER(P$4:P39,P$4:P39&lt;&gt;""""))),""^Sell_""),INDEX(FILTER(S$4:S38,P$4:P38&lt;&gt;""""),ROWS(FILTER(P$4:P38,P$4:P38&lt;&gt;""""))),$AD$5*(2^SWITCH(COUNTIF(P$4:P39,""Cursor_up""),0,0,1,1,2"&amp;",2,3)+SWITCH(COUNTIF(P$4:P39,""Cursor_up""),4,0.1,0)*(ROW(P39)-4-COUNTIF(P$4:P39,""Cursor"")-COUNTIF(P$4:P39,""*""&amp;""_up"")-2*COUNTIF(P$4:P39,""Sell_""&amp;""*"")+COUNTIF(P$4:P39,""Sell_Cursor"")-COUNTIF(P$4:P39,""""))+0.01*R39*COUNTIF(P$4:P39,""Plastic_up"")"&amp;")+R39))"),1659.6)</f>
        <v>1659.6</v>
      </c>
      <c r="T39" s="14">
        <f>IFERROR(__xludf.DUMMYFUNCTION("IF(COUNTA(P39:P147)=0,"""",IF(REGEXMATCH(P39,""_up""),VLOOKUP(P39,Upgrades!$F$3:$J$8,1+COUNTIF(P$4:P39,P39),FALSE),IF(P39="""",0,IF(REGEXMATCH(P39,""^Sell_""),-ROUNDDOWN(ROUNDUP(INDEX(Upgrades!$C$3:$C$8,MATCH(SUBSTITUTE(P39,""Sell_"",""""),Upgrades!$B$3:$"&amp;"B$8,0))*1.15^(COUNTIF(P$4:P38,SUBSTITUTE(P39,""Sell_"",""""))-COUNTIF(P$4:P38,""Sell_""&amp;SUBSTITUTE(P39,""Sell_"",""""))))/4),ROUNDUP(INDEX(Upgrades!$C$3:$C$7,MATCH(P39,Upgrades!$B$3:$B$7,0))*1.15^(COUNTIF(P$4:P38,P39)-COUNTIF(P$4:P38,""Sell_""&amp;P39)))))))"),405.0)</f>
        <v>405</v>
      </c>
      <c r="U39" s="14">
        <f t="shared" si="10"/>
        <v>405</v>
      </c>
      <c r="V39" s="75">
        <f t="shared" si="11"/>
        <v>614252.1001</v>
      </c>
      <c r="W39" s="76">
        <f t="shared" si="12"/>
        <v>19.48772633</v>
      </c>
      <c r="X39" s="71" t="str">
        <f t="shared" si="13"/>
        <v>19s</v>
      </c>
      <c r="Y39" s="77">
        <f t="shared" si="14"/>
        <v>18844</v>
      </c>
      <c r="Z39" s="17"/>
      <c r="AA39" s="87" t="s">
        <v>63</v>
      </c>
      <c r="AB39" s="88"/>
      <c r="AC39" s="81" t="str">
        <f>IF(AF2&lt;0,"YES","NO")</f>
        <v>YES</v>
      </c>
      <c r="AD39" s="117" t="s">
        <v>86</v>
      </c>
      <c r="AE39" s="79"/>
    </row>
    <row r="40">
      <c r="A40" s="12"/>
      <c r="B40" s="65">
        <f t="shared" si="2"/>
        <v>2</v>
      </c>
      <c r="C40" s="66" t="s">
        <v>16</v>
      </c>
      <c r="D40" s="14" t="b">
        <f>IFERROR(__xludf.DUMMYFUNCTION("IF(COUNTA(C40:C147)=0,"""",IFERROR(IF(ISBLANK(C40),FALSE,IF(ISBLANK(G40),1,IF(NOT(COUNTIF($AA$24:$AA$34,SUBSTITUTE(C40,""Sell_"",""""))),1,IF(C40=""Plastic_up"",IF(I40&lt;1000,1),IF(C40=""Super_Up"",IF(OR(COUNTIF(C$4:C40,""Grandma"")-COUNTIF(C$4:C40,""Sell_G"&amp;"randma"")&lt;1,COUNTIF(C$4:C40,VLOOKUP(C40,Upgrades!$F$8:$N$8,7+COUNTIF(C$4:C40,C40)))-COUNTIF(C$4:C40,""Sell_""&amp;VLOOKUP(C40,Upgrades!$F$8:$N$8,7+COUNTIF(C$4:C40,C40)))&lt;15),1),IF(REGEXMATCH(C40,""_up""),IF(COUNTIF(C$4:C40,SUBSTITUTE(C40,""_up"",""""))&lt;IFERRO"&amp;"R(VLOOKUP(C40,Upgrades!$L$3:$P$6,1+COUNTIF(C$4:C40,C40),0),999),1),IF(REGEXMATCH(C40,""Sell_""),IF(COUNTIF(C$4:C40,SUBSTITUTE(C40,""Sell_"",""""))-COUNTIF(C$4:C39,C40)&lt;1,1),FALSE)))))))))"),FALSE)</f>
        <v>0</v>
      </c>
      <c r="E40" s="71">
        <f>IFERROR(__xludf.DUMMYFUNCTION("IF(REGEXMATCH(C40,""^Sell_""),E39, IF(COUNTA(C40:C147)=0,"""",(COUNTIF(C$4:C40,""Cursor"")-COUNTIF(C$4:C40,""Sell_Cursor""))*(0.1*2^SWITCH(COUNTIF(C$4:C40,""Cursor_up""),0,0,1,1,2,2,3)+SWITCH(COUNTIF(C$4:C40,""Cursor_up""),4,0.1,0)*(ROW(C40)-4-COUNTIF(C$4"&amp;":C40,""Cursor"")-COUNTIF(C$4:C40,""*""&amp;""_up"")-2*COUNTIF(C$4:C40,""Sell_""&amp;""*"")+COUNTIF(C$4:C40,""Sell_Cursor"")-COUNTIF(C$4:C40,"""")))+(COUNTIF(C$4:C40,""Grandma"")-COUNTIF(C$4:C40,""Sell_Grandma""))*(1*2^(COUNTIF(C$4:C40,""Grandma_up"")+COUNTIF(C$4:"&amp;"C40,""Super_up"")))+(COUNTIF(C$4:C40,""Farm"")-COUNTIF(C$4:C40,""Sell_Farm""))*(8*2^COUNTIF(C$4:C40,""Farm_up""))*IF(COUNTIF(C$4:C40,""Super_up"")&gt;0,1+0.01*(COUNTIF(C$4:C40,""Grandma"")-COUNTIF(C$4:C40,""Sell_Grandma"")),1)+(COUNTIF(C$4:C40,""Mine"")-COUN"&amp;"TIF(C$4:C40,""Sell_Mine""))*((47*2^COUNTIF(C$4:C40,""Mine_up""))*IF(COUNTIF(C$4:C40,""Super_up"")&gt;1,1+0.005*(COUNTIF(C$4:C40,""Grandma"")-COUNTIF(C$4:C40,""Sell_Grandma"")),1))+(COUNTIF(C$4:C40,""Factory"")-COUNTIF(C$4:C40,""Sell_Factory""))*(260*2^COUNTI"&amp;"F(C$4:C40,""Factory_up""))))"),42.8)</f>
        <v>42.8</v>
      </c>
      <c r="F40" s="73">
        <f>IFERROR(__xludf.DUMMYFUNCTION("IF(COUNTA(C40:C147)=0,"""",IF(REGEXMATCH(INDEX(FILTER(C$4:C40,C$4:C40&lt;&gt;""""),ROWS(FILTER(C$4:C40,C$4:C40&lt;&gt;""""))),""^Sell_""),INDEX(FILTER(F$4:F39,C$4:C39&lt;&gt;""""),ROWS(FILTER(C$4:C39,C$4:C39&lt;&gt;""""))),$AC$5*(2^SWITCH(COUNTIF(C$4:C40,""Cursor_up""),0,0,1,1,2"&amp;",2,3)+SWITCH(COUNTIF(C$4:C40,""Cursor_up""),4,0.1,0)*(ROW(C40)-4-COUNTIF(C$4:C40,""Cursor"")-COUNTIF(C$4:C40,""*""&amp;""_up"")-2*COUNTIF(C$4:C40,""Sell_""&amp;""*"")+COUNTIF(C$4:C40,""Sell_Cursor"")-COUNTIF(C$4:C40,""""))+0.01*E40*COUNTIF(C$4:C40,""Plastic_up"")"&amp;")+E40))"),1642.8)</f>
        <v>1642.8</v>
      </c>
      <c r="G40" s="14">
        <f>IFERROR(__xludf.DUMMYFUNCTION("IF(COUNTA(C40:C147)=0,"""",IF(REGEXMATCH(C40,""_up""),VLOOKUP(C40,Upgrades!$F$3:$J$8,1+COUNTIF(C$4:C40,C40),FALSE),IF(C40="""",0,IF(REGEXMATCH(C40,""^Sell_""),-ROUNDDOWN(ROUNDUP(INDEX(Upgrades!$C$3:$C$8,MATCH(SUBSTITUTE(C40,""Sell_"",""""),Upgrades!$B$3:$"&amp;"B$8,0))*1.15^(COUNTIF(C$4:C39,SUBSTITUTE(C40,""Sell_"",""""))-COUNTIF(C$4:C39,""Sell_""&amp;SUBSTITUTE(C40,""Sell_"",""""))))/4),ROUNDUP(INDEX(Upgrades!$C$3:$C$7,MATCH(C40,Upgrades!$B$3:$B$7,0))*1.15^(COUNTIF(C$4:C39,C40)-COUNTIF(C$4:C39,""Sell_""&amp;C40)))))))"),1265.0)</f>
        <v>1265</v>
      </c>
      <c r="H40" s="14">
        <f t="shared" si="3"/>
        <v>1265</v>
      </c>
      <c r="I40" s="75">
        <f t="shared" si="4"/>
        <v>585451.3443</v>
      </c>
      <c r="J40" s="76">
        <f t="shared" si="5"/>
        <v>18.28312378</v>
      </c>
      <c r="K40" s="71" t="str">
        <f t="shared" si="6"/>
        <v>18s</v>
      </c>
      <c r="L40" s="77">
        <f t="shared" si="7"/>
        <v>16792</v>
      </c>
      <c r="M40" s="51">
        <f t="shared" si="8"/>
        <v>-0.03762</v>
      </c>
      <c r="N40" s="52">
        <f>IFERROR(__xludf.DUMMYFUNCTION("IFS(AND(COUNTA(C40:C147)=0,COUNTA(P40:P147)=0),"""",OR(AND(L40&gt;=1000000,OR(Y40&gt;=1000000,COUNTA(P40:P147)=0)),AND(Y40&gt;=1000000,COUNTA(C40:C147)=0),AND(COUNTA(P40:P147)=0,O$3=TRUE)),
ROUNDDOWN((AB$1-AC$1)*MAX(INDEX(S$4:S147,MATCH(LARGE(FILTER(Y$4:Y147,Y$4:Y"&amp;"147&lt;1000000),1),Y$4:Y147)),INDEX(F$4:F147,MATCH(LARGE(FILTER(L$4:L147,L$4:L147&lt;1000000),1),L$4:L147)))),AND(L40&lt;1000000,COUNTA(C40:C147)&gt;0,O$3=FALSE),
ROUNDDOWN(INDEX(Y$4:Y147,MATCH(LARGE(FILTER(W$4:W147,W$4:W147&lt;=J40),1),W$4:W147))+(J40-LARGE(FILTER(W$4:"&amp;"W147,W$4:W147&lt;=J40),1))*INDEX(S$4:S147,MATCH(LARGE(FILTER(W$4:W147,W$4:W147&lt;=J40),1),W$4:W147))-L40),1,
ROUNDDOWN(Y40-INDEX(L$4:L147,MATCH(LARGE(FILTER(J$4:J147,J$4:J147&lt;=W40),1),J$4:J147))-(W40-LARGE(FILTER(J$4:J147,J$4:J147&lt;=W40),1))*INDEX(F$4:F147,MATC"&amp;"H(LARGE(FILTER(J$4:J147,J$4:J147&lt;=W40),1),J$4:J147))))"),61.0)</f>
        <v>61</v>
      </c>
      <c r="O40" s="65">
        <f t="shared" si="9"/>
        <v>12</v>
      </c>
      <c r="P40" s="15" t="s">
        <v>13</v>
      </c>
      <c r="Q40" s="14" t="b">
        <f>IFERROR(__xludf.DUMMYFUNCTION("IF(COUNTA(P40:P147)=0,"""",IFERROR(IF(ISBLANK(P40),FALSE,IF(ISBLANK(T40),1,IF(NOT(COUNTIF($AA$24:$AA$34,SUBSTITUTE(P40,""Sell_"",""""))),1,IF(P40=""Plastic_up"",IF(V40&lt;1000,1),IF(P40=""Super_Up"",IF(OR(COUNTIF(P$4:P40,""Grandma"")-COUNTIF(P$4:P40,""Sell_G"&amp;"randma"")&lt;1,COUNTIF(P$4:P40,VLOOKUP(P40,Upgrades!$F$8:$N$8,7+COUNTIF(P$4:P40,P40)))-COUNTIF(P$4:P40,""Sell_""&amp;VLOOKUP(P40,Upgrades!$F$8:$N$8,7+COUNTIF(P$4:P40,P40)))&lt;15),1),IF(REGEXMATCH(P40,""_up""),IF(COUNTIF(P$4:P40,SUBSTITUTE(P40,""_up"",""""))&lt;IFERRO"&amp;"R(VLOOKUP(P40,Upgrades!$L$3:$P$6,1+COUNTIF(P$4:P40,P40),0),999),1),IF(REGEXMATCH(P40,""Sell_""),IF(COUNTIF(P$4:P40,SUBSTITUTE(P40,""Sell_"",""""))-COUNTIF(P$4:P39,P40)&lt;1,1),FALSE)))))))))"),FALSE)</f>
        <v>0</v>
      </c>
      <c r="R40" s="71">
        <f>IFERROR(__xludf.DUMMYFUNCTION("IF(REGEXMATCH(P40,""^Sell_""),R39, IF(COUNTA(P40:P147)=0,"""",(COUNTIF(P$4:P40,""Cursor"")-COUNTIF(P$4:P40,""Sell_Cursor""))*(0.1*2^SWITCH(COUNTIF(P$4:P40,""Cursor_up""),0,0,1,1,2,2,3)+SWITCH(COUNTIF(P$4:P40,""Cursor_up""),4,0.1,0)*(ROW(P40)-4-COUNTIF(P$4"&amp;":P40,""Cursor"")-COUNTIF(P$4:P40,""*""&amp;""_up"")-2*COUNTIF(P$4:P40,""Sell_""&amp;""*"")+COUNTIF(P$4:P40,""Sell_Cursor"")-COUNTIF(P$4:P40,"""")))+(COUNTIF(P$4:P40,""Grandma"")-COUNTIF(P$4:P40,""Sell_Grandma""))*(1*2^(COUNTIF(P$4:P40,""Grandma_up"")+COUNTIF(P$4:"&amp;"P40,""Super_up"")))+(COUNTIF(P$4:P40,""Farm"")-COUNTIF(P$4:P40,""Sell_Farm""))*(8*2^COUNTIF(P$4:P40,""Farm_up""))*IF(COUNTIF(P$4:P40,""Super_up"")&gt;0,1+0.01*(COUNTIF(P$4:P40,""Grandma"")-COUNTIF(P$4:P40,""Sell_Grandma"")),1)+(COUNTIF(P$4:P40,""Mine"")-COUN"&amp;"TIF(P$4:P40,""Sell_Mine""))*((47*2^COUNTIF(P$4:P40,""Mine_up""))*IF(COUNTIF(P$4:P40,""Super_up"")&gt;1,1+0.005*(COUNTIF(P$4:P40,""Grandma"")-COUNTIF(P$4:P40,""Sell_Grandma"")),1))+(COUNTIF(P$4:P40,""Factory"")-COUNTIF(P$4:P40,""Sell_Factory""))*(260*2^COUNTI"&amp;"F(P$4:P40,""Factory_up""))))"),61.6)</f>
        <v>61.6</v>
      </c>
      <c r="S40" s="73">
        <f>IFERROR(__xludf.DUMMYFUNCTION("IF(COUNTA(P40:P147)=0,"""",IF(REGEXMATCH(INDEX(FILTER(P$4:P40,P$4:P40&lt;&gt;""""),ROWS(FILTER(P$4:P40,P$4:P40&lt;&gt;""""))),""^Sell_""),INDEX(FILTER(S$4:S39,P$4:P39&lt;&gt;""""),ROWS(FILTER(P$4:P39,P$4:P39&lt;&gt;""""))),$AD$5*(2^SWITCH(COUNTIF(P$4:P40,""Cursor_up""),0,0,1,1,2"&amp;",2,3)+SWITCH(COUNTIF(P$4:P40,""Cursor_up""),4,0.1,0)*(ROW(P40)-4-COUNTIF(P$4:P40,""Cursor"")-COUNTIF(P$4:P40,""*""&amp;""_up"")-2*COUNTIF(P$4:P40,""Sell_""&amp;""*"")+COUNTIF(P$4:P40,""Sell_Cursor"")-COUNTIF(P$4:P40,""""))+0.01*R40*COUNTIF(P$4:P40,""Plastic_up"")"&amp;")+R40))"),1661.6)</f>
        <v>1661.6</v>
      </c>
      <c r="T40" s="14">
        <f>IFERROR(__xludf.DUMMYFUNCTION("IF(COUNTA(P40:P147)=0,"""",IF(REGEXMATCH(P40,""_up""),VLOOKUP(P40,Upgrades!$F$3:$J$8,1+COUNTIF(P$4:P40,P40),FALSE),IF(P40="""",0,IF(REGEXMATCH(P40,""^Sell_""),-ROUNDDOWN(ROUNDUP(INDEX(Upgrades!$C$3:$C$8,MATCH(SUBSTITUTE(P40,""Sell_"",""""),Upgrades!$B$3:$"&amp;"B$8,0))*1.15^(COUNTIF(P$4:P39,SUBSTITUTE(P40,""Sell_"",""""))-COUNTIF(P$4:P39,""Sell_""&amp;SUBSTITUTE(P40,""Sell_"",""""))))/4),ROUNDUP(INDEX(Upgrades!$C$3:$C$7,MATCH(P40,Upgrades!$B$3:$B$7,0))*1.15^(COUNTIF(P$4:P39,P40)-COUNTIF(P$4:P39,""Sell_""&amp;P40)))))))"),466.0)</f>
        <v>466</v>
      </c>
      <c r="U40" s="14">
        <f t="shared" si="10"/>
        <v>466</v>
      </c>
      <c r="V40" s="75">
        <f t="shared" si="11"/>
        <v>645881.7271</v>
      </c>
      <c r="W40" s="76">
        <f t="shared" si="12"/>
        <v>19.76851688</v>
      </c>
      <c r="X40" s="71" t="str">
        <f t="shared" si="13"/>
        <v>19s</v>
      </c>
      <c r="Y40" s="77">
        <f t="shared" si="14"/>
        <v>19310</v>
      </c>
      <c r="Z40" s="17"/>
    </row>
    <row r="41">
      <c r="A41" s="12"/>
      <c r="B41" s="65">
        <f t="shared" si="2"/>
        <v>3</v>
      </c>
      <c r="C41" s="66" t="s">
        <v>16</v>
      </c>
      <c r="D41" s="14" t="b">
        <f>IFERROR(__xludf.DUMMYFUNCTION("IF(COUNTA(C41:C147)=0,"""",IFERROR(IF(ISBLANK(C41),FALSE,IF(ISBLANK(G41),1,IF(NOT(COUNTIF($AA$24:$AA$34,SUBSTITUTE(C41,""Sell_"",""""))),1,IF(C41=""Plastic_up"",IF(I41&lt;1000,1),IF(C41=""Super_Up"",IF(OR(COUNTIF(C$4:C41,""Grandma"")-COUNTIF(C$4:C41,""Sell_G"&amp;"randma"")&lt;1,COUNTIF(C$4:C41,VLOOKUP(C41,Upgrades!$F$8:$N$8,7+COUNTIF(C$4:C41,C41)))-COUNTIF(C$4:C41,""Sell_""&amp;VLOOKUP(C41,Upgrades!$F$8:$N$8,7+COUNTIF(C$4:C41,C41)))&lt;15),1),IF(REGEXMATCH(C41,""_up""),IF(COUNTIF(C$4:C41,SUBSTITUTE(C41,""_up"",""""))&lt;IFERRO"&amp;"R(VLOOKUP(C41,Upgrades!$L$3:$P$6,1+COUNTIF(C$4:C41,C41),0),999),1),IF(REGEXMATCH(C41,""Sell_""),IF(COUNTIF(C$4:C41,SUBSTITUTE(C41,""Sell_"",""""))-COUNTIF(C$4:C40,C41)&lt;1,1),FALSE)))))))))"),FALSE)</f>
        <v>0</v>
      </c>
      <c r="E41" s="71">
        <f>IFERROR(__xludf.DUMMYFUNCTION("IF(REGEXMATCH(C41,""^Sell_""),E40, IF(COUNTA(C41:C147)=0,"""",(COUNTIF(C$4:C41,""Cursor"")-COUNTIF(C$4:C41,""Sell_Cursor""))*(0.1*2^SWITCH(COUNTIF(C$4:C41,""Cursor_up""),0,0,1,1,2,2,3)+SWITCH(COUNTIF(C$4:C41,""Cursor_up""),4,0.1,0)*(ROW(C41)-4-COUNTIF(C$4"&amp;":C41,""Cursor"")-COUNTIF(C$4:C41,""*""&amp;""_up"")-2*COUNTIF(C$4:C41,""Sell_""&amp;""*"")+COUNTIF(C$4:C41,""Sell_Cursor"")-COUNTIF(C$4:C41,"""")))+(COUNTIF(C$4:C41,""Grandma"")-COUNTIF(C$4:C41,""Sell_Grandma""))*(1*2^(COUNTIF(C$4:C41,""Grandma_up"")+COUNTIF(C$4:"&amp;"C41,""Super_up"")))+(COUNTIF(C$4:C41,""Farm"")-COUNTIF(C$4:C41,""Sell_Farm""))*(8*2^COUNTIF(C$4:C41,""Farm_up""))*IF(COUNTIF(C$4:C41,""Super_up"")&gt;0,1+0.01*(COUNTIF(C$4:C41,""Grandma"")-COUNTIF(C$4:C41,""Sell_Grandma"")),1)+(COUNTIF(C$4:C41,""Mine"")-COUN"&amp;"TIF(C$4:C41,""Sell_Mine""))*((47*2^COUNTIF(C$4:C41,""Mine_up""))*IF(COUNTIF(C$4:C41,""Super_up"")&gt;1,1+0.005*(COUNTIF(C$4:C41,""Grandma"")-COUNTIF(C$4:C41,""Sell_Grandma"")),1))+(COUNTIF(C$4:C41,""Factory"")-COUNTIF(C$4:C41,""Sell_Factory""))*(260*2^COUNTI"&amp;"F(C$4:C41,""Factory_up""))))"),50.8)</f>
        <v>50.8</v>
      </c>
      <c r="F41" s="73">
        <f>IFERROR(__xludf.DUMMYFUNCTION("IF(COUNTA(C41:C147)=0,"""",IF(REGEXMATCH(INDEX(FILTER(C$4:C41,C$4:C41&lt;&gt;""""),ROWS(FILTER(C$4:C41,C$4:C41&lt;&gt;""""))),""^Sell_""),INDEX(FILTER(F$4:F40,C$4:C40&lt;&gt;""""),ROWS(FILTER(C$4:C40,C$4:C40&lt;&gt;""""))),$AC$5*(2^SWITCH(COUNTIF(C$4:C41,""Cursor_up""),0,0,1,1,2"&amp;",2,3)+SWITCH(COUNTIF(C$4:C41,""Cursor_up""),4,0.1,0)*(ROW(C41)-4-COUNTIF(C$4:C41,""Cursor"")-COUNTIF(C$4:C41,""*""&amp;""_up"")-2*COUNTIF(C$4:C41,""Sell_""&amp;""*"")+COUNTIF(C$4:C41,""Sell_Cursor"")-COUNTIF(C$4:C41,""""))+0.01*E41*COUNTIF(C$4:C41,""Plastic_up"")"&amp;")+E41))"),1650.8)</f>
        <v>1650.8</v>
      </c>
      <c r="G41" s="14">
        <f>IFERROR(__xludf.DUMMYFUNCTION("IF(COUNTA(C41:C147)=0,"""",IF(REGEXMATCH(C41,""_up""),VLOOKUP(C41,Upgrades!$F$3:$J$8,1+COUNTIF(C$4:C41,C41),FALSE),IF(C41="""",0,IF(REGEXMATCH(C41,""^Sell_""),-ROUNDDOWN(ROUNDUP(INDEX(Upgrades!$C$3:$C$8,MATCH(SUBSTITUTE(C41,""Sell_"",""""),Upgrades!$B$3:$"&amp;"B$8,0))*1.15^(COUNTIF(C$4:C40,SUBSTITUTE(C41,""Sell_"",""""))-COUNTIF(C$4:C40,""Sell_""&amp;SUBSTITUTE(C41,""Sell_"",""""))))/4),ROUNDUP(INDEX(Upgrades!$C$3:$C$7,MATCH(C41,Upgrades!$B$3:$B$7,0))*1.15^(COUNTIF(C$4:C40,C41)-COUNTIF(C$4:C40,""Sell_""&amp;C41)))))))"),1455.0)</f>
        <v>1455</v>
      </c>
      <c r="H41" s="14">
        <f t="shared" si="3"/>
        <v>1455</v>
      </c>
      <c r="I41" s="75">
        <f t="shared" si="4"/>
        <v>616121.4351</v>
      </c>
      <c r="J41" s="76">
        <f t="shared" si="5"/>
        <v>19.16880676</v>
      </c>
      <c r="K41" s="71" t="str">
        <f t="shared" si="6"/>
        <v>19s</v>
      </c>
      <c r="L41" s="77">
        <f t="shared" si="7"/>
        <v>18247</v>
      </c>
      <c r="M41" s="51">
        <f t="shared" si="8"/>
        <v>-0.04137</v>
      </c>
      <c r="N41" s="52">
        <f>IFERROR(__xludf.DUMMYFUNCTION("IFS(AND(COUNTA(C41:C147)=0,COUNTA(P41:P147)=0),"""",OR(AND(L41&gt;=1000000,OR(Y41&gt;=1000000,COUNTA(P41:P147)=0)),AND(Y41&gt;=1000000,COUNTA(C41:C147)=0),AND(COUNTA(P41:P147)=0,O$3=TRUE)),
ROUNDDOWN((AB$1-AC$1)*MAX(INDEX(S$4:S147,MATCH(LARGE(FILTER(Y$4:Y147,Y$4:Y"&amp;"147&lt;1000000),1),Y$4:Y147)),INDEX(F$4:F147,MATCH(LARGE(FILTER(L$4:L147,L$4:L147&lt;1000000),1),L$4:L147)))),AND(L41&lt;1000000,COUNTA(C41:C147)&gt;0,O$3=FALSE),
ROUNDDOWN(INDEX(Y$4:Y147,MATCH(LARGE(FILTER(W$4:W147,W$4:W147&lt;=J41),1),W$4:W147))+(J41-LARGE(FILTER(W$4:"&amp;"W147,W$4:W147&lt;=J41),1))*INDEX(S$4:S147,MATCH(LARGE(FILTER(W$4:W147,W$4:W147&lt;=J41),1),W$4:W147))-L41),1,
ROUNDDOWN(Y41-INDEX(L$4:L147,MATCH(LARGE(FILTER(J$4:J147,J$4:J147&lt;=W41),1),J$4:J147))-(W41-LARGE(FILTER(J$4:J147,J$4:J147&lt;=W41),1))*INDEX(F$4:F147,MATC"&amp;"H(LARGE(FILTER(J$4:J147,J$4:J147&lt;=W41),1),J$4:J147))))"),68.0)</f>
        <v>68</v>
      </c>
      <c r="O41" s="65">
        <f t="shared" si="9"/>
        <v>13</v>
      </c>
      <c r="P41" s="15" t="s">
        <v>13</v>
      </c>
      <c r="Q41" s="14" t="b">
        <f>IFERROR(__xludf.DUMMYFUNCTION("IF(COUNTA(P41:P147)=0,"""",IFERROR(IF(ISBLANK(P41),FALSE,IF(ISBLANK(T41),1,IF(NOT(COUNTIF($AA$24:$AA$34,SUBSTITUTE(P41,""Sell_"",""""))),1,IF(P41=""Plastic_up"",IF(V41&lt;1000,1),IF(P41=""Super_Up"",IF(OR(COUNTIF(P$4:P41,""Grandma"")-COUNTIF(P$4:P41,""Sell_G"&amp;"randma"")&lt;1,COUNTIF(P$4:P41,VLOOKUP(P41,Upgrades!$F$8:$N$8,7+COUNTIF(P$4:P41,P41)))-COUNTIF(P$4:P41,""Sell_""&amp;VLOOKUP(P41,Upgrades!$F$8:$N$8,7+COUNTIF(P$4:P41,P41)))&lt;15),1),IF(REGEXMATCH(P41,""_up""),IF(COUNTIF(P$4:P41,SUBSTITUTE(P41,""_up"",""""))&lt;IFERRO"&amp;"R(VLOOKUP(P41,Upgrades!$L$3:$P$6,1+COUNTIF(P$4:P41,P41),0),999),1),IF(REGEXMATCH(P41,""Sell_""),IF(COUNTIF(P$4:P41,SUBSTITUTE(P41,""Sell_"",""""))-COUNTIF(P$4:P40,P41)&lt;1,1),FALSE)))))))))"),FALSE)</f>
        <v>0</v>
      </c>
      <c r="R41" s="71">
        <f>IFERROR(__xludf.DUMMYFUNCTION("IF(REGEXMATCH(P41,""^Sell_""),R40, IF(COUNTA(P41:P147)=0,"""",(COUNTIF(P$4:P41,""Cursor"")-COUNTIF(P$4:P41,""Sell_Cursor""))*(0.1*2^SWITCH(COUNTIF(P$4:P41,""Cursor_up""),0,0,1,1,2,2,3)+SWITCH(COUNTIF(P$4:P41,""Cursor_up""),4,0.1,0)*(ROW(P41)-4-COUNTIF(P$4"&amp;":P41,""Cursor"")-COUNTIF(P$4:P41,""*""&amp;""_up"")-2*COUNTIF(P$4:P41,""Sell_""&amp;""*"")+COUNTIF(P$4:P41,""Sell_Cursor"")-COUNTIF(P$4:P41,"""")))+(COUNTIF(P$4:P41,""Grandma"")-COUNTIF(P$4:P41,""Sell_Grandma""))*(1*2^(COUNTIF(P$4:P41,""Grandma_up"")+COUNTIF(P$4:"&amp;"P41,""Super_up"")))+(COUNTIF(P$4:P41,""Farm"")-COUNTIF(P$4:P41,""Sell_Farm""))*(8*2^COUNTIF(P$4:P41,""Farm_up""))*IF(COUNTIF(P$4:P41,""Super_up"")&gt;0,1+0.01*(COUNTIF(P$4:P41,""Grandma"")-COUNTIF(P$4:P41,""Sell_Grandma"")),1)+(COUNTIF(P$4:P41,""Mine"")-COUN"&amp;"TIF(P$4:P41,""Sell_Mine""))*((47*2^COUNTIF(P$4:P41,""Mine_up""))*IF(COUNTIF(P$4:P41,""Super_up"")&gt;1,1+0.005*(COUNTIF(P$4:P41,""Grandma"")-COUNTIF(P$4:P41,""Sell_Grandma"")),1))+(COUNTIF(P$4:P41,""Factory"")-COUNTIF(P$4:P41,""Sell_Factory""))*(260*2^COUNTI"&amp;"F(P$4:P41,""Factory_up""))))"),63.6)</f>
        <v>63.6</v>
      </c>
      <c r="S41" s="73">
        <f>IFERROR(__xludf.DUMMYFUNCTION("IF(COUNTA(P41:P147)=0,"""",IF(REGEXMATCH(INDEX(FILTER(P$4:P41,P$4:P41&lt;&gt;""""),ROWS(FILTER(P$4:P41,P$4:P41&lt;&gt;""""))),""^Sell_""),INDEX(FILTER(S$4:S40,P$4:P40&lt;&gt;""""),ROWS(FILTER(P$4:P40,P$4:P40&lt;&gt;""""))),$AD$5*(2^SWITCH(COUNTIF(P$4:P41,""Cursor_up""),0,0,1,1,2"&amp;",2,3)+SWITCH(COUNTIF(P$4:P41,""Cursor_up""),4,0.1,0)*(ROW(P41)-4-COUNTIF(P$4:P41,""Cursor"")-COUNTIF(P$4:P41,""*""&amp;""_up"")-2*COUNTIF(P$4:P41,""Sell_""&amp;""*"")+COUNTIF(P$4:P41,""Sell_Cursor"")-COUNTIF(P$4:P41,""""))+0.01*R41*COUNTIF(P$4:P41,""Plastic_up"")"&amp;")+R41))"),1663.6)</f>
        <v>1663.6</v>
      </c>
      <c r="T41" s="14">
        <f>IFERROR(__xludf.DUMMYFUNCTION("IF(COUNTA(P41:P147)=0,"""",IF(REGEXMATCH(P41,""_up""),VLOOKUP(P41,Upgrades!$F$3:$J$8,1+COUNTIF(P$4:P41,P41),FALSE),IF(P41="""",0,IF(REGEXMATCH(P41,""^Sell_""),-ROUNDDOWN(ROUNDUP(INDEX(Upgrades!$C$3:$C$8,MATCH(SUBSTITUTE(P41,""Sell_"",""""),Upgrades!$B$3:$"&amp;"B$8,0))*1.15^(COUNTIF(P$4:P40,SUBSTITUTE(P41,""Sell_"",""""))-COUNTIF(P$4:P40,""Sell_""&amp;SUBSTITUTE(P41,""Sell_"",""""))))/4),ROUNDUP(INDEX(Upgrades!$C$3:$C$7,MATCH(P41,Upgrades!$B$3:$B$7,0))*1.15^(COUNTIF(P$4:P40,P41)-COUNTIF(P$4:P40,""Sell_""&amp;P41)))))))"),536.0)</f>
        <v>536</v>
      </c>
      <c r="U41" s="14">
        <f t="shared" si="10"/>
        <v>536</v>
      </c>
      <c r="V41" s="75">
        <f t="shared" si="11"/>
        <v>678027.4832</v>
      </c>
      <c r="W41" s="76">
        <f t="shared" si="12"/>
        <v>20.09109752</v>
      </c>
      <c r="X41" s="71" t="str">
        <f t="shared" si="13"/>
        <v>20s</v>
      </c>
      <c r="Y41" s="77">
        <f t="shared" si="14"/>
        <v>19846</v>
      </c>
      <c r="Z41" s="17"/>
      <c r="AG41" s="13"/>
    </row>
    <row r="42">
      <c r="A42" s="12"/>
      <c r="B42" s="65">
        <f t="shared" si="2"/>
        <v>1</v>
      </c>
      <c r="C42" s="66" t="s">
        <v>14</v>
      </c>
      <c r="D42" s="14" t="b">
        <f>IFERROR(__xludf.DUMMYFUNCTION("IF(COUNTA(C42:C147)=0,"""",IFERROR(IF(ISBLANK(C42),FALSE,IF(ISBLANK(G42),1,IF(NOT(COUNTIF($AA$24:$AA$34,SUBSTITUTE(C42,""Sell_"",""""))),1,IF(C42=""Plastic_up"",IF(I42&lt;1000,1),IF(C42=""Super_Up"",IF(OR(COUNTIF(C$4:C42,""Grandma"")-COUNTIF(C$4:C42,""Sell_G"&amp;"randma"")&lt;1,COUNTIF(C$4:C42,VLOOKUP(C42,Upgrades!$F$8:$N$8,7+COUNTIF(C$4:C42,C42)))-COUNTIF(C$4:C42,""Sell_""&amp;VLOOKUP(C42,Upgrades!$F$8:$N$8,7+COUNTIF(C$4:C42,C42)))&lt;15),1),IF(REGEXMATCH(C42,""_up""),IF(COUNTIF(C$4:C42,SUBSTITUTE(C42,""_up"",""""))&lt;IFERRO"&amp;"R(VLOOKUP(C42,Upgrades!$L$3:$P$6,1+COUNTIF(C$4:C42,C42),0),999),1),IF(REGEXMATCH(C42,""Sell_""),IF(COUNTIF(C$4:C42,SUBSTITUTE(C42,""Sell_"",""""))-COUNTIF(C$4:C41,C42)&lt;1,1),FALSE)))))))))"),FALSE)</f>
        <v>0</v>
      </c>
      <c r="E42" s="71">
        <f>IFERROR(__xludf.DUMMYFUNCTION("IF(REGEXMATCH(C42,""^Sell_""),E41, IF(COUNTA(C42:C147)=0,"""",(COUNTIF(C$4:C42,""Cursor"")-COUNTIF(C$4:C42,""Sell_Cursor""))*(0.1*2^SWITCH(COUNTIF(C$4:C42,""Cursor_up""),0,0,1,1,2,2,3)+SWITCH(COUNTIF(C$4:C42,""Cursor_up""),4,0.1,0)*(ROW(C42)-4-COUNTIF(C$4"&amp;":C42,""Cursor"")-COUNTIF(C$4:C42,""*""&amp;""_up"")-2*COUNTIF(C$4:C42,""Sell_""&amp;""*"")+COUNTIF(C$4:C42,""Sell_Cursor"")-COUNTIF(C$4:C42,"""")))+(COUNTIF(C$4:C42,""Grandma"")-COUNTIF(C$4:C42,""Sell_Grandma""))*(1*2^(COUNTIF(C$4:C42,""Grandma_up"")+COUNTIF(C$4:"&amp;"C42,""Super_up"")))+(COUNTIF(C$4:C42,""Farm"")-COUNTIF(C$4:C42,""Sell_Farm""))*(8*2^COUNTIF(C$4:C42,""Farm_up""))*IF(COUNTIF(C$4:C42,""Super_up"")&gt;0,1+0.01*(COUNTIF(C$4:C42,""Grandma"")-COUNTIF(C$4:C42,""Sell_Grandma"")),1)+(COUNTIF(C$4:C42,""Mine"")-COUN"&amp;"TIF(C$4:C42,""Sell_Mine""))*((47*2^COUNTIF(C$4:C42,""Mine_up""))*IF(COUNTIF(C$4:C42,""Super_up"")&gt;1,1+0.005*(COUNTIF(C$4:C42,""Grandma"")-COUNTIF(C$4:C42,""Sell_Grandma"")),1))+(COUNTIF(C$4:C42,""Factory"")-COUNTIF(C$4:C42,""Sell_Factory""))*(260*2^COUNTI"&amp;"F(C$4:C42,""Factory_up""))))"),60.8)</f>
        <v>60.8</v>
      </c>
      <c r="F42" s="73">
        <f>IFERROR(__xludf.DUMMYFUNCTION("IF(COUNTA(C42:C147)=0,"""",IF(REGEXMATCH(INDEX(FILTER(C$4:C42,C$4:C42&lt;&gt;""""),ROWS(FILTER(C$4:C42,C$4:C42&lt;&gt;""""))),""^Sell_""),INDEX(FILTER(F$4:F41,C$4:C41&lt;&gt;""""),ROWS(FILTER(C$4:C41,C$4:C41&lt;&gt;""""))),$AC$5*(2^SWITCH(COUNTIF(C$4:C42,""Cursor_up""),0,0,1,1,2"&amp;",2,3)+SWITCH(COUNTIF(C$4:C42,""Cursor_up""),4,0.1,0)*(ROW(C42)-4-COUNTIF(C$4:C42,""Cursor"")-COUNTIF(C$4:C42,""*""&amp;""_up"")-2*COUNTIF(C$4:C42,""Sell_""&amp;""*"")+COUNTIF(C$4:C42,""Sell_Cursor"")-COUNTIF(C$4:C42,""""))+0.01*E42*COUNTIF(C$4:C42,""Plastic_up"")"&amp;")+E42))"),1660.8)</f>
        <v>1660.8</v>
      </c>
      <c r="G42" s="14">
        <f>IFERROR(__xludf.DUMMYFUNCTION("IF(COUNTA(C42:C147)=0,"""",IF(REGEXMATCH(C42,""_up""),VLOOKUP(C42,Upgrades!$F$3:$J$8,1+COUNTIF(C$4:C42,C42),FALSE),IF(C42="""",0,IF(REGEXMATCH(C42,""^Sell_""),-ROUNDDOWN(ROUNDUP(INDEX(Upgrades!$C$3:$C$8,MATCH(SUBSTITUTE(C42,""Sell_"",""""),Upgrades!$B$3:$"&amp;"B$8,0))*1.15^(COUNTIF(C$4:C41,SUBSTITUTE(C42,""Sell_"",""""))-COUNTIF(C$4:C41,""Sell_""&amp;SUBSTITUTE(C42,""Sell_"",""""))))/4),ROUNDUP(INDEX(Upgrades!$C$3:$C$7,MATCH(C42,Upgrades!$B$3:$B$7,0))*1.15^(COUNTIF(C$4:C41,C42)-COUNTIF(C$4:C41,""Sell_""&amp;C42)))))))"),1000.0)</f>
        <v>1000</v>
      </c>
      <c r="H42" s="14">
        <f t="shared" si="3"/>
        <v>1000</v>
      </c>
      <c r="I42" s="75">
        <f t="shared" si="4"/>
        <v>647760.7529</v>
      </c>
      <c r="J42" s="76">
        <f t="shared" si="5"/>
        <v>19.77457366</v>
      </c>
      <c r="K42" s="71" t="str">
        <f t="shared" si="6"/>
        <v>19s</v>
      </c>
      <c r="L42" s="77">
        <f t="shared" si="7"/>
        <v>19247</v>
      </c>
      <c r="M42" s="51">
        <f t="shared" si="8"/>
        <v>-0.04401</v>
      </c>
      <c r="N42" s="52">
        <f>IFERROR(__xludf.DUMMYFUNCTION("IFS(AND(COUNTA(C42:C147)=0,COUNTA(P42:P147)=0),"""",OR(AND(L42&gt;=1000000,OR(Y42&gt;=1000000,COUNTA(P42:P147)=0)),AND(Y42&gt;=1000000,COUNTA(C42:C147)=0),AND(COUNTA(P42:P147)=0,O$3=TRUE)),
ROUNDDOWN((AB$1-AC$1)*MAX(INDEX(S$4:S147,MATCH(LARGE(FILTER(Y$4:Y147,Y$4:Y"&amp;"147&lt;1000000),1),Y$4:Y147)),INDEX(F$4:F147,MATCH(LARGE(FILTER(L$4:L147,L$4:L147&lt;1000000),1),L$4:L147)))),AND(L42&lt;1000000,COUNTA(C42:C147)&gt;0,O$3=FALSE),
ROUNDDOWN(INDEX(Y$4:Y147,MATCH(LARGE(FILTER(W$4:W147,W$4:W147&lt;=J42),1),W$4:W147))+(J42-LARGE(FILTER(W$4:"&amp;"W147,W$4:W147&lt;=J42),1))*INDEX(S$4:S147,MATCH(LARGE(FILTER(W$4:W147,W$4:W147&lt;=J42),1),W$4:W147))-L42),1,
ROUNDDOWN(Y42-INDEX(L$4:L147,MATCH(LARGE(FILTER(J$4:J147,J$4:J147&lt;=W42),1),J$4:J147))-(W42-LARGE(FILTER(J$4:J147,J$4:J147&lt;=W42),1))*INDEX(F$4:F147,MATC"&amp;"H(LARGE(FILTER(J$4:J147,J$4:J147&lt;=W42),1),J$4:J147))))"),73.0)</f>
        <v>73</v>
      </c>
      <c r="O42" s="65">
        <f t="shared" si="9"/>
        <v>14</v>
      </c>
      <c r="P42" s="15" t="s">
        <v>13</v>
      </c>
      <c r="Q42" s="14" t="b">
        <f>IFERROR(__xludf.DUMMYFUNCTION("IF(COUNTA(P42:P147)=0,"""",IFERROR(IF(ISBLANK(P42),FALSE,IF(ISBLANK(T42),1,IF(NOT(COUNTIF($AA$24:$AA$34,SUBSTITUTE(P42,""Sell_"",""""))),1,IF(P42=""Plastic_up"",IF(V42&lt;1000,1),IF(P42=""Super_Up"",IF(OR(COUNTIF(P$4:P42,""Grandma"")-COUNTIF(P$4:P42,""Sell_G"&amp;"randma"")&lt;1,COUNTIF(P$4:P42,VLOOKUP(P42,Upgrades!$F$8:$N$8,7+COUNTIF(P$4:P42,P42)))-COUNTIF(P$4:P42,""Sell_""&amp;VLOOKUP(P42,Upgrades!$F$8:$N$8,7+COUNTIF(P$4:P42,P42)))&lt;15),1),IF(REGEXMATCH(P42,""_up""),IF(COUNTIF(P$4:P42,SUBSTITUTE(P42,""_up"",""""))&lt;IFERRO"&amp;"R(VLOOKUP(P42,Upgrades!$L$3:$P$6,1+COUNTIF(P$4:P42,P42),0),999),1),IF(REGEXMATCH(P42,""Sell_""),IF(COUNTIF(P$4:P42,SUBSTITUTE(P42,""Sell_"",""""))-COUNTIF(P$4:P41,P42)&lt;1,1),FALSE)))))))))"),FALSE)</f>
        <v>0</v>
      </c>
      <c r="R42" s="71">
        <f>IFERROR(__xludf.DUMMYFUNCTION("IF(REGEXMATCH(P42,""^Sell_""),R41, IF(COUNTA(P42:P147)=0,"""",(COUNTIF(P$4:P42,""Cursor"")-COUNTIF(P$4:P42,""Sell_Cursor""))*(0.1*2^SWITCH(COUNTIF(P$4:P42,""Cursor_up""),0,0,1,1,2,2,3)+SWITCH(COUNTIF(P$4:P42,""Cursor_up""),4,0.1,0)*(ROW(P42)-4-COUNTIF(P$4"&amp;":P42,""Cursor"")-COUNTIF(P$4:P42,""*""&amp;""_up"")-2*COUNTIF(P$4:P42,""Sell_""&amp;""*"")+COUNTIF(P$4:P42,""Sell_Cursor"")-COUNTIF(P$4:P42,"""")))+(COUNTIF(P$4:P42,""Grandma"")-COUNTIF(P$4:P42,""Sell_Grandma""))*(1*2^(COUNTIF(P$4:P42,""Grandma_up"")+COUNTIF(P$4:"&amp;"P42,""Super_up"")))+(COUNTIF(P$4:P42,""Farm"")-COUNTIF(P$4:P42,""Sell_Farm""))*(8*2^COUNTIF(P$4:P42,""Farm_up""))*IF(COUNTIF(P$4:P42,""Super_up"")&gt;0,1+0.01*(COUNTIF(P$4:P42,""Grandma"")-COUNTIF(P$4:P42,""Sell_Grandma"")),1)+(COUNTIF(P$4:P42,""Mine"")-COUN"&amp;"TIF(P$4:P42,""Sell_Mine""))*((47*2^COUNTIF(P$4:P42,""Mine_up""))*IF(COUNTIF(P$4:P42,""Super_up"")&gt;1,1+0.005*(COUNTIF(P$4:P42,""Grandma"")-COUNTIF(P$4:P42,""Sell_Grandma"")),1))+(COUNTIF(P$4:P42,""Factory"")-COUNTIF(P$4:P42,""Sell_Factory""))*(260*2^COUNTI"&amp;"F(P$4:P42,""Factory_up""))))"),65.6)</f>
        <v>65.6</v>
      </c>
      <c r="S42" s="73">
        <f>IFERROR(__xludf.DUMMYFUNCTION("IF(COUNTA(P42:P147)=0,"""",IF(REGEXMATCH(INDEX(FILTER(P$4:P42,P$4:P42&lt;&gt;""""),ROWS(FILTER(P$4:P42,P$4:P42&lt;&gt;""""))),""^Sell_""),INDEX(FILTER(S$4:S41,P$4:P41&lt;&gt;""""),ROWS(FILTER(P$4:P41,P$4:P41&lt;&gt;""""))),$AD$5*(2^SWITCH(COUNTIF(P$4:P42,""Cursor_up""),0,0,1,1,2"&amp;",2,3)+SWITCH(COUNTIF(P$4:P42,""Cursor_up""),4,0.1,0)*(ROW(P42)-4-COUNTIF(P$4:P42,""Cursor"")-COUNTIF(P$4:P42,""*""&amp;""_up"")-2*COUNTIF(P$4:P42,""Sell_""&amp;""*"")+COUNTIF(P$4:P42,""Sell_Cursor"")-COUNTIF(P$4:P42,""""))+0.01*R42*COUNTIF(P$4:P42,""Plastic_up"")"&amp;")+R42))"),1665.6)</f>
        <v>1665.6</v>
      </c>
      <c r="T42" s="14">
        <f>IFERROR(__xludf.DUMMYFUNCTION("IF(COUNTA(P42:P147)=0,"""",IF(REGEXMATCH(P42,""_up""),VLOOKUP(P42,Upgrades!$F$3:$J$8,1+COUNTIF(P$4:P42,P42),FALSE),IF(P42="""",0,IF(REGEXMATCH(P42,""^Sell_""),-ROUNDDOWN(ROUNDUP(INDEX(Upgrades!$C$3:$C$8,MATCH(SUBSTITUTE(P42,""Sell_"",""""),Upgrades!$B$3:$"&amp;"B$8,0))*1.15^(COUNTIF(P$4:P41,SUBSTITUTE(P42,""Sell_"",""""))-COUNTIF(P$4:P41,""Sell_""&amp;SUBSTITUTE(P42,""Sell_"",""""))))/4),ROUNDUP(INDEX(Upgrades!$C$3:$C$7,MATCH(P42,Upgrades!$B$3:$B$7,0))*1.15^(COUNTIF(P$4:P41,P42)-COUNTIF(P$4:P41,""Sell_""&amp;P42)))))))"),616.0)</f>
        <v>616</v>
      </c>
      <c r="U42" s="14">
        <f t="shared" si="10"/>
        <v>616</v>
      </c>
      <c r="V42" s="75">
        <f t="shared" si="11"/>
        <v>710765.6893</v>
      </c>
      <c r="W42" s="76">
        <f t="shared" si="12"/>
        <v>20.46137884</v>
      </c>
      <c r="X42" s="71" t="str">
        <f t="shared" si="13"/>
        <v>20s</v>
      </c>
      <c r="Y42" s="77">
        <f t="shared" si="14"/>
        <v>20462</v>
      </c>
      <c r="Z42" s="17"/>
      <c r="AA42" s="13"/>
      <c r="AB42" s="13"/>
      <c r="AC42" s="13"/>
      <c r="AD42" s="13"/>
      <c r="AE42" s="13"/>
      <c r="AF42" s="13"/>
      <c r="AG42" s="13"/>
    </row>
    <row r="43">
      <c r="A43" s="12"/>
      <c r="B43" s="65">
        <f t="shared" si="2"/>
        <v>11</v>
      </c>
      <c r="C43" s="66" t="s">
        <v>13</v>
      </c>
      <c r="D43" s="14" t="b">
        <f>IFERROR(__xludf.DUMMYFUNCTION("IF(COUNTA(C43:C147)=0,"""",IFERROR(IF(ISBLANK(C43),FALSE,IF(ISBLANK(G43),1,IF(NOT(COUNTIF($AA$24:$AA$34,SUBSTITUTE(C43,""Sell_"",""""))),1,IF(C43=""Plastic_up"",IF(I43&lt;1000,1),IF(C43=""Super_Up"",IF(OR(COUNTIF(C$4:C43,""Grandma"")-COUNTIF(C$4:C43,""Sell_G"&amp;"randma"")&lt;1,COUNTIF(C$4:C43,VLOOKUP(C43,Upgrades!$F$8:$N$8,7+COUNTIF(C$4:C43,C43)))-COUNTIF(C$4:C43,""Sell_""&amp;VLOOKUP(C43,Upgrades!$F$8:$N$8,7+COUNTIF(C$4:C43,C43)))&lt;15),1),IF(REGEXMATCH(C43,""_up""),IF(COUNTIF(C$4:C43,SUBSTITUTE(C43,""_up"",""""))&lt;IFERRO"&amp;"R(VLOOKUP(C43,Upgrades!$L$3:$P$6,1+COUNTIF(C$4:C43,C43),0),999),1),IF(REGEXMATCH(C43,""Sell_""),IF(COUNTIF(C$4:C43,SUBSTITUTE(C43,""Sell_"",""""))-COUNTIF(C$4:C42,C43)&lt;1,1),FALSE)))))))))"),FALSE)</f>
        <v>0</v>
      </c>
      <c r="E43" s="71">
        <f>IFERROR(__xludf.DUMMYFUNCTION("IF(REGEXMATCH(C43,""^Sell_""),E42, IF(COUNTA(C43:C147)=0,"""",(COUNTIF(C$4:C43,""Cursor"")-COUNTIF(C$4:C43,""Sell_Cursor""))*(0.1*2^SWITCH(COUNTIF(C$4:C43,""Cursor_up""),0,0,1,1,2,2,3)+SWITCH(COUNTIF(C$4:C43,""Cursor_up""),4,0.1,0)*(ROW(C43)-4-COUNTIF(C$4"&amp;":C43,""Cursor"")-COUNTIF(C$4:C43,""*""&amp;""_up"")-2*COUNTIF(C$4:C43,""Sell_""&amp;""*"")+COUNTIF(C$4:C43,""Sell_Cursor"")-COUNTIF(C$4:C43,"""")))+(COUNTIF(C$4:C43,""Grandma"")-COUNTIF(C$4:C43,""Sell_Grandma""))*(1*2^(COUNTIF(C$4:C43,""Grandma_up"")+COUNTIF(C$4:"&amp;"C43,""Super_up"")))+(COUNTIF(C$4:C43,""Farm"")-COUNTIF(C$4:C43,""Sell_Farm""))*(8*2^COUNTIF(C$4:C43,""Farm_up""))*IF(COUNTIF(C$4:C43,""Super_up"")&gt;0,1+0.01*(COUNTIF(C$4:C43,""Grandma"")-COUNTIF(C$4:C43,""Sell_Grandma"")),1)+(COUNTIF(C$4:C43,""Mine"")-COUN"&amp;"TIF(C$4:C43,""Sell_Mine""))*((47*2^COUNTIF(C$4:C43,""Mine_up""))*IF(COUNTIF(C$4:C43,""Super_up"")&gt;1,1+0.005*(COUNTIF(C$4:C43,""Grandma"")-COUNTIF(C$4:C43,""Sell_Grandma"")),1))+(COUNTIF(C$4:C43,""Factory"")-COUNTIF(C$4:C43,""Sell_Factory""))*(260*2^COUNTI"&amp;"F(C$4:C43,""Factory_up""))))"),62.8)</f>
        <v>62.8</v>
      </c>
      <c r="F43" s="73">
        <f>IFERROR(__xludf.DUMMYFUNCTION("IF(COUNTA(C43:C147)=0,"""",IF(REGEXMATCH(INDEX(FILTER(C$4:C43,C$4:C43&lt;&gt;""""),ROWS(FILTER(C$4:C43,C$4:C43&lt;&gt;""""))),""^Sell_""),INDEX(FILTER(F$4:F42,C$4:C42&lt;&gt;""""),ROWS(FILTER(C$4:C42,C$4:C42&lt;&gt;""""))),$AC$5*(2^SWITCH(COUNTIF(C$4:C43,""Cursor_up""),0,0,1,1,2"&amp;",2,3)+SWITCH(COUNTIF(C$4:C43,""Cursor_up""),4,0.1,0)*(ROW(C43)-4-COUNTIF(C$4:C43,""Cursor"")-COUNTIF(C$4:C43,""*""&amp;""_up"")-2*COUNTIF(C$4:C43,""Sell_""&amp;""*"")+COUNTIF(C$4:C43,""Sell_Cursor"")-COUNTIF(C$4:C43,""""))+0.01*E43*COUNTIF(C$4:C43,""Plastic_up"")"&amp;")+E43))"),1662.8)</f>
        <v>1662.8</v>
      </c>
      <c r="G43" s="14">
        <f>IFERROR(__xludf.DUMMYFUNCTION("IF(COUNTA(C43:C147)=0,"""",IF(REGEXMATCH(C43,""_up""),VLOOKUP(C43,Upgrades!$F$3:$J$8,1+COUNTIF(C$4:C43,C43),FALSE),IF(C43="""",0,IF(REGEXMATCH(C43,""^Sell_""),-ROUNDDOWN(ROUNDUP(INDEX(Upgrades!$C$3:$C$8,MATCH(SUBSTITUTE(C43,""Sell_"",""""),Upgrades!$B$3:$"&amp;"B$8,0))*1.15^(COUNTIF(C$4:C42,SUBSTITUTE(C43,""Sell_"",""""))-COUNTIF(C$4:C42,""Sell_""&amp;SUBSTITUTE(C43,""Sell_"",""""))))/4),ROUNDUP(INDEX(Upgrades!$C$3:$C$7,MATCH(C43,Upgrades!$B$3:$B$7,0))*1.15^(COUNTIF(C$4:C42,C43)-COUNTIF(C$4:C42,""Sell_""&amp;C43)))))))"),405.0)</f>
        <v>405</v>
      </c>
      <c r="H43" s="14">
        <f t="shared" si="3"/>
        <v>405</v>
      </c>
      <c r="I43" s="75">
        <f t="shared" si="4"/>
        <v>679790.2442</v>
      </c>
      <c r="J43" s="76">
        <f t="shared" si="5"/>
        <v>20.01843204</v>
      </c>
      <c r="K43" s="71" t="str">
        <f t="shared" si="6"/>
        <v>20s</v>
      </c>
      <c r="L43" s="77">
        <f t="shared" si="7"/>
        <v>19652</v>
      </c>
      <c r="M43" s="51">
        <f t="shared" si="8"/>
        <v>-0.04408</v>
      </c>
      <c r="N43" s="52">
        <f>IFERROR(__xludf.DUMMYFUNCTION("IFS(AND(COUNTA(C43:C147)=0,COUNTA(P43:P147)=0),"""",OR(AND(L43&gt;=1000000,OR(Y43&gt;=1000000,COUNTA(P43:P147)=0)),AND(Y43&gt;=1000000,COUNTA(C43:C147)=0),AND(COUNTA(P43:P147)=0,O$3=TRUE)),
ROUNDDOWN((AB$1-AC$1)*MAX(INDEX(S$4:S147,MATCH(LARGE(FILTER(Y$4:Y147,Y$4:Y"&amp;"147&lt;1000000),1),Y$4:Y147)),INDEX(F$4:F147,MATCH(LARGE(FILTER(L$4:L147,L$4:L147&lt;1000000),1),L$4:L147)))),AND(L43&lt;1000000,COUNTA(C43:C147)&gt;0,O$3=FALSE),
ROUNDDOWN(INDEX(Y$4:Y147,MATCH(LARGE(FILTER(W$4:W147,W$4:W147&lt;=J43),1),W$4:W147))+(J43-LARGE(FILTER(W$4:"&amp;"W147,W$4:W147&lt;=J43),1))*INDEX(S$4:S147,MATCH(LARGE(FILTER(W$4:W147,W$4:W147&lt;=J43),1),W$4:W147))-L43),1,
ROUNDDOWN(Y43-INDEX(L$4:L147,MATCH(LARGE(FILTER(J$4:J147,J$4:J147&lt;=W43),1),J$4:J147))-(W43-LARGE(FILTER(J$4:J147,J$4:J147&lt;=W43),1))*INDEX(F$4:F147,MATC"&amp;"H(LARGE(FILTER(J$4:J147,J$4:J147&lt;=W43),1),J$4:J147))))"),73.0)</f>
        <v>73</v>
      </c>
      <c r="O43" s="65">
        <f t="shared" si="9"/>
        <v>2</v>
      </c>
      <c r="P43" s="15" t="s">
        <v>14</v>
      </c>
      <c r="Q43" s="14" t="b">
        <f>IFERROR(__xludf.DUMMYFUNCTION("IF(COUNTA(P43:P147)=0,"""",IFERROR(IF(ISBLANK(P43),FALSE,IF(ISBLANK(T43),1,IF(NOT(COUNTIF($AA$24:$AA$34,SUBSTITUTE(P43,""Sell_"",""""))),1,IF(P43=""Plastic_up"",IF(V43&lt;1000,1),IF(P43=""Super_Up"",IF(OR(COUNTIF(P$4:P43,""Grandma"")-COUNTIF(P$4:P43,""Sell_G"&amp;"randma"")&lt;1,COUNTIF(P$4:P43,VLOOKUP(P43,Upgrades!$F$8:$N$8,7+COUNTIF(P$4:P43,P43)))-COUNTIF(P$4:P43,""Sell_""&amp;VLOOKUP(P43,Upgrades!$F$8:$N$8,7+COUNTIF(P$4:P43,P43)))&lt;15),1),IF(REGEXMATCH(P43,""_up""),IF(COUNTIF(P$4:P43,SUBSTITUTE(P43,""_up"",""""))&lt;IFERRO"&amp;"R(VLOOKUP(P43,Upgrades!$L$3:$P$6,1+COUNTIF(P$4:P43,P43),0),999),1),IF(REGEXMATCH(P43,""Sell_""),IF(COUNTIF(P$4:P43,SUBSTITUTE(P43,""Sell_"",""""))-COUNTIF(P$4:P42,P43)&lt;1,1),FALSE)))))))))"),FALSE)</f>
        <v>0</v>
      </c>
      <c r="R43" s="71">
        <f>IFERROR(__xludf.DUMMYFUNCTION("IF(REGEXMATCH(P43,""^Sell_""),R42, IF(COUNTA(P43:P147)=0,"""",(COUNTIF(P$4:P43,""Cursor"")-COUNTIF(P$4:P43,""Sell_Cursor""))*(0.1*2^SWITCH(COUNTIF(P$4:P43,""Cursor_up""),0,0,1,1,2,2,3)+SWITCH(COUNTIF(P$4:P43,""Cursor_up""),4,0.1,0)*(ROW(P43)-4-COUNTIF(P$4"&amp;":P43,""Cursor"")-COUNTIF(P$4:P43,""*""&amp;""_up"")-2*COUNTIF(P$4:P43,""Sell_""&amp;""*"")+COUNTIF(P$4:P43,""Sell_Cursor"")-COUNTIF(P$4:P43,"""")))+(COUNTIF(P$4:P43,""Grandma"")-COUNTIF(P$4:P43,""Sell_Grandma""))*(1*2^(COUNTIF(P$4:P43,""Grandma_up"")+COUNTIF(P$4:"&amp;"P43,""Super_up"")))+(COUNTIF(P$4:P43,""Farm"")-COUNTIF(P$4:P43,""Sell_Farm""))*(8*2^COUNTIF(P$4:P43,""Farm_up""))*IF(COUNTIF(P$4:P43,""Super_up"")&gt;0,1+0.01*(COUNTIF(P$4:P43,""Grandma"")-COUNTIF(P$4:P43,""Sell_Grandma"")),1)+(COUNTIF(P$4:P43,""Mine"")-COUN"&amp;"TIF(P$4:P43,""Sell_Mine""))*((47*2^COUNTIF(P$4:P43,""Mine_up""))*IF(COUNTIF(P$4:P43,""Super_up"")&gt;1,1+0.005*(COUNTIF(P$4:P43,""Grandma"")-COUNTIF(P$4:P43,""Sell_Grandma"")),1))+(COUNTIF(P$4:P43,""Factory"")-COUNTIF(P$4:P43,""Sell_Factory""))*(260*2^COUNTI"&amp;"F(P$4:P43,""Factory_up""))))"),93.6)</f>
        <v>93.6</v>
      </c>
      <c r="S43" s="73">
        <f>IFERROR(__xludf.DUMMYFUNCTION("IF(COUNTA(P43:P147)=0,"""",IF(REGEXMATCH(INDEX(FILTER(P$4:P43,P$4:P43&lt;&gt;""""),ROWS(FILTER(P$4:P43,P$4:P43&lt;&gt;""""))),""^Sell_""),INDEX(FILTER(S$4:S42,P$4:P42&lt;&gt;""""),ROWS(FILTER(P$4:P42,P$4:P42&lt;&gt;""""))),$AD$5*(2^SWITCH(COUNTIF(P$4:P43,""Cursor_up""),0,0,1,1,2"&amp;",2,3)+SWITCH(COUNTIF(P$4:P43,""Cursor_up""),4,0.1,0)*(ROW(P43)-4-COUNTIF(P$4:P43,""Cursor"")-COUNTIF(P$4:P43,""*""&amp;""_up"")-2*COUNTIF(P$4:P43,""Sell_""&amp;""*"")+COUNTIF(P$4:P43,""Sell_Cursor"")-COUNTIF(P$4:P43,""""))+0.01*R43*COUNTIF(P$4:P43,""Plastic_up"")"&amp;")+R43))"),1693.6)</f>
        <v>1693.6</v>
      </c>
      <c r="T43" s="14">
        <f>IFERROR(__xludf.DUMMYFUNCTION("IF(COUNTA(P43:P147)=0,"""",IF(REGEXMATCH(P43,""_up""),VLOOKUP(P43,Upgrades!$F$3:$J$8,1+COUNTIF(P$4:P43,P43),FALSE),IF(P43="""",0,IF(REGEXMATCH(P43,""^Sell_""),-ROUNDDOWN(ROUNDUP(INDEX(Upgrades!$C$3:$C$8,MATCH(SUBSTITUTE(P43,""Sell_"",""""),Upgrades!$B$3:$"&amp;"B$8,0))*1.15^(COUNTIF(P$4:P42,SUBSTITUTE(P43,""Sell_"",""""))-COUNTIF(P$4:P42,""Sell_""&amp;SUBSTITUTE(P43,""Sell_"",""""))))/4),ROUNDUP(INDEX(Upgrades!$C$3:$C$7,MATCH(P43,Upgrades!$B$3:$B$7,0))*1.15^(COUNTIF(P$4:P42,P43)-COUNTIF(P$4:P42,""Sell_""&amp;P43)))))))"),5000.0)</f>
        <v>5000</v>
      </c>
      <c r="U43" s="14">
        <f t="shared" si="10"/>
        <v>5000</v>
      </c>
      <c r="V43" s="75">
        <f t="shared" si="11"/>
        <v>748306.9694</v>
      </c>
      <c r="W43" s="76">
        <f t="shared" si="12"/>
        <v>23.46330007</v>
      </c>
      <c r="X43" s="71" t="str">
        <f t="shared" si="13"/>
        <v>23s</v>
      </c>
      <c r="Y43" s="77">
        <f t="shared" si="14"/>
        <v>25462</v>
      </c>
      <c r="Z43" s="17"/>
      <c r="AA43" s="13"/>
      <c r="AB43" s="13"/>
      <c r="AC43" s="13"/>
      <c r="AD43" s="13"/>
      <c r="AE43" s="13"/>
      <c r="AF43" s="13"/>
      <c r="AG43" s="13"/>
    </row>
    <row r="44">
      <c r="A44" s="12"/>
      <c r="B44" s="65">
        <f t="shared" si="2"/>
        <v>12</v>
      </c>
      <c r="C44" s="66" t="s">
        <v>13</v>
      </c>
      <c r="D44" s="14" t="b">
        <f>IFERROR(__xludf.DUMMYFUNCTION("IF(COUNTA(C44:C147)=0,"""",IFERROR(IF(ISBLANK(C44),FALSE,IF(ISBLANK(G44),1,IF(NOT(COUNTIF($AA$24:$AA$34,SUBSTITUTE(C44,""Sell_"",""""))),1,IF(C44=""Plastic_up"",IF(I44&lt;1000,1),IF(C44=""Super_Up"",IF(OR(COUNTIF(C$4:C44,""Grandma"")-COUNTIF(C$4:C44,""Sell_G"&amp;"randma"")&lt;1,COUNTIF(C$4:C44,VLOOKUP(C44,Upgrades!$F$8:$N$8,7+COUNTIF(C$4:C44,C44)))-COUNTIF(C$4:C44,""Sell_""&amp;VLOOKUP(C44,Upgrades!$F$8:$N$8,7+COUNTIF(C$4:C44,C44)))&lt;15),1),IF(REGEXMATCH(C44,""_up""),IF(COUNTIF(C$4:C44,SUBSTITUTE(C44,""_up"",""""))&lt;IFERRO"&amp;"R(VLOOKUP(C44,Upgrades!$L$3:$P$6,1+COUNTIF(C$4:C44,C44),0),999),1),IF(REGEXMATCH(C44,""Sell_""),IF(COUNTIF(C$4:C44,SUBSTITUTE(C44,""Sell_"",""""))-COUNTIF(C$4:C43,C44)&lt;1,1),FALSE)))))))))"),FALSE)</f>
        <v>0</v>
      </c>
      <c r="E44" s="71">
        <f>IFERROR(__xludf.DUMMYFUNCTION("IF(REGEXMATCH(C44,""^Sell_""),E43, IF(COUNTA(C44:C147)=0,"""",(COUNTIF(C$4:C44,""Cursor"")-COUNTIF(C$4:C44,""Sell_Cursor""))*(0.1*2^SWITCH(COUNTIF(C$4:C44,""Cursor_up""),0,0,1,1,2,2,3)+SWITCH(COUNTIF(C$4:C44,""Cursor_up""),4,0.1,0)*(ROW(C44)-4-COUNTIF(C$4"&amp;":C44,""Cursor"")-COUNTIF(C$4:C44,""*""&amp;""_up"")-2*COUNTIF(C$4:C44,""Sell_""&amp;""*"")+COUNTIF(C$4:C44,""Sell_Cursor"")-COUNTIF(C$4:C44,"""")))+(COUNTIF(C$4:C44,""Grandma"")-COUNTIF(C$4:C44,""Sell_Grandma""))*(1*2^(COUNTIF(C$4:C44,""Grandma_up"")+COUNTIF(C$4:"&amp;"C44,""Super_up"")))+(COUNTIF(C$4:C44,""Farm"")-COUNTIF(C$4:C44,""Sell_Farm""))*(8*2^COUNTIF(C$4:C44,""Farm_up""))*IF(COUNTIF(C$4:C44,""Super_up"")&gt;0,1+0.01*(COUNTIF(C$4:C44,""Grandma"")-COUNTIF(C$4:C44,""Sell_Grandma"")),1)+(COUNTIF(C$4:C44,""Mine"")-COUN"&amp;"TIF(C$4:C44,""Sell_Mine""))*((47*2^COUNTIF(C$4:C44,""Mine_up""))*IF(COUNTIF(C$4:C44,""Super_up"")&gt;1,1+0.005*(COUNTIF(C$4:C44,""Grandma"")-COUNTIF(C$4:C44,""Sell_Grandma"")),1))+(COUNTIF(C$4:C44,""Factory"")-COUNTIF(C$4:C44,""Sell_Factory""))*(260*2^COUNTI"&amp;"F(C$4:C44,""Factory_up""))))"),64.8)</f>
        <v>64.8</v>
      </c>
      <c r="F44" s="73">
        <f>IFERROR(__xludf.DUMMYFUNCTION("IF(COUNTA(C44:C147)=0,"""",IF(REGEXMATCH(INDEX(FILTER(C$4:C44,C$4:C44&lt;&gt;""""),ROWS(FILTER(C$4:C44,C$4:C44&lt;&gt;""""))),""^Sell_""),INDEX(FILTER(F$4:F43,C$4:C43&lt;&gt;""""),ROWS(FILTER(C$4:C43,C$4:C43&lt;&gt;""""))),$AC$5*(2^SWITCH(COUNTIF(C$4:C44,""Cursor_up""),0,0,1,1,2"&amp;",2,3)+SWITCH(COUNTIF(C$4:C44,""Cursor_up""),4,0.1,0)*(ROW(C44)-4-COUNTIF(C$4:C44,""Cursor"")-COUNTIF(C$4:C44,""*""&amp;""_up"")-2*COUNTIF(C$4:C44,""Sell_""&amp;""*"")+COUNTIF(C$4:C44,""Sell_Cursor"")-COUNTIF(C$4:C44,""""))+0.01*E44*COUNTIF(C$4:C44,""Plastic_up"")"&amp;")+E44))"),1664.8)</f>
        <v>1664.8</v>
      </c>
      <c r="G44" s="14">
        <f>IFERROR(__xludf.DUMMYFUNCTION("IF(COUNTA(C44:C147)=0,"""",IF(REGEXMATCH(C44,""_up""),VLOOKUP(C44,Upgrades!$F$3:$J$8,1+COUNTIF(C$4:C44,C44),FALSE),IF(C44="""",0,IF(REGEXMATCH(C44,""^Sell_""),-ROUNDDOWN(ROUNDUP(INDEX(Upgrades!$C$3:$C$8,MATCH(SUBSTITUTE(C44,""Sell_"",""""),Upgrades!$B$3:$"&amp;"B$8,0))*1.15^(COUNTIF(C$4:C43,SUBSTITUTE(C44,""Sell_"",""""))-COUNTIF(C$4:C43,""Sell_""&amp;SUBSTITUTE(C44,""Sell_"",""""))))/4),ROUNDUP(INDEX(Upgrades!$C$3:$C$7,MATCH(C44,Upgrades!$B$3:$B$7,0))*1.15^(COUNTIF(C$4:C43,C44)-COUNTIF(C$4:C43,""Sell_""&amp;C44)))))))"),466.0)</f>
        <v>466</v>
      </c>
      <c r="H44" s="14">
        <f t="shared" si="3"/>
        <v>466</v>
      </c>
      <c r="I44" s="75">
        <f t="shared" si="4"/>
        <v>712268.1357</v>
      </c>
      <c r="J44" s="76">
        <f t="shared" si="5"/>
        <v>20.29868222</v>
      </c>
      <c r="K44" s="71" t="str">
        <f t="shared" si="6"/>
        <v>20s</v>
      </c>
      <c r="L44" s="77">
        <f t="shared" si="7"/>
        <v>20118</v>
      </c>
      <c r="M44" s="51">
        <f t="shared" si="8"/>
        <v>-0.04408</v>
      </c>
      <c r="N44" s="52">
        <f>IFERROR(__xludf.DUMMYFUNCTION("IFS(AND(COUNTA(C44:C147)=0,COUNTA(P44:P147)=0),"""",OR(AND(L44&gt;=1000000,OR(Y44&gt;=1000000,COUNTA(P44:P147)=0)),AND(Y44&gt;=1000000,COUNTA(C44:C147)=0),AND(COUNTA(P44:P147)=0,O$3=TRUE)),
ROUNDDOWN((AB$1-AC$1)*MAX(INDEX(S$4:S147,MATCH(LARGE(FILTER(Y$4:Y147,Y$4:Y"&amp;"147&lt;1000000),1),Y$4:Y147)),INDEX(F$4:F147,MATCH(LARGE(FILTER(L$4:L147,L$4:L147&lt;1000000),1),L$4:L147)))),AND(L44&lt;1000000,COUNTA(C44:C147)&gt;0,O$3=FALSE),
ROUNDDOWN(INDEX(Y$4:Y147,MATCH(LARGE(FILTER(W$4:W147,W$4:W147&lt;=J44),1),W$4:W147))+(J44-LARGE(FILTER(W$4:"&amp;"W147,W$4:W147&lt;=J44),1))*INDEX(S$4:S147,MATCH(LARGE(FILTER(W$4:W147,W$4:W147&lt;=J44),1),W$4:W147))-L44),1,
ROUNDDOWN(Y44-INDEX(L$4:L147,MATCH(LARGE(FILTER(J$4:J147,J$4:J147&lt;=W44),1),J$4:J147))-(W44-LARGE(FILTER(J$4:J147,J$4:J147&lt;=W44),1))*INDEX(F$4:F147,MATC"&amp;"H(LARGE(FILTER(J$4:J147,J$4:J147&lt;=W44),1),J$4:J147))))"),73.0)</f>
        <v>73</v>
      </c>
      <c r="O44" s="65">
        <f t="shared" si="9"/>
        <v>15</v>
      </c>
      <c r="P44" s="15" t="s">
        <v>13</v>
      </c>
      <c r="Q44" s="14" t="b">
        <f>IFERROR(__xludf.DUMMYFUNCTION("IF(COUNTA(P44:P147)=0,"""",IFERROR(IF(ISBLANK(P44),FALSE,IF(ISBLANK(T44),1,IF(NOT(COUNTIF($AA$24:$AA$34,SUBSTITUTE(P44,""Sell_"",""""))),1,IF(P44=""Plastic_up"",IF(V44&lt;1000,1),IF(P44=""Super_Up"",IF(OR(COUNTIF(P$4:P44,""Grandma"")-COUNTIF(P$4:P44,""Sell_G"&amp;"randma"")&lt;1,COUNTIF(P$4:P44,VLOOKUP(P44,Upgrades!$F$8:$N$8,7+COUNTIF(P$4:P44,P44)))-COUNTIF(P$4:P44,""Sell_""&amp;VLOOKUP(P44,Upgrades!$F$8:$N$8,7+COUNTIF(P$4:P44,P44)))&lt;15),1),IF(REGEXMATCH(P44,""_up""),IF(COUNTIF(P$4:P44,SUBSTITUTE(P44,""_up"",""""))&lt;IFERRO"&amp;"R(VLOOKUP(P44,Upgrades!$L$3:$P$6,1+COUNTIF(P$4:P44,P44),0),999),1),IF(REGEXMATCH(P44,""Sell_""),IF(COUNTIF(P$4:P44,SUBSTITUTE(P44,""Sell_"",""""))-COUNTIF(P$4:P43,P44)&lt;1,1),FALSE)))))))))"),FALSE)</f>
        <v>0</v>
      </c>
      <c r="R44" s="71">
        <f>IFERROR(__xludf.DUMMYFUNCTION("IF(REGEXMATCH(P44,""^Sell_""),R43, IF(COUNTA(P44:P147)=0,"""",(COUNTIF(P$4:P44,""Cursor"")-COUNTIF(P$4:P44,""Sell_Cursor""))*(0.1*2^SWITCH(COUNTIF(P$4:P44,""Cursor_up""),0,0,1,1,2,2,3)+SWITCH(COUNTIF(P$4:P44,""Cursor_up""),4,0.1,0)*(ROW(P44)-4-COUNTIF(P$4"&amp;":P44,""Cursor"")-COUNTIF(P$4:P44,""*""&amp;""_up"")-2*COUNTIF(P$4:P44,""Sell_""&amp;""*"")+COUNTIF(P$4:P44,""Sell_Cursor"")-COUNTIF(P$4:P44,"""")))+(COUNTIF(P$4:P44,""Grandma"")-COUNTIF(P$4:P44,""Sell_Grandma""))*(1*2^(COUNTIF(P$4:P44,""Grandma_up"")+COUNTIF(P$4:"&amp;"P44,""Super_up"")))+(COUNTIF(P$4:P44,""Farm"")-COUNTIF(P$4:P44,""Sell_Farm""))*(8*2^COUNTIF(P$4:P44,""Farm_up""))*IF(COUNTIF(P$4:P44,""Super_up"")&gt;0,1+0.01*(COUNTIF(P$4:P44,""Grandma"")-COUNTIF(P$4:P44,""Sell_Grandma"")),1)+(COUNTIF(P$4:P44,""Mine"")-COUN"&amp;"TIF(P$4:P44,""Sell_Mine""))*((47*2^COUNTIF(P$4:P44,""Mine_up""))*IF(COUNTIF(P$4:P44,""Super_up"")&gt;1,1+0.005*(COUNTIF(P$4:P44,""Grandma"")-COUNTIF(P$4:P44,""Sell_Grandma"")),1))+(COUNTIF(P$4:P44,""Factory"")-COUNTIF(P$4:P44,""Sell_Factory""))*(260*2^COUNTI"&amp;"F(P$4:P44,""Factory_up""))))"),97.6)</f>
        <v>97.6</v>
      </c>
      <c r="S44" s="73">
        <f>IFERROR(__xludf.DUMMYFUNCTION("IF(COUNTA(P44:P147)=0,"""",IF(REGEXMATCH(INDEX(FILTER(P$4:P44,P$4:P44&lt;&gt;""""),ROWS(FILTER(P$4:P44,P$4:P44&lt;&gt;""""))),""^Sell_""),INDEX(FILTER(S$4:S43,P$4:P43&lt;&gt;""""),ROWS(FILTER(P$4:P43,P$4:P43&lt;&gt;""""))),$AD$5*(2^SWITCH(COUNTIF(P$4:P44,""Cursor_up""),0,0,1,1,2"&amp;",2,3)+SWITCH(COUNTIF(P$4:P44,""Cursor_up""),4,0.1,0)*(ROW(P44)-4-COUNTIF(P$4:P44,""Cursor"")-COUNTIF(P$4:P44,""*""&amp;""_up"")-2*COUNTIF(P$4:P44,""Sell_""&amp;""*"")+COUNTIF(P$4:P44,""Sell_Cursor"")-COUNTIF(P$4:P44,""""))+0.01*R44*COUNTIF(P$4:P44,""Plastic_up"")"&amp;")+R44))"),1697.6)</f>
        <v>1697.6</v>
      </c>
      <c r="T44" s="14">
        <f>IFERROR(__xludf.DUMMYFUNCTION("IF(COUNTA(P44:P147)=0,"""",IF(REGEXMATCH(P44,""_up""),VLOOKUP(P44,Upgrades!$F$3:$J$8,1+COUNTIF(P$4:P44,P44),FALSE),IF(P44="""",0,IF(REGEXMATCH(P44,""^Sell_""),-ROUNDDOWN(ROUNDUP(INDEX(Upgrades!$C$3:$C$8,MATCH(SUBSTITUTE(P44,""Sell_"",""""),Upgrades!$B$3:$"&amp;"B$8,0))*1.15^(COUNTIF(P$4:P43,SUBSTITUTE(P44,""Sell_"",""""))-COUNTIF(P$4:P43,""Sell_""&amp;SUBSTITUTE(P44,""Sell_"",""""))))/4),ROUNDUP(INDEX(Upgrades!$C$3:$C$7,MATCH(P44,Upgrades!$B$3:$B$7,0))*1.15^(COUNTIF(P$4:P43,P44)-COUNTIF(P$4:P43,""Sell_""&amp;P44)))))))"),708.0)</f>
        <v>708</v>
      </c>
      <c r="U44" s="14">
        <f t="shared" si="10"/>
        <v>708</v>
      </c>
      <c r="V44" s="75">
        <f t="shared" si="11"/>
        <v>786517.1206</v>
      </c>
      <c r="W44" s="76">
        <f t="shared" si="12"/>
        <v>23.88134447</v>
      </c>
      <c r="X44" s="71" t="str">
        <f t="shared" si="13"/>
        <v>23s</v>
      </c>
      <c r="Y44" s="77">
        <f t="shared" si="14"/>
        <v>26170</v>
      </c>
      <c r="Z44" s="17"/>
      <c r="AA44" s="13"/>
      <c r="AB44" s="13"/>
      <c r="AC44" s="13"/>
      <c r="AD44" s="13"/>
      <c r="AE44" s="13"/>
      <c r="AF44" s="13"/>
      <c r="AG44" s="13"/>
    </row>
    <row r="45">
      <c r="A45" s="12"/>
      <c r="B45" s="65">
        <f t="shared" si="2"/>
        <v>13</v>
      </c>
      <c r="C45" s="66" t="s">
        <v>13</v>
      </c>
      <c r="D45" s="14" t="b">
        <f>IFERROR(__xludf.DUMMYFUNCTION("IF(COUNTA(C45:C147)=0,"""",IFERROR(IF(ISBLANK(C45),FALSE,IF(ISBLANK(G45),1,IF(NOT(COUNTIF($AA$24:$AA$34,SUBSTITUTE(C45,""Sell_"",""""))),1,IF(C45=""Plastic_up"",IF(I45&lt;1000,1),IF(C45=""Super_Up"",IF(OR(COUNTIF(C$4:C45,""Grandma"")-COUNTIF(C$4:C45,""Sell_G"&amp;"randma"")&lt;1,COUNTIF(C$4:C45,VLOOKUP(C45,Upgrades!$F$8:$N$8,7+COUNTIF(C$4:C45,C45)))-COUNTIF(C$4:C45,""Sell_""&amp;VLOOKUP(C45,Upgrades!$F$8:$N$8,7+COUNTIF(C$4:C45,C45)))&lt;15),1),IF(REGEXMATCH(C45,""_up""),IF(COUNTIF(C$4:C45,SUBSTITUTE(C45,""_up"",""""))&lt;IFERRO"&amp;"R(VLOOKUP(C45,Upgrades!$L$3:$P$6,1+COUNTIF(C$4:C45,C45),0),999),1),IF(REGEXMATCH(C45,""Sell_""),IF(COUNTIF(C$4:C45,SUBSTITUTE(C45,""Sell_"",""""))-COUNTIF(C$4:C44,C45)&lt;1,1),FALSE)))))))))"),FALSE)</f>
        <v>0</v>
      </c>
      <c r="E45" s="71">
        <f>IFERROR(__xludf.DUMMYFUNCTION("IF(REGEXMATCH(C45,""^Sell_""),E44, IF(COUNTA(C45:C147)=0,"""",(COUNTIF(C$4:C45,""Cursor"")-COUNTIF(C$4:C45,""Sell_Cursor""))*(0.1*2^SWITCH(COUNTIF(C$4:C45,""Cursor_up""),0,0,1,1,2,2,3)+SWITCH(COUNTIF(C$4:C45,""Cursor_up""),4,0.1,0)*(ROW(C45)-4-COUNTIF(C$4"&amp;":C45,""Cursor"")-COUNTIF(C$4:C45,""*""&amp;""_up"")-2*COUNTIF(C$4:C45,""Sell_""&amp;""*"")+COUNTIF(C$4:C45,""Sell_Cursor"")-COUNTIF(C$4:C45,"""")))+(COUNTIF(C$4:C45,""Grandma"")-COUNTIF(C$4:C45,""Sell_Grandma""))*(1*2^(COUNTIF(C$4:C45,""Grandma_up"")+COUNTIF(C$4:"&amp;"C45,""Super_up"")))+(COUNTIF(C$4:C45,""Farm"")-COUNTIF(C$4:C45,""Sell_Farm""))*(8*2^COUNTIF(C$4:C45,""Farm_up""))*IF(COUNTIF(C$4:C45,""Super_up"")&gt;0,1+0.01*(COUNTIF(C$4:C45,""Grandma"")-COUNTIF(C$4:C45,""Sell_Grandma"")),1)+(COUNTIF(C$4:C45,""Mine"")-COUN"&amp;"TIF(C$4:C45,""Sell_Mine""))*((47*2^COUNTIF(C$4:C45,""Mine_up""))*IF(COUNTIF(C$4:C45,""Super_up"")&gt;1,1+0.005*(COUNTIF(C$4:C45,""Grandma"")-COUNTIF(C$4:C45,""Sell_Grandma"")),1))+(COUNTIF(C$4:C45,""Factory"")-COUNTIF(C$4:C45,""Sell_Factory""))*(260*2^COUNTI"&amp;"F(C$4:C45,""Factory_up""))))"),66.8)</f>
        <v>66.8</v>
      </c>
      <c r="F45" s="73">
        <f>IFERROR(__xludf.DUMMYFUNCTION("IF(COUNTA(C45:C147)=0,"""",IF(REGEXMATCH(INDEX(FILTER(C$4:C45,C$4:C45&lt;&gt;""""),ROWS(FILTER(C$4:C45,C$4:C45&lt;&gt;""""))),""^Sell_""),INDEX(FILTER(F$4:F44,C$4:C44&lt;&gt;""""),ROWS(FILTER(C$4:C44,C$4:C44&lt;&gt;""""))),$AC$5*(2^SWITCH(COUNTIF(C$4:C45,""Cursor_up""),0,0,1,1,2"&amp;",2,3)+SWITCH(COUNTIF(C$4:C45,""Cursor_up""),4,0.1,0)*(ROW(C45)-4-COUNTIF(C$4:C45,""Cursor"")-COUNTIF(C$4:C45,""*""&amp;""_up"")-2*COUNTIF(C$4:C45,""Sell_""&amp;""*"")+COUNTIF(C$4:C45,""Sell_Cursor"")-COUNTIF(C$4:C45,""""))+0.01*E45*COUNTIF(C$4:C45,""Plastic_up"")"&amp;")+E45))"),1666.8)</f>
        <v>1666.8</v>
      </c>
      <c r="G45" s="14">
        <f>IFERROR(__xludf.DUMMYFUNCTION("IF(COUNTA(C45:C147)=0,"""",IF(REGEXMATCH(C45,""_up""),VLOOKUP(C45,Upgrades!$F$3:$J$8,1+COUNTIF(C$4:C45,C45),FALSE),IF(C45="""",0,IF(REGEXMATCH(C45,""^Sell_""),-ROUNDDOWN(ROUNDUP(INDEX(Upgrades!$C$3:$C$8,MATCH(SUBSTITUTE(C45,""Sell_"",""""),Upgrades!$B$3:$"&amp;"B$8,0))*1.15^(COUNTIF(C$4:C44,SUBSTITUTE(C45,""Sell_"",""""))-COUNTIF(C$4:C44,""Sell_""&amp;SUBSTITUTE(C45,""Sell_"",""""))))/4),ROUNDUP(INDEX(Upgrades!$C$3:$C$7,MATCH(C45,Upgrades!$B$3:$B$7,0))*1.15^(COUNTIF(C$4:C44,C45)-COUNTIF(C$4:C44,""Sell_""&amp;C45)))))))"),536.0)</f>
        <v>536</v>
      </c>
      <c r="H45" s="14">
        <f t="shared" si="3"/>
        <v>536</v>
      </c>
      <c r="I45" s="75">
        <f t="shared" si="4"/>
        <v>745261.1642</v>
      </c>
      <c r="J45" s="76">
        <f t="shared" si="5"/>
        <v>20.62064281</v>
      </c>
      <c r="K45" s="71" t="str">
        <f t="shared" si="6"/>
        <v>20s</v>
      </c>
      <c r="L45" s="77">
        <f t="shared" si="7"/>
        <v>20654</v>
      </c>
      <c r="M45" s="51">
        <f t="shared" si="8"/>
        <v>-0.04399</v>
      </c>
      <c r="N45" s="52">
        <f>IFERROR(__xludf.DUMMYFUNCTION("IFS(AND(COUNTA(C45:C147)=0,COUNTA(P45:P147)=0),"""",OR(AND(L45&gt;=1000000,OR(Y45&gt;=1000000,COUNTA(P45:P147)=0)),AND(Y45&gt;=1000000,COUNTA(C45:C147)=0),AND(COUNTA(P45:P147)=0,O$3=TRUE)),
ROUNDDOWN((AB$1-AC$1)*MAX(INDEX(S$4:S147,MATCH(LARGE(FILTER(Y$4:Y147,Y$4:Y"&amp;"147&lt;1000000),1),Y$4:Y147)),INDEX(F$4:F147,MATCH(LARGE(FILTER(L$4:L147,L$4:L147&lt;1000000),1),L$4:L147)))),AND(L45&lt;1000000,COUNTA(C45:C147)&gt;0,O$3=FALSE),
ROUNDDOWN(INDEX(Y$4:Y147,MATCH(LARGE(FILTER(W$4:W147,W$4:W147&lt;=J45),1),W$4:W147))+(J45-LARGE(FILTER(W$4:"&amp;"W147,W$4:W147&lt;=J45),1))*INDEX(S$4:S147,MATCH(LARGE(FILTER(W$4:W147,W$4:W147&lt;=J45),1),W$4:W147))-L45),1,
ROUNDDOWN(Y45-INDEX(L$4:L147,MATCH(LARGE(FILTER(J$4:J147,J$4:J147&lt;=W45),1),J$4:J147))-(W45-LARGE(FILTER(J$4:J147,J$4:J147&lt;=W45),1))*INDEX(F$4:F147,MATC"&amp;"H(LARGE(FILTER(J$4:J147,J$4:J147&lt;=W45),1),J$4:J147))))"),73.0)</f>
        <v>73</v>
      </c>
      <c r="O45" s="65">
        <f t="shared" si="9"/>
        <v>18</v>
      </c>
      <c r="P45" s="15" t="s">
        <v>10</v>
      </c>
      <c r="Q45" s="14" t="b">
        <f>IFERROR(__xludf.DUMMYFUNCTION("IF(COUNTA(P45:P147)=0,"""",IFERROR(IF(ISBLANK(P45),FALSE,IF(ISBLANK(T45),1,IF(NOT(COUNTIF($AA$24:$AA$34,SUBSTITUTE(P45,""Sell_"",""""))),1,IF(P45=""Plastic_up"",IF(V45&lt;1000,1),IF(P45=""Super_Up"",IF(OR(COUNTIF(P$4:P45,""Grandma"")-COUNTIF(P$4:P45,""Sell_G"&amp;"randma"")&lt;1,COUNTIF(P$4:P45,VLOOKUP(P45,Upgrades!$F$8:$N$8,7+COUNTIF(P$4:P45,P45)))-COUNTIF(P$4:P45,""Sell_""&amp;VLOOKUP(P45,Upgrades!$F$8:$N$8,7+COUNTIF(P$4:P45,P45)))&lt;15),1),IF(REGEXMATCH(P45,""_up""),IF(COUNTIF(P$4:P45,SUBSTITUTE(P45,""_up"",""""))&lt;IFERRO"&amp;"R(VLOOKUP(P45,Upgrades!$L$3:$P$6,1+COUNTIF(P$4:P45,P45),0),999),1),IF(REGEXMATCH(P45,""Sell_""),IF(COUNTIF(P$4:P45,SUBSTITUTE(P45,""Sell_"",""""))-COUNTIF(P$4:P44,P45)&lt;1,1),FALSE)))))))))"),FALSE)</f>
        <v>0</v>
      </c>
      <c r="R45" s="71">
        <f>IFERROR(__xludf.DUMMYFUNCTION("IF(REGEXMATCH(P45,""^Sell_""),R44, IF(COUNTA(P45:P147)=0,"""",(COUNTIF(P$4:P45,""Cursor"")-COUNTIF(P$4:P45,""Sell_Cursor""))*(0.1*2^SWITCH(COUNTIF(P$4:P45,""Cursor_up""),0,0,1,1,2,2,3)+SWITCH(COUNTIF(P$4:P45,""Cursor_up""),4,0.1,0)*(ROW(P45)-4-COUNTIF(P$4"&amp;":P45,""Cursor"")-COUNTIF(P$4:P45,""*""&amp;""_up"")-2*COUNTIF(P$4:P45,""Sell_""&amp;""*"")+COUNTIF(P$4:P45,""Sell_Cursor"")-COUNTIF(P$4:P45,"""")))+(COUNTIF(P$4:P45,""Grandma"")-COUNTIF(P$4:P45,""Sell_Grandma""))*(1*2^(COUNTIF(P$4:P45,""Grandma_up"")+COUNTIF(P$4:"&amp;"P45,""Super_up"")))+(COUNTIF(P$4:P45,""Farm"")-COUNTIF(P$4:P45,""Sell_Farm""))*(8*2^COUNTIF(P$4:P45,""Farm_up""))*IF(COUNTIF(P$4:P45,""Super_up"")&gt;0,1+0.01*(COUNTIF(P$4:P45,""Grandma"")-COUNTIF(P$4:P45,""Sell_Grandma"")),1)+(COUNTIF(P$4:P45,""Mine"")-COUN"&amp;"TIF(P$4:P45,""Sell_Mine""))*((47*2^COUNTIF(P$4:P45,""Mine_up""))*IF(COUNTIF(P$4:P45,""Super_up"")&gt;1,1+0.005*(COUNTIF(P$4:P45,""Grandma"")-COUNTIF(P$4:P45,""Sell_Grandma"")),1))+(COUNTIF(P$4:P45,""Factory"")-COUNTIF(P$4:P45,""Sell_Factory""))*(260*2^COUNTI"&amp;"F(P$4:P45,""Factory_up""))))"),98.4)</f>
        <v>98.4</v>
      </c>
      <c r="S45" s="73">
        <f>IFERROR(__xludf.DUMMYFUNCTION("IF(COUNTA(P45:P147)=0,"""",IF(REGEXMATCH(INDEX(FILTER(P$4:P45,P$4:P45&lt;&gt;""""),ROWS(FILTER(P$4:P45,P$4:P45&lt;&gt;""""))),""^Sell_""),INDEX(FILTER(S$4:S44,P$4:P44&lt;&gt;""""),ROWS(FILTER(P$4:P44,P$4:P44&lt;&gt;""""))),$AD$5*(2^SWITCH(COUNTIF(P$4:P45,""Cursor_up""),0,0,1,1,2"&amp;",2,3)+SWITCH(COUNTIF(P$4:P45,""Cursor_up""),4,0.1,0)*(ROW(P45)-4-COUNTIF(P$4:P45,""Cursor"")-COUNTIF(P$4:P45,""*""&amp;""_up"")-2*COUNTIF(P$4:P45,""Sell_""&amp;""*"")+COUNTIF(P$4:P45,""Sell_Cursor"")-COUNTIF(P$4:P45,""""))+0.01*R45*COUNTIF(P$4:P45,""Plastic_up"")"&amp;")+R45))"),1698.4)</f>
        <v>1698.4</v>
      </c>
      <c r="T45" s="14">
        <f>IFERROR(__xludf.DUMMYFUNCTION("IF(COUNTA(P45:P147)=0,"""",IF(REGEXMATCH(P45,""_up""),VLOOKUP(P45,Upgrades!$F$3:$J$8,1+COUNTIF(P$4:P45,P45),FALSE),IF(P45="""",0,IF(REGEXMATCH(P45,""^Sell_""),-ROUNDDOWN(ROUNDUP(INDEX(Upgrades!$C$3:$C$8,MATCH(SUBSTITUTE(P45,""Sell_"",""""),Upgrades!$B$3:$"&amp;"B$8,0))*1.15^(COUNTIF(P$4:P44,SUBSTITUTE(P45,""Sell_"",""""))-COUNTIF(P$4:P44,""Sell_""&amp;SUBSTITUTE(P45,""Sell_"",""""))))/4),ROUNDUP(INDEX(Upgrades!$C$3:$C$7,MATCH(P45,Upgrades!$B$3:$B$7,0))*1.15^(COUNTIF(P$4:P44,P45)-COUNTIF(P$4:P44,""Sell_""&amp;P45)))))))"),162.0)</f>
        <v>162</v>
      </c>
      <c r="U45" s="14">
        <f t="shared" si="10"/>
        <v>162</v>
      </c>
      <c r="V45" s="75">
        <f t="shared" si="11"/>
        <v>824879.9579</v>
      </c>
      <c r="W45" s="76">
        <f t="shared" si="12"/>
        <v>23.97677331</v>
      </c>
      <c r="X45" s="71" t="str">
        <f t="shared" si="13"/>
        <v>23s</v>
      </c>
      <c r="Y45" s="77">
        <f t="shared" si="14"/>
        <v>26332</v>
      </c>
      <c r="Z45" s="17"/>
      <c r="AA45" s="13"/>
      <c r="AB45" s="13"/>
      <c r="AC45" s="118"/>
      <c r="AD45" s="118"/>
      <c r="AE45" s="13"/>
      <c r="AF45" s="13"/>
      <c r="AG45" s="13"/>
    </row>
    <row r="46">
      <c r="A46" s="12"/>
      <c r="B46" s="65">
        <f t="shared" si="2"/>
        <v>14</v>
      </c>
      <c r="C46" s="66" t="s">
        <v>13</v>
      </c>
      <c r="D46" s="14" t="b">
        <f>IFERROR(__xludf.DUMMYFUNCTION("IF(COUNTA(C46:C147)=0,"""",IFERROR(IF(ISBLANK(C46),FALSE,IF(ISBLANK(G46),1,IF(NOT(COUNTIF($AA$24:$AA$34,SUBSTITUTE(C46,""Sell_"",""""))),1,IF(C46=""Plastic_up"",IF(I46&lt;1000,1),IF(C46=""Super_Up"",IF(OR(COUNTIF(C$4:C46,""Grandma"")-COUNTIF(C$4:C46,""Sell_G"&amp;"randma"")&lt;1,COUNTIF(C$4:C46,VLOOKUP(C46,Upgrades!$F$8:$N$8,7+COUNTIF(C$4:C46,C46)))-COUNTIF(C$4:C46,""Sell_""&amp;VLOOKUP(C46,Upgrades!$F$8:$N$8,7+COUNTIF(C$4:C46,C46)))&lt;15),1),IF(REGEXMATCH(C46,""_up""),IF(COUNTIF(C$4:C46,SUBSTITUTE(C46,""_up"",""""))&lt;IFERRO"&amp;"R(VLOOKUP(C46,Upgrades!$L$3:$P$6,1+COUNTIF(C$4:C46,C46),0),999),1),IF(REGEXMATCH(C46,""Sell_""),IF(COUNTIF(C$4:C46,SUBSTITUTE(C46,""Sell_"",""""))-COUNTIF(C$4:C45,C46)&lt;1,1),FALSE)))))))))"),FALSE)</f>
        <v>0</v>
      </c>
      <c r="E46" s="71">
        <f>IFERROR(__xludf.DUMMYFUNCTION("IF(REGEXMATCH(C46,""^Sell_""),E45, IF(COUNTA(C46:C147)=0,"""",(COUNTIF(C$4:C46,""Cursor"")-COUNTIF(C$4:C46,""Sell_Cursor""))*(0.1*2^SWITCH(COUNTIF(C$4:C46,""Cursor_up""),0,0,1,1,2,2,3)+SWITCH(COUNTIF(C$4:C46,""Cursor_up""),4,0.1,0)*(ROW(C46)-4-COUNTIF(C$4"&amp;":C46,""Cursor"")-COUNTIF(C$4:C46,""*""&amp;""_up"")-2*COUNTIF(C$4:C46,""Sell_""&amp;""*"")+COUNTIF(C$4:C46,""Sell_Cursor"")-COUNTIF(C$4:C46,"""")))+(COUNTIF(C$4:C46,""Grandma"")-COUNTIF(C$4:C46,""Sell_Grandma""))*(1*2^(COUNTIF(C$4:C46,""Grandma_up"")+COUNTIF(C$4:"&amp;"C46,""Super_up"")))+(COUNTIF(C$4:C46,""Farm"")-COUNTIF(C$4:C46,""Sell_Farm""))*(8*2^COUNTIF(C$4:C46,""Farm_up""))*IF(COUNTIF(C$4:C46,""Super_up"")&gt;0,1+0.01*(COUNTIF(C$4:C46,""Grandma"")-COUNTIF(C$4:C46,""Sell_Grandma"")),1)+(COUNTIF(C$4:C46,""Mine"")-COUN"&amp;"TIF(C$4:C46,""Sell_Mine""))*((47*2^COUNTIF(C$4:C46,""Mine_up""))*IF(COUNTIF(C$4:C46,""Super_up"")&gt;1,1+0.005*(COUNTIF(C$4:C46,""Grandma"")-COUNTIF(C$4:C46,""Sell_Grandma"")),1))+(COUNTIF(C$4:C46,""Factory"")-COUNTIF(C$4:C46,""Sell_Factory""))*(260*2^COUNTI"&amp;"F(C$4:C46,""Factory_up""))))"),68.8)</f>
        <v>68.8</v>
      </c>
      <c r="F46" s="73">
        <f>IFERROR(__xludf.DUMMYFUNCTION("IF(COUNTA(C46:C147)=0,"""",IF(REGEXMATCH(INDEX(FILTER(C$4:C46,C$4:C46&lt;&gt;""""),ROWS(FILTER(C$4:C46,C$4:C46&lt;&gt;""""))),""^Sell_""),INDEX(FILTER(F$4:F45,C$4:C45&lt;&gt;""""),ROWS(FILTER(C$4:C45,C$4:C45&lt;&gt;""""))),$AC$5*(2^SWITCH(COUNTIF(C$4:C46,""Cursor_up""),0,0,1,1,2"&amp;",2,3)+SWITCH(COUNTIF(C$4:C46,""Cursor_up""),4,0.1,0)*(ROW(C46)-4-COUNTIF(C$4:C46,""Cursor"")-COUNTIF(C$4:C46,""*""&amp;""_up"")-2*COUNTIF(C$4:C46,""Sell_""&amp;""*"")+COUNTIF(C$4:C46,""Sell_Cursor"")-COUNTIF(C$4:C46,""""))+0.01*E46*COUNTIF(C$4:C46,""Plastic_up"")"&amp;")+E46))"),1668.8)</f>
        <v>1668.8</v>
      </c>
      <c r="G46" s="14">
        <f>IFERROR(__xludf.DUMMYFUNCTION("IF(COUNTA(C46:C147)=0,"""",IF(REGEXMATCH(C46,""_up""),VLOOKUP(C46,Upgrades!$F$3:$J$8,1+COUNTIF(C$4:C46,C46),FALSE),IF(C46="""",0,IF(REGEXMATCH(C46,""^Sell_""),-ROUNDDOWN(ROUNDUP(INDEX(Upgrades!$C$3:$C$8,MATCH(SUBSTITUTE(C46,""Sell_"",""""),Upgrades!$B$3:$"&amp;"B$8,0))*1.15^(COUNTIF(C$4:C45,SUBSTITUTE(C46,""Sell_"",""""))-COUNTIF(C$4:C45,""Sell_""&amp;SUBSTITUTE(C46,""Sell_"",""""))))/4),ROUNDUP(INDEX(Upgrades!$C$3:$C$7,MATCH(C46,Upgrades!$B$3:$B$7,0))*1.15^(COUNTIF(C$4:C45,C46)-COUNTIF(C$4:C45,""Sell_""&amp;C46)))))))"),616.0)</f>
        <v>616</v>
      </c>
      <c r="H46" s="14">
        <f t="shared" si="3"/>
        <v>616</v>
      </c>
      <c r="I46" s="75">
        <f t="shared" si="4"/>
        <v>778845.5054</v>
      </c>
      <c r="J46" s="76">
        <f t="shared" si="5"/>
        <v>20.99021325</v>
      </c>
      <c r="K46" s="71" t="str">
        <f t="shared" si="6"/>
        <v>20s</v>
      </c>
      <c r="L46" s="77">
        <f t="shared" si="7"/>
        <v>21270</v>
      </c>
      <c r="M46" s="51">
        <f t="shared" si="8"/>
        <v>-0.04372</v>
      </c>
      <c r="N46" s="52">
        <f>IFERROR(__xludf.DUMMYFUNCTION("IFS(AND(COUNTA(C46:C147)=0,COUNTA(P46:P147)=0),"""",OR(AND(L46&gt;=1000000,OR(Y46&gt;=1000000,COUNTA(P46:P147)=0)),AND(Y46&gt;=1000000,COUNTA(C46:C147)=0),AND(COUNTA(P46:P147)=0,O$3=TRUE)),
ROUNDDOWN((AB$1-AC$1)*MAX(INDEX(S$4:S147,MATCH(LARGE(FILTER(Y$4:Y147,Y$4:Y"&amp;"147&lt;1000000),1),Y$4:Y147)),INDEX(F$4:F147,MATCH(LARGE(FILTER(L$4:L147,L$4:L147&lt;1000000),1),L$4:L147)))),AND(L46&lt;1000000,COUNTA(C46:C147)&gt;0,O$3=FALSE),
ROUNDDOWN(INDEX(Y$4:Y147,MATCH(LARGE(FILTER(W$4:W147,W$4:W147&lt;=J46),1),W$4:W147))+(J46-LARGE(FILTER(W$4:"&amp;"W147,W$4:W147&lt;=J46),1))*INDEX(S$4:S147,MATCH(LARGE(FILTER(W$4:W147,W$4:W147&lt;=J46),1),W$4:W147))-L46),1,
ROUNDDOWN(Y46-INDEX(L$4:L147,MATCH(LARGE(FILTER(J$4:J147,J$4:J147&lt;=W46),1),J$4:J147))-(W46-LARGE(FILTER(J$4:J147,J$4:J147&lt;=W46),1))*INDEX(F$4:F147,MATC"&amp;"H(LARGE(FILTER(J$4:J147,J$4:J147&lt;=W46),1),J$4:J147))))"),72.0)</f>
        <v>72</v>
      </c>
      <c r="O46" s="65">
        <f t="shared" si="9"/>
        <v>16</v>
      </c>
      <c r="P46" s="15" t="s">
        <v>13</v>
      </c>
      <c r="Q46" s="14" t="b">
        <f>IFERROR(__xludf.DUMMYFUNCTION("IF(COUNTA(P46:P147)=0,"""",IFERROR(IF(ISBLANK(P46),FALSE,IF(ISBLANK(T46),1,IF(NOT(COUNTIF($AA$24:$AA$34,SUBSTITUTE(P46,""Sell_"",""""))),1,IF(P46=""Plastic_up"",IF(V46&lt;1000,1),IF(P46=""Super_Up"",IF(OR(COUNTIF(P$4:P46,""Grandma"")-COUNTIF(P$4:P46,""Sell_G"&amp;"randma"")&lt;1,COUNTIF(P$4:P46,VLOOKUP(P46,Upgrades!$F$8:$N$8,7+COUNTIF(P$4:P46,P46)))-COUNTIF(P$4:P46,""Sell_""&amp;VLOOKUP(P46,Upgrades!$F$8:$N$8,7+COUNTIF(P$4:P46,P46)))&lt;15),1),IF(REGEXMATCH(P46,""_up""),IF(COUNTIF(P$4:P46,SUBSTITUTE(P46,""_up"",""""))&lt;IFERRO"&amp;"R(VLOOKUP(P46,Upgrades!$L$3:$P$6,1+COUNTIF(P$4:P46,P46),0),999),1),IF(REGEXMATCH(P46,""Sell_""),IF(COUNTIF(P$4:P46,SUBSTITUTE(P46,""Sell_"",""""))-COUNTIF(P$4:P45,P46)&lt;1,1),FALSE)))))))))"),FALSE)</f>
        <v>0</v>
      </c>
      <c r="R46" s="71">
        <f>IFERROR(__xludf.DUMMYFUNCTION("IF(REGEXMATCH(P46,""^Sell_""),R45, IF(COUNTA(P46:P147)=0,"""",(COUNTIF(P$4:P46,""Cursor"")-COUNTIF(P$4:P46,""Sell_Cursor""))*(0.1*2^SWITCH(COUNTIF(P$4:P46,""Cursor_up""),0,0,1,1,2,2,3)+SWITCH(COUNTIF(P$4:P46,""Cursor_up""),4,0.1,0)*(ROW(P46)-4-COUNTIF(P$4"&amp;":P46,""Cursor"")-COUNTIF(P$4:P46,""*""&amp;""_up"")-2*COUNTIF(P$4:P46,""Sell_""&amp;""*"")+COUNTIF(P$4:P46,""Sell_Cursor"")-COUNTIF(P$4:P46,"""")))+(COUNTIF(P$4:P46,""Grandma"")-COUNTIF(P$4:P46,""Sell_Grandma""))*(1*2^(COUNTIF(P$4:P46,""Grandma_up"")+COUNTIF(P$4:"&amp;"P46,""Super_up"")))+(COUNTIF(P$4:P46,""Farm"")-COUNTIF(P$4:P46,""Sell_Farm""))*(8*2^COUNTIF(P$4:P46,""Farm_up""))*IF(COUNTIF(P$4:P46,""Super_up"")&gt;0,1+0.01*(COUNTIF(P$4:P46,""Grandma"")-COUNTIF(P$4:P46,""Sell_Grandma"")),1)+(COUNTIF(P$4:P46,""Mine"")-COUN"&amp;"TIF(P$4:P46,""Sell_Mine""))*((47*2^COUNTIF(P$4:P46,""Mine_up""))*IF(COUNTIF(P$4:P46,""Super_up"")&gt;1,1+0.005*(COUNTIF(P$4:P46,""Grandma"")-COUNTIF(P$4:P46,""Sell_Grandma"")),1))+(COUNTIF(P$4:P46,""Factory"")-COUNTIF(P$4:P46,""Sell_Factory""))*(260*2^COUNTI"&amp;"F(P$4:P46,""Factory_up""))))"),102.4)</f>
        <v>102.4</v>
      </c>
      <c r="S46" s="73">
        <f>IFERROR(__xludf.DUMMYFUNCTION("IF(COUNTA(P46:P147)=0,"""",IF(REGEXMATCH(INDEX(FILTER(P$4:P46,P$4:P46&lt;&gt;""""),ROWS(FILTER(P$4:P46,P$4:P46&lt;&gt;""""))),""^Sell_""),INDEX(FILTER(S$4:S45,P$4:P45&lt;&gt;""""),ROWS(FILTER(P$4:P45,P$4:P45&lt;&gt;""""))),$AD$5*(2^SWITCH(COUNTIF(P$4:P46,""Cursor_up""),0,0,1,1,2"&amp;",2,3)+SWITCH(COUNTIF(P$4:P46,""Cursor_up""),4,0.1,0)*(ROW(P46)-4-COUNTIF(P$4:P46,""Cursor"")-COUNTIF(P$4:P46,""*""&amp;""_up"")-2*COUNTIF(P$4:P46,""Sell_""&amp;""*"")+COUNTIF(P$4:P46,""Sell_Cursor"")-COUNTIF(P$4:P46,""""))+0.01*R46*COUNTIF(P$4:P46,""Plastic_up"")"&amp;")+R46))"),1702.4)</f>
        <v>1702.4</v>
      </c>
      <c r="T46" s="14">
        <f>IFERROR(__xludf.DUMMYFUNCTION("IF(COUNTA(P46:P147)=0,"""",IF(REGEXMATCH(P46,""_up""),VLOOKUP(P46,Upgrades!$F$3:$J$8,1+COUNTIF(P$4:P46,P46),FALSE),IF(P46="""",0,IF(REGEXMATCH(P46,""^Sell_""),-ROUNDDOWN(ROUNDUP(INDEX(Upgrades!$C$3:$C$8,MATCH(SUBSTITUTE(P46,""Sell_"",""""),Upgrades!$B$3:$"&amp;"B$8,0))*1.15^(COUNTIF(P$4:P45,SUBSTITUTE(P46,""Sell_"",""""))-COUNTIF(P$4:P45,""Sell_""&amp;SUBSTITUTE(P46,""Sell_"",""""))))/4),ROUNDUP(INDEX(Upgrades!$C$3:$C$7,MATCH(P46,Upgrades!$B$3:$B$7,0))*1.15^(COUNTIF(P$4:P45,P46)-COUNTIF(P$4:P45,""Sell_""&amp;P46)))))))"),814.0)</f>
        <v>814</v>
      </c>
      <c r="U46" s="14">
        <f t="shared" si="10"/>
        <v>814</v>
      </c>
      <c r="V46" s="75">
        <f t="shared" si="11"/>
        <v>864009.6346</v>
      </c>
      <c r="W46" s="76">
        <f t="shared" si="12"/>
        <v>24.45604793</v>
      </c>
      <c r="X46" s="71" t="str">
        <f t="shared" si="13"/>
        <v>24s</v>
      </c>
      <c r="Y46" s="77">
        <f t="shared" si="14"/>
        <v>27146</v>
      </c>
      <c r="Z46" s="17"/>
      <c r="AA46" s="13"/>
      <c r="AB46" s="13"/>
      <c r="AC46" s="13"/>
      <c r="AD46" s="13"/>
      <c r="AE46" s="13"/>
      <c r="AF46" s="13"/>
      <c r="AG46" s="13"/>
    </row>
    <row r="47">
      <c r="A47" s="12"/>
      <c r="B47" s="65">
        <f t="shared" si="2"/>
        <v>15</v>
      </c>
      <c r="C47" s="66" t="s">
        <v>13</v>
      </c>
      <c r="D47" s="14" t="b">
        <f>IFERROR(__xludf.DUMMYFUNCTION("IF(COUNTA(C47:C147)=0,"""",IFERROR(IF(ISBLANK(C47),FALSE,IF(ISBLANK(G47),1,IF(NOT(COUNTIF($AA$24:$AA$34,SUBSTITUTE(C47,""Sell_"",""""))),1,IF(C47=""Plastic_up"",IF(I47&lt;1000,1),IF(C47=""Super_Up"",IF(OR(COUNTIF(C$4:C47,""Grandma"")-COUNTIF(C$4:C47,""Sell_G"&amp;"randma"")&lt;1,COUNTIF(C$4:C47,VLOOKUP(C47,Upgrades!$F$8:$N$8,7+COUNTIF(C$4:C47,C47)))-COUNTIF(C$4:C47,""Sell_""&amp;VLOOKUP(C47,Upgrades!$F$8:$N$8,7+COUNTIF(C$4:C47,C47)))&lt;15),1),IF(REGEXMATCH(C47,""_up""),IF(COUNTIF(C$4:C47,SUBSTITUTE(C47,""_up"",""""))&lt;IFERRO"&amp;"R(VLOOKUP(C47,Upgrades!$L$3:$P$6,1+COUNTIF(C$4:C47,C47),0),999),1),IF(REGEXMATCH(C47,""Sell_""),IF(COUNTIF(C$4:C47,SUBSTITUTE(C47,""Sell_"",""""))-COUNTIF(C$4:C46,C47)&lt;1,1),FALSE)))))))))"),FALSE)</f>
        <v>0</v>
      </c>
      <c r="E47" s="71">
        <f>IFERROR(__xludf.DUMMYFUNCTION("IF(REGEXMATCH(C47,""^Sell_""),E46, IF(COUNTA(C47:C147)=0,"""",(COUNTIF(C$4:C47,""Cursor"")-COUNTIF(C$4:C47,""Sell_Cursor""))*(0.1*2^SWITCH(COUNTIF(C$4:C47,""Cursor_up""),0,0,1,1,2,2,3)+SWITCH(COUNTIF(C$4:C47,""Cursor_up""),4,0.1,0)*(ROW(C47)-4-COUNTIF(C$4"&amp;":C47,""Cursor"")-COUNTIF(C$4:C47,""*""&amp;""_up"")-2*COUNTIF(C$4:C47,""Sell_""&amp;""*"")+COUNTIF(C$4:C47,""Sell_Cursor"")-COUNTIF(C$4:C47,"""")))+(COUNTIF(C$4:C47,""Grandma"")-COUNTIF(C$4:C47,""Sell_Grandma""))*(1*2^(COUNTIF(C$4:C47,""Grandma_up"")+COUNTIF(C$4:"&amp;"C47,""Super_up"")))+(COUNTIF(C$4:C47,""Farm"")-COUNTIF(C$4:C47,""Sell_Farm""))*(8*2^COUNTIF(C$4:C47,""Farm_up""))*IF(COUNTIF(C$4:C47,""Super_up"")&gt;0,1+0.01*(COUNTIF(C$4:C47,""Grandma"")-COUNTIF(C$4:C47,""Sell_Grandma"")),1)+(COUNTIF(C$4:C47,""Mine"")-COUN"&amp;"TIF(C$4:C47,""Sell_Mine""))*((47*2^COUNTIF(C$4:C47,""Mine_up""))*IF(COUNTIF(C$4:C47,""Super_up"")&gt;1,1+0.005*(COUNTIF(C$4:C47,""Grandma"")-COUNTIF(C$4:C47,""Sell_Grandma"")),1))+(COUNTIF(C$4:C47,""Factory"")-COUNTIF(C$4:C47,""Sell_Factory""))*(260*2^COUNTI"&amp;"F(C$4:C47,""Factory_up""))))"),70.8)</f>
        <v>70.8</v>
      </c>
      <c r="F47" s="73">
        <f>IFERROR(__xludf.DUMMYFUNCTION("IF(COUNTA(C47:C147)=0,"""",IF(REGEXMATCH(INDEX(FILTER(C$4:C47,C$4:C47&lt;&gt;""""),ROWS(FILTER(C$4:C47,C$4:C47&lt;&gt;""""))),""^Sell_""),INDEX(FILTER(F$4:F46,C$4:C46&lt;&gt;""""),ROWS(FILTER(C$4:C46,C$4:C46&lt;&gt;""""))),$AC$5*(2^SWITCH(COUNTIF(C$4:C47,""Cursor_up""),0,0,1,1,2"&amp;",2,3)+SWITCH(COUNTIF(C$4:C47,""Cursor_up""),4,0.1,0)*(ROW(C47)-4-COUNTIF(C$4:C47,""Cursor"")-COUNTIF(C$4:C47,""*""&amp;""_up"")-2*COUNTIF(C$4:C47,""Sell_""&amp;""*"")+COUNTIF(C$4:C47,""Sell_Cursor"")-COUNTIF(C$4:C47,""""))+0.01*E47*COUNTIF(C$4:C47,""Plastic_up"")"&amp;")+E47))"),1670.8)</f>
        <v>1670.8</v>
      </c>
      <c r="G47" s="14">
        <f>IFERROR(__xludf.DUMMYFUNCTION("IF(COUNTA(C47:C147)=0,"""",IF(REGEXMATCH(C47,""_up""),VLOOKUP(C47,Upgrades!$F$3:$J$8,1+COUNTIF(C$4:C47,C47),FALSE),IF(C47="""",0,IF(REGEXMATCH(C47,""^Sell_""),-ROUNDDOWN(ROUNDUP(INDEX(Upgrades!$C$3:$C$8,MATCH(SUBSTITUTE(C47,""Sell_"",""""),Upgrades!$B$3:$"&amp;"B$8,0))*1.15^(COUNTIF(C$4:C46,SUBSTITUTE(C47,""Sell_"",""""))-COUNTIF(C$4:C46,""Sell_""&amp;SUBSTITUTE(C47,""Sell_"",""""))))/4),ROUNDUP(INDEX(Upgrades!$C$3:$C$7,MATCH(C47,Upgrades!$B$3:$B$7,0))*1.15^(COUNTIF(C$4:C46,C47)-COUNTIF(C$4:C46,""Sell_""&amp;C47)))))))"),708.0)</f>
        <v>708</v>
      </c>
      <c r="H47" s="14">
        <f t="shared" si="3"/>
        <v>708</v>
      </c>
      <c r="I47" s="75">
        <f t="shared" si="4"/>
        <v>813108.6578</v>
      </c>
      <c r="J47" s="76">
        <f t="shared" si="5"/>
        <v>21.4144702</v>
      </c>
      <c r="K47" s="71" t="str">
        <f t="shared" si="6"/>
        <v>21s</v>
      </c>
      <c r="L47" s="77">
        <f t="shared" si="7"/>
        <v>21978</v>
      </c>
      <c r="M47" s="51">
        <f t="shared" si="8"/>
        <v>-0.0429</v>
      </c>
      <c r="N47" s="52">
        <f>IFERROR(__xludf.DUMMYFUNCTION("IFS(AND(COUNTA(C47:C147)=0,COUNTA(P47:P147)=0),"""",OR(AND(L47&gt;=1000000,OR(Y47&gt;=1000000,COUNTA(P47:P147)=0)),AND(Y47&gt;=1000000,COUNTA(C47:C147)=0),AND(COUNTA(P47:P147)=0,O$3=TRUE)),
ROUNDDOWN((AB$1-AC$1)*MAX(INDEX(S$4:S147,MATCH(LARGE(FILTER(Y$4:Y147,Y$4:Y"&amp;"147&lt;1000000),1),Y$4:Y147)),INDEX(F$4:F147,MATCH(LARGE(FILTER(L$4:L147,L$4:L147&lt;1000000),1),L$4:L147)))),AND(L47&lt;1000000,COUNTA(C47:C147)&gt;0,O$3=FALSE),
ROUNDDOWN(INDEX(Y$4:Y147,MATCH(LARGE(FILTER(W$4:W147,W$4:W147&lt;=J47),1),W$4:W147))+(J47-LARGE(FILTER(W$4:"&amp;"W147,W$4:W147&lt;=J47),1))*INDEX(S$4:S147,MATCH(LARGE(FILTER(W$4:W147,W$4:W147&lt;=J47),1),W$4:W147))-L47),1,
ROUNDDOWN(Y47-INDEX(L$4:L147,MATCH(LARGE(FILTER(J$4:J147,J$4:J147&lt;=W47),1),J$4:J147))-(W47-LARGE(FILTER(J$4:J147,J$4:J147&lt;=W47),1))*INDEX(F$4:F147,MATC"&amp;"H(LARGE(FILTER(J$4:J147,J$4:J147&lt;=W47),1),J$4:J147))))"),71.0)</f>
        <v>71</v>
      </c>
      <c r="O47" s="65">
        <f t="shared" si="9"/>
        <v>4</v>
      </c>
      <c r="P47" s="15" t="s">
        <v>16</v>
      </c>
      <c r="Q47" s="14" t="b">
        <f>IFERROR(__xludf.DUMMYFUNCTION("IF(COUNTA(P47:P147)=0,"""",IFERROR(IF(ISBLANK(P47),FALSE,IF(ISBLANK(T47),1,IF(NOT(COUNTIF($AA$24:$AA$34,SUBSTITUTE(P47,""Sell_"",""""))),1,IF(P47=""Plastic_up"",IF(V47&lt;1000,1),IF(P47=""Super_Up"",IF(OR(COUNTIF(P$4:P47,""Grandma"")-COUNTIF(P$4:P47,""Sell_G"&amp;"randma"")&lt;1,COUNTIF(P$4:P47,VLOOKUP(P47,Upgrades!$F$8:$N$8,7+COUNTIF(P$4:P47,P47)))-COUNTIF(P$4:P47,""Sell_""&amp;VLOOKUP(P47,Upgrades!$F$8:$N$8,7+COUNTIF(P$4:P47,P47)))&lt;15),1),IF(REGEXMATCH(P47,""_up""),IF(COUNTIF(P$4:P47,SUBSTITUTE(P47,""_up"",""""))&lt;IFERRO"&amp;"R(VLOOKUP(P47,Upgrades!$L$3:$P$6,1+COUNTIF(P$4:P47,P47),0),999),1),IF(REGEXMATCH(P47,""Sell_""),IF(COUNTIF(P$4:P47,SUBSTITUTE(P47,""Sell_"",""""))-COUNTIF(P$4:P46,P47)&lt;1,1),FALSE)))))))))"),FALSE)</f>
        <v>0</v>
      </c>
      <c r="R47" s="71">
        <f>IFERROR(__xludf.DUMMYFUNCTION("IF(REGEXMATCH(P47,""^Sell_""),R46, IF(COUNTA(P47:P147)=0,"""",(COUNTIF(P$4:P47,""Cursor"")-COUNTIF(P$4:P47,""Sell_Cursor""))*(0.1*2^SWITCH(COUNTIF(P$4:P47,""Cursor_up""),0,0,1,1,2,2,3)+SWITCH(COUNTIF(P$4:P47,""Cursor_up""),4,0.1,0)*(ROW(P47)-4-COUNTIF(P$4"&amp;":P47,""Cursor"")-COUNTIF(P$4:P47,""*""&amp;""_up"")-2*COUNTIF(P$4:P47,""Sell_""&amp;""*"")+COUNTIF(P$4:P47,""Sell_Cursor"")-COUNTIF(P$4:P47,"""")))+(COUNTIF(P$4:P47,""Grandma"")-COUNTIF(P$4:P47,""Sell_Grandma""))*(1*2^(COUNTIF(P$4:P47,""Grandma_up"")+COUNTIF(P$4:"&amp;"P47,""Super_up"")))+(COUNTIF(P$4:P47,""Farm"")-COUNTIF(P$4:P47,""Sell_Farm""))*(8*2^COUNTIF(P$4:P47,""Farm_up""))*IF(COUNTIF(P$4:P47,""Super_up"")&gt;0,1+0.01*(COUNTIF(P$4:P47,""Grandma"")-COUNTIF(P$4:P47,""Sell_Grandma"")),1)+(COUNTIF(P$4:P47,""Mine"")-COUN"&amp;"TIF(P$4:P47,""Sell_Mine""))*((47*2^COUNTIF(P$4:P47,""Mine_up""))*IF(COUNTIF(P$4:P47,""Super_up"")&gt;1,1+0.005*(COUNTIF(P$4:P47,""Grandma"")-COUNTIF(P$4:P47,""Sell_Grandma"")),1))+(COUNTIF(P$4:P47,""Factory"")-COUNTIF(P$4:P47,""Sell_Factory""))*(260*2^COUNTI"&amp;"F(P$4:P47,""Factory_up""))))"),110.4)</f>
        <v>110.4</v>
      </c>
      <c r="S47" s="73">
        <f>IFERROR(__xludf.DUMMYFUNCTION("IF(COUNTA(P47:P147)=0,"""",IF(REGEXMATCH(INDEX(FILTER(P$4:P47,P$4:P47&lt;&gt;""""),ROWS(FILTER(P$4:P47,P$4:P47&lt;&gt;""""))),""^Sell_""),INDEX(FILTER(S$4:S46,P$4:P46&lt;&gt;""""),ROWS(FILTER(P$4:P46,P$4:P46&lt;&gt;""""))),$AD$5*(2^SWITCH(COUNTIF(P$4:P47,""Cursor_up""),0,0,1,1,2"&amp;",2,3)+SWITCH(COUNTIF(P$4:P47,""Cursor_up""),4,0.1,0)*(ROW(P47)-4-COUNTIF(P$4:P47,""Cursor"")-COUNTIF(P$4:P47,""*""&amp;""_up"")-2*COUNTIF(P$4:P47,""Sell_""&amp;""*"")+COUNTIF(P$4:P47,""Sell_Cursor"")-COUNTIF(P$4:P47,""""))+0.01*R47*COUNTIF(P$4:P47,""Plastic_up"")"&amp;")+R47))"),1710.4)</f>
        <v>1710.4</v>
      </c>
      <c r="T47" s="14">
        <f>IFERROR(__xludf.DUMMYFUNCTION("IF(COUNTA(P47:P147)=0,"""",IF(REGEXMATCH(P47,""_up""),VLOOKUP(P47,Upgrades!$F$3:$J$8,1+COUNTIF(P$4:P47,P47),FALSE),IF(P47="""",0,IF(REGEXMATCH(P47,""^Sell_""),-ROUNDDOWN(ROUNDUP(INDEX(Upgrades!$C$3:$C$8,MATCH(SUBSTITUTE(P47,""Sell_"",""""),Upgrades!$B$3:$"&amp;"B$8,0))*1.15^(COUNTIF(P$4:P46,SUBSTITUTE(P47,""Sell_"",""""))-COUNTIF(P$4:P46,""Sell_""&amp;SUBSTITUTE(P47,""Sell_"",""""))))/4),ROUNDUP(INDEX(Upgrades!$C$3:$C$7,MATCH(P47,Upgrades!$B$3:$B$7,0))*1.15^(COUNTIF(P$4:P46,P47)-COUNTIF(P$4:P46,""Sell_""&amp;P47)))))))"),1673.0)</f>
        <v>1673</v>
      </c>
      <c r="U47" s="14">
        <f t="shared" si="10"/>
        <v>1673</v>
      </c>
      <c r="V47" s="75">
        <f t="shared" si="11"/>
        <v>904711.6797</v>
      </c>
      <c r="W47" s="76">
        <f t="shared" si="12"/>
        <v>25.43877819</v>
      </c>
      <c r="X47" s="71" t="str">
        <f t="shared" si="13"/>
        <v>25s</v>
      </c>
      <c r="Y47" s="77">
        <f t="shared" si="14"/>
        <v>28819</v>
      </c>
      <c r="Z47" s="17"/>
      <c r="AA47" s="13"/>
      <c r="AB47" s="13"/>
      <c r="AC47" s="13"/>
      <c r="AD47" s="13"/>
      <c r="AE47" s="13"/>
      <c r="AF47" s="13"/>
      <c r="AG47" s="13"/>
    </row>
    <row r="48">
      <c r="A48" s="12"/>
      <c r="B48" s="65">
        <f t="shared" si="2"/>
        <v>16</v>
      </c>
      <c r="C48" s="66" t="s">
        <v>13</v>
      </c>
      <c r="D48" s="14" t="b">
        <f>IFERROR(__xludf.DUMMYFUNCTION("IF(COUNTA(C48:C147)=0,"""",IFERROR(IF(ISBLANK(C48),FALSE,IF(ISBLANK(G48),1,IF(NOT(COUNTIF($AA$24:$AA$34,SUBSTITUTE(C48,""Sell_"",""""))),1,IF(C48=""Plastic_up"",IF(I48&lt;1000,1),IF(C48=""Super_Up"",IF(OR(COUNTIF(C$4:C48,""Grandma"")-COUNTIF(C$4:C48,""Sell_G"&amp;"randma"")&lt;1,COUNTIF(C$4:C48,VLOOKUP(C48,Upgrades!$F$8:$N$8,7+COUNTIF(C$4:C48,C48)))-COUNTIF(C$4:C48,""Sell_""&amp;VLOOKUP(C48,Upgrades!$F$8:$N$8,7+COUNTIF(C$4:C48,C48)))&lt;15),1),IF(REGEXMATCH(C48,""_up""),IF(COUNTIF(C$4:C48,SUBSTITUTE(C48,""_up"",""""))&lt;IFERRO"&amp;"R(VLOOKUP(C48,Upgrades!$L$3:$P$6,1+COUNTIF(C$4:C48,C48),0),999),1),IF(REGEXMATCH(C48,""Sell_""),IF(COUNTIF(C$4:C48,SUBSTITUTE(C48,""Sell_"",""""))-COUNTIF(C$4:C47,C48)&lt;1,1),FALSE)))))))))"),FALSE)</f>
        <v>0</v>
      </c>
      <c r="E48" s="71">
        <f>IFERROR(__xludf.DUMMYFUNCTION("IF(REGEXMATCH(C48,""^Sell_""),E47, IF(COUNTA(C48:C147)=0,"""",(COUNTIF(C$4:C48,""Cursor"")-COUNTIF(C$4:C48,""Sell_Cursor""))*(0.1*2^SWITCH(COUNTIF(C$4:C48,""Cursor_up""),0,0,1,1,2,2,3)+SWITCH(COUNTIF(C$4:C48,""Cursor_up""),4,0.1,0)*(ROW(C48)-4-COUNTIF(C$4"&amp;":C48,""Cursor"")-COUNTIF(C$4:C48,""*""&amp;""_up"")-2*COUNTIF(C$4:C48,""Sell_""&amp;""*"")+COUNTIF(C$4:C48,""Sell_Cursor"")-COUNTIF(C$4:C48,"""")))+(COUNTIF(C$4:C48,""Grandma"")-COUNTIF(C$4:C48,""Sell_Grandma""))*(1*2^(COUNTIF(C$4:C48,""Grandma_up"")+COUNTIF(C$4:"&amp;"C48,""Super_up"")))+(COUNTIF(C$4:C48,""Farm"")-COUNTIF(C$4:C48,""Sell_Farm""))*(8*2^COUNTIF(C$4:C48,""Farm_up""))*IF(COUNTIF(C$4:C48,""Super_up"")&gt;0,1+0.01*(COUNTIF(C$4:C48,""Grandma"")-COUNTIF(C$4:C48,""Sell_Grandma"")),1)+(COUNTIF(C$4:C48,""Mine"")-COUN"&amp;"TIF(C$4:C48,""Sell_Mine""))*((47*2^COUNTIF(C$4:C48,""Mine_up""))*IF(COUNTIF(C$4:C48,""Super_up"")&gt;1,1+0.005*(COUNTIF(C$4:C48,""Grandma"")-COUNTIF(C$4:C48,""Sell_Grandma"")),1))+(COUNTIF(C$4:C48,""Factory"")-COUNTIF(C$4:C48,""Sell_Factory""))*(260*2^COUNTI"&amp;"F(C$4:C48,""Factory_up""))))"),72.8)</f>
        <v>72.8</v>
      </c>
      <c r="F48" s="73">
        <f>IFERROR(__xludf.DUMMYFUNCTION("IF(COUNTA(C48:C147)=0,"""",IF(REGEXMATCH(INDEX(FILTER(C$4:C48,C$4:C48&lt;&gt;""""),ROWS(FILTER(C$4:C48,C$4:C48&lt;&gt;""""))),""^Sell_""),INDEX(FILTER(F$4:F47,C$4:C47&lt;&gt;""""),ROWS(FILTER(C$4:C47,C$4:C47&lt;&gt;""""))),$AC$5*(2^SWITCH(COUNTIF(C$4:C48,""Cursor_up""),0,0,1,1,2"&amp;",2,3)+SWITCH(COUNTIF(C$4:C48,""Cursor_up""),4,0.1,0)*(ROW(C48)-4-COUNTIF(C$4:C48,""Cursor"")-COUNTIF(C$4:C48,""*""&amp;""_up"")-2*COUNTIF(C$4:C48,""Sell_""&amp;""*"")+COUNTIF(C$4:C48,""Sell_Cursor"")-COUNTIF(C$4:C48,""""))+0.01*E48*COUNTIF(C$4:C48,""Plastic_up"")"&amp;")+E48))"),1672.8)</f>
        <v>1672.8</v>
      </c>
      <c r="G48" s="14">
        <f>IFERROR(__xludf.DUMMYFUNCTION("IF(COUNTA(C48:C147)=0,"""",IF(REGEXMATCH(C48,""_up""),VLOOKUP(C48,Upgrades!$F$3:$J$8,1+COUNTIF(C$4:C48,C48),FALSE),IF(C48="""",0,IF(REGEXMATCH(C48,""^Sell_""),-ROUNDDOWN(ROUNDUP(INDEX(Upgrades!$C$3:$C$8,MATCH(SUBSTITUTE(C48,""Sell_"",""""),Upgrades!$B$3:$"&amp;"B$8,0))*1.15^(COUNTIF(C$4:C47,SUBSTITUTE(C48,""Sell_"",""""))-COUNTIF(C$4:C47,""Sell_""&amp;SUBSTITUTE(C48,""Sell_"",""""))))/4),ROUNDUP(INDEX(Upgrades!$C$3:$C$7,MATCH(C48,Upgrades!$B$3:$B$7,0))*1.15^(COUNTIF(C$4:C47,C48)-COUNTIF(C$4:C47,""Sell_""&amp;C48)))))))"),814.0)</f>
        <v>814</v>
      </c>
      <c r="H48" s="14">
        <f t="shared" si="3"/>
        <v>814</v>
      </c>
      <c r="I48" s="75">
        <f t="shared" si="4"/>
        <v>848151.3169</v>
      </c>
      <c r="J48" s="76">
        <f t="shared" si="5"/>
        <v>21.90166196</v>
      </c>
      <c r="K48" s="71" t="str">
        <f t="shared" si="6"/>
        <v>21s</v>
      </c>
      <c r="L48" s="77">
        <f t="shared" si="7"/>
        <v>22792</v>
      </c>
      <c r="M48" s="51">
        <f t="shared" si="8"/>
        <v>-0.04138</v>
      </c>
      <c r="N48" s="52">
        <f>IFERROR(__xludf.DUMMYFUNCTION("IFS(AND(COUNTA(C48:C147)=0,COUNTA(P48:P147)=0),"""",OR(AND(L48&gt;=1000000,OR(Y48&gt;=1000000,COUNTA(P48:P147)=0)),AND(Y48&gt;=1000000,COUNTA(C48:C147)=0),AND(COUNTA(P48:P147)=0,O$3=TRUE)),
ROUNDDOWN((AB$1-AC$1)*MAX(INDEX(S$4:S147,MATCH(LARGE(FILTER(Y$4:Y147,Y$4:Y"&amp;"147&lt;1000000),1),Y$4:Y147)),INDEX(F$4:F147,MATCH(LARGE(FILTER(L$4:L147,L$4:L147&lt;1000000),1),L$4:L147)))),AND(L48&lt;1000000,COUNTA(C48:C147)&gt;0,O$3=FALSE),
ROUNDDOWN(INDEX(Y$4:Y147,MATCH(LARGE(FILTER(W$4:W147,W$4:W147&lt;=J48),1),W$4:W147))+(J48-LARGE(FILTER(W$4:"&amp;"W147,W$4:W147&lt;=J48),1))*INDEX(S$4:S147,MATCH(LARGE(FILTER(W$4:W147,W$4:W147&lt;=J48),1),W$4:W147))-L48),1,
ROUNDDOWN(Y48-INDEX(L$4:L147,MATCH(LARGE(FILTER(J$4:J147,J$4:J147&lt;=W48),1),J$4:J147))-(W48-LARGE(FILTER(J$4:J147,J$4:J147&lt;=W48),1))*INDEX(F$4:F147,MATC"&amp;"H(LARGE(FILTER(J$4:J147,J$4:J147&lt;=W48),1),J$4:J147))))"),68.0)</f>
        <v>68</v>
      </c>
      <c r="O48" s="65">
        <f t="shared" si="9"/>
        <v>19</v>
      </c>
      <c r="P48" s="15" t="s">
        <v>10</v>
      </c>
      <c r="Q48" s="14" t="b">
        <f>IFERROR(__xludf.DUMMYFUNCTION("IF(COUNTA(P48:P147)=0,"""",IFERROR(IF(ISBLANK(P48),FALSE,IF(ISBLANK(T48),1,IF(NOT(COUNTIF($AA$24:$AA$34,SUBSTITUTE(P48,""Sell_"",""""))),1,IF(P48=""Plastic_up"",IF(V48&lt;1000,1),IF(P48=""Super_Up"",IF(OR(COUNTIF(P$4:P48,""Grandma"")-COUNTIF(P$4:P48,""Sell_G"&amp;"randma"")&lt;1,COUNTIF(P$4:P48,VLOOKUP(P48,Upgrades!$F$8:$N$8,7+COUNTIF(P$4:P48,P48)))-COUNTIF(P$4:P48,""Sell_""&amp;VLOOKUP(P48,Upgrades!$F$8:$N$8,7+COUNTIF(P$4:P48,P48)))&lt;15),1),IF(REGEXMATCH(P48,""_up""),IF(COUNTIF(P$4:P48,SUBSTITUTE(P48,""_up"",""""))&lt;IFERRO"&amp;"R(VLOOKUP(P48,Upgrades!$L$3:$P$6,1+COUNTIF(P$4:P48,P48),0),999),1),IF(REGEXMATCH(P48,""Sell_""),IF(COUNTIF(P$4:P48,SUBSTITUTE(P48,""Sell_"",""""))-COUNTIF(P$4:P47,P48)&lt;1,1),FALSE)))))))))"),FALSE)</f>
        <v>0</v>
      </c>
      <c r="R48" s="71">
        <f>IFERROR(__xludf.DUMMYFUNCTION("IF(REGEXMATCH(P48,""^Sell_""),R47, IF(COUNTA(P48:P147)=0,"""",(COUNTIF(P$4:P48,""Cursor"")-COUNTIF(P$4:P48,""Sell_Cursor""))*(0.1*2^SWITCH(COUNTIF(P$4:P48,""Cursor_up""),0,0,1,1,2,2,3)+SWITCH(COUNTIF(P$4:P48,""Cursor_up""),4,0.1,0)*(ROW(P48)-4-COUNTIF(P$4"&amp;":P48,""Cursor"")-COUNTIF(P$4:P48,""*""&amp;""_up"")-2*COUNTIF(P$4:P48,""Sell_""&amp;""*"")+COUNTIF(P$4:P48,""Sell_Cursor"")-COUNTIF(P$4:P48,"""")))+(COUNTIF(P$4:P48,""Grandma"")-COUNTIF(P$4:P48,""Sell_Grandma""))*(1*2^(COUNTIF(P$4:P48,""Grandma_up"")+COUNTIF(P$4:"&amp;"P48,""Super_up"")))+(COUNTIF(P$4:P48,""Farm"")-COUNTIF(P$4:P48,""Sell_Farm""))*(8*2^COUNTIF(P$4:P48,""Farm_up""))*IF(COUNTIF(P$4:P48,""Super_up"")&gt;0,1+0.01*(COUNTIF(P$4:P48,""Grandma"")-COUNTIF(P$4:P48,""Sell_Grandma"")),1)+(COUNTIF(P$4:P48,""Mine"")-COUN"&amp;"TIF(P$4:P48,""Sell_Mine""))*((47*2^COUNTIF(P$4:P48,""Mine_up""))*IF(COUNTIF(P$4:P48,""Super_up"")&gt;1,1+0.005*(COUNTIF(P$4:P48,""Grandma"")-COUNTIF(P$4:P48,""Sell_Grandma"")),1))+(COUNTIF(P$4:P48,""Factory"")-COUNTIF(P$4:P48,""Sell_Factory""))*(260*2^COUNTI"&amp;"F(P$4:P48,""Factory_up""))))"),111.2)</f>
        <v>111.2</v>
      </c>
      <c r="S48" s="73">
        <f>IFERROR(__xludf.DUMMYFUNCTION("IF(COUNTA(P48:P147)=0,"""",IF(REGEXMATCH(INDEX(FILTER(P$4:P48,P$4:P48&lt;&gt;""""),ROWS(FILTER(P$4:P48,P$4:P48&lt;&gt;""""))),""^Sell_""),INDEX(FILTER(S$4:S47,P$4:P47&lt;&gt;""""),ROWS(FILTER(P$4:P47,P$4:P47&lt;&gt;""""))),$AD$5*(2^SWITCH(COUNTIF(P$4:P48,""Cursor_up""),0,0,1,1,2"&amp;",2,3)+SWITCH(COUNTIF(P$4:P48,""Cursor_up""),4,0.1,0)*(ROW(P48)-4-COUNTIF(P$4:P48,""Cursor"")-COUNTIF(P$4:P48,""*""&amp;""_up"")-2*COUNTIF(P$4:P48,""Sell_""&amp;""*"")+COUNTIF(P$4:P48,""Sell_Cursor"")-COUNTIF(P$4:P48,""""))+0.01*R48*COUNTIF(P$4:P48,""Plastic_up"")"&amp;")+R48))"),1711.2)</f>
        <v>1711.2</v>
      </c>
      <c r="T48" s="14">
        <f>IFERROR(__xludf.DUMMYFUNCTION("IF(COUNTA(P48:P147)=0,"""",IF(REGEXMATCH(P48,""_up""),VLOOKUP(P48,Upgrades!$F$3:$J$8,1+COUNTIF(P$4:P48,P48),FALSE),IF(P48="""",0,IF(REGEXMATCH(P48,""^Sell_""),-ROUNDDOWN(ROUNDUP(INDEX(Upgrades!$C$3:$C$8,MATCH(SUBSTITUTE(P48,""Sell_"",""""),Upgrades!$B$3:$"&amp;"B$8,0))*1.15^(COUNTIF(P$4:P47,SUBSTITUTE(P48,""Sell_"",""""))-COUNTIF(P$4:P47,""Sell_""&amp;SUBSTITUTE(P48,""Sell_"",""""))))/4),ROUNDUP(INDEX(Upgrades!$C$3:$C$7,MATCH(P48,Upgrades!$B$3:$B$7,0))*1.15^(COUNTIF(P$4:P47,P48)-COUNTIF(P$4:P47,""Sell_""&amp;P48)))))))"),186.0)</f>
        <v>186</v>
      </c>
      <c r="U48" s="14">
        <f t="shared" si="10"/>
        <v>186</v>
      </c>
      <c r="V48" s="75">
        <f t="shared" si="11"/>
        <v>945587.7192</v>
      </c>
      <c r="W48" s="76">
        <f t="shared" si="12"/>
        <v>25.54752468</v>
      </c>
      <c r="X48" s="71" t="str">
        <f t="shared" si="13"/>
        <v>25s</v>
      </c>
      <c r="Y48" s="77">
        <f t="shared" si="14"/>
        <v>29005</v>
      </c>
      <c r="Z48" s="17"/>
      <c r="AA48" s="13"/>
      <c r="AB48" s="13"/>
      <c r="AC48" s="13"/>
      <c r="AD48" s="13"/>
      <c r="AE48" s="13"/>
      <c r="AF48" s="13"/>
      <c r="AG48" s="13"/>
    </row>
    <row r="49">
      <c r="A49" s="12"/>
      <c r="B49" s="65">
        <f t="shared" si="2"/>
        <v>17</v>
      </c>
      <c r="C49" s="66" t="s">
        <v>13</v>
      </c>
      <c r="D49" s="14" t="b">
        <f>IFERROR(__xludf.DUMMYFUNCTION("IF(COUNTA(C49:C147)=0,"""",IFERROR(IF(ISBLANK(C49),FALSE,IF(ISBLANK(G49),1,IF(NOT(COUNTIF($AA$24:$AA$34,SUBSTITUTE(C49,""Sell_"",""""))),1,IF(C49=""Plastic_up"",IF(I49&lt;1000,1),IF(C49=""Super_Up"",IF(OR(COUNTIF(C$4:C49,""Grandma"")-COUNTIF(C$4:C49,""Sell_G"&amp;"randma"")&lt;1,COUNTIF(C$4:C49,VLOOKUP(C49,Upgrades!$F$8:$N$8,7+COUNTIF(C$4:C49,C49)))-COUNTIF(C$4:C49,""Sell_""&amp;VLOOKUP(C49,Upgrades!$F$8:$N$8,7+COUNTIF(C$4:C49,C49)))&lt;15),1),IF(REGEXMATCH(C49,""_up""),IF(COUNTIF(C$4:C49,SUBSTITUTE(C49,""_up"",""""))&lt;IFERRO"&amp;"R(VLOOKUP(C49,Upgrades!$L$3:$P$6,1+COUNTIF(C$4:C49,C49),0),999),1),IF(REGEXMATCH(C49,""Sell_""),IF(COUNTIF(C$4:C49,SUBSTITUTE(C49,""Sell_"",""""))-COUNTIF(C$4:C48,C49)&lt;1,1),FALSE)))))))))"),FALSE)</f>
        <v>0</v>
      </c>
      <c r="E49" s="71">
        <f>IFERROR(__xludf.DUMMYFUNCTION("IF(REGEXMATCH(C49,""^Sell_""),E48, IF(COUNTA(C49:C147)=0,"""",(COUNTIF(C$4:C49,""Cursor"")-COUNTIF(C$4:C49,""Sell_Cursor""))*(0.1*2^SWITCH(COUNTIF(C$4:C49,""Cursor_up""),0,0,1,1,2,2,3)+SWITCH(COUNTIF(C$4:C49,""Cursor_up""),4,0.1,0)*(ROW(C49)-4-COUNTIF(C$4"&amp;":C49,""Cursor"")-COUNTIF(C$4:C49,""*""&amp;""_up"")-2*COUNTIF(C$4:C49,""Sell_""&amp;""*"")+COUNTIF(C$4:C49,""Sell_Cursor"")-COUNTIF(C$4:C49,"""")))+(COUNTIF(C$4:C49,""Grandma"")-COUNTIF(C$4:C49,""Sell_Grandma""))*(1*2^(COUNTIF(C$4:C49,""Grandma_up"")+COUNTIF(C$4:"&amp;"C49,""Super_up"")))+(COUNTIF(C$4:C49,""Farm"")-COUNTIF(C$4:C49,""Sell_Farm""))*(8*2^COUNTIF(C$4:C49,""Farm_up""))*IF(COUNTIF(C$4:C49,""Super_up"")&gt;0,1+0.01*(COUNTIF(C$4:C49,""Grandma"")-COUNTIF(C$4:C49,""Sell_Grandma"")),1)+(COUNTIF(C$4:C49,""Mine"")-COUN"&amp;"TIF(C$4:C49,""Sell_Mine""))*((47*2^COUNTIF(C$4:C49,""Mine_up""))*IF(COUNTIF(C$4:C49,""Super_up"")&gt;1,1+0.005*(COUNTIF(C$4:C49,""Grandma"")-COUNTIF(C$4:C49,""Sell_Grandma"")),1))+(COUNTIF(C$4:C49,""Factory"")-COUNTIF(C$4:C49,""Sell_Factory""))*(260*2^COUNTI"&amp;"F(C$4:C49,""Factory_up""))))"),74.8)</f>
        <v>74.8</v>
      </c>
      <c r="F49" s="73">
        <f>IFERROR(__xludf.DUMMYFUNCTION("IF(COUNTA(C49:C147)=0,"""",IF(REGEXMATCH(INDEX(FILTER(C$4:C49,C$4:C49&lt;&gt;""""),ROWS(FILTER(C$4:C49,C$4:C49&lt;&gt;""""))),""^Sell_""),INDEX(FILTER(F$4:F48,C$4:C48&lt;&gt;""""),ROWS(FILTER(C$4:C48,C$4:C48&lt;&gt;""""))),$AC$5*(2^SWITCH(COUNTIF(C$4:C49,""Cursor_up""),0,0,1,1,2"&amp;",2,3)+SWITCH(COUNTIF(C$4:C49,""Cursor_up""),4,0.1,0)*(ROW(C49)-4-COUNTIF(C$4:C49,""Cursor"")-COUNTIF(C$4:C49,""*""&amp;""_up"")-2*COUNTIF(C$4:C49,""Sell_""&amp;""*"")+COUNTIF(C$4:C49,""Sell_Cursor"")-COUNTIF(C$4:C49,""""))+0.01*E49*COUNTIF(C$4:C49,""Plastic_up"")"&amp;")+E49))"),1674.8)</f>
        <v>1674.8</v>
      </c>
      <c r="G49" s="14">
        <f>IFERROR(__xludf.DUMMYFUNCTION("IF(COUNTA(C49:C147)=0,"""",IF(REGEXMATCH(C49,""_up""),VLOOKUP(C49,Upgrades!$F$3:$J$8,1+COUNTIF(C$4:C49,C49),FALSE),IF(C49="""",0,IF(REGEXMATCH(C49,""^Sell_""),-ROUNDDOWN(ROUNDUP(INDEX(Upgrades!$C$3:$C$8,MATCH(SUBSTITUTE(C49,""Sell_"",""""),Upgrades!$B$3:$"&amp;"B$8,0))*1.15^(COUNTIF(C$4:C48,SUBSTITUTE(C49,""Sell_"",""""))-COUNTIF(C$4:C48,""Sell_""&amp;SUBSTITUTE(C49,""Sell_"",""""))))/4),ROUNDUP(INDEX(Upgrades!$C$3:$C$7,MATCH(C49,Upgrades!$B$3:$B$7,0))*1.15^(COUNTIF(C$4:C48,C49)-COUNTIF(C$4:C48,""Sell_""&amp;C49)))))))"),936.0)</f>
        <v>936</v>
      </c>
      <c r="H49" s="14">
        <f t="shared" si="3"/>
        <v>936</v>
      </c>
      <c r="I49" s="75">
        <f t="shared" si="4"/>
        <v>884089.2415</v>
      </c>
      <c r="J49" s="76">
        <f t="shared" si="5"/>
        <v>22.46120285</v>
      </c>
      <c r="K49" s="71" t="str">
        <f t="shared" si="6"/>
        <v>22s</v>
      </c>
      <c r="L49" s="77">
        <f t="shared" si="7"/>
        <v>23728</v>
      </c>
      <c r="M49" s="51">
        <f t="shared" si="8"/>
        <v>-0.03896</v>
      </c>
      <c r="N49" s="52">
        <f>IFERROR(__xludf.DUMMYFUNCTION("IFS(AND(COUNTA(C49:C147)=0,COUNTA(P49:P147)=0),"""",OR(AND(L49&gt;=1000000,OR(Y49&gt;=1000000,COUNTA(P49:P147)=0)),AND(Y49&gt;=1000000,COUNTA(C49:C147)=0),AND(COUNTA(P49:P147)=0,O$3=TRUE)),
ROUNDDOWN((AB$1-AC$1)*MAX(INDEX(S$4:S147,MATCH(LARGE(FILTER(Y$4:Y147,Y$4:Y"&amp;"147&lt;1000000),1),Y$4:Y147)),INDEX(F$4:F147,MATCH(LARGE(FILTER(L$4:L147,L$4:L147&lt;1000000),1),L$4:L147)))),AND(L49&lt;1000000,COUNTA(C49:C147)&gt;0,O$3=FALSE),
ROUNDDOWN(INDEX(Y$4:Y147,MATCH(LARGE(FILTER(W$4:W147,W$4:W147&lt;=J49),1),W$4:W147))+(J49-LARGE(FILTER(W$4:"&amp;"W147,W$4:W147&lt;=J49),1))*INDEX(S$4:S147,MATCH(LARGE(FILTER(W$4:W147,W$4:W147&lt;=J49),1),W$4:W147))-L49),1,
ROUNDDOWN(Y49-INDEX(L$4:L147,MATCH(LARGE(FILTER(J$4:J147,J$4:J147&lt;=W49),1),J$4:J147))-(W49-LARGE(FILTER(J$4:J147,J$4:J147&lt;=W49),1))*INDEX(F$4:F147,MATC"&amp;"H(LARGE(FILTER(J$4:J147,J$4:J147&lt;=W49),1),J$4:J147))))"),64.0)</f>
        <v>64</v>
      </c>
      <c r="O49" s="65">
        <f t="shared" si="9"/>
        <v>17</v>
      </c>
      <c r="P49" s="15" t="s">
        <v>13</v>
      </c>
      <c r="Q49" s="14" t="b">
        <f>IFERROR(__xludf.DUMMYFUNCTION("IF(COUNTA(P49:P147)=0,"""",IFERROR(IF(ISBLANK(P49),FALSE,IF(ISBLANK(T49),1,IF(NOT(COUNTIF($AA$24:$AA$34,SUBSTITUTE(P49,""Sell_"",""""))),1,IF(P49=""Plastic_up"",IF(V49&lt;1000,1),IF(P49=""Super_Up"",IF(OR(COUNTIF(P$4:P49,""Grandma"")-COUNTIF(P$4:P49,""Sell_G"&amp;"randma"")&lt;1,COUNTIF(P$4:P49,VLOOKUP(P49,Upgrades!$F$8:$N$8,7+COUNTIF(P$4:P49,P49)))-COUNTIF(P$4:P49,""Sell_""&amp;VLOOKUP(P49,Upgrades!$F$8:$N$8,7+COUNTIF(P$4:P49,P49)))&lt;15),1),IF(REGEXMATCH(P49,""_up""),IF(COUNTIF(P$4:P49,SUBSTITUTE(P49,""_up"",""""))&lt;IFERRO"&amp;"R(VLOOKUP(P49,Upgrades!$L$3:$P$6,1+COUNTIF(P$4:P49,P49),0),999),1),IF(REGEXMATCH(P49,""Sell_""),IF(COUNTIF(P$4:P49,SUBSTITUTE(P49,""Sell_"",""""))-COUNTIF(P$4:P48,P49)&lt;1,1),FALSE)))))))))"),FALSE)</f>
        <v>0</v>
      </c>
      <c r="R49" s="71">
        <f>IFERROR(__xludf.DUMMYFUNCTION("IF(REGEXMATCH(P49,""^Sell_""),R48, IF(COUNTA(P49:P147)=0,"""",(COUNTIF(P$4:P49,""Cursor"")-COUNTIF(P$4:P49,""Sell_Cursor""))*(0.1*2^SWITCH(COUNTIF(P$4:P49,""Cursor_up""),0,0,1,1,2,2,3)+SWITCH(COUNTIF(P$4:P49,""Cursor_up""),4,0.1,0)*(ROW(P49)-4-COUNTIF(P$4"&amp;":P49,""Cursor"")-COUNTIF(P$4:P49,""*""&amp;""_up"")-2*COUNTIF(P$4:P49,""Sell_""&amp;""*"")+COUNTIF(P$4:P49,""Sell_Cursor"")-COUNTIF(P$4:P49,"""")))+(COUNTIF(P$4:P49,""Grandma"")-COUNTIF(P$4:P49,""Sell_Grandma""))*(1*2^(COUNTIF(P$4:P49,""Grandma_up"")+COUNTIF(P$4:"&amp;"P49,""Super_up"")))+(COUNTIF(P$4:P49,""Farm"")-COUNTIF(P$4:P49,""Sell_Farm""))*(8*2^COUNTIF(P$4:P49,""Farm_up""))*IF(COUNTIF(P$4:P49,""Super_up"")&gt;0,1+0.01*(COUNTIF(P$4:P49,""Grandma"")-COUNTIF(P$4:P49,""Sell_Grandma"")),1)+(COUNTIF(P$4:P49,""Mine"")-COUN"&amp;"TIF(P$4:P49,""Sell_Mine""))*((47*2^COUNTIF(P$4:P49,""Mine_up""))*IF(COUNTIF(P$4:P49,""Super_up"")&gt;1,1+0.005*(COUNTIF(P$4:P49,""Grandma"")-COUNTIF(P$4:P49,""Sell_Grandma"")),1))+(COUNTIF(P$4:P49,""Factory"")-COUNTIF(P$4:P49,""Sell_Factory""))*(260*2^COUNTI"&amp;"F(P$4:P49,""Factory_up""))))"),115.2)</f>
        <v>115.2</v>
      </c>
      <c r="S49" s="73">
        <f>IFERROR(__xludf.DUMMYFUNCTION("IF(COUNTA(P49:P147)=0,"""",IF(REGEXMATCH(INDEX(FILTER(P$4:P49,P$4:P49&lt;&gt;""""),ROWS(FILTER(P$4:P49,P$4:P49&lt;&gt;""""))),""^Sell_""),INDEX(FILTER(S$4:S48,P$4:P48&lt;&gt;""""),ROWS(FILTER(P$4:P48,P$4:P48&lt;&gt;""""))),$AD$5*(2^SWITCH(COUNTIF(P$4:P49,""Cursor_up""),0,0,1,1,2"&amp;",2,3)+SWITCH(COUNTIF(P$4:P49,""Cursor_up""),4,0.1,0)*(ROW(P49)-4-COUNTIF(P$4:P49,""Cursor"")-COUNTIF(P$4:P49,""*""&amp;""_up"")-2*COUNTIF(P$4:P49,""Sell_""&amp;""*"")+COUNTIF(P$4:P49,""Sell_Cursor"")-COUNTIF(P$4:P49,""""))+0.01*R49*COUNTIF(P$4:P49,""Plastic_up"")"&amp;")+R49))"),1715.2)</f>
        <v>1715.2</v>
      </c>
      <c r="T49" s="14">
        <f>IFERROR(__xludf.DUMMYFUNCTION("IF(COUNTA(P49:P147)=0,"""",IF(REGEXMATCH(P49,""_up""),VLOOKUP(P49,Upgrades!$F$3:$J$8,1+COUNTIF(P$4:P49,P49),FALSE),IF(P49="""",0,IF(REGEXMATCH(P49,""^Sell_""),-ROUNDDOWN(ROUNDUP(INDEX(Upgrades!$C$3:$C$8,MATCH(SUBSTITUTE(P49,""Sell_"",""""),Upgrades!$B$3:$"&amp;"B$8,0))*1.15^(COUNTIF(P$4:P48,SUBSTITUTE(P49,""Sell_"",""""))-COUNTIF(P$4:P48,""Sell_""&amp;SUBSTITUTE(P49,""Sell_"",""""))))/4),ROUNDUP(INDEX(Upgrades!$C$3:$C$7,MATCH(P49,Upgrades!$B$3:$B$7,0))*1.15^(COUNTIF(P$4:P48,P49)-COUNTIF(P$4:P48,""Sell_""&amp;P49)))))))"),936.0)</f>
        <v>936</v>
      </c>
      <c r="U49" s="14">
        <f t="shared" si="10"/>
        <v>936</v>
      </c>
      <c r="V49" s="75">
        <f t="shared" si="11"/>
        <v>987338.934</v>
      </c>
      <c r="W49" s="76">
        <f t="shared" si="12"/>
        <v>26.09450925</v>
      </c>
      <c r="X49" s="71" t="str">
        <f t="shared" si="13"/>
        <v>26s</v>
      </c>
      <c r="Y49" s="77">
        <f t="shared" si="14"/>
        <v>29941</v>
      </c>
      <c r="Z49" s="17"/>
      <c r="AA49" s="13"/>
      <c r="AB49" s="13"/>
      <c r="AC49" s="13"/>
      <c r="AD49" s="13"/>
      <c r="AE49" s="13"/>
      <c r="AF49" s="13"/>
      <c r="AG49" s="13"/>
    </row>
    <row r="50">
      <c r="A50" s="12"/>
      <c r="B50" s="65">
        <f t="shared" si="2"/>
        <v>18</v>
      </c>
      <c r="C50" s="66" t="s">
        <v>13</v>
      </c>
      <c r="D50" s="14" t="b">
        <f>IFERROR(__xludf.DUMMYFUNCTION("IF(COUNTA(C50:C147)=0,"""",IFERROR(IF(ISBLANK(C50),FALSE,IF(ISBLANK(G50),1,IF(NOT(COUNTIF($AA$24:$AA$34,SUBSTITUTE(C50,""Sell_"",""""))),1,IF(C50=""Plastic_up"",IF(I50&lt;1000,1),IF(C50=""Super_Up"",IF(OR(COUNTIF(C$4:C50,""Grandma"")-COUNTIF(C$4:C50,""Sell_G"&amp;"randma"")&lt;1,COUNTIF(C$4:C50,VLOOKUP(C50,Upgrades!$F$8:$N$8,7+COUNTIF(C$4:C50,C50)))-COUNTIF(C$4:C50,""Sell_""&amp;VLOOKUP(C50,Upgrades!$F$8:$N$8,7+COUNTIF(C$4:C50,C50)))&lt;15),1),IF(REGEXMATCH(C50,""_up""),IF(COUNTIF(C$4:C50,SUBSTITUTE(C50,""_up"",""""))&lt;IFERRO"&amp;"R(VLOOKUP(C50,Upgrades!$L$3:$P$6,1+COUNTIF(C$4:C50,C50),0),999),1),IF(REGEXMATCH(C50,""Sell_""),IF(COUNTIF(C$4:C50,SUBSTITUTE(C50,""Sell_"",""""))-COUNTIF(C$4:C49,C50)&lt;1,1),FALSE)))))))))"),FALSE)</f>
        <v>0</v>
      </c>
      <c r="E50" s="71">
        <f>IFERROR(__xludf.DUMMYFUNCTION("IF(REGEXMATCH(C50,""^Sell_""),E49, IF(COUNTA(C50:C147)=0,"""",(COUNTIF(C$4:C50,""Cursor"")-COUNTIF(C$4:C50,""Sell_Cursor""))*(0.1*2^SWITCH(COUNTIF(C$4:C50,""Cursor_up""),0,0,1,1,2,2,3)+SWITCH(COUNTIF(C$4:C50,""Cursor_up""),4,0.1,0)*(ROW(C50)-4-COUNTIF(C$4"&amp;":C50,""Cursor"")-COUNTIF(C$4:C50,""*""&amp;""_up"")-2*COUNTIF(C$4:C50,""Sell_""&amp;""*"")+COUNTIF(C$4:C50,""Sell_Cursor"")-COUNTIF(C$4:C50,"""")))+(COUNTIF(C$4:C50,""Grandma"")-COUNTIF(C$4:C50,""Sell_Grandma""))*(1*2^(COUNTIF(C$4:C50,""Grandma_up"")+COUNTIF(C$4:"&amp;"C50,""Super_up"")))+(COUNTIF(C$4:C50,""Farm"")-COUNTIF(C$4:C50,""Sell_Farm""))*(8*2^COUNTIF(C$4:C50,""Farm_up""))*IF(COUNTIF(C$4:C50,""Super_up"")&gt;0,1+0.01*(COUNTIF(C$4:C50,""Grandma"")-COUNTIF(C$4:C50,""Sell_Grandma"")),1)+(COUNTIF(C$4:C50,""Mine"")-COUN"&amp;"TIF(C$4:C50,""Sell_Mine""))*((47*2^COUNTIF(C$4:C50,""Mine_up""))*IF(COUNTIF(C$4:C50,""Super_up"")&gt;1,1+0.005*(COUNTIF(C$4:C50,""Grandma"")-COUNTIF(C$4:C50,""Sell_Grandma"")),1))+(COUNTIF(C$4:C50,""Factory"")-COUNTIF(C$4:C50,""Sell_Factory""))*(260*2^COUNTI"&amp;"F(C$4:C50,""Factory_up""))))"),76.8)</f>
        <v>76.8</v>
      </c>
      <c r="F50" s="73">
        <f>IFERROR(__xludf.DUMMYFUNCTION("IF(COUNTA(C50:C147)=0,"""",IF(REGEXMATCH(INDEX(FILTER(C$4:C50,C$4:C50&lt;&gt;""""),ROWS(FILTER(C$4:C50,C$4:C50&lt;&gt;""""))),""^Sell_""),INDEX(FILTER(F$4:F49,C$4:C49&lt;&gt;""""),ROWS(FILTER(C$4:C49,C$4:C49&lt;&gt;""""))),$AC$5*(2^SWITCH(COUNTIF(C$4:C50,""Cursor_up""),0,0,1,1,2"&amp;",2,3)+SWITCH(COUNTIF(C$4:C50,""Cursor_up""),4,0.1,0)*(ROW(C50)-4-COUNTIF(C$4:C50,""Cursor"")-COUNTIF(C$4:C50,""*""&amp;""_up"")-2*COUNTIF(C$4:C50,""Sell_""&amp;""*"")+COUNTIF(C$4:C50,""Sell_Cursor"")-COUNTIF(C$4:C50,""""))+0.01*E50*COUNTIF(C$4:C50,""Plastic_up"")"&amp;")+E50))"),1676.8)</f>
        <v>1676.8</v>
      </c>
      <c r="G50" s="14">
        <f>IFERROR(__xludf.DUMMYFUNCTION("IF(COUNTA(C50:C147)=0,"""",IF(REGEXMATCH(C50,""_up""),VLOOKUP(C50,Upgrades!$F$3:$J$8,1+COUNTIF(C$4:C50,C50),FALSE),IF(C50="""",0,IF(REGEXMATCH(C50,""^Sell_""),-ROUNDDOWN(ROUNDUP(INDEX(Upgrades!$C$3:$C$8,MATCH(SUBSTITUTE(C50,""Sell_"",""""),Upgrades!$B$3:$"&amp;"B$8,0))*1.15^(COUNTIF(C$4:C49,SUBSTITUTE(C50,""Sell_"",""""))-COUNTIF(C$4:C49,""Sell_""&amp;SUBSTITUTE(C50,""Sell_"",""""))))/4),ROUNDUP(INDEX(Upgrades!$C$3:$C$7,MATCH(C50,Upgrades!$B$3:$B$7,0))*1.15^(COUNTIF(C$4:C49,C50)-COUNTIF(C$4:C49,""Sell_""&amp;C50)))))))"),1077.0)</f>
        <v>1077</v>
      </c>
      <c r="H50" s="14">
        <f t="shared" si="3"/>
        <v>1077</v>
      </c>
      <c r="I50" s="75">
        <f t="shared" si="4"/>
        <v>921056.065</v>
      </c>
      <c r="J50" s="76">
        <f t="shared" si="5"/>
        <v>23.10426471</v>
      </c>
      <c r="K50" s="71" t="str">
        <f t="shared" si="6"/>
        <v>23s</v>
      </c>
      <c r="L50" s="77">
        <f t="shared" si="7"/>
        <v>24805</v>
      </c>
      <c r="M50" s="51">
        <f t="shared" si="8"/>
        <v>-0.03541</v>
      </c>
      <c r="N50" s="52">
        <f>IFERROR(__xludf.DUMMYFUNCTION("IFS(AND(COUNTA(C50:C147)=0,COUNTA(P50:P147)=0),"""",OR(AND(L50&gt;=1000000,OR(Y50&gt;=1000000,COUNTA(P50:P147)=0)),AND(Y50&gt;=1000000,COUNTA(C50:C147)=0),AND(COUNTA(P50:P147)=0,O$3=TRUE)),
ROUNDDOWN((AB$1-AC$1)*MAX(INDEX(S$4:S147,MATCH(LARGE(FILTER(Y$4:Y147,Y$4:Y"&amp;"147&lt;1000000),1),Y$4:Y147)),INDEX(F$4:F147,MATCH(LARGE(FILTER(L$4:L147,L$4:L147&lt;1000000),1),L$4:L147)))),AND(L50&lt;1000000,COUNTA(C50:C147)&gt;0,O$3=FALSE),
ROUNDDOWN(INDEX(Y$4:Y147,MATCH(LARGE(FILTER(W$4:W147,W$4:W147&lt;=J50),1),W$4:W147))+(J50-LARGE(FILTER(W$4:"&amp;"W147,W$4:W147&lt;=J50),1))*INDEX(S$4:S147,MATCH(LARGE(FILTER(W$4:W147,W$4:W147&lt;=J50),1),W$4:W147))-L50),1,
ROUNDDOWN(Y50-INDEX(L$4:L147,MATCH(LARGE(FILTER(J$4:J147,J$4:J147&lt;=W50),1),J$4:J147))-(W50-LARGE(FILTER(J$4:J147,J$4:J147&lt;=W50),1))*INDEX(F$4:F147,MATC"&amp;"H(LARGE(FILTER(J$4:J147,J$4:J147&lt;=W50),1),J$4:J147))))"),58.0)</f>
        <v>58</v>
      </c>
      <c r="O50" s="65">
        <f t="shared" si="9"/>
        <v>5</v>
      </c>
      <c r="P50" s="15" t="s">
        <v>16</v>
      </c>
      <c r="Q50" s="14" t="b">
        <f>IFERROR(__xludf.DUMMYFUNCTION("IF(COUNTA(P50:P147)=0,"""",IFERROR(IF(ISBLANK(P50),FALSE,IF(ISBLANK(T50),1,IF(NOT(COUNTIF($AA$24:$AA$34,SUBSTITUTE(P50,""Sell_"",""""))),1,IF(P50=""Plastic_up"",IF(V50&lt;1000,1),IF(P50=""Super_Up"",IF(OR(COUNTIF(P$4:P50,""Grandma"")-COUNTIF(P$4:P50,""Sell_G"&amp;"randma"")&lt;1,COUNTIF(P$4:P50,VLOOKUP(P50,Upgrades!$F$8:$N$8,7+COUNTIF(P$4:P50,P50)))-COUNTIF(P$4:P50,""Sell_""&amp;VLOOKUP(P50,Upgrades!$F$8:$N$8,7+COUNTIF(P$4:P50,P50)))&lt;15),1),IF(REGEXMATCH(P50,""_up""),IF(COUNTIF(P$4:P50,SUBSTITUTE(P50,""_up"",""""))&lt;IFERRO"&amp;"R(VLOOKUP(P50,Upgrades!$L$3:$P$6,1+COUNTIF(P$4:P50,P50),0),999),1),IF(REGEXMATCH(P50,""Sell_""),IF(COUNTIF(P$4:P50,SUBSTITUTE(P50,""Sell_"",""""))-COUNTIF(P$4:P49,P50)&lt;1,1),FALSE)))))))))"),FALSE)</f>
        <v>0</v>
      </c>
      <c r="R50" s="71">
        <f>IFERROR(__xludf.DUMMYFUNCTION("IF(REGEXMATCH(P50,""^Sell_""),R49, IF(COUNTA(P50:P147)=0,"""",(COUNTIF(P$4:P50,""Cursor"")-COUNTIF(P$4:P50,""Sell_Cursor""))*(0.1*2^SWITCH(COUNTIF(P$4:P50,""Cursor_up""),0,0,1,1,2,2,3)+SWITCH(COUNTIF(P$4:P50,""Cursor_up""),4,0.1,0)*(ROW(P50)-4-COUNTIF(P$4"&amp;":P50,""Cursor"")-COUNTIF(P$4:P50,""*""&amp;""_up"")-2*COUNTIF(P$4:P50,""Sell_""&amp;""*"")+COUNTIF(P$4:P50,""Sell_Cursor"")-COUNTIF(P$4:P50,"""")))+(COUNTIF(P$4:P50,""Grandma"")-COUNTIF(P$4:P50,""Sell_Grandma""))*(1*2^(COUNTIF(P$4:P50,""Grandma_up"")+COUNTIF(P$4:"&amp;"P50,""Super_up"")))+(COUNTIF(P$4:P50,""Farm"")-COUNTIF(P$4:P50,""Sell_Farm""))*(8*2^COUNTIF(P$4:P50,""Farm_up""))*IF(COUNTIF(P$4:P50,""Super_up"")&gt;0,1+0.01*(COUNTIF(P$4:P50,""Grandma"")-COUNTIF(P$4:P50,""Sell_Grandma"")),1)+(COUNTIF(P$4:P50,""Mine"")-COUN"&amp;"TIF(P$4:P50,""Sell_Mine""))*((47*2^COUNTIF(P$4:P50,""Mine_up""))*IF(COUNTIF(P$4:P50,""Super_up"")&gt;1,1+0.005*(COUNTIF(P$4:P50,""Grandma"")-COUNTIF(P$4:P50,""Sell_Grandma"")),1))+(COUNTIF(P$4:P50,""Factory"")-COUNTIF(P$4:P50,""Sell_Factory""))*(260*2^COUNTI"&amp;"F(P$4:P50,""Factory_up""))))"),123.2)</f>
        <v>123.2</v>
      </c>
      <c r="S50" s="73">
        <f>IFERROR(__xludf.DUMMYFUNCTION("IF(COUNTA(P50:P147)=0,"""",IF(REGEXMATCH(INDEX(FILTER(P$4:P50,P$4:P50&lt;&gt;""""),ROWS(FILTER(P$4:P50,P$4:P50&lt;&gt;""""))),""^Sell_""),INDEX(FILTER(S$4:S49,P$4:P49&lt;&gt;""""),ROWS(FILTER(P$4:P49,P$4:P49&lt;&gt;""""))),$AD$5*(2^SWITCH(COUNTIF(P$4:P50,""Cursor_up""),0,0,1,1,2"&amp;",2,3)+SWITCH(COUNTIF(P$4:P50,""Cursor_up""),4,0.1,0)*(ROW(P50)-4-COUNTIF(P$4:P50,""Cursor"")-COUNTIF(P$4:P50,""*""&amp;""_up"")-2*COUNTIF(P$4:P50,""Sell_""&amp;""*"")+COUNTIF(P$4:P50,""Sell_Cursor"")-COUNTIF(P$4:P50,""""))+0.01*R50*COUNTIF(P$4:P50,""Plastic_up"")"&amp;")+R50))"),1723.2)</f>
        <v>1723.2</v>
      </c>
      <c r="T50" s="14">
        <f>IFERROR(__xludf.DUMMYFUNCTION("IF(COUNTA(P50:P147)=0,"""",IF(REGEXMATCH(P50,""_up""),VLOOKUP(P50,Upgrades!$F$3:$J$8,1+COUNTIF(P$4:P50,P50),FALSE),IF(P50="""",0,IF(REGEXMATCH(P50,""^Sell_""),-ROUNDDOWN(ROUNDUP(INDEX(Upgrades!$C$3:$C$8,MATCH(SUBSTITUTE(P50,""Sell_"",""""),Upgrades!$B$3:$"&amp;"B$8,0))*1.15^(COUNTIF(P$4:P49,SUBSTITUTE(P50,""Sell_"",""""))-COUNTIF(P$4:P49,""Sell_""&amp;SUBSTITUTE(P50,""Sell_"",""""))))/4),ROUNDUP(INDEX(Upgrades!$C$3:$C$7,MATCH(P50,Upgrades!$B$3:$B$7,0))*1.15^(COUNTIF(P$4:P49,P50)-COUNTIF(P$4:P49,""Sell_""&amp;P50)))))))"),1924.0)</f>
        <v>1924</v>
      </c>
      <c r="U50" s="14">
        <f t="shared" si="10"/>
        <v>1924</v>
      </c>
      <c r="V50" s="75">
        <f t="shared" si="11"/>
        <v>1030884.925</v>
      </c>
      <c r="W50" s="76">
        <f t="shared" si="12"/>
        <v>27.21624433</v>
      </c>
      <c r="X50" s="71" t="str">
        <f t="shared" si="13"/>
        <v>27s</v>
      </c>
      <c r="Y50" s="77">
        <f t="shared" si="14"/>
        <v>31865</v>
      </c>
      <c r="Z50" s="17"/>
      <c r="AA50" s="13"/>
      <c r="AB50" s="13"/>
      <c r="AC50" s="13"/>
      <c r="AD50" s="13"/>
      <c r="AE50" s="13"/>
      <c r="AF50" s="13"/>
      <c r="AG50" s="13"/>
    </row>
    <row r="51">
      <c r="A51" s="12"/>
      <c r="B51" s="65">
        <f t="shared" si="2"/>
        <v>19</v>
      </c>
      <c r="C51" s="66" t="s">
        <v>13</v>
      </c>
      <c r="D51" s="14" t="b">
        <f>IFERROR(__xludf.DUMMYFUNCTION("IF(COUNTA(C51:C147)=0,"""",IFERROR(IF(ISBLANK(C51),FALSE,IF(ISBLANK(G51),1,IF(NOT(COUNTIF($AA$24:$AA$34,SUBSTITUTE(C51,""Sell_"",""""))),1,IF(C51=""Plastic_up"",IF(I51&lt;1000,1),IF(C51=""Super_Up"",IF(OR(COUNTIF(C$4:C51,""Grandma"")-COUNTIF(C$4:C51,""Sell_G"&amp;"randma"")&lt;1,COUNTIF(C$4:C51,VLOOKUP(C51,Upgrades!$F$8:$N$8,7+COUNTIF(C$4:C51,C51)))-COUNTIF(C$4:C51,""Sell_""&amp;VLOOKUP(C51,Upgrades!$F$8:$N$8,7+COUNTIF(C$4:C51,C51)))&lt;15),1),IF(REGEXMATCH(C51,""_up""),IF(COUNTIF(C$4:C51,SUBSTITUTE(C51,""_up"",""""))&lt;IFERRO"&amp;"R(VLOOKUP(C51,Upgrades!$L$3:$P$6,1+COUNTIF(C$4:C51,C51),0),999),1),IF(REGEXMATCH(C51,""Sell_""),IF(COUNTIF(C$4:C51,SUBSTITUTE(C51,""Sell_"",""""))-COUNTIF(C$4:C50,C51)&lt;1,1),FALSE)))))))))"),FALSE)</f>
        <v>0</v>
      </c>
      <c r="E51" s="71">
        <f>IFERROR(__xludf.DUMMYFUNCTION("IF(REGEXMATCH(C51,""^Sell_""),E50, IF(COUNTA(C51:C147)=0,"""",(COUNTIF(C$4:C51,""Cursor"")-COUNTIF(C$4:C51,""Sell_Cursor""))*(0.1*2^SWITCH(COUNTIF(C$4:C51,""Cursor_up""),0,0,1,1,2,2,3)+SWITCH(COUNTIF(C$4:C51,""Cursor_up""),4,0.1,0)*(ROW(C51)-4-COUNTIF(C$4"&amp;":C51,""Cursor"")-COUNTIF(C$4:C51,""*""&amp;""_up"")-2*COUNTIF(C$4:C51,""Sell_""&amp;""*"")+COUNTIF(C$4:C51,""Sell_Cursor"")-COUNTIF(C$4:C51,"""")))+(COUNTIF(C$4:C51,""Grandma"")-COUNTIF(C$4:C51,""Sell_Grandma""))*(1*2^(COUNTIF(C$4:C51,""Grandma_up"")+COUNTIF(C$4:"&amp;"C51,""Super_up"")))+(COUNTIF(C$4:C51,""Farm"")-COUNTIF(C$4:C51,""Sell_Farm""))*(8*2^COUNTIF(C$4:C51,""Farm_up""))*IF(COUNTIF(C$4:C51,""Super_up"")&gt;0,1+0.01*(COUNTIF(C$4:C51,""Grandma"")-COUNTIF(C$4:C51,""Sell_Grandma"")),1)+(COUNTIF(C$4:C51,""Mine"")-COUN"&amp;"TIF(C$4:C51,""Sell_Mine""))*((47*2^COUNTIF(C$4:C51,""Mine_up""))*IF(COUNTIF(C$4:C51,""Super_up"")&gt;1,1+0.005*(COUNTIF(C$4:C51,""Grandma"")-COUNTIF(C$4:C51,""Sell_Grandma"")),1))+(COUNTIF(C$4:C51,""Factory"")-COUNTIF(C$4:C51,""Sell_Factory""))*(260*2^COUNTI"&amp;"F(C$4:C51,""Factory_up""))))"),78.8)</f>
        <v>78.8</v>
      </c>
      <c r="F51" s="73">
        <f>IFERROR(__xludf.DUMMYFUNCTION("IF(COUNTA(C51:C147)=0,"""",IF(REGEXMATCH(INDEX(FILTER(C$4:C51,C$4:C51&lt;&gt;""""),ROWS(FILTER(C$4:C51,C$4:C51&lt;&gt;""""))),""^Sell_""),INDEX(FILTER(F$4:F50,C$4:C50&lt;&gt;""""),ROWS(FILTER(C$4:C50,C$4:C50&lt;&gt;""""))),$AC$5*(2^SWITCH(COUNTIF(C$4:C51,""Cursor_up""),0,0,1,1,2"&amp;",2,3)+SWITCH(COUNTIF(C$4:C51,""Cursor_up""),4,0.1,0)*(ROW(C51)-4-COUNTIF(C$4:C51,""Cursor"")-COUNTIF(C$4:C51,""*""&amp;""_up"")-2*COUNTIF(C$4:C51,""Sell_""&amp;""*"")+COUNTIF(C$4:C51,""Sell_Cursor"")-COUNTIF(C$4:C51,""""))+0.01*E51*COUNTIF(C$4:C51,""Plastic_up"")"&amp;")+E51))"),1678.8)</f>
        <v>1678.8</v>
      </c>
      <c r="G51" s="14">
        <f>IFERROR(__xludf.DUMMYFUNCTION("IF(COUNTA(C51:C147)=0,"""",IF(REGEXMATCH(C51,""_up""),VLOOKUP(C51,Upgrades!$F$3:$J$8,1+COUNTIF(C$4:C51,C51),FALSE),IF(C51="""",0,IF(REGEXMATCH(C51,""^Sell_""),-ROUNDDOWN(ROUNDUP(INDEX(Upgrades!$C$3:$C$8,MATCH(SUBSTITUTE(C51,""Sell_"",""""),Upgrades!$B$3:$"&amp;"B$8,0))*1.15^(COUNTIF(C$4:C50,SUBSTITUTE(C51,""Sell_"",""""))-COUNTIF(C$4:C50,""Sell_""&amp;SUBSTITUTE(C51,""Sell_"",""""))))/4),ROUNDUP(INDEX(Upgrades!$C$3:$C$7,MATCH(C51,Upgrades!$B$3:$B$7,0))*1.15^(COUNTIF(C$4:C50,C51)-COUNTIF(C$4:C50,""Sell_""&amp;C51)))))))"),1238.0)</f>
        <v>1238</v>
      </c>
      <c r="H51" s="14">
        <f t="shared" si="3"/>
        <v>1238</v>
      </c>
      <c r="I51" s="75">
        <f t="shared" si="4"/>
        <v>959204.1863</v>
      </c>
      <c r="J51" s="76">
        <f t="shared" si="5"/>
        <v>23.84257578</v>
      </c>
      <c r="K51" s="71" t="str">
        <f t="shared" si="6"/>
        <v>23s</v>
      </c>
      <c r="L51" s="77">
        <f t="shared" si="7"/>
        <v>26043</v>
      </c>
      <c r="M51" s="51">
        <f t="shared" si="8"/>
        <v>-0.03621</v>
      </c>
      <c r="N51" s="52">
        <f>IFERROR(__xludf.DUMMYFUNCTION("IFS(AND(COUNTA(C51:C147)=0,COUNTA(P51:P147)=0),"""",OR(AND(L51&gt;=1000000,OR(Y51&gt;=1000000,COUNTA(P51:P147)=0)),AND(Y51&gt;=1000000,COUNTA(C51:C147)=0),AND(COUNTA(P51:P147)=0,O$3=TRUE)),
ROUNDDOWN((AB$1-AC$1)*MAX(INDEX(S$4:S147,MATCH(LARGE(FILTER(Y$4:Y147,Y$4:Y"&amp;"147&lt;1000000),1),Y$4:Y147)),INDEX(F$4:F147,MATCH(LARGE(FILTER(L$4:L147,L$4:L147&lt;1000000),1),L$4:L147)))),AND(L51&lt;1000000,COUNTA(C51:C147)&gt;0,O$3=FALSE),
ROUNDDOWN(INDEX(Y$4:Y147,MATCH(LARGE(FILTER(W$4:W147,W$4:W147&lt;=J51),1),W$4:W147))+(J51-LARGE(FILTER(W$4:"&amp;"W147,W$4:W147&lt;=J51),1))*INDEX(S$4:S147,MATCH(LARGE(FILTER(W$4:W147,W$4:W147&lt;=J51),1),W$4:W147))-L51),1,
ROUNDDOWN(Y51-INDEX(L$4:L147,MATCH(LARGE(FILTER(J$4:J147,J$4:J147&lt;=W51),1),J$4:J147))-(W51-LARGE(FILTER(J$4:J147,J$4:J147&lt;=W51),1))*INDEX(F$4:F147,MATC"&amp;"H(LARGE(FILTER(J$4:J147,J$4:J147&lt;=W51),1),J$4:J147))))"),61.0)</f>
        <v>61</v>
      </c>
      <c r="O51" s="65">
        <f t="shared" si="9"/>
        <v>1</v>
      </c>
      <c r="P51" s="15" t="s">
        <v>21</v>
      </c>
      <c r="Q51" s="14" t="b">
        <f>IFERROR(__xludf.DUMMYFUNCTION("IF(COUNTA(P51:P147)=0,"""",IFERROR(IF(ISBLANK(P51),FALSE,IF(ISBLANK(T51),1,IF(NOT(COUNTIF($AA$24:$AA$34,SUBSTITUTE(P51,""Sell_"",""""))),1,IF(P51=""Plastic_up"",IF(V51&lt;1000,1),IF(P51=""Super_Up"",IF(OR(COUNTIF(P$4:P51,""Grandma"")-COUNTIF(P$4:P51,""Sell_G"&amp;"randma"")&lt;1,COUNTIF(P$4:P51,VLOOKUP(P51,Upgrades!$F$8:$N$8,7+COUNTIF(P$4:P51,P51)))-COUNTIF(P$4:P51,""Sell_""&amp;VLOOKUP(P51,Upgrades!$F$8:$N$8,7+COUNTIF(P$4:P51,P51)))&lt;15),1),IF(REGEXMATCH(P51,""_up""),IF(COUNTIF(P$4:P51,SUBSTITUTE(P51,""_up"",""""))&lt;IFERRO"&amp;"R(VLOOKUP(P51,Upgrades!$L$3:$P$6,1+COUNTIF(P$4:P51,P51),0),999),1),IF(REGEXMATCH(P51,""Sell_""),IF(COUNTIF(P$4:P51,SUBSTITUTE(P51,""Sell_"",""""))-COUNTIF(P$4:P50,P51)&lt;1,1),FALSE)))))))))"),FALSE)</f>
        <v>0</v>
      </c>
      <c r="R51" s="71">
        <f>IFERROR(__xludf.DUMMYFUNCTION("IF(REGEXMATCH(P51,""^Sell_""),R50, IF(COUNTA(P51:P147)=0,"""",(COUNTIF(P$4:P51,""Cursor"")-COUNTIF(P$4:P51,""Sell_Cursor""))*(0.1*2^SWITCH(COUNTIF(P$4:P51,""Cursor_up""),0,0,1,1,2,2,3)+SWITCH(COUNTIF(P$4:P51,""Cursor_up""),4,0.1,0)*(ROW(P51)-4-COUNTIF(P$4"&amp;":P51,""Cursor"")-COUNTIF(P$4:P51,""*""&amp;""_up"")-2*COUNTIF(P$4:P51,""Sell_""&amp;""*"")+COUNTIF(P$4:P51,""Sell_Cursor"")-COUNTIF(P$4:P51,"""")))+(COUNTIF(P$4:P51,""Grandma"")-COUNTIF(P$4:P51,""Sell_Grandma""))*(1*2^(COUNTIF(P$4:P51,""Grandma_up"")+COUNTIF(P$4:"&amp;"P51,""Super_up"")))+(COUNTIF(P$4:P51,""Farm"")-COUNTIF(P$4:P51,""Sell_Farm""))*(8*2^COUNTIF(P$4:P51,""Farm_up""))*IF(COUNTIF(P$4:P51,""Super_up"")&gt;0,1+0.01*(COUNTIF(P$4:P51,""Grandma"")-COUNTIF(P$4:P51,""Sell_Grandma"")),1)+(COUNTIF(P$4:P51,""Mine"")-COUN"&amp;"TIF(P$4:P51,""Sell_Mine""))*((47*2^COUNTIF(P$4:P51,""Mine_up""))*IF(COUNTIF(P$4:P51,""Super_up"")&gt;1,1+0.005*(COUNTIF(P$4:P51,""Grandma"")-COUNTIF(P$4:P51,""Sell_Grandma"")),1))+(COUNTIF(P$4:P51,""Factory"")-COUNTIF(P$4:P51,""Sell_Factory""))*(260*2^COUNTI"&amp;"F(P$4:P51,""Factory_up""))))"),123.2)</f>
        <v>123.2</v>
      </c>
      <c r="S51" s="73">
        <f>IFERROR(__xludf.DUMMYFUNCTION("IF(COUNTA(P51:P147)=0,"""",IF(REGEXMATCH(INDEX(FILTER(P$4:P51,P$4:P51&lt;&gt;""""),ROWS(FILTER(P$4:P51,P$4:P51&lt;&gt;""""))),""^Sell_""),INDEX(FILTER(S$4:S50,P$4:P50&lt;&gt;""""),ROWS(FILTER(P$4:P50,P$4:P50&lt;&gt;""""))),$AD$5*(2^SWITCH(COUNTIF(P$4:P51,""Cursor_up""),0,0,1,1,2"&amp;",2,3)+SWITCH(COUNTIF(P$4:P51,""Cursor_up""),4,0.1,0)*(ROW(P51)-4-COUNTIF(P$4:P51,""Cursor"")-COUNTIF(P$4:P51,""*""&amp;""_up"")-2*COUNTIF(P$4:P51,""Sell_""&amp;""*"")+COUNTIF(P$4:P51,""Sell_Cursor"")-COUNTIF(P$4:P51,""""))+0.01*R51*COUNTIF(P$4:P51,""Plastic_up"")"&amp;")+R51))"),1969.6)</f>
        <v>1969.6</v>
      </c>
      <c r="T51" s="14">
        <f>IFERROR(__xludf.DUMMYFUNCTION("IF(COUNTA(P51:P147)=0,"""",IF(REGEXMATCH(P51,""_up""),VLOOKUP(P51,Upgrades!$F$3:$J$8,1+COUNTIF(P$4:P51,P51),FALSE),IF(P51="""",0,IF(REGEXMATCH(P51,""^Sell_""),-ROUNDDOWN(ROUNDUP(INDEX(Upgrades!$C$3:$C$8,MATCH(SUBSTITUTE(P51,""Sell_"",""""),Upgrades!$B$3:$"&amp;"B$8,0))*1.15^(COUNTIF(P$4:P50,SUBSTITUTE(P51,""Sell_"",""""))-COUNTIF(P$4:P50,""Sell_""&amp;SUBSTITUTE(P51,""Sell_"",""""))))/4),ROUNDUP(INDEX(Upgrades!$C$3:$C$7,MATCH(P51,Upgrades!$B$3:$B$7,0))*1.15^(COUNTIF(P$4:P50,P51)-COUNTIF(P$4:P50,""Sell_""&amp;P51)))))))"),50000.0)</f>
        <v>50000</v>
      </c>
      <c r="U51" s="14">
        <f t="shared" si="10"/>
        <v>50000</v>
      </c>
      <c r="V51" s="75">
        <f t="shared" si="11"/>
        <v>1120856.171</v>
      </c>
      <c r="W51" s="76">
        <f t="shared" si="12"/>
        <v>56.23202891</v>
      </c>
      <c r="X51" s="71" t="str">
        <f t="shared" si="13"/>
        <v>56s</v>
      </c>
      <c r="Y51" s="77">
        <f t="shared" si="14"/>
        <v>81865</v>
      </c>
      <c r="Z51" s="17"/>
      <c r="AA51" s="13"/>
      <c r="AB51" s="13"/>
      <c r="AC51" s="13"/>
      <c r="AD51" s="13"/>
      <c r="AE51" s="13"/>
      <c r="AF51" s="13"/>
      <c r="AG51" s="13"/>
    </row>
    <row r="52">
      <c r="A52" s="12"/>
      <c r="B52" s="65">
        <f t="shared" si="2"/>
        <v>20</v>
      </c>
      <c r="C52" s="66" t="s">
        <v>13</v>
      </c>
      <c r="D52" s="14" t="b">
        <f>IFERROR(__xludf.DUMMYFUNCTION("IF(COUNTA(C52:C147)=0,"""",IFERROR(IF(ISBLANK(C52),FALSE,IF(ISBLANK(G52),1,IF(NOT(COUNTIF($AA$24:$AA$34,SUBSTITUTE(C52,""Sell_"",""""))),1,IF(C52=""Plastic_up"",IF(I52&lt;1000,1),IF(C52=""Super_Up"",IF(OR(COUNTIF(C$4:C52,""Grandma"")-COUNTIF(C$4:C52,""Sell_G"&amp;"randma"")&lt;1,COUNTIF(C$4:C52,VLOOKUP(C52,Upgrades!$F$8:$N$8,7+COUNTIF(C$4:C52,C52)))-COUNTIF(C$4:C52,""Sell_""&amp;VLOOKUP(C52,Upgrades!$F$8:$N$8,7+COUNTIF(C$4:C52,C52)))&lt;15),1),IF(REGEXMATCH(C52,""_up""),IF(COUNTIF(C$4:C52,SUBSTITUTE(C52,""_up"",""""))&lt;IFERRO"&amp;"R(VLOOKUP(C52,Upgrades!$L$3:$P$6,1+COUNTIF(C$4:C52,C52),0),999),1),IF(REGEXMATCH(C52,""Sell_""),IF(COUNTIF(C$4:C52,SUBSTITUTE(C52,""Sell_"",""""))-COUNTIF(C$4:C51,C52)&lt;1,1),FALSE)))))))))"),FALSE)</f>
        <v>0</v>
      </c>
      <c r="E52" s="71">
        <f>IFERROR(__xludf.DUMMYFUNCTION("IF(REGEXMATCH(C52,""^Sell_""),E51, IF(COUNTA(C52:C147)=0,"""",(COUNTIF(C$4:C52,""Cursor"")-COUNTIF(C$4:C52,""Sell_Cursor""))*(0.1*2^SWITCH(COUNTIF(C$4:C52,""Cursor_up""),0,0,1,1,2,2,3)+SWITCH(COUNTIF(C$4:C52,""Cursor_up""),4,0.1,0)*(ROW(C52)-4-COUNTIF(C$4"&amp;":C52,""Cursor"")-COUNTIF(C$4:C52,""*""&amp;""_up"")-2*COUNTIF(C$4:C52,""Sell_""&amp;""*"")+COUNTIF(C$4:C52,""Sell_Cursor"")-COUNTIF(C$4:C52,"""")))+(COUNTIF(C$4:C52,""Grandma"")-COUNTIF(C$4:C52,""Sell_Grandma""))*(1*2^(COUNTIF(C$4:C52,""Grandma_up"")+COUNTIF(C$4:"&amp;"C52,""Super_up"")))+(COUNTIF(C$4:C52,""Farm"")-COUNTIF(C$4:C52,""Sell_Farm""))*(8*2^COUNTIF(C$4:C52,""Farm_up""))*IF(COUNTIF(C$4:C52,""Super_up"")&gt;0,1+0.01*(COUNTIF(C$4:C52,""Grandma"")-COUNTIF(C$4:C52,""Sell_Grandma"")),1)+(COUNTIF(C$4:C52,""Mine"")-COUN"&amp;"TIF(C$4:C52,""Sell_Mine""))*((47*2^COUNTIF(C$4:C52,""Mine_up""))*IF(COUNTIF(C$4:C52,""Super_up"")&gt;1,1+0.005*(COUNTIF(C$4:C52,""Grandma"")-COUNTIF(C$4:C52,""Sell_Grandma"")),1))+(COUNTIF(C$4:C52,""Factory"")-COUNTIF(C$4:C52,""Sell_Factory""))*(260*2^COUNTI"&amp;"F(C$4:C52,""Factory_up""))))"),80.8)</f>
        <v>80.8</v>
      </c>
      <c r="F52" s="73">
        <f>IFERROR(__xludf.DUMMYFUNCTION("IF(COUNTA(C52:C147)=0,"""",IF(REGEXMATCH(INDEX(FILTER(C$4:C52,C$4:C52&lt;&gt;""""),ROWS(FILTER(C$4:C52,C$4:C52&lt;&gt;""""))),""^Sell_""),INDEX(FILTER(F$4:F51,C$4:C51&lt;&gt;""""),ROWS(FILTER(C$4:C51,C$4:C51&lt;&gt;""""))),$AC$5*(2^SWITCH(COUNTIF(C$4:C52,""Cursor_up""),0,0,1,1,2"&amp;",2,3)+SWITCH(COUNTIF(C$4:C52,""Cursor_up""),4,0.1,0)*(ROW(C52)-4-COUNTIF(C$4:C52,""Cursor"")-COUNTIF(C$4:C52,""*""&amp;""_up"")-2*COUNTIF(C$4:C52,""Sell_""&amp;""*"")+COUNTIF(C$4:C52,""Sell_Cursor"")-COUNTIF(C$4:C52,""""))+0.01*E52*COUNTIF(C$4:C52,""Plastic_up"")"&amp;")+E52))"),1680.8)</f>
        <v>1680.8</v>
      </c>
      <c r="G52" s="14">
        <f>IFERROR(__xludf.DUMMYFUNCTION("IF(COUNTA(C52:C147)=0,"""",IF(REGEXMATCH(C52,""_up""),VLOOKUP(C52,Upgrades!$F$3:$J$8,1+COUNTIF(C$4:C52,C52),FALSE),IF(C52="""",0,IF(REGEXMATCH(C52,""^Sell_""),-ROUNDDOWN(ROUNDUP(INDEX(Upgrades!$C$3:$C$8,MATCH(SUBSTITUTE(C52,""Sell_"",""""),Upgrades!$B$3:$"&amp;"B$8,0))*1.15^(COUNTIF(C$4:C51,SUBSTITUTE(C52,""Sell_"",""""))-COUNTIF(C$4:C51,""Sell_""&amp;SUBSTITUTE(C52,""Sell_"",""""))))/4),ROUNDUP(INDEX(Upgrades!$C$3:$C$7,MATCH(C52,Upgrades!$B$3:$B$7,0))*1.15^(COUNTIF(C$4:C51,C52)-COUNTIF(C$4:C51,""Sell_""&amp;C52)))))))"),1424.0)</f>
        <v>1424</v>
      </c>
      <c r="H52" s="14">
        <f t="shared" si="3"/>
        <v>1424</v>
      </c>
      <c r="I52" s="75">
        <f t="shared" si="4"/>
        <v>998709.4674</v>
      </c>
      <c r="J52" s="76">
        <f t="shared" si="5"/>
        <v>24.6908007</v>
      </c>
      <c r="K52" s="71" t="str">
        <f t="shared" si="6"/>
        <v>24s</v>
      </c>
      <c r="L52" s="77">
        <f t="shared" si="7"/>
        <v>27467</v>
      </c>
      <c r="M52" s="51">
        <f t="shared" si="8"/>
        <v>-0.04619</v>
      </c>
      <c r="N52" s="52">
        <f>IFERROR(__xludf.DUMMYFUNCTION("IFS(AND(COUNTA(C52:C147)=0,COUNTA(P52:P147)=0),"""",OR(AND(L52&gt;=1000000,OR(Y52&gt;=1000000,COUNTA(P52:P147)=0)),AND(Y52&gt;=1000000,COUNTA(C52:C147)=0),AND(COUNTA(P52:P147)=0,O$3=TRUE)),
ROUNDDOWN((AB$1-AC$1)*MAX(INDEX(S$4:S147,MATCH(LARGE(FILTER(Y$4:Y147,Y$4:Y"&amp;"147&lt;1000000),1),Y$4:Y147)),INDEX(F$4:F147,MATCH(LARGE(FILTER(L$4:L147,L$4:L147&lt;1000000),1),L$4:L147)))),AND(L52&lt;1000000,COUNTA(C52:C147)&gt;0,O$3=FALSE),
ROUNDDOWN(INDEX(Y$4:Y147,MATCH(LARGE(FILTER(W$4:W147,W$4:W147&lt;=J52),1),W$4:W147))+(J52-LARGE(FILTER(W$4:"&amp;"W147,W$4:W147&lt;=J52),1))*INDEX(S$4:S147,MATCH(LARGE(FILTER(W$4:W147,W$4:W147&lt;=J52),1),W$4:W147))-L52),1,
ROUNDDOWN(Y52-INDEX(L$4:L147,MATCH(LARGE(FILTER(J$4:J147,J$4:J147&lt;=W52),1),J$4:J147))-(W52-LARGE(FILTER(J$4:J147,J$4:J147&lt;=W52),1))*INDEX(F$4:F147,MATC"&amp;"H(LARGE(FILTER(J$4:J147,J$4:J147&lt;=W52),1),J$4:J147))))"),78.0)</f>
        <v>78</v>
      </c>
      <c r="O52" s="65">
        <f t="shared" si="9"/>
        <v>20</v>
      </c>
      <c r="P52" s="15" t="s">
        <v>10</v>
      </c>
      <c r="Q52" s="14" t="b">
        <f>IFERROR(__xludf.DUMMYFUNCTION("IF(COUNTA(P52:P147)=0,"""",IFERROR(IF(ISBLANK(P52),FALSE,IF(ISBLANK(T52),1,IF(NOT(COUNTIF($AA$24:$AA$34,SUBSTITUTE(P52,""Sell_"",""""))),1,IF(P52=""Plastic_up"",IF(V52&lt;1000,1),IF(P52=""Super_Up"",IF(OR(COUNTIF(P$4:P52,""Grandma"")-COUNTIF(P$4:P52,""Sell_G"&amp;"randma"")&lt;1,COUNTIF(P$4:P52,VLOOKUP(P52,Upgrades!$F$8:$N$8,7+COUNTIF(P$4:P52,P52)))-COUNTIF(P$4:P52,""Sell_""&amp;VLOOKUP(P52,Upgrades!$F$8:$N$8,7+COUNTIF(P$4:P52,P52)))&lt;15),1),IF(REGEXMATCH(P52,""_up""),IF(COUNTIF(P$4:P52,SUBSTITUTE(P52,""_up"",""""))&lt;IFERRO"&amp;"R(VLOOKUP(P52,Upgrades!$L$3:$P$6,1+COUNTIF(P$4:P52,P52),0),999),1),IF(REGEXMATCH(P52,""Sell_""),IF(COUNTIF(P$4:P52,SUBSTITUTE(P52,""Sell_"",""""))-COUNTIF(P$4:P51,P52)&lt;1,1),FALSE)))))))))"),FALSE)</f>
        <v>0</v>
      </c>
      <c r="R52" s="71">
        <f>IFERROR(__xludf.DUMMYFUNCTION("IF(REGEXMATCH(P52,""^Sell_""),R51, IF(COUNTA(P52:P147)=0,"""",(COUNTIF(P$4:P52,""Cursor"")-COUNTIF(P$4:P52,""Sell_Cursor""))*(0.1*2^SWITCH(COUNTIF(P$4:P52,""Cursor_up""),0,0,1,1,2,2,3)+SWITCH(COUNTIF(P$4:P52,""Cursor_up""),4,0.1,0)*(ROW(P52)-4-COUNTIF(P$4"&amp;":P52,""Cursor"")-COUNTIF(P$4:P52,""*""&amp;""_up"")-2*COUNTIF(P$4:P52,""Sell_""&amp;""*"")+COUNTIF(P$4:P52,""Sell_Cursor"")-COUNTIF(P$4:P52,"""")))+(COUNTIF(P$4:P52,""Grandma"")-COUNTIF(P$4:P52,""Sell_Grandma""))*(1*2^(COUNTIF(P$4:P52,""Grandma_up"")+COUNTIF(P$4:"&amp;"P52,""Super_up"")))+(COUNTIF(P$4:P52,""Farm"")-COUNTIF(P$4:P52,""Sell_Farm""))*(8*2^COUNTIF(P$4:P52,""Farm_up""))*IF(COUNTIF(P$4:P52,""Super_up"")&gt;0,1+0.01*(COUNTIF(P$4:P52,""Grandma"")-COUNTIF(P$4:P52,""Sell_Grandma"")),1)+(COUNTIF(P$4:P52,""Mine"")-COUN"&amp;"TIF(P$4:P52,""Sell_Mine""))*((47*2^COUNTIF(P$4:P52,""Mine_up""))*IF(COUNTIF(P$4:P52,""Super_up"")&gt;1,1+0.005*(COUNTIF(P$4:P52,""Grandma"")-COUNTIF(P$4:P52,""Sell_Grandma"")),1))+(COUNTIF(P$4:P52,""Factory"")-COUNTIF(P$4:P52,""Sell_Factory""))*(260*2^COUNTI"&amp;"F(P$4:P52,""Factory_up""))))"),124.0)</f>
        <v>124</v>
      </c>
      <c r="S52" s="73">
        <f>IFERROR(__xludf.DUMMYFUNCTION("IF(COUNTA(P52:P147)=0,"""",IF(REGEXMATCH(INDEX(FILTER(P$4:P52,P$4:P52&lt;&gt;""""),ROWS(FILTER(P$4:P52,P$4:P52&lt;&gt;""""))),""^Sell_""),INDEX(FILTER(S$4:S51,P$4:P51&lt;&gt;""""),ROWS(FILTER(P$4:P51,P$4:P51&lt;&gt;""""))),$AD$5*(2^SWITCH(COUNTIF(P$4:P52,""Cursor_up""),0,0,1,1,2"&amp;",2,3)+SWITCH(COUNTIF(P$4:P52,""Cursor_up""),4,0.1,0)*(ROW(P52)-4-COUNTIF(P$4:P52,""Cursor"")-COUNTIF(P$4:P52,""*""&amp;""_up"")-2*COUNTIF(P$4:P52,""Sell_""&amp;""*"")+COUNTIF(P$4:P52,""Sell_Cursor"")-COUNTIF(P$4:P52,""""))+0.01*R52*COUNTIF(P$4:P52,""Plastic_up"")"&amp;")+R52))"),1972.0)</f>
        <v>1972</v>
      </c>
      <c r="T52" s="14">
        <f>IFERROR(__xludf.DUMMYFUNCTION("IF(COUNTA(P52:P147)=0,"""",IF(REGEXMATCH(P52,""_up""),VLOOKUP(P52,Upgrades!$F$3:$J$8,1+COUNTIF(P$4:P52,P52),FALSE),IF(P52="""",0,IF(REGEXMATCH(P52,""^Sell_""),-ROUNDDOWN(ROUNDUP(INDEX(Upgrades!$C$3:$C$8,MATCH(SUBSTITUTE(P52,""Sell_"",""""),Upgrades!$B$3:$"&amp;"B$8,0))*1.15^(COUNTIF(P$4:P51,SUBSTITUTE(P52,""Sell_"",""""))-COUNTIF(P$4:P51,""Sell_""&amp;SUBSTITUTE(P52,""Sell_"",""""))))/4),ROUNDUP(INDEX(Upgrades!$C$3:$C$7,MATCH(P52,Upgrades!$B$3:$B$7,0))*1.15^(COUNTIF(P$4:P51,P52)-COUNTIF(P$4:P51,""Sell_""&amp;P52)))))))"),214.0)</f>
        <v>214</v>
      </c>
      <c r="U52" s="14">
        <f t="shared" si="10"/>
        <v>214</v>
      </c>
      <c r="V52" s="75">
        <f t="shared" si="11"/>
        <v>1224883.603</v>
      </c>
      <c r="W52" s="76">
        <f t="shared" si="12"/>
        <v>56.34068042</v>
      </c>
      <c r="X52" s="71" t="str">
        <f t="shared" si="13"/>
        <v>56s</v>
      </c>
      <c r="Y52" s="77">
        <f t="shared" si="14"/>
        <v>82079</v>
      </c>
      <c r="Z52" s="17"/>
      <c r="AA52" s="13"/>
      <c r="AB52" s="13"/>
      <c r="AC52" s="13"/>
      <c r="AD52" s="13"/>
      <c r="AE52" s="13"/>
      <c r="AF52" s="13"/>
      <c r="AG52" s="13"/>
    </row>
    <row r="53">
      <c r="A53" s="12"/>
      <c r="B53" s="65">
        <f t="shared" si="2"/>
        <v>2</v>
      </c>
      <c r="C53" s="66" t="s">
        <v>14</v>
      </c>
      <c r="D53" s="14" t="b">
        <f>IFERROR(__xludf.DUMMYFUNCTION("IF(COUNTA(C53:C147)=0,"""",IFERROR(IF(ISBLANK(C53),FALSE,IF(ISBLANK(G53),1,IF(NOT(COUNTIF($AA$24:$AA$34,SUBSTITUTE(C53,""Sell_"",""""))),1,IF(C53=""Plastic_up"",IF(I53&lt;1000,1),IF(C53=""Super_Up"",IF(OR(COUNTIF(C$4:C53,""Grandma"")-COUNTIF(C$4:C53,""Sell_G"&amp;"randma"")&lt;1,COUNTIF(C$4:C53,VLOOKUP(C53,Upgrades!$F$8:$N$8,7+COUNTIF(C$4:C53,C53)))-COUNTIF(C$4:C53,""Sell_""&amp;VLOOKUP(C53,Upgrades!$F$8:$N$8,7+COUNTIF(C$4:C53,C53)))&lt;15),1),IF(REGEXMATCH(C53,""_up""),IF(COUNTIF(C$4:C53,SUBSTITUTE(C53,""_up"",""""))&lt;IFERRO"&amp;"R(VLOOKUP(C53,Upgrades!$L$3:$P$6,1+COUNTIF(C$4:C53,C53),0),999),1),IF(REGEXMATCH(C53,""Sell_""),IF(COUNTIF(C$4:C53,SUBSTITUTE(C53,""Sell_"",""""))-COUNTIF(C$4:C52,C53)&lt;1,1),FALSE)))))))))"),FALSE)</f>
        <v>0</v>
      </c>
      <c r="E53" s="71">
        <f>IFERROR(__xludf.DUMMYFUNCTION("IF(REGEXMATCH(C53,""^Sell_""),E52, IF(COUNTA(C53:C147)=0,"""",(COUNTIF(C$4:C53,""Cursor"")-COUNTIF(C$4:C53,""Sell_Cursor""))*(0.1*2^SWITCH(COUNTIF(C$4:C53,""Cursor_up""),0,0,1,1,2,2,3)+SWITCH(COUNTIF(C$4:C53,""Cursor_up""),4,0.1,0)*(ROW(C53)-4-COUNTIF(C$4"&amp;":C53,""Cursor"")-COUNTIF(C$4:C53,""*""&amp;""_up"")-2*COUNTIF(C$4:C53,""Sell_""&amp;""*"")+COUNTIF(C$4:C53,""Sell_Cursor"")-COUNTIF(C$4:C53,"""")))+(COUNTIF(C$4:C53,""Grandma"")-COUNTIF(C$4:C53,""Sell_Grandma""))*(1*2^(COUNTIF(C$4:C53,""Grandma_up"")+COUNTIF(C$4:"&amp;"C53,""Super_up"")))+(COUNTIF(C$4:C53,""Farm"")-COUNTIF(C$4:C53,""Sell_Farm""))*(8*2^COUNTIF(C$4:C53,""Farm_up""))*IF(COUNTIF(C$4:C53,""Super_up"")&gt;0,1+0.01*(COUNTIF(C$4:C53,""Grandma"")-COUNTIF(C$4:C53,""Sell_Grandma"")),1)+(COUNTIF(C$4:C53,""Mine"")-COUN"&amp;"TIF(C$4:C53,""Sell_Mine""))*((47*2^COUNTIF(C$4:C53,""Mine_up""))*IF(COUNTIF(C$4:C53,""Super_up"")&gt;1,1+0.005*(COUNTIF(C$4:C53,""Grandma"")-COUNTIF(C$4:C53,""Sell_Grandma"")),1))+(COUNTIF(C$4:C53,""Factory"")-COUNTIF(C$4:C53,""Sell_Factory""))*(260*2^COUNTI"&amp;"F(C$4:C53,""Factory_up""))))"),120.8)</f>
        <v>120.8</v>
      </c>
      <c r="F53" s="73">
        <f>IFERROR(__xludf.DUMMYFUNCTION("IF(COUNTA(C53:C147)=0,"""",IF(REGEXMATCH(INDEX(FILTER(C$4:C53,C$4:C53&lt;&gt;""""),ROWS(FILTER(C$4:C53,C$4:C53&lt;&gt;""""))),""^Sell_""),INDEX(FILTER(F$4:F52,C$4:C52&lt;&gt;""""),ROWS(FILTER(C$4:C52,C$4:C52&lt;&gt;""""))),$AC$5*(2^SWITCH(COUNTIF(C$4:C53,""Cursor_up""),0,0,1,1,2"&amp;",2,3)+SWITCH(COUNTIF(C$4:C53,""Cursor_up""),4,0.1,0)*(ROW(C53)-4-COUNTIF(C$4:C53,""Cursor"")-COUNTIF(C$4:C53,""*""&amp;""_up"")-2*COUNTIF(C$4:C53,""Sell_""&amp;""*"")+COUNTIF(C$4:C53,""Sell_Cursor"")-COUNTIF(C$4:C53,""""))+0.01*E53*COUNTIF(C$4:C53,""Plastic_up"")"&amp;")+E53))"),1720.8)</f>
        <v>1720.8</v>
      </c>
      <c r="G53" s="14">
        <f>IFERROR(__xludf.DUMMYFUNCTION("IF(COUNTA(C53:C147)=0,"""",IF(REGEXMATCH(C53,""_up""),VLOOKUP(C53,Upgrades!$F$3:$J$8,1+COUNTIF(C$4:C53,C53),FALSE),IF(C53="""",0,IF(REGEXMATCH(C53,""^Sell_""),-ROUNDDOWN(ROUNDUP(INDEX(Upgrades!$C$3:$C$8,MATCH(SUBSTITUTE(C53,""Sell_"",""""),Upgrades!$B$3:$"&amp;"B$8,0))*1.15^(COUNTIF(C$4:C52,SUBSTITUTE(C53,""Sell_"",""""))-COUNTIF(C$4:C52,""Sell_""&amp;SUBSTITUTE(C53,""Sell_"",""""))))/4),ROUNDUP(INDEX(Upgrades!$C$3:$C$7,MATCH(C53,Upgrades!$B$3:$B$7,0))*1.15^(COUNTIF(C$4:C52,C53)-COUNTIF(C$4:C52,""Sell_""&amp;C53)))))))"),5000.0)</f>
        <v>5000</v>
      </c>
      <c r="H53" s="14">
        <f t="shared" si="3"/>
        <v>5000</v>
      </c>
      <c r="I53" s="75">
        <f t="shared" si="4"/>
        <v>1042974.387</v>
      </c>
      <c r="J53" s="76">
        <f t="shared" si="5"/>
        <v>27.66557462</v>
      </c>
      <c r="K53" s="71" t="str">
        <f t="shared" si="6"/>
        <v>27s</v>
      </c>
      <c r="L53" s="77">
        <f t="shared" si="7"/>
        <v>32467</v>
      </c>
      <c r="M53" s="51">
        <f t="shared" si="8"/>
        <v>-0.09998</v>
      </c>
      <c r="N53" s="52">
        <f>IFERROR(__xludf.DUMMYFUNCTION("IFS(AND(COUNTA(C53:C147)=0,COUNTA(P53:P147)=0),"""",OR(AND(L53&gt;=1000000,OR(Y53&gt;=1000000,COUNTA(P53:P147)=0)),AND(Y53&gt;=1000000,COUNTA(C53:C147)=0),AND(COUNTA(P53:P147)=0,O$3=TRUE)),
ROUNDDOWN((AB$1-AC$1)*MAX(INDEX(S$4:S147,MATCH(LARGE(FILTER(Y$4:Y147,Y$4:Y"&amp;"147&lt;1000000),1),Y$4:Y147)),INDEX(F$4:F147,MATCH(LARGE(FILTER(L$4:L147,L$4:L147&lt;1000000),1),L$4:L147)))),AND(L53&lt;1000000,COUNTA(C53:C147)&gt;0,O$3=FALSE),
ROUNDDOWN(INDEX(Y$4:Y147,MATCH(LARGE(FILTER(W$4:W147,W$4:W147&lt;=J53),1),W$4:W147))+(J53-LARGE(FILTER(W$4:"&amp;"W147,W$4:W147&lt;=J53),1))*INDEX(S$4:S147,MATCH(LARGE(FILTER(W$4:W147,W$4:W147&lt;=J53),1),W$4:W147))-L53),1,
ROUNDDOWN(Y53-INDEX(L$4:L147,MATCH(LARGE(FILTER(J$4:J147,J$4:J147&lt;=W53),1),J$4:J147))-(W53-LARGE(FILTER(J$4:J147,J$4:J147&lt;=W53),1))*INDEX(F$4:F147,MATC"&amp;"H(LARGE(FILTER(J$4:J147,J$4:J147&lt;=W53),1),J$4:J147))))"),172.0)</f>
        <v>172</v>
      </c>
      <c r="O53" s="65">
        <f t="shared" si="9"/>
        <v>18</v>
      </c>
      <c r="P53" s="15" t="s">
        <v>13</v>
      </c>
      <c r="Q53" s="14" t="b">
        <f>IFERROR(__xludf.DUMMYFUNCTION("IF(COUNTA(P53:P147)=0,"""",IFERROR(IF(ISBLANK(P53),FALSE,IF(ISBLANK(T53),1,IF(NOT(COUNTIF($AA$24:$AA$34,SUBSTITUTE(P53,""Sell_"",""""))),1,IF(P53=""Plastic_up"",IF(V53&lt;1000,1),IF(P53=""Super_Up"",IF(OR(COUNTIF(P$4:P53,""Grandma"")-COUNTIF(P$4:P53,""Sell_G"&amp;"randma"")&lt;1,COUNTIF(P$4:P53,VLOOKUP(P53,Upgrades!$F$8:$N$8,7+COUNTIF(P$4:P53,P53)))-COUNTIF(P$4:P53,""Sell_""&amp;VLOOKUP(P53,Upgrades!$F$8:$N$8,7+COUNTIF(P$4:P53,P53)))&lt;15),1),IF(REGEXMATCH(P53,""_up""),IF(COUNTIF(P$4:P53,SUBSTITUTE(P53,""_up"",""""))&lt;IFERRO"&amp;"R(VLOOKUP(P53,Upgrades!$L$3:$P$6,1+COUNTIF(P$4:P53,P53),0),999),1),IF(REGEXMATCH(P53,""Sell_""),IF(COUNTIF(P$4:P53,SUBSTITUTE(P53,""Sell_"",""""))-COUNTIF(P$4:P52,P53)&lt;1,1),FALSE)))))))))"),FALSE)</f>
        <v>0</v>
      </c>
      <c r="R53" s="71">
        <f>IFERROR(__xludf.DUMMYFUNCTION("IF(REGEXMATCH(P53,""^Sell_""),R52, IF(COUNTA(P53:P147)=0,"""",(COUNTIF(P$4:P53,""Cursor"")-COUNTIF(P$4:P53,""Sell_Cursor""))*(0.1*2^SWITCH(COUNTIF(P$4:P53,""Cursor_up""),0,0,1,1,2,2,3)+SWITCH(COUNTIF(P$4:P53,""Cursor_up""),4,0.1,0)*(ROW(P53)-4-COUNTIF(P$4"&amp;":P53,""Cursor"")-COUNTIF(P$4:P53,""*""&amp;""_up"")-2*COUNTIF(P$4:P53,""Sell_""&amp;""*"")+COUNTIF(P$4:P53,""Sell_Cursor"")-COUNTIF(P$4:P53,"""")))+(COUNTIF(P$4:P53,""Grandma"")-COUNTIF(P$4:P53,""Sell_Grandma""))*(1*2^(COUNTIF(P$4:P53,""Grandma_up"")+COUNTIF(P$4:"&amp;"P53,""Super_up"")))+(COUNTIF(P$4:P53,""Farm"")-COUNTIF(P$4:P53,""Sell_Farm""))*(8*2^COUNTIF(P$4:P53,""Farm_up""))*IF(COUNTIF(P$4:P53,""Super_up"")&gt;0,1+0.01*(COUNTIF(P$4:P53,""Grandma"")-COUNTIF(P$4:P53,""Sell_Grandma"")),1)+(COUNTIF(P$4:P53,""Mine"")-COUN"&amp;"TIF(P$4:P53,""Sell_Mine""))*((47*2^COUNTIF(P$4:P53,""Mine_up""))*IF(COUNTIF(P$4:P53,""Super_up"")&gt;1,1+0.005*(COUNTIF(P$4:P53,""Grandma"")-COUNTIF(P$4:P53,""Sell_Grandma"")),1))+(COUNTIF(P$4:P53,""Factory"")-COUNTIF(P$4:P53,""Sell_Factory""))*(260*2^COUNTI"&amp;"F(P$4:P53,""Factory_up""))))"),128.0)</f>
        <v>128</v>
      </c>
      <c r="S53" s="73">
        <f>IFERROR(__xludf.DUMMYFUNCTION("IF(COUNTA(P53:P147)=0,"""",IF(REGEXMATCH(INDEX(FILTER(P$4:P53,P$4:P53&lt;&gt;""""),ROWS(FILTER(P$4:P53,P$4:P53&lt;&gt;""""))),""^Sell_""),INDEX(FILTER(S$4:S52,P$4:P52&lt;&gt;""""),ROWS(FILTER(P$4:P52,P$4:P52&lt;&gt;""""))),$AD$5*(2^SWITCH(COUNTIF(P$4:P53,""Cursor_up""),0,0,1,1,2"&amp;",2,3)+SWITCH(COUNTIF(P$4:P53,""Cursor_up""),4,0.1,0)*(ROW(P53)-4-COUNTIF(P$4:P53,""Cursor"")-COUNTIF(P$4:P53,""*""&amp;""_up"")-2*COUNTIF(P$4:P53,""Sell_""&amp;""*"")+COUNTIF(P$4:P53,""Sell_Cursor"")-COUNTIF(P$4:P53,""""))+0.01*R53*COUNTIF(P$4:P53,""Plastic_up"")"&amp;")+R53))"),1983.9999999999998)</f>
        <v>1984</v>
      </c>
      <c r="T53" s="14">
        <f>IFERROR(__xludf.DUMMYFUNCTION("IF(COUNTA(P53:P147)=0,"""",IF(REGEXMATCH(P53,""_up""),VLOOKUP(P53,Upgrades!$F$3:$J$8,1+COUNTIF(P$4:P53,P53),FALSE),IF(P53="""",0,IF(REGEXMATCH(P53,""^Sell_""),-ROUNDDOWN(ROUNDUP(INDEX(Upgrades!$C$3:$C$8,MATCH(SUBSTITUTE(P53,""Sell_"",""""),Upgrades!$B$3:$"&amp;"B$8,0))*1.15^(COUNTIF(P$4:P52,SUBSTITUTE(P53,""Sell_"",""""))-COUNTIF(P$4:P52,""Sell_""&amp;SUBSTITUTE(P53,""Sell_"",""""))))/4),ROUNDUP(INDEX(Upgrades!$C$3:$C$7,MATCH(P53,Upgrades!$B$3:$B$7,0))*1.15^(COUNTIF(P$4:P52,P53)-COUNTIF(P$4:P52,""Sell_""&amp;P53)))))))"),1077.0)</f>
        <v>1077</v>
      </c>
      <c r="U53" s="14">
        <f t="shared" si="10"/>
        <v>1077</v>
      </c>
      <c r="V53" s="75">
        <f t="shared" si="11"/>
        <v>1330010.459</v>
      </c>
      <c r="W53" s="76">
        <f t="shared" si="12"/>
        <v>56.88682646</v>
      </c>
      <c r="X53" s="71" t="str">
        <f t="shared" si="13"/>
        <v>56s</v>
      </c>
      <c r="Y53" s="77">
        <f t="shared" si="14"/>
        <v>83156</v>
      </c>
      <c r="Z53" s="17"/>
      <c r="AA53" s="13"/>
      <c r="AB53" s="13"/>
      <c r="AC53" s="13"/>
      <c r="AD53" s="13"/>
      <c r="AE53" s="13"/>
      <c r="AF53" s="13"/>
      <c r="AG53" s="13"/>
    </row>
    <row r="54">
      <c r="A54" s="12"/>
      <c r="B54" s="65">
        <f t="shared" si="2"/>
        <v>4</v>
      </c>
      <c r="C54" s="66" t="s">
        <v>16</v>
      </c>
      <c r="D54" s="14" t="b">
        <f>IFERROR(__xludf.DUMMYFUNCTION("IF(COUNTA(C54:C147)=0,"""",IFERROR(IF(ISBLANK(C54),FALSE,IF(ISBLANK(G54),1,IF(NOT(COUNTIF($AA$24:$AA$34,SUBSTITUTE(C54,""Sell_"",""""))),1,IF(C54=""Plastic_up"",IF(I54&lt;1000,1),IF(C54=""Super_Up"",IF(OR(COUNTIF(C$4:C54,""Grandma"")-COUNTIF(C$4:C54,""Sell_G"&amp;"randma"")&lt;1,COUNTIF(C$4:C54,VLOOKUP(C54,Upgrades!$F$8:$N$8,7+COUNTIF(C$4:C54,C54)))-COUNTIF(C$4:C54,""Sell_""&amp;VLOOKUP(C54,Upgrades!$F$8:$N$8,7+COUNTIF(C$4:C54,C54)))&lt;15),1),IF(REGEXMATCH(C54,""_up""),IF(COUNTIF(C$4:C54,SUBSTITUTE(C54,""_up"",""""))&lt;IFERRO"&amp;"R(VLOOKUP(C54,Upgrades!$L$3:$P$6,1+COUNTIF(C$4:C54,C54),0),999),1),IF(REGEXMATCH(C54,""Sell_""),IF(COUNTIF(C$4:C54,SUBSTITUTE(C54,""Sell_"",""""))-COUNTIF(C$4:C53,C54)&lt;1,1),FALSE)))))))))"),FALSE)</f>
        <v>0</v>
      </c>
      <c r="E54" s="71">
        <f>IFERROR(__xludf.DUMMYFUNCTION("IF(REGEXMATCH(C54,""^Sell_""),E53, IF(COUNTA(C54:C147)=0,"""",(COUNTIF(C$4:C54,""Cursor"")-COUNTIF(C$4:C54,""Sell_Cursor""))*(0.1*2^SWITCH(COUNTIF(C$4:C54,""Cursor_up""),0,0,1,1,2,2,3)+SWITCH(COUNTIF(C$4:C54,""Cursor_up""),4,0.1,0)*(ROW(C54)-4-COUNTIF(C$4"&amp;":C54,""Cursor"")-COUNTIF(C$4:C54,""*""&amp;""_up"")-2*COUNTIF(C$4:C54,""Sell_""&amp;""*"")+COUNTIF(C$4:C54,""Sell_Cursor"")-COUNTIF(C$4:C54,"""")))+(COUNTIF(C$4:C54,""Grandma"")-COUNTIF(C$4:C54,""Sell_Grandma""))*(1*2^(COUNTIF(C$4:C54,""Grandma_up"")+COUNTIF(C$4:"&amp;"C54,""Super_up"")))+(COUNTIF(C$4:C54,""Farm"")-COUNTIF(C$4:C54,""Sell_Farm""))*(8*2^COUNTIF(C$4:C54,""Farm_up""))*IF(COUNTIF(C$4:C54,""Super_up"")&gt;0,1+0.01*(COUNTIF(C$4:C54,""Grandma"")-COUNTIF(C$4:C54,""Sell_Grandma"")),1)+(COUNTIF(C$4:C54,""Mine"")-COUN"&amp;"TIF(C$4:C54,""Sell_Mine""))*((47*2^COUNTIF(C$4:C54,""Mine_up""))*IF(COUNTIF(C$4:C54,""Super_up"")&gt;1,1+0.005*(COUNTIF(C$4:C54,""Grandma"")-COUNTIF(C$4:C54,""Sell_Grandma"")),1))+(COUNTIF(C$4:C54,""Factory"")-COUNTIF(C$4:C54,""Sell_Factory""))*(260*2^COUNTI"&amp;"F(C$4:C54,""Factory_up""))))"),128.8)</f>
        <v>128.8</v>
      </c>
      <c r="F54" s="73">
        <f>IFERROR(__xludf.DUMMYFUNCTION("IF(COUNTA(C54:C147)=0,"""",IF(REGEXMATCH(INDEX(FILTER(C$4:C54,C$4:C54&lt;&gt;""""),ROWS(FILTER(C$4:C54,C$4:C54&lt;&gt;""""))),""^Sell_""),INDEX(FILTER(F$4:F53,C$4:C53&lt;&gt;""""),ROWS(FILTER(C$4:C53,C$4:C53&lt;&gt;""""))),$AC$5*(2^SWITCH(COUNTIF(C$4:C54,""Cursor_up""),0,0,1,1,2"&amp;",2,3)+SWITCH(COUNTIF(C$4:C54,""Cursor_up""),4,0.1,0)*(ROW(C54)-4-COUNTIF(C$4:C54,""Cursor"")-COUNTIF(C$4:C54,""*""&amp;""_up"")-2*COUNTIF(C$4:C54,""Sell_""&amp;""*"")+COUNTIF(C$4:C54,""Sell_Cursor"")-COUNTIF(C$4:C54,""""))+0.01*E54*COUNTIF(C$4:C54,""Plastic_up"")"&amp;")+E54))"),1728.8)</f>
        <v>1728.8</v>
      </c>
      <c r="G54" s="14">
        <f>IFERROR(__xludf.DUMMYFUNCTION("IF(COUNTA(C54:C147)=0,"""",IF(REGEXMATCH(C54,""_up""),VLOOKUP(C54,Upgrades!$F$3:$J$8,1+COUNTIF(C$4:C54,C54),FALSE),IF(C54="""",0,IF(REGEXMATCH(C54,""^Sell_""),-ROUNDDOWN(ROUNDUP(INDEX(Upgrades!$C$3:$C$8,MATCH(SUBSTITUTE(C54,""Sell_"",""""),Upgrades!$B$3:$"&amp;"B$8,0))*1.15^(COUNTIF(C$4:C53,SUBSTITUTE(C54,""Sell_"",""""))-COUNTIF(C$4:C53,""Sell_""&amp;SUBSTITUTE(C54,""Sell_"",""""))))/4),ROUNDUP(INDEX(Upgrades!$C$3:$C$7,MATCH(C54,Upgrades!$B$3:$B$7,0))*1.15^(COUNTIF(C$4:C53,C54)-COUNTIF(C$4:C53,""Sell_""&amp;C54)))))))"),1673.0)</f>
        <v>1673</v>
      </c>
      <c r="H54" s="14">
        <f t="shared" si="3"/>
        <v>1673</v>
      </c>
      <c r="I54" s="75">
        <f t="shared" si="4"/>
        <v>1088794.862</v>
      </c>
      <c r="J54" s="76">
        <f t="shared" si="5"/>
        <v>28.63779684</v>
      </c>
      <c r="K54" s="71" t="str">
        <f t="shared" si="6"/>
        <v>28s</v>
      </c>
      <c r="L54" s="77">
        <f t="shared" si="7"/>
        <v>34140</v>
      </c>
      <c r="M54" s="51">
        <f t="shared" si="8"/>
        <v>-0.10133</v>
      </c>
      <c r="N54" s="52">
        <f>IFERROR(__xludf.DUMMYFUNCTION("IFS(AND(COUNTA(C54:C147)=0,COUNTA(P54:P147)=0),"""",OR(AND(L54&gt;=1000000,OR(Y54&gt;=1000000,COUNTA(P54:P147)=0)),AND(Y54&gt;=1000000,COUNTA(C54:C147)=0),AND(COUNTA(P54:P147)=0,O$3=TRUE)),
ROUNDDOWN((AB$1-AC$1)*MAX(INDEX(S$4:S147,MATCH(LARGE(FILTER(Y$4:Y147,Y$4:Y"&amp;"147&lt;1000000),1),Y$4:Y147)),INDEX(F$4:F147,MATCH(LARGE(FILTER(L$4:L147,L$4:L147&lt;1000000),1),L$4:L147)))),AND(L54&lt;1000000,COUNTA(C54:C147)&gt;0,O$3=FALSE),
ROUNDDOWN(INDEX(Y$4:Y147,MATCH(LARGE(FILTER(W$4:W147,W$4:W147&lt;=J54),1),W$4:W147))+(J54-LARGE(FILTER(W$4:"&amp;"W147,W$4:W147&lt;=J54),1))*INDEX(S$4:S147,MATCH(LARGE(FILTER(W$4:W147,W$4:W147&lt;=J54),1),W$4:W147))-L54),1,
ROUNDDOWN(Y54-INDEX(L$4:L147,MATCH(LARGE(FILTER(J$4:J147,J$4:J147&lt;=W54),1),J$4:J147))-(W54-LARGE(FILTER(J$4:J147,J$4:J147&lt;=W54),1))*INDEX(F$4:F147,MATC"&amp;"H(LARGE(FILTER(J$4:J147,J$4:J147&lt;=W54),1),J$4:J147))))"),174.0)</f>
        <v>174</v>
      </c>
      <c r="O54" s="65">
        <f t="shared" si="9"/>
        <v>1</v>
      </c>
      <c r="P54" s="15" t="s">
        <v>18</v>
      </c>
      <c r="Q54" s="14" t="b">
        <f>IFERROR(__xludf.DUMMYFUNCTION("IF(COUNTA(P54:P147)=0,"""",IFERROR(IF(ISBLANK(P54),FALSE,IF(ISBLANK(T54),1,IF(NOT(COUNTIF($AA$24:$AA$34,SUBSTITUTE(P54,""Sell_"",""""))),1,IF(P54=""Plastic_up"",IF(V54&lt;1000,1),IF(P54=""Super_Up"",IF(OR(COUNTIF(P$4:P54,""Grandma"")-COUNTIF(P$4:P54,""Sell_G"&amp;"randma"")&lt;1,COUNTIF(P$4:P54,VLOOKUP(P54,Upgrades!$F$8:$N$8,7+COUNTIF(P$4:P54,P54)))-COUNTIF(P$4:P54,""Sell_""&amp;VLOOKUP(P54,Upgrades!$F$8:$N$8,7+COUNTIF(P$4:P54,P54)))&lt;15),1),IF(REGEXMATCH(P54,""_up""),IF(COUNTIF(P$4:P54,SUBSTITUTE(P54,""_up"",""""))&lt;IFERRO"&amp;"R(VLOOKUP(P54,Upgrades!$L$3:$P$6,1+COUNTIF(P$4:P54,P54),0),999),1),IF(REGEXMATCH(P54,""Sell_""),IF(COUNTIF(P$4:P54,SUBSTITUTE(P54,""Sell_"",""""))-COUNTIF(P$4:P53,P54)&lt;1,1),FALSE)))))))))"),FALSE)</f>
        <v>0</v>
      </c>
      <c r="R54" s="71">
        <f>IFERROR(__xludf.DUMMYFUNCTION("IF(REGEXMATCH(P54,""^Sell_""),R53, IF(COUNTA(P54:P147)=0,"""",(COUNTIF(P$4:P54,""Cursor"")-COUNTIF(P$4:P54,""Sell_Cursor""))*(0.1*2^SWITCH(COUNTIF(P$4:P54,""Cursor_up""),0,0,1,1,2,2,3)+SWITCH(COUNTIF(P$4:P54,""Cursor_up""),4,0.1,0)*(ROW(P54)-4-COUNTIF(P$4"&amp;":P54,""Cursor"")-COUNTIF(P$4:P54,""*""&amp;""_up"")-2*COUNTIF(P$4:P54,""Sell_""&amp;""*"")+COUNTIF(P$4:P54,""Sell_Cursor"")-COUNTIF(P$4:P54,"""")))+(COUNTIF(P$4:P54,""Grandma"")-COUNTIF(P$4:P54,""Sell_Grandma""))*(1*2^(COUNTIF(P$4:P54,""Grandma_up"")+COUNTIF(P$4:"&amp;"P54,""Super_up"")))+(COUNTIF(P$4:P54,""Farm"")-COUNTIF(P$4:P54,""Sell_Farm""))*(8*2^COUNTIF(P$4:P54,""Farm_up""))*IF(COUNTIF(P$4:P54,""Super_up"")&gt;0,1+0.01*(COUNTIF(P$4:P54,""Grandma"")-COUNTIF(P$4:P54,""Sell_Grandma"")),1)+(COUNTIF(P$4:P54,""Mine"")-COUN"&amp;"TIF(P$4:P54,""Sell_Mine""))*((47*2^COUNTIF(P$4:P54,""Mine_up""))*IF(COUNTIF(P$4:P54,""Super_up"")&gt;1,1+0.005*(COUNTIF(P$4:P54,""Grandma"")-COUNTIF(P$4:P54,""Sell_Grandma"")),1))+(COUNTIF(P$4:P54,""Factory"")-COUNTIF(P$4:P54,""Sell_Factory""))*(260*2^COUNTI"&amp;"F(P$4:P54,""Factory_up""))))"),175.0)</f>
        <v>175</v>
      </c>
      <c r="S54" s="73">
        <f>IFERROR(__xludf.DUMMYFUNCTION("IF(COUNTA(P54:P147)=0,"""",IF(REGEXMATCH(INDEX(FILTER(P$4:P54,P$4:P54&lt;&gt;""""),ROWS(FILTER(P$4:P54,P$4:P54&lt;&gt;""""))),""^Sell_""),INDEX(FILTER(S$4:S53,P$4:P53&lt;&gt;""""),ROWS(FILTER(P$4:P53,P$4:P53&lt;&gt;""""))),$AD$5*(2^SWITCH(COUNTIF(P$4:P54,""Cursor_up""),0,0,1,1,2"&amp;",2,3)+SWITCH(COUNTIF(P$4:P54,""Cursor_up""),4,0.1,0)*(ROW(P54)-4-COUNTIF(P$4:P54,""Cursor"")-COUNTIF(P$4:P54,""*""&amp;""_up"")-2*COUNTIF(P$4:P54,""Sell_""&amp;""*"")+COUNTIF(P$4:P54,""Sell_Cursor"")-COUNTIF(P$4:P54,""""))+0.01*R54*COUNTIF(P$4:P54,""Plastic_up"")"&amp;")+R54))"),2125.0)</f>
        <v>2125</v>
      </c>
      <c r="T54" s="14">
        <f>IFERROR(__xludf.DUMMYFUNCTION("IF(COUNTA(P54:P147)=0,"""",IF(REGEXMATCH(P54,""_up""),VLOOKUP(P54,Upgrades!$F$3:$J$8,1+COUNTIF(P$4:P54,P54),FALSE),IF(P54="""",0,IF(REGEXMATCH(P54,""^Sell_""),-ROUNDDOWN(ROUNDUP(INDEX(Upgrades!$C$3:$C$8,MATCH(SUBSTITUTE(P54,""Sell_"",""""),Upgrades!$B$3:$"&amp;"B$8,0))*1.15^(COUNTIF(P$4:P53,SUBSTITUTE(P54,""Sell_"",""""))-COUNTIF(P$4:P53,""Sell_""&amp;SUBSTITUTE(P54,""Sell_"",""""))))/4),ROUNDUP(INDEX(Upgrades!$C$3:$C$7,MATCH(P54,Upgrades!$B$3:$B$7,0))*1.15^(COUNTIF(P$4:P53,P54)-COUNTIF(P$4:P53,""Sell_""&amp;P54)))))))"),12000.0)</f>
        <v>12000</v>
      </c>
      <c r="U54" s="14">
        <f t="shared" si="10"/>
        <v>12000</v>
      </c>
      <c r="V54" s="75">
        <f t="shared" si="11"/>
        <v>1446818.215</v>
      </c>
      <c r="W54" s="76">
        <f t="shared" si="12"/>
        <v>62.93521356</v>
      </c>
      <c r="X54" s="71" t="str">
        <f t="shared" si="13"/>
        <v>1m 02s</v>
      </c>
      <c r="Y54" s="77">
        <f t="shared" si="14"/>
        <v>95156</v>
      </c>
      <c r="Z54" s="17"/>
      <c r="AA54" s="13"/>
      <c r="AB54" s="13"/>
      <c r="AC54" s="13"/>
      <c r="AD54" s="13"/>
      <c r="AE54" s="13"/>
      <c r="AF54" s="13"/>
      <c r="AG54" s="13"/>
    </row>
    <row r="55">
      <c r="A55" s="12"/>
      <c r="B55" s="65">
        <f t="shared" si="2"/>
        <v>5</v>
      </c>
      <c r="C55" s="66" t="s">
        <v>16</v>
      </c>
      <c r="D55" s="14" t="b">
        <f>IFERROR(__xludf.DUMMYFUNCTION("IF(COUNTA(C55:C147)=0,"""",IFERROR(IF(ISBLANK(C55),FALSE,IF(ISBLANK(G55),1,IF(NOT(COUNTIF($AA$24:$AA$34,SUBSTITUTE(C55,""Sell_"",""""))),1,IF(C55=""Plastic_up"",IF(I55&lt;1000,1),IF(C55=""Super_Up"",IF(OR(COUNTIF(C$4:C55,""Grandma"")-COUNTIF(C$4:C55,""Sell_G"&amp;"randma"")&lt;1,COUNTIF(C$4:C55,VLOOKUP(C55,Upgrades!$F$8:$N$8,7+COUNTIF(C$4:C55,C55)))-COUNTIF(C$4:C55,""Sell_""&amp;VLOOKUP(C55,Upgrades!$F$8:$N$8,7+COUNTIF(C$4:C55,C55)))&lt;15),1),IF(REGEXMATCH(C55,""_up""),IF(COUNTIF(C$4:C55,SUBSTITUTE(C55,""_up"",""""))&lt;IFERRO"&amp;"R(VLOOKUP(C55,Upgrades!$L$3:$P$6,1+COUNTIF(C$4:C55,C55),0),999),1),IF(REGEXMATCH(C55,""Sell_""),IF(COUNTIF(C$4:C55,SUBSTITUTE(C55,""Sell_"",""""))-COUNTIF(C$4:C54,C55)&lt;1,1),FALSE)))))))))"),FALSE)</f>
        <v>0</v>
      </c>
      <c r="E55" s="71">
        <f>IFERROR(__xludf.DUMMYFUNCTION("IF(REGEXMATCH(C55,""^Sell_""),E54, IF(COUNTA(C55:C147)=0,"""",(COUNTIF(C$4:C55,""Cursor"")-COUNTIF(C$4:C55,""Sell_Cursor""))*(0.1*2^SWITCH(COUNTIF(C$4:C55,""Cursor_up""),0,0,1,1,2,2,3)+SWITCH(COUNTIF(C$4:C55,""Cursor_up""),4,0.1,0)*(ROW(C55)-4-COUNTIF(C$4"&amp;":C55,""Cursor"")-COUNTIF(C$4:C55,""*""&amp;""_up"")-2*COUNTIF(C$4:C55,""Sell_""&amp;""*"")+COUNTIF(C$4:C55,""Sell_Cursor"")-COUNTIF(C$4:C55,"""")))+(COUNTIF(C$4:C55,""Grandma"")-COUNTIF(C$4:C55,""Sell_Grandma""))*(1*2^(COUNTIF(C$4:C55,""Grandma_up"")+COUNTIF(C$4:"&amp;"C55,""Super_up"")))+(COUNTIF(C$4:C55,""Farm"")-COUNTIF(C$4:C55,""Sell_Farm""))*(8*2^COUNTIF(C$4:C55,""Farm_up""))*IF(COUNTIF(C$4:C55,""Super_up"")&gt;0,1+0.01*(COUNTIF(C$4:C55,""Grandma"")-COUNTIF(C$4:C55,""Sell_Grandma"")),1)+(COUNTIF(C$4:C55,""Mine"")-COUN"&amp;"TIF(C$4:C55,""Sell_Mine""))*((47*2^COUNTIF(C$4:C55,""Mine_up""))*IF(COUNTIF(C$4:C55,""Super_up"")&gt;1,1+0.005*(COUNTIF(C$4:C55,""Grandma"")-COUNTIF(C$4:C55,""Sell_Grandma"")),1))+(COUNTIF(C$4:C55,""Factory"")-COUNTIF(C$4:C55,""Sell_Factory""))*(260*2^COUNTI"&amp;"F(C$4:C55,""Factory_up""))))"),136.8)</f>
        <v>136.8</v>
      </c>
      <c r="F55" s="73">
        <f>IFERROR(__xludf.DUMMYFUNCTION("IF(COUNTA(C55:C147)=0,"""",IF(REGEXMATCH(INDEX(FILTER(C$4:C55,C$4:C55&lt;&gt;""""),ROWS(FILTER(C$4:C55,C$4:C55&lt;&gt;""""))),""^Sell_""),INDEX(FILTER(F$4:F54,C$4:C54&lt;&gt;""""),ROWS(FILTER(C$4:C54,C$4:C54&lt;&gt;""""))),$AC$5*(2^SWITCH(COUNTIF(C$4:C55,""Cursor_up""),0,0,1,1,2"&amp;",2,3)+SWITCH(COUNTIF(C$4:C55,""Cursor_up""),4,0.1,0)*(ROW(C55)-4-COUNTIF(C$4:C55,""Cursor"")-COUNTIF(C$4:C55,""*""&amp;""_up"")-2*COUNTIF(C$4:C55,""Sell_""&amp;""*"")+COUNTIF(C$4:C55,""Sell_Cursor"")-COUNTIF(C$4:C55,""""))+0.01*E55*COUNTIF(C$4:C55,""Plastic_up"")"&amp;")+E55))"),1736.8)</f>
        <v>1736.8</v>
      </c>
      <c r="G55" s="14">
        <f>IFERROR(__xludf.DUMMYFUNCTION("IF(COUNTA(C55:C147)=0,"""",IF(REGEXMATCH(C55,""_up""),VLOOKUP(C55,Upgrades!$F$3:$J$8,1+COUNTIF(C$4:C55,C55),FALSE),IF(C55="""",0,IF(REGEXMATCH(C55,""^Sell_""),-ROUNDDOWN(ROUNDUP(INDEX(Upgrades!$C$3:$C$8,MATCH(SUBSTITUTE(C55,""Sell_"",""""),Upgrades!$B$3:$"&amp;"B$8,0))*1.15^(COUNTIF(C$4:C54,SUBSTITUTE(C55,""Sell_"",""""))-COUNTIF(C$4:C54,""Sell_""&amp;SUBSTITUTE(C55,""Sell_"",""""))))/4),ROUNDUP(INDEX(Upgrades!$C$3:$C$7,MATCH(C55,Upgrades!$B$3:$B$7,0))*1.15^(COUNTIF(C$4:C54,C55)-COUNTIF(C$4:C54,""Sell_""&amp;C55)))))))"),1924.0)</f>
        <v>1924</v>
      </c>
      <c r="H55" s="14">
        <f t="shared" si="3"/>
        <v>1924</v>
      </c>
      <c r="I55" s="75">
        <f t="shared" si="4"/>
        <v>1136395.994</v>
      </c>
      <c r="J55" s="76">
        <f t="shared" si="5"/>
        <v>29.75070753</v>
      </c>
      <c r="K55" s="71" t="str">
        <f t="shared" si="6"/>
        <v>29s</v>
      </c>
      <c r="L55" s="77">
        <f t="shared" si="7"/>
        <v>36064</v>
      </c>
      <c r="M55" s="51">
        <f t="shared" si="8"/>
        <v>-0.09771</v>
      </c>
      <c r="N55" s="52">
        <f>IFERROR(__xludf.DUMMYFUNCTION("IFS(AND(COUNTA(C55:C147)=0,COUNTA(P55:P147)=0),"""",OR(AND(L55&gt;=1000000,OR(Y55&gt;=1000000,COUNTA(P55:P147)=0)),AND(Y55&gt;=1000000,COUNTA(C55:C147)=0),AND(COUNTA(P55:P147)=0,O$3=TRUE)),
ROUNDDOWN((AB$1-AC$1)*MAX(INDEX(S$4:S147,MATCH(LARGE(FILTER(Y$4:Y147,Y$4:Y"&amp;"147&lt;1000000),1),Y$4:Y147)),INDEX(F$4:F147,MATCH(LARGE(FILTER(L$4:L147,L$4:L147&lt;1000000),1),L$4:L147)))),AND(L55&lt;1000000,COUNTA(C55:C147)&gt;0,O$3=FALSE),
ROUNDDOWN(INDEX(Y$4:Y147,MATCH(LARGE(FILTER(W$4:W147,W$4:W147&lt;=J55),1),W$4:W147))+(J55-LARGE(FILTER(W$4:"&amp;"W147,W$4:W147&lt;=J55),1))*INDEX(S$4:S147,MATCH(LARGE(FILTER(W$4:W147,W$4:W147&lt;=J55),1),W$4:W147))-L55),1,
ROUNDDOWN(Y55-INDEX(L$4:L147,MATCH(LARGE(FILTER(J$4:J147,J$4:J147&lt;=W55),1),J$4:J147))-(W55-LARGE(FILTER(J$4:J147,J$4:J147&lt;=W55),1))*INDEX(F$4:F147,MATC"&amp;"H(LARGE(FILTER(J$4:J147,J$4:J147&lt;=W55),1),J$4:J147))))"),168.0)</f>
        <v>168</v>
      </c>
      <c r="O55" s="65">
        <f t="shared" si="9"/>
        <v>6</v>
      </c>
      <c r="P55" s="15" t="s">
        <v>16</v>
      </c>
      <c r="Q55" s="14" t="b">
        <f>IFERROR(__xludf.DUMMYFUNCTION("IF(COUNTA(P55:P147)=0,"""",IFERROR(IF(ISBLANK(P55),FALSE,IF(ISBLANK(T55),1,IF(NOT(COUNTIF($AA$24:$AA$34,SUBSTITUTE(P55,""Sell_"",""""))),1,IF(P55=""Plastic_up"",IF(V55&lt;1000,1),IF(P55=""Super_Up"",IF(OR(COUNTIF(P$4:P55,""Grandma"")-COUNTIF(P$4:P55,""Sell_G"&amp;"randma"")&lt;1,COUNTIF(P$4:P55,VLOOKUP(P55,Upgrades!$F$8:$N$8,7+COUNTIF(P$4:P55,P55)))-COUNTIF(P$4:P55,""Sell_""&amp;VLOOKUP(P55,Upgrades!$F$8:$N$8,7+COUNTIF(P$4:P55,P55)))&lt;15),1),IF(REGEXMATCH(P55,""_up""),IF(COUNTIF(P$4:P55,SUBSTITUTE(P55,""_up"",""""))&lt;IFERRO"&amp;"R(VLOOKUP(P55,Upgrades!$L$3:$P$6,1+COUNTIF(P$4:P55,P55),0),999),1),IF(REGEXMATCH(P55,""Sell_""),IF(COUNTIF(P$4:P55,SUBSTITUTE(P55,""Sell_"",""""))-COUNTIF(P$4:P54,P55)&lt;1,1),FALSE)))))))))"),FALSE)</f>
        <v>0</v>
      </c>
      <c r="R55" s="71">
        <f>IFERROR(__xludf.DUMMYFUNCTION("IF(REGEXMATCH(P55,""^Sell_""),R54, IF(COUNTA(P55:P147)=0,"""",(COUNTIF(P$4:P55,""Cursor"")-COUNTIF(P$4:P55,""Sell_Cursor""))*(0.1*2^SWITCH(COUNTIF(P$4:P55,""Cursor_up""),0,0,1,1,2,2,3)+SWITCH(COUNTIF(P$4:P55,""Cursor_up""),4,0.1,0)*(ROW(P55)-4-COUNTIF(P$4"&amp;":P55,""Cursor"")-COUNTIF(P$4:P55,""*""&amp;""_up"")-2*COUNTIF(P$4:P55,""Sell_""&amp;""*"")+COUNTIF(P$4:P55,""Sell_Cursor"")-COUNTIF(P$4:P55,"""")))+(COUNTIF(P$4:P55,""Grandma"")-COUNTIF(P$4:P55,""Sell_Grandma""))*(1*2^(COUNTIF(P$4:P55,""Grandma_up"")+COUNTIF(P$4:"&amp;"P55,""Super_up"")))+(COUNTIF(P$4:P55,""Farm"")-COUNTIF(P$4:P55,""Sell_Farm""))*(8*2^COUNTIF(P$4:P55,""Farm_up""))*IF(COUNTIF(P$4:P55,""Super_up"")&gt;0,1+0.01*(COUNTIF(P$4:P55,""Grandma"")-COUNTIF(P$4:P55,""Sell_Grandma"")),1)+(COUNTIF(P$4:P55,""Mine"")-COUN"&amp;"TIF(P$4:P55,""Sell_Mine""))*((47*2^COUNTIF(P$4:P55,""Mine_up""))*IF(COUNTIF(P$4:P55,""Super_up"")&gt;1,1+0.005*(COUNTIF(P$4:P55,""Grandma"")-COUNTIF(P$4:P55,""Sell_Grandma"")),1))+(COUNTIF(P$4:P55,""Factory"")-COUNTIF(P$4:P55,""Sell_Factory""))*(260*2^COUNTI"&amp;"F(P$4:P55,""Factory_up""))))"),183.0)</f>
        <v>183</v>
      </c>
      <c r="S55" s="73">
        <f>IFERROR(__xludf.DUMMYFUNCTION("IF(COUNTA(P55:P147)=0,"""",IF(REGEXMATCH(INDEX(FILTER(P$4:P55,P$4:P55&lt;&gt;""""),ROWS(FILTER(P$4:P55,P$4:P55&lt;&gt;""""))),""^Sell_""),INDEX(FILTER(S$4:S54,P$4:P54&lt;&gt;""""),ROWS(FILTER(P$4:P54,P$4:P54&lt;&gt;""""))),$AD$5*(2^SWITCH(COUNTIF(P$4:P55,""Cursor_up""),0,0,1,1,2"&amp;",2,3)+SWITCH(COUNTIF(P$4:P55,""Cursor_up""),4,0.1,0)*(ROW(P55)-4-COUNTIF(P$4:P55,""Cursor"")-COUNTIF(P$4:P55,""*""&amp;""_up"")-2*COUNTIF(P$4:P55,""Sell_""&amp;""*"")+COUNTIF(P$4:P55,""Sell_Cursor"")-COUNTIF(P$4:P55,""""))+0.01*R55*COUNTIF(P$4:P55,""Plastic_up"")"&amp;")+R55))"),2149.0)</f>
        <v>2149</v>
      </c>
      <c r="T55" s="14">
        <f>IFERROR(__xludf.DUMMYFUNCTION("IF(COUNTA(P55:P147)=0,"""",IF(REGEXMATCH(P55,""_up""),VLOOKUP(P55,Upgrades!$F$3:$J$8,1+COUNTIF(P$4:P55,P55),FALSE),IF(P55="""",0,IF(REGEXMATCH(P55,""^Sell_""),-ROUNDDOWN(ROUNDUP(INDEX(Upgrades!$C$3:$C$8,MATCH(SUBSTITUTE(P55,""Sell_"",""""),Upgrades!$B$3:$"&amp;"B$8,0))*1.15^(COUNTIF(P$4:P54,SUBSTITUTE(P55,""Sell_"",""""))-COUNTIF(P$4:P54,""Sell_""&amp;SUBSTITUTE(P55,""Sell_"",""""))))/4),ROUNDUP(INDEX(Upgrades!$C$3:$C$7,MATCH(P55,Upgrades!$B$3:$B$7,0))*1.15^(COUNTIF(P$4:P54,P55)-COUNTIF(P$4:P54,""Sell_""&amp;P55)))))))"),2213.0)</f>
        <v>2213</v>
      </c>
      <c r="U55" s="14">
        <f t="shared" si="10"/>
        <v>2213</v>
      </c>
      <c r="V55" s="75">
        <f t="shared" si="11"/>
        <v>1571572.635</v>
      </c>
      <c r="W55" s="76">
        <f t="shared" si="12"/>
        <v>63.97662532</v>
      </c>
      <c r="X55" s="71" t="str">
        <f t="shared" si="13"/>
        <v>1m 03s</v>
      </c>
      <c r="Y55" s="77">
        <f t="shared" si="14"/>
        <v>97369</v>
      </c>
      <c r="Z55" s="17"/>
      <c r="AA55" s="13"/>
      <c r="AB55" s="13"/>
      <c r="AC55" s="13"/>
      <c r="AD55" s="13"/>
      <c r="AE55" s="13"/>
      <c r="AF55" s="13"/>
      <c r="AG55" s="13"/>
    </row>
    <row r="56">
      <c r="A56" s="12"/>
      <c r="B56" s="65">
        <f t="shared" si="2"/>
        <v>1</v>
      </c>
      <c r="C56" s="66" t="s">
        <v>21</v>
      </c>
      <c r="D56" s="14" t="b">
        <f>IFERROR(__xludf.DUMMYFUNCTION("IF(COUNTA(C56:C147)=0,"""",IFERROR(IF(ISBLANK(C56),FALSE,IF(ISBLANK(G56),1,IF(NOT(COUNTIF($AA$24:$AA$34,SUBSTITUTE(C56,""Sell_"",""""))),1,IF(C56=""Plastic_up"",IF(I56&lt;1000,1),IF(C56=""Super_Up"",IF(OR(COUNTIF(C$4:C56,""Grandma"")-COUNTIF(C$4:C56,""Sell_G"&amp;"randma"")&lt;1,COUNTIF(C$4:C56,VLOOKUP(C56,Upgrades!$F$8:$N$8,7+COUNTIF(C$4:C56,C56)))-COUNTIF(C$4:C56,""Sell_""&amp;VLOOKUP(C56,Upgrades!$F$8:$N$8,7+COUNTIF(C$4:C56,C56)))&lt;15),1),IF(REGEXMATCH(C56,""_up""),IF(COUNTIF(C$4:C56,SUBSTITUTE(C56,""_up"",""""))&lt;IFERRO"&amp;"R(VLOOKUP(C56,Upgrades!$L$3:$P$6,1+COUNTIF(C$4:C56,C56),0),999),1),IF(REGEXMATCH(C56,""Sell_""),IF(COUNTIF(C$4:C56,SUBSTITUTE(C56,""Sell_"",""""))-COUNTIF(C$4:C55,C56)&lt;1,1),FALSE)))))))))"),FALSE)</f>
        <v>0</v>
      </c>
      <c r="E56" s="71">
        <f>IFERROR(__xludf.DUMMYFUNCTION("IF(REGEXMATCH(C56,""^Sell_""),E55, IF(COUNTA(C56:C147)=0,"""",(COUNTIF(C$4:C56,""Cursor"")-COUNTIF(C$4:C56,""Sell_Cursor""))*(0.1*2^SWITCH(COUNTIF(C$4:C56,""Cursor_up""),0,0,1,1,2,2,3)+SWITCH(COUNTIF(C$4:C56,""Cursor_up""),4,0.1,0)*(ROW(C56)-4-COUNTIF(C$4"&amp;":C56,""Cursor"")-COUNTIF(C$4:C56,""*""&amp;""_up"")-2*COUNTIF(C$4:C56,""Sell_""&amp;""*"")+COUNTIF(C$4:C56,""Sell_Cursor"")-COUNTIF(C$4:C56,"""")))+(COUNTIF(C$4:C56,""Grandma"")-COUNTIF(C$4:C56,""Sell_Grandma""))*(1*2^(COUNTIF(C$4:C56,""Grandma_up"")+COUNTIF(C$4:"&amp;"C56,""Super_up"")))+(COUNTIF(C$4:C56,""Farm"")-COUNTIF(C$4:C56,""Sell_Farm""))*(8*2^COUNTIF(C$4:C56,""Farm_up""))*IF(COUNTIF(C$4:C56,""Super_up"")&gt;0,1+0.01*(COUNTIF(C$4:C56,""Grandma"")-COUNTIF(C$4:C56,""Sell_Grandma"")),1)+(COUNTIF(C$4:C56,""Mine"")-COUN"&amp;"TIF(C$4:C56,""Sell_Mine""))*((47*2^COUNTIF(C$4:C56,""Mine_up""))*IF(COUNTIF(C$4:C56,""Super_up"")&gt;1,1+0.005*(COUNTIF(C$4:C56,""Grandma"")-COUNTIF(C$4:C56,""Sell_Grandma"")),1))+(COUNTIF(C$4:C56,""Factory"")-COUNTIF(C$4:C56,""Sell_Factory""))*(260*2^COUNTI"&amp;"F(C$4:C56,""Factory_up""))))"),136.8)</f>
        <v>136.8</v>
      </c>
      <c r="F56" s="73">
        <f>IFERROR(__xludf.DUMMYFUNCTION("IF(COUNTA(C56:C147)=0,"""",IF(REGEXMATCH(INDEX(FILTER(C$4:C56,C$4:C56&lt;&gt;""""),ROWS(FILTER(C$4:C56,C$4:C56&lt;&gt;""""))),""^Sell_""),INDEX(FILTER(F$4:F55,C$4:C55&lt;&gt;""""),ROWS(FILTER(C$4:C55,C$4:C55&lt;&gt;""""))),$AC$5*(2^SWITCH(COUNTIF(C$4:C56,""Cursor_up""),0,0,1,1,2"&amp;",2,3)+SWITCH(COUNTIF(C$4:C56,""Cursor_up""),4,0.1,0)*(ROW(C56)-4-COUNTIF(C$4:C56,""Cursor"")-COUNTIF(C$4:C56,""*""&amp;""_up"")-2*COUNTIF(C$4:C56,""Sell_""&amp;""*"")+COUNTIF(C$4:C56,""Sell_Cursor"")-COUNTIF(C$4:C56,""""))+0.01*E56*COUNTIF(C$4:C56,""Plastic_up"")"&amp;")+E56))"),2010.4)</f>
        <v>2010.4</v>
      </c>
      <c r="G56" s="14">
        <f>IFERROR(__xludf.DUMMYFUNCTION("IF(COUNTA(C56:C147)=0,"""",IF(REGEXMATCH(C56,""_up""),VLOOKUP(C56,Upgrades!$F$3:$J$8,1+COUNTIF(C$4:C56,C56),FALSE),IF(C56="""",0,IF(REGEXMATCH(C56,""^Sell_""),-ROUNDDOWN(ROUNDUP(INDEX(Upgrades!$C$3:$C$8,MATCH(SUBSTITUTE(C56,""Sell_"",""""),Upgrades!$B$3:$"&amp;"B$8,0))*1.15^(COUNTIF(C$4:C55,SUBSTITUTE(C56,""Sell_"",""""))-COUNTIF(C$4:C55,""Sell_""&amp;SUBSTITUTE(C56,""Sell_"",""""))))/4),ROUNDUP(INDEX(Upgrades!$C$3:$C$7,MATCH(C56,Upgrades!$B$3:$B$7,0))*1.15^(COUNTIF(C$4:C55,C56)-COUNTIF(C$4:C55,""Sell_""&amp;C56)))))))"),50000.0)</f>
        <v>50000</v>
      </c>
      <c r="H56" s="14">
        <f t="shared" si="3"/>
        <v>50000</v>
      </c>
      <c r="I56" s="75">
        <f t="shared" si="4"/>
        <v>1230058.849</v>
      </c>
      <c r="J56" s="76">
        <f t="shared" si="5"/>
        <v>58.53928423</v>
      </c>
      <c r="K56" s="71" t="str">
        <f t="shared" si="6"/>
        <v>58s</v>
      </c>
      <c r="L56" s="77">
        <f t="shared" si="7"/>
        <v>86064</v>
      </c>
      <c r="M56" s="51">
        <f t="shared" si="8"/>
        <v>-0.18673</v>
      </c>
      <c r="N56" s="52">
        <f>IFERROR(__xludf.DUMMYFUNCTION("IFS(AND(COUNTA(C56:C147)=0,COUNTA(P56:P147)=0),"""",OR(AND(L56&gt;=1000000,OR(Y56&gt;=1000000,COUNTA(P56:P147)=0)),AND(Y56&gt;=1000000,COUNTA(C56:C147)=0),AND(COUNTA(P56:P147)=0,O$3=TRUE)),
ROUNDDOWN((AB$1-AC$1)*MAX(INDEX(S$4:S147,MATCH(LARGE(FILTER(Y$4:Y147,Y$4:Y"&amp;"147&lt;1000000),1),Y$4:Y147)),INDEX(F$4:F147,MATCH(LARGE(FILTER(L$4:L147,L$4:L147&lt;1000000),1),L$4:L147)))),AND(L56&lt;1000000,COUNTA(C56:C147)&gt;0,O$3=FALSE),
ROUNDDOWN(INDEX(Y$4:Y147,MATCH(LARGE(FILTER(W$4:W147,W$4:W147&lt;=J56),1),W$4:W147))+(J56-LARGE(FILTER(W$4:"&amp;"W147,W$4:W147&lt;=J56),1))*INDEX(S$4:S147,MATCH(LARGE(FILTER(W$4:W147,W$4:W147&lt;=J56),1),W$4:W147))-L56),1,
ROUNDDOWN(Y56-INDEX(L$4:L147,MATCH(LARGE(FILTER(J$4:J147,J$4:J147&lt;=W56),1),J$4:J147))-(W56-LARGE(FILTER(J$4:J147,J$4:J147&lt;=W56),1))*INDEX(F$4:F147,MATC"&amp;"H(LARGE(FILTER(J$4:J147,J$4:J147&lt;=W56),1),J$4:J147))))"),370.0)</f>
        <v>370</v>
      </c>
      <c r="O56" s="65">
        <f t="shared" si="9"/>
        <v>1</v>
      </c>
      <c r="P56" s="15" t="s">
        <v>17</v>
      </c>
      <c r="Q56" s="14" t="b">
        <f>IFERROR(__xludf.DUMMYFUNCTION("IF(COUNTA(P56:P147)=0,"""",IFERROR(IF(ISBLANK(P56),FALSE,IF(ISBLANK(T56),1,IF(NOT(COUNTIF($AA$24:$AA$34,SUBSTITUTE(P56,""Sell_"",""""))),1,IF(P56=""Plastic_up"",IF(V56&lt;1000,1),IF(P56=""Super_Up"",IF(OR(COUNTIF(P$4:P56,""Grandma"")-COUNTIF(P$4:P56,""Sell_G"&amp;"randma"")&lt;1,COUNTIF(P$4:P56,VLOOKUP(P56,Upgrades!$F$8:$N$8,7+COUNTIF(P$4:P56,P56)))-COUNTIF(P$4:P56,""Sell_""&amp;VLOOKUP(P56,Upgrades!$F$8:$N$8,7+COUNTIF(P$4:P56,P56)))&lt;15),1),IF(REGEXMATCH(P56,""_up""),IF(COUNTIF(P$4:P56,SUBSTITUTE(P56,""_up"",""""))&lt;IFERRO"&amp;"R(VLOOKUP(P56,Upgrades!$L$3:$P$6,1+COUNTIF(P$4:P56,P56),0),999),1),IF(REGEXMATCH(P56,""Sell_""),IF(COUNTIF(P$4:P56,SUBSTITUTE(P56,""Sell_"",""""))-COUNTIF(P$4:P55,P56)&lt;1,1),FALSE)))))))))"),FALSE)</f>
        <v>0</v>
      </c>
      <c r="R56" s="71">
        <f>IFERROR(__xludf.DUMMYFUNCTION("IF(REGEXMATCH(P56,""^Sell_""),R55, IF(COUNTA(P56:P147)=0,"""",(COUNTIF(P$4:P56,""Cursor"")-COUNTIF(P$4:P56,""Sell_Cursor""))*(0.1*2^SWITCH(COUNTIF(P$4:P56,""Cursor_up""),0,0,1,1,2,2,3)+SWITCH(COUNTIF(P$4:P56,""Cursor_up""),4,0.1,0)*(ROW(P56)-4-COUNTIF(P$4"&amp;":P56,""Cursor"")-COUNTIF(P$4:P56,""*""&amp;""_up"")-2*COUNTIF(P$4:P56,""Sell_""&amp;""*"")+COUNTIF(P$4:P56,""Sell_Cursor"")-COUNTIF(P$4:P56,"""")))+(COUNTIF(P$4:P56,""Grandma"")-COUNTIF(P$4:P56,""Sell_Grandma""))*(1*2^(COUNTIF(P$4:P56,""Grandma_up"")+COUNTIF(P$4:"&amp;"P56,""Super_up"")))+(COUNTIF(P$4:P56,""Farm"")-COUNTIF(P$4:P56,""Sell_Farm""))*(8*2^COUNTIF(P$4:P56,""Farm_up""))*IF(COUNTIF(P$4:P56,""Super_up"")&gt;0,1+0.01*(COUNTIF(P$4:P56,""Grandma"")-COUNTIF(P$4:P56,""Sell_Grandma"")),1)+(COUNTIF(P$4:P56,""Mine"")-COUN"&amp;"TIF(P$4:P56,""Sell_Mine""))*((47*2^COUNTIF(P$4:P56,""Mine_up""))*IF(COUNTIF(P$4:P56,""Super_up"")&gt;1,1+0.005*(COUNTIF(P$4:P56,""Grandma"")-COUNTIF(P$4:P56,""Sell_Grandma"")),1))+(COUNTIF(P$4:P56,""Factory"")-COUNTIF(P$4:P56,""Sell_Factory""))*(260*2^COUNTI"&amp;"F(P$4:P56,""Factory_up""))))"),231.0)</f>
        <v>231</v>
      </c>
      <c r="S56" s="73">
        <f>IFERROR(__xludf.DUMMYFUNCTION("IF(COUNTA(P56:P147)=0,"""",IF(REGEXMATCH(INDEX(FILTER(P$4:P56,P$4:P56&lt;&gt;""""),ROWS(FILTER(P$4:P56,P$4:P56&lt;&gt;""""))),""^Sell_""),INDEX(FILTER(S$4:S55,P$4:P55&lt;&gt;""""),ROWS(FILTER(P$4:P55,P$4:P55&lt;&gt;""""))),$AD$5*(2^SWITCH(COUNTIF(P$4:P56,""Cursor_up""),0,0,1,1,2"&amp;",2,3)+SWITCH(COUNTIF(P$4:P56,""Cursor_up""),4,0.1,0)*(ROW(P56)-4-COUNTIF(P$4:P56,""Cursor"")-COUNTIF(P$4:P56,""*""&amp;""_up"")-2*COUNTIF(P$4:P56,""Sell_""&amp;""*"")+COUNTIF(P$4:P56,""Sell_Cursor"")-COUNTIF(P$4:P56,""""))+0.01*R56*COUNTIF(P$4:P56,""Plastic_up"")"&amp;")+R56))"),2293.0)</f>
        <v>2293</v>
      </c>
      <c r="T56" s="14">
        <f>IFERROR(__xludf.DUMMYFUNCTION("IF(COUNTA(P56:P147)=0,"""",IF(REGEXMATCH(P56,""_up""),VLOOKUP(P56,Upgrades!$F$3:$J$8,1+COUNTIF(P$4:P56,P56),FALSE),IF(P56="""",0,IF(REGEXMATCH(P56,""^Sell_""),-ROUNDDOWN(ROUNDUP(INDEX(Upgrades!$C$3:$C$8,MATCH(SUBSTITUTE(P56,""Sell_"",""""),Upgrades!$B$3:$"&amp;"B$8,0))*1.15^(COUNTIF(P$4:P55,SUBSTITUTE(P56,""Sell_"",""""))-COUNTIF(P$4:P55,""Sell_""&amp;SUBSTITUTE(P56,""Sell_"",""""))))/4),ROUNDUP(INDEX(Upgrades!$C$3:$C$7,MATCH(P56,Upgrades!$B$3:$B$7,0))*1.15^(COUNTIF(P$4:P55,P56)-COUNTIF(P$4:P55,""Sell_""&amp;P56)))))))"),11000.0)</f>
        <v>11000</v>
      </c>
      <c r="U56" s="14">
        <f t="shared" si="10"/>
        <v>11000</v>
      </c>
      <c r="V56" s="75">
        <f t="shared" si="11"/>
        <v>1707413.965</v>
      </c>
      <c r="W56" s="76">
        <f t="shared" si="12"/>
        <v>69.09528517</v>
      </c>
      <c r="X56" s="71" t="str">
        <f t="shared" si="13"/>
        <v>1m 09s</v>
      </c>
      <c r="Y56" s="77">
        <f t="shared" si="14"/>
        <v>108369</v>
      </c>
      <c r="Z56" s="17"/>
      <c r="AA56" s="13"/>
      <c r="AB56" s="13"/>
      <c r="AC56" s="13"/>
      <c r="AD56" s="13"/>
      <c r="AE56" s="13"/>
      <c r="AF56" s="13"/>
      <c r="AG56" s="13"/>
    </row>
    <row r="57">
      <c r="A57" s="12"/>
      <c r="B57" s="65">
        <f t="shared" si="2"/>
        <v>1</v>
      </c>
      <c r="C57" s="66" t="s">
        <v>18</v>
      </c>
      <c r="D57" s="14" t="b">
        <f>IFERROR(__xludf.DUMMYFUNCTION("IF(COUNTA(C57:C147)=0,"""",IFERROR(IF(ISBLANK(C57),FALSE,IF(ISBLANK(G57),1,IF(NOT(COUNTIF($AA$24:$AA$34,SUBSTITUTE(C57,""Sell_"",""""))),1,IF(C57=""Plastic_up"",IF(I57&lt;1000,1),IF(C57=""Super_Up"",IF(OR(COUNTIF(C$4:C57,""Grandma"")-COUNTIF(C$4:C57,""Sell_G"&amp;"randma"")&lt;1,COUNTIF(C$4:C57,VLOOKUP(C57,Upgrades!$F$8:$N$8,7+COUNTIF(C$4:C57,C57)))-COUNTIF(C$4:C57,""Sell_""&amp;VLOOKUP(C57,Upgrades!$F$8:$N$8,7+COUNTIF(C$4:C57,C57)))&lt;15),1),IF(REGEXMATCH(C57,""_up""),IF(COUNTIF(C$4:C57,SUBSTITUTE(C57,""_up"",""""))&lt;IFERRO"&amp;"R(VLOOKUP(C57,Upgrades!$L$3:$P$6,1+COUNTIF(C$4:C57,C57),0),999),1),IF(REGEXMATCH(C57,""Sell_""),IF(COUNTIF(C$4:C57,SUBSTITUTE(C57,""Sell_"",""""))-COUNTIF(C$4:C56,C57)&lt;1,1),FALSE)))))))))"),FALSE)</f>
        <v>0</v>
      </c>
      <c r="E57" s="71">
        <f>IFERROR(__xludf.DUMMYFUNCTION("IF(REGEXMATCH(C57,""^Sell_""),E56, IF(COUNTA(C57:C147)=0,"""",(COUNTIF(C$4:C57,""Cursor"")-COUNTIF(C$4:C57,""Sell_Cursor""))*(0.1*2^SWITCH(COUNTIF(C$4:C57,""Cursor_up""),0,0,1,1,2,2,3)+SWITCH(COUNTIF(C$4:C57,""Cursor_up""),4,0.1,0)*(ROW(C57)-4-COUNTIF(C$4"&amp;":C57,""Cursor"")-COUNTIF(C$4:C57,""*""&amp;""_up"")-2*COUNTIF(C$4:C57,""Sell_""&amp;""*"")+COUNTIF(C$4:C57,""Sell_Cursor"")-COUNTIF(C$4:C57,"""")))+(COUNTIF(C$4:C57,""Grandma"")-COUNTIF(C$4:C57,""Sell_Grandma""))*(1*2^(COUNTIF(C$4:C57,""Grandma_up"")+COUNTIF(C$4:"&amp;"C57,""Super_up"")))+(COUNTIF(C$4:C57,""Farm"")-COUNTIF(C$4:C57,""Sell_Farm""))*(8*2^COUNTIF(C$4:C57,""Farm_up""))*IF(COUNTIF(C$4:C57,""Super_up"")&gt;0,1+0.01*(COUNTIF(C$4:C57,""Grandma"")-COUNTIF(C$4:C57,""Sell_Grandma"")),1)+(COUNTIF(C$4:C57,""Mine"")-COUN"&amp;"TIF(C$4:C57,""Sell_Mine""))*((47*2^COUNTIF(C$4:C57,""Mine_up""))*IF(COUNTIF(C$4:C57,""Super_up"")&gt;1,1+0.005*(COUNTIF(C$4:C57,""Grandma"")-COUNTIF(C$4:C57,""Sell_Grandma"")),1))+(COUNTIF(C$4:C57,""Factory"")-COUNTIF(C$4:C57,""Sell_Factory""))*(260*2^COUNTI"&amp;"F(C$4:C57,""Factory_up""))))"),183.8)</f>
        <v>183.8</v>
      </c>
      <c r="F57" s="73">
        <f>IFERROR(__xludf.DUMMYFUNCTION("IF(COUNTA(C57:C147)=0,"""",IF(REGEXMATCH(INDEX(FILTER(C$4:C57,C$4:C57&lt;&gt;""""),ROWS(FILTER(C$4:C57,C$4:C57&lt;&gt;""""))),""^Sell_""),INDEX(FILTER(F$4:F56,C$4:C56&lt;&gt;""""),ROWS(FILTER(C$4:C56,C$4:C56&lt;&gt;""""))),$AC$5*(2^SWITCH(COUNTIF(C$4:C57,""Cursor_up""),0,0,1,1,2"&amp;",2,3)+SWITCH(COUNTIF(C$4:C57,""Cursor_up""),4,0.1,0)*(ROW(C57)-4-COUNTIF(C$4:C57,""Cursor"")-COUNTIF(C$4:C57,""*""&amp;""_up"")-2*COUNTIF(C$4:C57,""Sell_""&amp;""*"")+COUNTIF(C$4:C57,""Sell_Cursor"")-COUNTIF(C$4:C57,""""))+0.01*E57*COUNTIF(C$4:C57,""Plastic_up"")"&amp;")+E57))"),2151.4)</f>
        <v>2151.4</v>
      </c>
      <c r="G57" s="14">
        <f>IFERROR(__xludf.DUMMYFUNCTION("IF(COUNTA(C57:C147)=0,"""",IF(REGEXMATCH(C57,""_up""),VLOOKUP(C57,Upgrades!$F$3:$J$8,1+COUNTIF(C$4:C57,C57),FALSE),IF(C57="""",0,IF(REGEXMATCH(C57,""^Sell_""),-ROUNDDOWN(ROUNDUP(INDEX(Upgrades!$C$3:$C$8,MATCH(SUBSTITUTE(C57,""Sell_"",""""),Upgrades!$B$3:$"&amp;"B$8,0))*1.15^(COUNTIF(C$4:C56,SUBSTITUTE(C57,""Sell_"",""""))-COUNTIF(C$4:C56,""Sell_""&amp;SUBSTITUTE(C57,""Sell_"",""""))))/4),ROUNDUP(INDEX(Upgrades!$C$3:$C$7,MATCH(C57,Upgrades!$B$3:$B$7,0))*1.15^(COUNTIF(C$4:C56,C57)-COUNTIF(C$4:C56,""Sell_""&amp;C57)))))))"),12000.0)</f>
        <v>12000</v>
      </c>
      <c r="H57" s="14">
        <f t="shared" si="3"/>
        <v>12000</v>
      </c>
      <c r="I57" s="75">
        <f t="shared" si="4"/>
        <v>1350921.498</v>
      </c>
      <c r="J57" s="76">
        <f t="shared" si="5"/>
        <v>64.50824563</v>
      </c>
      <c r="K57" s="71" t="str">
        <f t="shared" si="6"/>
        <v>1m 04s</v>
      </c>
      <c r="L57" s="77">
        <f t="shared" si="7"/>
        <v>98064</v>
      </c>
      <c r="M57" s="51">
        <f t="shared" si="8"/>
        <v>-0.20821</v>
      </c>
      <c r="N57" s="52">
        <f>IFERROR(__xludf.DUMMYFUNCTION("IFS(AND(COUNTA(C57:C147)=0,COUNTA(P57:P147)=0),"""",OR(AND(L57&gt;=1000000,OR(Y57&gt;=1000000,COUNTA(P57:P147)=0)),AND(Y57&gt;=1000000,COUNTA(C57:C147)=0),AND(COUNTA(P57:P147)=0,O$3=TRUE)),
ROUNDDOWN((AB$1-AC$1)*MAX(INDEX(S$4:S147,MATCH(LARGE(FILTER(Y$4:Y147,Y$4:Y"&amp;"147&lt;1000000),1),Y$4:Y147)),INDEX(F$4:F147,MATCH(LARGE(FILTER(L$4:L147,L$4:L147&lt;1000000),1),L$4:L147)))),AND(L57&lt;1000000,COUNTA(C57:C147)&gt;0,O$3=FALSE),
ROUNDDOWN(INDEX(Y$4:Y147,MATCH(LARGE(FILTER(W$4:W147,W$4:W147&lt;=J57),1),W$4:W147))+(J57-LARGE(FILTER(W$4:"&amp;"W147,W$4:W147&lt;=J57),1))*INDEX(S$4:S147,MATCH(LARGE(FILTER(W$4:W147,W$4:W147&lt;=J57),1),W$4:W147))-L57),1,
ROUNDDOWN(Y57-INDEX(L$4:L147,MATCH(LARGE(FILTER(J$4:J147,J$4:J147&lt;=W57),1),J$4:J147))-(W57-LARGE(FILTER(J$4:J147,J$4:J147&lt;=W57),1))*INDEX(F$4:F147,MATC"&amp;"H(LARGE(FILTER(J$4:J147,J$4:J147&lt;=W57),1),J$4:J147))))"),447.0)</f>
        <v>447</v>
      </c>
      <c r="O57" s="65">
        <f t="shared" si="9"/>
        <v>7</v>
      </c>
      <c r="P57" s="15" t="s">
        <v>16</v>
      </c>
      <c r="Q57" s="14" t="b">
        <f>IFERROR(__xludf.DUMMYFUNCTION("IF(COUNTA(P57:P147)=0,"""",IFERROR(IF(ISBLANK(P57),FALSE,IF(ISBLANK(T57),1,IF(NOT(COUNTIF($AA$24:$AA$34,SUBSTITUTE(P57,""Sell_"",""""))),1,IF(P57=""Plastic_up"",IF(V57&lt;1000,1),IF(P57=""Super_Up"",IF(OR(COUNTIF(P$4:P57,""Grandma"")-COUNTIF(P$4:P57,""Sell_G"&amp;"randma"")&lt;1,COUNTIF(P$4:P57,VLOOKUP(P57,Upgrades!$F$8:$N$8,7+COUNTIF(P$4:P57,P57)))-COUNTIF(P$4:P57,""Sell_""&amp;VLOOKUP(P57,Upgrades!$F$8:$N$8,7+COUNTIF(P$4:P57,P57)))&lt;15),1),IF(REGEXMATCH(P57,""_up""),IF(COUNTIF(P$4:P57,SUBSTITUTE(P57,""_up"",""""))&lt;IFERRO"&amp;"R(VLOOKUP(P57,Upgrades!$L$3:$P$6,1+COUNTIF(P$4:P57,P57),0),999),1),IF(REGEXMATCH(P57,""Sell_""),IF(COUNTIF(P$4:P57,SUBSTITUTE(P57,""Sell_"",""""))-COUNTIF(P$4:P56,P57)&lt;1,1),FALSE)))))))))"),FALSE)</f>
        <v>0</v>
      </c>
      <c r="R57" s="71">
        <f>IFERROR(__xludf.DUMMYFUNCTION("IF(REGEXMATCH(P57,""^Sell_""),R56, IF(COUNTA(P57:P147)=0,"""",(COUNTIF(P$4:P57,""Cursor"")-COUNTIF(P$4:P57,""Sell_Cursor""))*(0.1*2^SWITCH(COUNTIF(P$4:P57,""Cursor_up""),0,0,1,1,2,2,3)+SWITCH(COUNTIF(P$4:P57,""Cursor_up""),4,0.1,0)*(ROW(P57)-4-COUNTIF(P$4"&amp;":P57,""Cursor"")-COUNTIF(P$4:P57,""*""&amp;""_up"")-2*COUNTIF(P$4:P57,""Sell_""&amp;""*"")+COUNTIF(P$4:P57,""Sell_Cursor"")-COUNTIF(P$4:P57,"""")))+(COUNTIF(P$4:P57,""Grandma"")-COUNTIF(P$4:P57,""Sell_Grandma""))*(1*2^(COUNTIF(P$4:P57,""Grandma_up"")+COUNTIF(P$4:"&amp;"P57,""Super_up"")))+(COUNTIF(P$4:P57,""Farm"")-COUNTIF(P$4:P57,""Sell_Farm""))*(8*2^COUNTIF(P$4:P57,""Farm_up""))*IF(COUNTIF(P$4:P57,""Super_up"")&gt;0,1+0.01*(COUNTIF(P$4:P57,""Grandma"")-COUNTIF(P$4:P57,""Sell_Grandma"")),1)+(COUNTIF(P$4:P57,""Mine"")-COUN"&amp;"TIF(P$4:P57,""Sell_Mine""))*((47*2^COUNTIF(P$4:P57,""Mine_up""))*IF(COUNTIF(P$4:P57,""Super_up"")&gt;1,1+0.005*(COUNTIF(P$4:P57,""Grandma"")-COUNTIF(P$4:P57,""Sell_Grandma"")),1))+(COUNTIF(P$4:P57,""Factory"")-COUNTIF(P$4:P57,""Sell_Factory""))*(260*2^COUNTI"&amp;"F(P$4:P57,""Factory_up""))))"),247.0)</f>
        <v>247</v>
      </c>
      <c r="S57" s="73">
        <f>IFERROR(__xludf.DUMMYFUNCTION("IF(COUNTA(P57:P147)=0,"""",IF(REGEXMATCH(INDEX(FILTER(P$4:P57,P$4:P57&lt;&gt;""""),ROWS(FILTER(P$4:P57,P$4:P57&lt;&gt;""""))),""^Sell_""),INDEX(FILTER(S$4:S56,P$4:P56&lt;&gt;""""),ROWS(FILTER(P$4:P56,P$4:P56&lt;&gt;""""))),$AD$5*(2^SWITCH(COUNTIF(P$4:P57,""Cursor_up""),0,0,1,1,2"&amp;",2,3)+SWITCH(COUNTIF(P$4:P57,""Cursor_up""),4,0.1,0)*(ROW(P57)-4-COUNTIF(P$4:P57,""Cursor"")-COUNTIF(P$4:P57,""*""&amp;""_up"")-2*COUNTIF(P$4:P57,""Sell_""&amp;""*"")+COUNTIF(P$4:P57,""Sell_Cursor"")-COUNTIF(P$4:P57,""""))+0.01*R57*COUNTIF(P$4:P57,""Plastic_up"")"&amp;")+R57))"),2341.0)</f>
        <v>2341</v>
      </c>
      <c r="T57" s="14">
        <f>IFERROR(__xludf.DUMMYFUNCTION("IF(COUNTA(P57:P147)=0,"""",IF(REGEXMATCH(P57,""_up""),VLOOKUP(P57,Upgrades!$F$3:$J$8,1+COUNTIF(P$4:P57,P57),FALSE),IF(P57="""",0,IF(REGEXMATCH(P57,""^Sell_""),-ROUNDDOWN(ROUNDUP(INDEX(Upgrades!$C$3:$C$8,MATCH(SUBSTITUTE(P57,""Sell_"",""""),Upgrades!$B$3:$"&amp;"B$8,0))*1.15^(COUNTIF(P$4:P56,SUBSTITUTE(P57,""Sell_"",""""))-COUNTIF(P$4:P56,""Sell_""&amp;SUBSTITUTE(P57,""Sell_"",""""))))/4),ROUNDUP(INDEX(Upgrades!$C$3:$C$7,MATCH(P57,Upgrades!$B$3:$B$7,0))*1.15^(COUNTIF(P$4:P56,P57)-COUNTIF(P$4:P56,""Sell_""&amp;P57)))))))"),2545.0)</f>
        <v>2545</v>
      </c>
      <c r="U57" s="14">
        <f t="shared" si="10"/>
        <v>2545</v>
      </c>
      <c r="V57" s="75">
        <f t="shared" si="11"/>
        <v>1852177.056</v>
      </c>
      <c r="W57" s="76">
        <f t="shared" si="12"/>
        <v>70.20518486</v>
      </c>
      <c r="X57" s="71" t="str">
        <f t="shared" si="13"/>
        <v>1m 10s</v>
      </c>
      <c r="Y57" s="77">
        <f t="shared" si="14"/>
        <v>110914</v>
      </c>
      <c r="Z57" s="17"/>
      <c r="AA57" s="13"/>
      <c r="AB57" s="13"/>
      <c r="AC57" s="13"/>
      <c r="AD57" s="13"/>
      <c r="AE57" s="13"/>
      <c r="AF57" s="13"/>
      <c r="AG57" s="13"/>
    </row>
    <row r="58">
      <c r="A58" s="12"/>
      <c r="B58" s="65">
        <f t="shared" si="2"/>
        <v>1</v>
      </c>
      <c r="C58" s="66" t="s">
        <v>17</v>
      </c>
      <c r="D58" s="14" t="b">
        <f>IFERROR(__xludf.DUMMYFUNCTION("IF(COUNTA(C58:C147)=0,"""",IFERROR(IF(ISBLANK(C58),FALSE,IF(ISBLANK(G58),1,IF(NOT(COUNTIF($AA$24:$AA$34,SUBSTITUTE(C58,""Sell_"",""""))),1,IF(C58=""Plastic_up"",IF(I58&lt;1000,1),IF(C58=""Super_Up"",IF(OR(COUNTIF(C$4:C58,""Grandma"")-COUNTIF(C$4:C58,""Sell_G"&amp;"randma"")&lt;1,COUNTIF(C$4:C58,VLOOKUP(C58,Upgrades!$F$8:$N$8,7+COUNTIF(C$4:C58,C58)))-COUNTIF(C$4:C58,""Sell_""&amp;VLOOKUP(C58,Upgrades!$F$8:$N$8,7+COUNTIF(C$4:C58,C58)))&lt;15),1),IF(REGEXMATCH(C58,""_up""),IF(COUNTIF(C$4:C58,SUBSTITUTE(C58,""_up"",""""))&lt;IFERRO"&amp;"R(VLOOKUP(C58,Upgrades!$L$3:$P$6,1+COUNTIF(C$4:C58,C58),0),999),1),IF(REGEXMATCH(C58,""Sell_""),IF(COUNTIF(C$4:C58,SUBSTITUTE(C58,""Sell_"",""""))-COUNTIF(C$4:C57,C58)&lt;1,1),FALSE)))))))))"),FALSE)</f>
        <v>0</v>
      </c>
      <c r="E58" s="71">
        <f>IFERROR(__xludf.DUMMYFUNCTION("IF(REGEXMATCH(C58,""^Sell_""),E57, IF(COUNTA(C58:C147)=0,"""",(COUNTIF(C$4:C58,""Cursor"")-COUNTIF(C$4:C58,""Sell_Cursor""))*(0.1*2^SWITCH(COUNTIF(C$4:C58,""Cursor_up""),0,0,1,1,2,2,3)+SWITCH(COUNTIF(C$4:C58,""Cursor_up""),4,0.1,0)*(ROW(C58)-4-COUNTIF(C$4"&amp;":C58,""Cursor"")-COUNTIF(C$4:C58,""*""&amp;""_up"")-2*COUNTIF(C$4:C58,""Sell_""&amp;""*"")+COUNTIF(C$4:C58,""Sell_Cursor"")-COUNTIF(C$4:C58,"""")))+(COUNTIF(C$4:C58,""Grandma"")-COUNTIF(C$4:C58,""Sell_Grandma""))*(1*2^(COUNTIF(C$4:C58,""Grandma_up"")+COUNTIF(C$4:"&amp;"C58,""Super_up"")))+(COUNTIF(C$4:C58,""Farm"")-COUNTIF(C$4:C58,""Sell_Farm""))*(8*2^COUNTIF(C$4:C58,""Farm_up""))*IF(COUNTIF(C$4:C58,""Super_up"")&gt;0,1+0.01*(COUNTIF(C$4:C58,""Grandma"")-COUNTIF(C$4:C58,""Sell_Grandma"")),1)+(COUNTIF(C$4:C58,""Mine"")-COUN"&amp;"TIF(C$4:C58,""Sell_Mine""))*((47*2^COUNTIF(C$4:C58,""Mine_up""))*IF(COUNTIF(C$4:C58,""Super_up"")&gt;1,1+0.005*(COUNTIF(C$4:C58,""Grandma"")-COUNTIF(C$4:C58,""Sell_Grandma"")),1))+(COUNTIF(C$4:C58,""Factory"")-COUNTIF(C$4:C58,""Sell_Factory""))*(260*2^COUNTI"&amp;"F(C$4:C58,""Factory_up""))))"),223.8)</f>
        <v>223.8</v>
      </c>
      <c r="F58" s="73">
        <f>IFERROR(__xludf.DUMMYFUNCTION("IF(COUNTA(C58:C147)=0,"""",IF(REGEXMATCH(INDEX(FILTER(C$4:C58,C$4:C58&lt;&gt;""""),ROWS(FILTER(C$4:C58,C$4:C58&lt;&gt;""""))),""^Sell_""),INDEX(FILTER(F$4:F57,C$4:C57&lt;&gt;""""),ROWS(FILTER(C$4:C57,C$4:C57&lt;&gt;""""))),$AC$5*(2^SWITCH(COUNTIF(C$4:C58,""Cursor_up""),0,0,1,1,2"&amp;",2,3)+SWITCH(COUNTIF(C$4:C58,""Cursor_up""),4,0.1,0)*(ROW(C58)-4-COUNTIF(C$4:C58,""Cursor"")-COUNTIF(C$4:C58,""*""&amp;""_up"")-2*COUNTIF(C$4:C58,""Sell_""&amp;""*"")+COUNTIF(C$4:C58,""Sell_Cursor"")-COUNTIF(C$4:C58,""""))+0.01*E58*COUNTIF(C$4:C58,""Plastic_up"")"&amp;")+E58))"),2271.4)</f>
        <v>2271.4</v>
      </c>
      <c r="G58" s="14">
        <f>IFERROR(__xludf.DUMMYFUNCTION("IF(COUNTA(C58:C147)=0,"""",IF(REGEXMATCH(C58,""_up""),VLOOKUP(C58,Upgrades!$F$3:$J$8,1+COUNTIF(C$4:C58,C58),FALSE),IF(C58="""",0,IF(REGEXMATCH(C58,""^Sell_""),-ROUNDDOWN(ROUNDUP(INDEX(Upgrades!$C$3:$C$8,MATCH(SUBSTITUTE(C58,""Sell_"",""""),Upgrades!$B$3:$"&amp;"B$8,0))*1.15^(COUNTIF(C$4:C57,SUBSTITUTE(C58,""Sell_"",""""))-COUNTIF(C$4:C57,""Sell_""&amp;SUBSTITUTE(C58,""Sell_"",""""))))/4),ROUNDUP(INDEX(Upgrades!$C$3:$C$7,MATCH(C58,Upgrades!$B$3:$B$7,0))*1.15^(COUNTIF(C$4:C57,C58)-COUNTIF(C$4:C57,""Sell_""&amp;C58)))))))"),11000.0)</f>
        <v>11000</v>
      </c>
      <c r="H58" s="14">
        <f t="shared" si="3"/>
        <v>11000</v>
      </c>
      <c r="I58" s="75">
        <f t="shared" si="4"/>
        <v>1487908.161</v>
      </c>
      <c r="J58" s="76">
        <f t="shared" si="5"/>
        <v>69.62119533</v>
      </c>
      <c r="K58" s="71" t="str">
        <f t="shared" si="6"/>
        <v>1m 09s</v>
      </c>
      <c r="L58" s="77">
        <f t="shared" si="7"/>
        <v>109064</v>
      </c>
      <c r="M58" s="51">
        <f t="shared" si="8"/>
        <v>-0.22281</v>
      </c>
      <c r="N58" s="52">
        <f>IFERROR(__xludf.DUMMYFUNCTION("IFS(AND(COUNTA(C58:C147)=0,COUNTA(P58:P147)=0),"""",OR(AND(L58&gt;=1000000,OR(Y58&gt;=1000000,COUNTA(P58:P147)=0)),AND(Y58&gt;=1000000,COUNTA(C58:C147)=0),AND(COUNTA(P58:P147)=0,O$3=TRUE)),
ROUNDDOWN((AB$1-AC$1)*MAX(INDEX(S$4:S147,MATCH(LARGE(FILTER(Y$4:Y147,Y$4:Y"&amp;"147&lt;1000000),1),Y$4:Y147)),INDEX(F$4:F147,MATCH(LARGE(FILTER(L$4:L147,L$4:L147&lt;1000000),1),L$4:L147)))),AND(L58&lt;1000000,COUNTA(C58:C147)&gt;0,O$3=FALSE),
ROUNDDOWN(INDEX(Y$4:Y147,MATCH(LARGE(FILTER(W$4:W147,W$4:W147&lt;=J58),1),W$4:W147))+(J58-LARGE(FILTER(W$4:"&amp;"W147,W$4:W147&lt;=J58),1))*INDEX(S$4:S147,MATCH(LARGE(FILTER(W$4:W147,W$4:W147&lt;=J58),1),W$4:W147))-L58),1,
ROUNDDOWN(Y58-INDEX(L$4:L147,MATCH(LARGE(FILTER(J$4:J147,J$4:J147&lt;=W58),1),J$4:J147))-(W58-LARGE(FILTER(J$4:J147,J$4:J147&lt;=W58),1))*INDEX(F$4:F147,MATC"&amp;"H(LARGE(FILTER(J$4:J147,J$4:J147&lt;=W58),1),J$4:J147))))"),510.0)</f>
        <v>510</v>
      </c>
      <c r="O58" s="65">
        <f t="shared" si="9"/>
        <v>8</v>
      </c>
      <c r="P58" s="15" t="s">
        <v>16</v>
      </c>
      <c r="Q58" s="14" t="b">
        <f>IFERROR(__xludf.DUMMYFUNCTION("IF(COUNTA(P58:P147)=0,"""",IFERROR(IF(ISBLANK(P58),FALSE,IF(ISBLANK(T58),1,IF(NOT(COUNTIF($AA$24:$AA$34,SUBSTITUTE(P58,""Sell_"",""""))),1,IF(P58=""Plastic_up"",IF(V58&lt;1000,1),IF(P58=""Super_Up"",IF(OR(COUNTIF(P$4:P58,""Grandma"")-COUNTIF(P$4:P58,""Sell_G"&amp;"randma"")&lt;1,COUNTIF(P$4:P58,VLOOKUP(P58,Upgrades!$F$8:$N$8,7+COUNTIF(P$4:P58,P58)))-COUNTIF(P$4:P58,""Sell_""&amp;VLOOKUP(P58,Upgrades!$F$8:$N$8,7+COUNTIF(P$4:P58,P58)))&lt;15),1),IF(REGEXMATCH(P58,""_up""),IF(COUNTIF(P$4:P58,SUBSTITUTE(P58,""_up"",""""))&lt;IFERRO"&amp;"R(VLOOKUP(P58,Upgrades!$L$3:$P$6,1+COUNTIF(P$4:P58,P58),0),999),1),IF(REGEXMATCH(P58,""Sell_""),IF(COUNTIF(P$4:P58,SUBSTITUTE(P58,""Sell_"",""""))-COUNTIF(P$4:P57,P58)&lt;1,1),FALSE)))))))))"),FALSE)</f>
        <v>0</v>
      </c>
      <c r="R58" s="71">
        <f>IFERROR(__xludf.DUMMYFUNCTION("IF(REGEXMATCH(P58,""^Sell_""),R57, IF(COUNTA(P58:P147)=0,"""",(COUNTIF(P$4:P58,""Cursor"")-COUNTIF(P$4:P58,""Sell_Cursor""))*(0.1*2^SWITCH(COUNTIF(P$4:P58,""Cursor_up""),0,0,1,1,2,2,3)+SWITCH(COUNTIF(P$4:P58,""Cursor_up""),4,0.1,0)*(ROW(P58)-4-COUNTIF(P$4"&amp;":P58,""Cursor"")-COUNTIF(P$4:P58,""*""&amp;""_up"")-2*COUNTIF(P$4:P58,""Sell_""&amp;""*"")+COUNTIF(P$4:P58,""Sell_Cursor"")-COUNTIF(P$4:P58,"""")))+(COUNTIF(P$4:P58,""Grandma"")-COUNTIF(P$4:P58,""Sell_Grandma""))*(1*2^(COUNTIF(P$4:P58,""Grandma_up"")+COUNTIF(P$4:"&amp;"P58,""Super_up"")))+(COUNTIF(P$4:P58,""Farm"")-COUNTIF(P$4:P58,""Sell_Farm""))*(8*2^COUNTIF(P$4:P58,""Farm_up""))*IF(COUNTIF(P$4:P58,""Super_up"")&gt;0,1+0.01*(COUNTIF(P$4:P58,""Grandma"")-COUNTIF(P$4:P58,""Sell_Grandma"")),1)+(COUNTIF(P$4:P58,""Mine"")-COUN"&amp;"TIF(P$4:P58,""Sell_Mine""))*((47*2^COUNTIF(P$4:P58,""Mine_up""))*IF(COUNTIF(P$4:P58,""Super_up"")&gt;1,1+0.005*(COUNTIF(P$4:P58,""Grandma"")-COUNTIF(P$4:P58,""Sell_Grandma"")),1))+(COUNTIF(P$4:P58,""Factory"")-COUNTIF(P$4:P58,""Sell_Factory""))*(260*2^COUNTI"&amp;"F(P$4:P58,""Factory_up""))))"),263.0)</f>
        <v>263</v>
      </c>
      <c r="S58" s="73">
        <f>IFERROR(__xludf.DUMMYFUNCTION("IF(COUNTA(P58:P147)=0,"""",IF(REGEXMATCH(INDEX(FILTER(P$4:P58,P$4:P58&lt;&gt;""""),ROWS(FILTER(P$4:P58,P$4:P58&lt;&gt;""""))),""^Sell_""),INDEX(FILTER(S$4:S57,P$4:P57&lt;&gt;""""),ROWS(FILTER(P$4:P57,P$4:P57&lt;&gt;""""))),$AD$5*(2^SWITCH(COUNTIF(P$4:P58,""Cursor_up""),0,0,1,1,2"&amp;",2,3)+SWITCH(COUNTIF(P$4:P58,""Cursor_up""),4,0.1,0)*(ROW(P58)-4-COUNTIF(P$4:P58,""Cursor"")-COUNTIF(P$4:P58,""*""&amp;""_up"")-2*COUNTIF(P$4:P58,""Sell_""&amp;""*"")+COUNTIF(P$4:P58,""Sell_Cursor"")-COUNTIF(P$4:P58,""""))+0.01*R58*COUNTIF(P$4:P58,""Plastic_up"")"&amp;")+R58))"),2389.0)</f>
        <v>2389</v>
      </c>
      <c r="T58" s="14">
        <f>IFERROR(__xludf.DUMMYFUNCTION("IF(COUNTA(P58:P147)=0,"""",IF(REGEXMATCH(P58,""_up""),VLOOKUP(P58,Upgrades!$F$3:$J$8,1+COUNTIF(P$4:P58,P58),FALSE),IF(P58="""",0,IF(REGEXMATCH(P58,""^Sell_""),-ROUNDDOWN(ROUNDUP(INDEX(Upgrades!$C$3:$C$8,MATCH(SUBSTITUTE(P58,""Sell_"",""""),Upgrades!$B$3:$"&amp;"B$8,0))*1.15^(COUNTIF(P$4:P57,SUBSTITUTE(P58,""Sell_"",""""))-COUNTIF(P$4:P57,""Sell_""&amp;SUBSTITUTE(P58,""Sell_"",""""))))/4),ROUNDUP(INDEX(Upgrades!$C$3:$C$7,MATCH(P58,Upgrades!$B$3:$B$7,0))*1.15^(COUNTIF(P$4:P57,P58)-COUNTIF(P$4:P57,""Sell_""&amp;P58)))))))"),2927.0)</f>
        <v>2927</v>
      </c>
      <c r="U58" s="14">
        <f t="shared" si="10"/>
        <v>2927</v>
      </c>
      <c r="V58" s="75">
        <f t="shared" si="11"/>
        <v>2001804.884</v>
      </c>
      <c r="W58" s="76">
        <f t="shared" si="12"/>
        <v>71.45550524</v>
      </c>
      <c r="X58" s="71" t="str">
        <f t="shared" si="13"/>
        <v>1m 11s</v>
      </c>
      <c r="Y58" s="77">
        <f t="shared" si="14"/>
        <v>113841</v>
      </c>
      <c r="Z58" s="17"/>
      <c r="AA58" s="13"/>
      <c r="AB58" s="13"/>
      <c r="AC58" s="13"/>
      <c r="AD58" s="13"/>
      <c r="AE58" s="13"/>
      <c r="AF58" s="13"/>
      <c r="AG58" s="13"/>
    </row>
    <row r="59">
      <c r="A59" s="12"/>
      <c r="B59" s="65">
        <f t="shared" si="2"/>
        <v>6</v>
      </c>
      <c r="C59" s="66" t="s">
        <v>16</v>
      </c>
      <c r="D59" s="14" t="b">
        <f>IFERROR(__xludf.DUMMYFUNCTION("IF(COUNTA(C59:C147)=0,"""",IFERROR(IF(ISBLANK(C59),FALSE,IF(ISBLANK(G59),1,IF(NOT(COUNTIF($AA$24:$AA$34,SUBSTITUTE(C59,""Sell_"",""""))),1,IF(C59=""Plastic_up"",IF(I59&lt;1000,1),IF(C59=""Super_Up"",IF(OR(COUNTIF(C$4:C59,""Grandma"")-COUNTIF(C$4:C59,""Sell_G"&amp;"randma"")&lt;1,COUNTIF(C$4:C59,VLOOKUP(C59,Upgrades!$F$8:$N$8,7+COUNTIF(C$4:C59,C59)))-COUNTIF(C$4:C59,""Sell_""&amp;VLOOKUP(C59,Upgrades!$F$8:$N$8,7+COUNTIF(C$4:C59,C59)))&lt;15),1),IF(REGEXMATCH(C59,""_up""),IF(COUNTIF(C$4:C59,SUBSTITUTE(C59,""_up"",""""))&lt;IFERRO"&amp;"R(VLOOKUP(C59,Upgrades!$L$3:$P$6,1+COUNTIF(C$4:C59,C59),0),999),1),IF(REGEXMATCH(C59,""Sell_""),IF(COUNTIF(C$4:C59,SUBSTITUTE(C59,""Sell_"",""""))-COUNTIF(C$4:C58,C59)&lt;1,1),FALSE)))))))))"),FALSE)</f>
        <v>0</v>
      </c>
      <c r="E59" s="71">
        <f>IFERROR(__xludf.DUMMYFUNCTION("IF(REGEXMATCH(C59,""^Sell_""),E58, IF(COUNTA(C59:C147)=0,"""",(COUNTIF(C$4:C59,""Cursor"")-COUNTIF(C$4:C59,""Sell_Cursor""))*(0.1*2^SWITCH(COUNTIF(C$4:C59,""Cursor_up""),0,0,1,1,2,2,3)+SWITCH(COUNTIF(C$4:C59,""Cursor_up""),4,0.1,0)*(ROW(C59)-4-COUNTIF(C$4"&amp;":C59,""Cursor"")-COUNTIF(C$4:C59,""*""&amp;""_up"")-2*COUNTIF(C$4:C59,""Sell_""&amp;""*"")+COUNTIF(C$4:C59,""Sell_Cursor"")-COUNTIF(C$4:C59,"""")))+(COUNTIF(C$4:C59,""Grandma"")-COUNTIF(C$4:C59,""Sell_Grandma""))*(1*2^(COUNTIF(C$4:C59,""Grandma_up"")+COUNTIF(C$4:"&amp;"C59,""Super_up"")))+(COUNTIF(C$4:C59,""Farm"")-COUNTIF(C$4:C59,""Sell_Farm""))*(8*2^COUNTIF(C$4:C59,""Farm_up""))*IF(COUNTIF(C$4:C59,""Super_up"")&gt;0,1+0.01*(COUNTIF(C$4:C59,""Grandma"")-COUNTIF(C$4:C59,""Sell_Grandma"")),1)+(COUNTIF(C$4:C59,""Mine"")-COUN"&amp;"TIF(C$4:C59,""Sell_Mine""))*((47*2^COUNTIF(C$4:C59,""Mine_up""))*IF(COUNTIF(C$4:C59,""Super_up"")&gt;1,1+0.005*(COUNTIF(C$4:C59,""Grandma"")-COUNTIF(C$4:C59,""Sell_Grandma"")),1))+(COUNTIF(C$4:C59,""Factory"")-COUNTIF(C$4:C59,""Sell_Factory""))*(260*2^COUNTI"&amp;"F(C$4:C59,""Factory_up""))))"),239.8)</f>
        <v>239.8</v>
      </c>
      <c r="F59" s="73">
        <f>IFERROR(__xludf.DUMMYFUNCTION("IF(COUNTA(C59:C147)=0,"""",IF(REGEXMATCH(INDEX(FILTER(C$4:C59,C$4:C59&lt;&gt;""""),ROWS(FILTER(C$4:C59,C$4:C59&lt;&gt;""""))),""^Sell_""),INDEX(FILTER(F$4:F58,C$4:C58&lt;&gt;""""),ROWS(FILTER(C$4:C58,C$4:C58&lt;&gt;""""))),$AC$5*(2^SWITCH(COUNTIF(C$4:C59,""Cursor_up""),0,0,1,1,2"&amp;",2,3)+SWITCH(COUNTIF(C$4:C59,""Cursor_up""),4,0.1,0)*(ROW(C59)-4-COUNTIF(C$4:C59,""Cursor"")-COUNTIF(C$4:C59,""*""&amp;""_up"")-2*COUNTIF(C$4:C59,""Sell_""&amp;""*"")+COUNTIF(C$4:C59,""Sell_Cursor"")-COUNTIF(C$4:C59,""""))+0.01*E59*COUNTIF(C$4:C59,""Plastic_up"")"&amp;")+E59))"),2319.4)</f>
        <v>2319.4</v>
      </c>
      <c r="G59" s="14">
        <f>IFERROR(__xludf.DUMMYFUNCTION("IF(COUNTA(C59:C147)=0,"""",IF(REGEXMATCH(C59,""_up""),VLOOKUP(C59,Upgrades!$F$3:$J$8,1+COUNTIF(C$4:C59,C59),FALSE),IF(C59="""",0,IF(REGEXMATCH(C59,""^Sell_""),-ROUNDDOWN(ROUNDUP(INDEX(Upgrades!$C$3:$C$8,MATCH(SUBSTITUTE(C59,""Sell_"",""""),Upgrades!$B$3:$"&amp;"B$8,0))*1.15^(COUNTIF(C$4:C58,SUBSTITUTE(C59,""Sell_"",""""))-COUNTIF(C$4:C58,""Sell_""&amp;SUBSTITUTE(C59,""Sell_"",""""))))/4),ROUNDUP(INDEX(Upgrades!$C$3:$C$7,MATCH(C59,Upgrades!$B$3:$B$7,0))*1.15^(COUNTIF(C$4:C58,C59)-COUNTIF(C$4:C58,""Sell_""&amp;C59)))))))"),2213.0)</f>
        <v>2213</v>
      </c>
      <c r="H59" s="14">
        <f t="shared" si="3"/>
        <v>2213</v>
      </c>
      <c r="I59" s="75">
        <f t="shared" si="4"/>
        <v>1632459.475</v>
      </c>
      <c r="J59" s="76">
        <f t="shared" si="5"/>
        <v>70.59548432</v>
      </c>
      <c r="K59" s="71" t="str">
        <f t="shared" si="6"/>
        <v>1m 10s</v>
      </c>
      <c r="L59" s="77">
        <f t="shared" si="7"/>
        <v>111277</v>
      </c>
      <c r="M59" s="51">
        <f t="shared" si="8"/>
        <v>-0.23523</v>
      </c>
      <c r="N59" s="52">
        <f>IFERROR(__xludf.DUMMYFUNCTION("IFS(AND(COUNTA(C59:C147)=0,COUNTA(P59:P147)=0),"""",OR(AND(L59&gt;=1000000,OR(Y59&gt;=1000000,COUNTA(P59:P147)=0)),AND(Y59&gt;=1000000,COUNTA(C59:C147)=0),AND(COUNTA(P59:P147)=0,O$3=TRUE)),
ROUNDDOWN((AB$1-AC$1)*MAX(INDEX(S$4:S147,MATCH(LARGE(FILTER(Y$4:Y147,Y$4:Y"&amp;"147&lt;1000000),1),Y$4:Y147)),INDEX(F$4:F147,MATCH(LARGE(FILTER(L$4:L147,L$4:L147&lt;1000000),1),L$4:L147)))),AND(L59&lt;1000000,COUNTA(C59:C147)&gt;0,O$3=FALSE),
ROUNDDOWN(INDEX(Y$4:Y147,MATCH(LARGE(FILTER(W$4:W147,W$4:W147&lt;=J59),1),W$4:W147))+(J59-LARGE(FILTER(W$4:"&amp;"W147,W$4:W147&lt;=J59),1))*INDEX(S$4:S147,MATCH(LARGE(FILTER(W$4:W147,W$4:W147&lt;=J59),1),W$4:W147))-L59),1,
ROUNDDOWN(Y59-INDEX(L$4:L147,MATCH(LARGE(FILTER(J$4:J147,J$4:J147&lt;=W59),1),J$4:J147))-(W59-LARGE(FILTER(J$4:J147,J$4:J147&lt;=W59),1))*INDEX(F$4:F147,MATC"&amp;"H(LARGE(FILTER(J$4:J147,J$4:J147&lt;=W59),1),J$4:J147))))"),550.0)</f>
        <v>550</v>
      </c>
      <c r="O59" s="65">
        <f t="shared" si="9"/>
        <v>9</v>
      </c>
      <c r="P59" s="15" t="s">
        <v>16</v>
      </c>
      <c r="Q59" s="14" t="b">
        <f>IFERROR(__xludf.DUMMYFUNCTION("IF(COUNTA(P59:P147)=0,"""",IFERROR(IF(ISBLANK(P59),FALSE,IF(ISBLANK(T59),1,IF(NOT(COUNTIF($AA$24:$AA$34,SUBSTITUTE(P59,""Sell_"",""""))),1,IF(P59=""Plastic_up"",IF(V59&lt;1000,1),IF(P59=""Super_Up"",IF(OR(COUNTIF(P$4:P59,""Grandma"")-COUNTIF(P$4:P59,""Sell_G"&amp;"randma"")&lt;1,COUNTIF(P$4:P59,VLOOKUP(P59,Upgrades!$F$8:$N$8,7+COUNTIF(P$4:P59,P59)))-COUNTIF(P$4:P59,""Sell_""&amp;VLOOKUP(P59,Upgrades!$F$8:$N$8,7+COUNTIF(P$4:P59,P59)))&lt;15),1),IF(REGEXMATCH(P59,""_up""),IF(COUNTIF(P$4:P59,SUBSTITUTE(P59,""_up"",""""))&lt;IFERRO"&amp;"R(VLOOKUP(P59,Upgrades!$L$3:$P$6,1+COUNTIF(P$4:P59,P59),0),999),1),IF(REGEXMATCH(P59,""Sell_""),IF(COUNTIF(P$4:P59,SUBSTITUTE(P59,""Sell_"",""""))-COUNTIF(P$4:P58,P59)&lt;1,1),FALSE)))))))))"),FALSE)</f>
        <v>0</v>
      </c>
      <c r="R59" s="71">
        <f>IFERROR(__xludf.DUMMYFUNCTION("IF(REGEXMATCH(P59,""^Sell_""),R58, IF(COUNTA(P59:P147)=0,"""",(COUNTIF(P$4:P59,""Cursor"")-COUNTIF(P$4:P59,""Sell_Cursor""))*(0.1*2^SWITCH(COUNTIF(P$4:P59,""Cursor_up""),0,0,1,1,2,2,3)+SWITCH(COUNTIF(P$4:P59,""Cursor_up""),4,0.1,0)*(ROW(P59)-4-COUNTIF(P$4"&amp;":P59,""Cursor"")-COUNTIF(P$4:P59,""*""&amp;""_up"")-2*COUNTIF(P$4:P59,""Sell_""&amp;""*"")+COUNTIF(P$4:P59,""Sell_Cursor"")-COUNTIF(P$4:P59,"""")))+(COUNTIF(P$4:P59,""Grandma"")-COUNTIF(P$4:P59,""Sell_Grandma""))*(1*2^(COUNTIF(P$4:P59,""Grandma_up"")+COUNTIF(P$4:"&amp;"P59,""Super_up"")))+(COUNTIF(P$4:P59,""Farm"")-COUNTIF(P$4:P59,""Sell_Farm""))*(8*2^COUNTIF(P$4:P59,""Farm_up""))*IF(COUNTIF(P$4:P59,""Super_up"")&gt;0,1+0.01*(COUNTIF(P$4:P59,""Grandma"")-COUNTIF(P$4:P59,""Sell_Grandma"")),1)+(COUNTIF(P$4:P59,""Mine"")-COUN"&amp;"TIF(P$4:P59,""Sell_Mine""))*((47*2^COUNTIF(P$4:P59,""Mine_up""))*IF(COUNTIF(P$4:P59,""Super_up"")&gt;1,1+0.005*(COUNTIF(P$4:P59,""Grandma"")-COUNTIF(P$4:P59,""Sell_Grandma"")),1))+(COUNTIF(P$4:P59,""Factory"")-COUNTIF(P$4:P59,""Sell_Factory""))*(260*2^COUNTI"&amp;"F(P$4:P59,""Factory_up""))))"),279.0)</f>
        <v>279</v>
      </c>
      <c r="S59" s="73">
        <f>IFERROR(__xludf.DUMMYFUNCTION("IF(COUNTA(P59:P147)=0,"""",IF(REGEXMATCH(INDEX(FILTER(P$4:P59,P$4:P59&lt;&gt;""""),ROWS(FILTER(P$4:P59,P$4:P59&lt;&gt;""""))),""^Sell_""),INDEX(FILTER(S$4:S58,P$4:P58&lt;&gt;""""),ROWS(FILTER(P$4:P58,P$4:P58&lt;&gt;""""))),$AD$5*(2^SWITCH(COUNTIF(P$4:P59,""Cursor_up""),0,0,1,1,2"&amp;",2,3)+SWITCH(COUNTIF(P$4:P59,""Cursor_up""),4,0.1,0)*(ROW(P59)-4-COUNTIF(P$4:P59,""Cursor"")-COUNTIF(P$4:P59,""*""&amp;""_up"")-2*COUNTIF(P$4:P59,""Sell_""&amp;""*"")+COUNTIF(P$4:P59,""Sell_Cursor"")-COUNTIF(P$4:P59,""""))+0.01*R59*COUNTIF(P$4:P59,""Plastic_up"")"&amp;")+R59))"),2437.0)</f>
        <v>2437</v>
      </c>
      <c r="T59" s="14">
        <f>IFERROR(__xludf.DUMMYFUNCTION("IF(COUNTA(P59:P147)=0,"""",IF(REGEXMATCH(P59,""_up""),VLOOKUP(P59,Upgrades!$F$3:$J$8,1+COUNTIF(P$4:P59,P59),FALSE),IF(P59="""",0,IF(REGEXMATCH(P59,""^Sell_""),-ROUNDDOWN(ROUNDUP(INDEX(Upgrades!$C$3:$C$8,MATCH(SUBSTITUTE(P59,""Sell_"",""""),Upgrades!$B$3:$"&amp;"B$8,0))*1.15^(COUNTIF(P$4:P58,SUBSTITUTE(P59,""Sell_"",""""))-COUNTIF(P$4:P58,""Sell_""&amp;SUBSTITUTE(P59,""Sell_"",""""))))/4),ROUNDUP(INDEX(Upgrades!$C$3:$C$7,MATCH(P59,Upgrades!$B$3:$B$7,0))*1.15^(COUNTIF(P$4:P58,P59)-COUNTIF(P$4:P58,""Sell_""&amp;P59)))))))"),3365.0)</f>
        <v>3365</v>
      </c>
      <c r="U59" s="14">
        <f t="shared" si="10"/>
        <v>3365</v>
      </c>
      <c r="V59" s="75">
        <f t="shared" si="11"/>
        <v>2156713.843</v>
      </c>
      <c r="W59" s="76">
        <f t="shared" si="12"/>
        <v>72.86404437</v>
      </c>
      <c r="X59" s="71" t="str">
        <f t="shared" si="13"/>
        <v>1m 12s</v>
      </c>
      <c r="Y59" s="77">
        <f t="shared" si="14"/>
        <v>117206</v>
      </c>
      <c r="Z59" s="17"/>
      <c r="AA59" s="13"/>
      <c r="AB59" s="13"/>
      <c r="AC59" s="13"/>
      <c r="AD59" s="13"/>
      <c r="AE59" s="13"/>
      <c r="AF59" s="13"/>
      <c r="AG59" s="13"/>
    </row>
    <row r="60">
      <c r="A60" s="12"/>
      <c r="B60" s="65">
        <f t="shared" si="2"/>
        <v>7</v>
      </c>
      <c r="C60" s="66" t="s">
        <v>16</v>
      </c>
      <c r="D60" s="14" t="b">
        <f>IFERROR(__xludf.DUMMYFUNCTION("IF(COUNTA(C60:C147)=0,"""",IFERROR(IF(ISBLANK(C60),FALSE,IF(ISBLANK(G60),1,IF(NOT(COUNTIF($AA$24:$AA$34,SUBSTITUTE(C60,""Sell_"",""""))),1,IF(C60=""Plastic_up"",IF(I60&lt;1000,1),IF(C60=""Super_Up"",IF(OR(COUNTIF(C$4:C60,""Grandma"")-COUNTIF(C$4:C60,""Sell_G"&amp;"randma"")&lt;1,COUNTIF(C$4:C60,VLOOKUP(C60,Upgrades!$F$8:$N$8,7+COUNTIF(C$4:C60,C60)))-COUNTIF(C$4:C60,""Sell_""&amp;VLOOKUP(C60,Upgrades!$F$8:$N$8,7+COUNTIF(C$4:C60,C60)))&lt;15),1),IF(REGEXMATCH(C60,""_up""),IF(COUNTIF(C$4:C60,SUBSTITUTE(C60,""_up"",""""))&lt;IFERRO"&amp;"R(VLOOKUP(C60,Upgrades!$L$3:$P$6,1+COUNTIF(C$4:C60,C60),0),999),1),IF(REGEXMATCH(C60,""Sell_""),IF(COUNTIF(C$4:C60,SUBSTITUTE(C60,""Sell_"",""""))-COUNTIF(C$4:C59,C60)&lt;1,1),FALSE)))))))))"),FALSE)</f>
        <v>0</v>
      </c>
      <c r="E60" s="71">
        <f>IFERROR(__xludf.DUMMYFUNCTION("IF(REGEXMATCH(C60,""^Sell_""),E59, IF(COUNTA(C60:C147)=0,"""",(COUNTIF(C$4:C60,""Cursor"")-COUNTIF(C$4:C60,""Sell_Cursor""))*(0.1*2^SWITCH(COUNTIF(C$4:C60,""Cursor_up""),0,0,1,1,2,2,3)+SWITCH(COUNTIF(C$4:C60,""Cursor_up""),4,0.1,0)*(ROW(C60)-4-COUNTIF(C$4"&amp;":C60,""Cursor"")-COUNTIF(C$4:C60,""*""&amp;""_up"")-2*COUNTIF(C$4:C60,""Sell_""&amp;""*"")+COUNTIF(C$4:C60,""Sell_Cursor"")-COUNTIF(C$4:C60,"""")))+(COUNTIF(C$4:C60,""Grandma"")-COUNTIF(C$4:C60,""Sell_Grandma""))*(1*2^(COUNTIF(C$4:C60,""Grandma_up"")+COUNTIF(C$4:"&amp;"C60,""Super_up"")))+(COUNTIF(C$4:C60,""Farm"")-COUNTIF(C$4:C60,""Sell_Farm""))*(8*2^COUNTIF(C$4:C60,""Farm_up""))*IF(COUNTIF(C$4:C60,""Super_up"")&gt;0,1+0.01*(COUNTIF(C$4:C60,""Grandma"")-COUNTIF(C$4:C60,""Sell_Grandma"")),1)+(COUNTIF(C$4:C60,""Mine"")-COUN"&amp;"TIF(C$4:C60,""Sell_Mine""))*((47*2^COUNTIF(C$4:C60,""Mine_up""))*IF(COUNTIF(C$4:C60,""Super_up"")&gt;1,1+0.005*(COUNTIF(C$4:C60,""Grandma"")-COUNTIF(C$4:C60,""Sell_Grandma"")),1))+(COUNTIF(C$4:C60,""Factory"")-COUNTIF(C$4:C60,""Sell_Factory""))*(260*2^COUNTI"&amp;"F(C$4:C60,""Factory_up""))))"),255.8)</f>
        <v>255.8</v>
      </c>
      <c r="F60" s="73">
        <f>IFERROR(__xludf.DUMMYFUNCTION("IF(COUNTA(C60:C147)=0,"""",IF(REGEXMATCH(INDEX(FILTER(C$4:C60,C$4:C60&lt;&gt;""""),ROWS(FILTER(C$4:C60,C$4:C60&lt;&gt;""""))),""^Sell_""),INDEX(FILTER(F$4:F59,C$4:C59&lt;&gt;""""),ROWS(FILTER(C$4:C59,C$4:C59&lt;&gt;""""))),$AC$5*(2^SWITCH(COUNTIF(C$4:C60,""Cursor_up""),0,0,1,1,2"&amp;",2,3)+SWITCH(COUNTIF(C$4:C60,""Cursor_up""),4,0.1,0)*(ROW(C60)-4-COUNTIF(C$4:C60,""Cursor"")-COUNTIF(C$4:C60,""*""&amp;""_up"")-2*COUNTIF(C$4:C60,""Sell_""&amp;""*"")+COUNTIF(C$4:C60,""Sell_Cursor"")-COUNTIF(C$4:C60,""""))+0.01*E60*COUNTIF(C$4:C60,""Plastic_up"")"&amp;")+E60))"),2367.4)</f>
        <v>2367.4</v>
      </c>
      <c r="G60" s="14">
        <f>IFERROR(__xludf.DUMMYFUNCTION("IF(COUNTA(C60:C147)=0,"""",IF(REGEXMATCH(C60,""_up""),VLOOKUP(C60,Upgrades!$F$3:$J$8,1+COUNTIF(C$4:C60,C60),FALSE),IF(C60="""",0,IF(REGEXMATCH(C60,""^Sell_""),-ROUNDDOWN(ROUNDUP(INDEX(Upgrades!$C$3:$C$8,MATCH(SUBSTITUTE(C60,""Sell_"",""""),Upgrades!$B$3:$"&amp;"B$8,0))*1.15^(COUNTIF(C$4:C59,SUBSTITUTE(C60,""Sell_"",""""))-COUNTIF(C$4:C59,""Sell_""&amp;SUBSTITUTE(C60,""Sell_"",""""))))/4),ROUNDUP(INDEX(Upgrades!$C$3:$C$7,MATCH(C60,Upgrades!$B$3:$B$7,0))*1.15^(COUNTIF(C$4:C59,C60)-COUNTIF(C$4:C59,""Sell_""&amp;C60)))))))"),2545.0)</f>
        <v>2545</v>
      </c>
      <c r="H60" s="14">
        <f t="shared" si="3"/>
        <v>2545</v>
      </c>
      <c r="I60" s="75">
        <f t="shared" si="4"/>
        <v>1781551.72</v>
      </c>
      <c r="J60" s="76">
        <f t="shared" si="5"/>
        <v>71.69275085</v>
      </c>
      <c r="K60" s="71" t="str">
        <f t="shared" si="6"/>
        <v>1m 11s</v>
      </c>
      <c r="L60" s="77">
        <f t="shared" si="7"/>
        <v>113822</v>
      </c>
      <c r="M60" s="51">
        <f t="shared" si="8"/>
        <v>-0.24536</v>
      </c>
      <c r="N60" s="52">
        <f>IFERROR(__xludf.DUMMYFUNCTION("IFS(AND(COUNTA(C60:C147)=0,COUNTA(P60:P147)=0),"""",OR(AND(L60&gt;=1000000,OR(Y60&gt;=1000000,COUNTA(P60:P147)=0)),AND(Y60&gt;=1000000,COUNTA(C60:C147)=0),AND(COUNTA(P60:P147)=0,O$3=TRUE)),
ROUNDDOWN((AB$1-AC$1)*MAX(INDEX(S$4:S147,MATCH(LARGE(FILTER(Y$4:Y147,Y$4:Y"&amp;"147&lt;1000000),1),Y$4:Y147)),INDEX(F$4:F147,MATCH(LARGE(FILTER(L$4:L147,L$4:L147&lt;1000000),1),L$4:L147)))),AND(L60&lt;1000000,COUNTA(C60:C147)&gt;0,O$3=FALSE),
ROUNDDOWN(INDEX(Y$4:Y147,MATCH(LARGE(FILTER(W$4:W147,W$4:W147&lt;=J60),1),W$4:W147))+(J60-LARGE(FILTER(W$4:"&amp;"W147,W$4:W147&lt;=J60),1))*INDEX(S$4:S147,MATCH(LARGE(FILTER(W$4:W147,W$4:W147&lt;=J60),1),W$4:W147))-L60),1,
ROUNDDOWN(Y60-INDEX(L$4:L147,MATCH(LARGE(FILTER(J$4:J147,J$4:J147&lt;=W60),1),J$4:J147))-(W60-LARGE(FILTER(J$4:J147,J$4:J147&lt;=W60),1))*INDEX(F$4:F147,MATC"&amp;"H(LARGE(FILTER(J$4:J147,J$4:J147&lt;=W60),1),J$4:J147))))"),585.0)</f>
        <v>585</v>
      </c>
      <c r="O60" s="65">
        <f t="shared" si="9"/>
        <v>10</v>
      </c>
      <c r="P60" s="15" t="s">
        <v>16</v>
      </c>
      <c r="Q60" s="14" t="b">
        <f>IFERROR(__xludf.DUMMYFUNCTION("IF(COUNTA(P60:P147)=0,"""",IFERROR(IF(ISBLANK(P60),FALSE,IF(ISBLANK(T60),1,IF(NOT(COUNTIF($AA$24:$AA$34,SUBSTITUTE(P60,""Sell_"",""""))),1,IF(P60=""Plastic_up"",IF(V60&lt;1000,1),IF(P60=""Super_Up"",IF(OR(COUNTIF(P$4:P60,""Grandma"")-COUNTIF(P$4:P60,""Sell_G"&amp;"randma"")&lt;1,COUNTIF(P$4:P60,VLOOKUP(P60,Upgrades!$F$8:$N$8,7+COUNTIF(P$4:P60,P60)))-COUNTIF(P$4:P60,""Sell_""&amp;VLOOKUP(P60,Upgrades!$F$8:$N$8,7+COUNTIF(P$4:P60,P60)))&lt;15),1),IF(REGEXMATCH(P60,""_up""),IF(COUNTIF(P$4:P60,SUBSTITUTE(P60,""_up"",""""))&lt;IFERRO"&amp;"R(VLOOKUP(P60,Upgrades!$L$3:$P$6,1+COUNTIF(P$4:P60,P60),0),999),1),IF(REGEXMATCH(P60,""Sell_""),IF(COUNTIF(P$4:P60,SUBSTITUTE(P60,""Sell_"",""""))-COUNTIF(P$4:P59,P60)&lt;1,1),FALSE)))))))))"),FALSE)</f>
        <v>0</v>
      </c>
      <c r="R60" s="71">
        <f>IFERROR(__xludf.DUMMYFUNCTION("IF(REGEXMATCH(P60,""^Sell_""),R59, IF(COUNTA(P60:P147)=0,"""",(COUNTIF(P$4:P60,""Cursor"")-COUNTIF(P$4:P60,""Sell_Cursor""))*(0.1*2^SWITCH(COUNTIF(P$4:P60,""Cursor_up""),0,0,1,1,2,2,3)+SWITCH(COUNTIF(P$4:P60,""Cursor_up""),4,0.1,0)*(ROW(P60)-4-COUNTIF(P$4"&amp;":P60,""Cursor"")-COUNTIF(P$4:P60,""*""&amp;""_up"")-2*COUNTIF(P$4:P60,""Sell_""&amp;""*"")+COUNTIF(P$4:P60,""Sell_Cursor"")-COUNTIF(P$4:P60,"""")))+(COUNTIF(P$4:P60,""Grandma"")-COUNTIF(P$4:P60,""Sell_Grandma""))*(1*2^(COUNTIF(P$4:P60,""Grandma_up"")+COUNTIF(P$4:"&amp;"P60,""Super_up"")))+(COUNTIF(P$4:P60,""Farm"")-COUNTIF(P$4:P60,""Sell_Farm""))*(8*2^COUNTIF(P$4:P60,""Farm_up""))*IF(COUNTIF(P$4:P60,""Super_up"")&gt;0,1+0.01*(COUNTIF(P$4:P60,""Grandma"")-COUNTIF(P$4:P60,""Sell_Grandma"")),1)+(COUNTIF(P$4:P60,""Mine"")-COUN"&amp;"TIF(P$4:P60,""Sell_Mine""))*((47*2^COUNTIF(P$4:P60,""Mine_up""))*IF(COUNTIF(P$4:P60,""Super_up"")&gt;1,1+0.005*(COUNTIF(P$4:P60,""Grandma"")-COUNTIF(P$4:P60,""Sell_Grandma"")),1))+(COUNTIF(P$4:P60,""Factory"")-COUNTIF(P$4:P60,""Sell_Factory""))*(260*2^COUNTI"&amp;"F(P$4:P60,""Factory_up""))))"),295.0)</f>
        <v>295</v>
      </c>
      <c r="S60" s="73">
        <f>IFERROR(__xludf.DUMMYFUNCTION("IF(COUNTA(P60:P147)=0,"""",IF(REGEXMATCH(INDEX(FILTER(P$4:P60,P$4:P60&lt;&gt;""""),ROWS(FILTER(P$4:P60,P$4:P60&lt;&gt;""""))),""^Sell_""),INDEX(FILTER(S$4:S59,P$4:P59&lt;&gt;""""),ROWS(FILTER(P$4:P59,P$4:P59&lt;&gt;""""))),$AD$5*(2^SWITCH(COUNTIF(P$4:P60,""Cursor_up""),0,0,1,1,2"&amp;",2,3)+SWITCH(COUNTIF(P$4:P60,""Cursor_up""),4,0.1,0)*(ROW(P60)-4-COUNTIF(P$4:P60,""Cursor"")-COUNTIF(P$4:P60,""*""&amp;""_up"")-2*COUNTIF(P$4:P60,""Sell_""&amp;""*"")+COUNTIF(P$4:P60,""Sell_Cursor"")-COUNTIF(P$4:P60,""""))+0.01*R60*COUNTIF(P$4:P60,""Plastic_up"")"&amp;")+R60))"),2485.0)</f>
        <v>2485</v>
      </c>
      <c r="T60" s="14">
        <f>IFERROR(__xludf.DUMMYFUNCTION("IF(COUNTA(P60:P147)=0,"""",IF(REGEXMATCH(P60,""_up""),VLOOKUP(P60,Upgrades!$F$3:$J$8,1+COUNTIF(P$4:P60,P60),FALSE),IF(P60="""",0,IF(REGEXMATCH(P60,""^Sell_""),-ROUNDDOWN(ROUNDUP(INDEX(Upgrades!$C$3:$C$8,MATCH(SUBSTITUTE(P60,""Sell_"",""""),Upgrades!$B$3:$"&amp;"B$8,0))*1.15^(COUNTIF(P$4:P59,SUBSTITUTE(P60,""Sell_"",""""))-COUNTIF(P$4:P59,""Sell_""&amp;SUBSTITUTE(P60,""Sell_"",""""))))/4),ROUNDUP(INDEX(Upgrades!$C$3:$C$7,MATCH(P60,Upgrades!$B$3:$B$7,0))*1.15^(COUNTIF(P$4:P59,P60)-COUNTIF(P$4:P59,""Sell_""&amp;P60)))))))"),3870.0)</f>
        <v>3870</v>
      </c>
      <c r="U60" s="14">
        <f t="shared" si="10"/>
        <v>3870</v>
      </c>
      <c r="V60" s="75">
        <f t="shared" si="11"/>
        <v>2317381.393</v>
      </c>
      <c r="W60" s="76">
        <f t="shared" si="12"/>
        <v>74.45206243</v>
      </c>
      <c r="X60" s="71" t="str">
        <f t="shared" si="13"/>
        <v>1m 14s</v>
      </c>
      <c r="Y60" s="77">
        <f t="shared" si="14"/>
        <v>121076</v>
      </c>
      <c r="Z60" s="17"/>
      <c r="AA60" s="13"/>
      <c r="AB60" s="13"/>
      <c r="AC60" s="13"/>
      <c r="AD60" s="13"/>
      <c r="AE60" s="13"/>
      <c r="AF60" s="13"/>
      <c r="AG60" s="13"/>
    </row>
    <row r="61">
      <c r="A61" s="12"/>
      <c r="B61" s="65">
        <f t="shared" si="2"/>
        <v>8</v>
      </c>
      <c r="C61" s="66" t="s">
        <v>16</v>
      </c>
      <c r="D61" s="14" t="b">
        <f>IFERROR(__xludf.DUMMYFUNCTION("IF(COUNTA(C61:C147)=0,"""",IFERROR(IF(ISBLANK(C61),FALSE,IF(ISBLANK(G61),1,IF(NOT(COUNTIF($AA$24:$AA$34,SUBSTITUTE(C61,""Sell_"",""""))),1,IF(C61=""Plastic_up"",IF(I61&lt;1000,1),IF(C61=""Super_Up"",IF(OR(COUNTIF(C$4:C61,""Grandma"")-COUNTIF(C$4:C61,""Sell_G"&amp;"randma"")&lt;1,COUNTIF(C$4:C61,VLOOKUP(C61,Upgrades!$F$8:$N$8,7+COUNTIF(C$4:C61,C61)))-COUNTIF(C$4:C61,""Sell_""&amp;VLOOKUP(C61,Upgrades!$F$8:$N$8,7+COUNTIF(C$4:C61,C61)))&lt;15),1),IF(REGEXMATCH(C61,""_up""),IF(COUNTIF(C$4:C61,SUBSTITUTE(C61,""_up"",""""))&lt;IFERRO"&amp;"R(VLOOKUP(C61,Upgrades!$L$3:$P$6,1+COUNTIF(C$4:C61,C61),0),999),1),IF(REGEXMATCH(C61,""Sell_""),IF(COUNTIF(C$4:C61,SUBSTITUTE(C61,""Sell_"",""""))-COUNTIF(C$4:C60,C61)&lt;1,1),FALSE)))))))))"),FALSE)</f>
        <v>0</v>
      </c>
      <c r="E61" s="71">
        <f>IFERROR(__xludf.DUMMYFUNCTION("IF(REGEXMATCH(C61,""^Sell_""),E60, IF(COUNTA(C61:C147)=0,"""",(COUNTIF(C$4:C61,""Cursor"")-COUNTIF(C$4:C61,""Sell_Cursor""))*(0.1*2^SWITCH(COUNTIF(C$4:C61,""Cursor_up""),0,0,1,1,2,2,3)+SWITCH(COUNTIF(C$4:C61,""Cursor_up""),4,0.1,0)*(ROW(C61)-4-COUNTIF(C$4"&amp;":C61,""Cursor"")-COUNTIF(C$4:C61,""*""&amp;""_up"")-2*COUNTIF(C$4:C61,""Sell_""&amp;""*"")+COUNTIF(C$4:C61,""Sell_Cursor"")-COUNTIF(C$4:C61,"""")))+(COUNTIF(C$4:C61,""Grandma"")-COUNTIF(C$4:C61,""Sell_Grandma""))*(1*2^(COUNTIF(C$4:C61,""Grandma_up"")+COUNTIF(C$4:"&amp;"C61,""Super_up"")))+(COUNTIF(C$4:C61,""Farm"")-COUNTIF(C$4:C61,""Sell_Farm""))*(8*2^COUNTIF(C$4:C61,""Farm_up""))*IF(COUNTIF(C$4:C61,""Super_up"")&gt;0,1+0.01*(COUNTIF(C$4:C61,""Grandma"")-COUNTIF(C$4:C61,""Sell_Grandma"")),1)+(COUNTIF(C$4:C61,""Mine"")-COUN"&amp;"TIF(C$4:C61,""Sell_Mine""))*((47*2^COUNTIF(C$4:C61,""Mine_up""))*IF(COUNTIF(C$4:C61,""Super_up"")&gt;1,1+0.005*(COUNTIF(C$4:C61,""Grandma"")-COUNTIF(C$4:C61,""Sell_Grandma"")),1))+(COUNTIF(C$4:C61,""Factory"")-COUNTIF(C$4:C61,""Sell_Factory""))*(260*2^COUNTI"&amp;"F(C$4:C61,""Factory_up""))))"),271.8)</f>
        <v>271.8</v>
      </c>
      <c r="F61" s="73">
        <f>IFERROR(__xludf.DUMMYFUNCTION("IF(COUNTA(C61:C147)=0,"""",IF(REGEXMATCH(INDEX(FILTER(C$4:C61,C$4:C61&lt;&gt;""""),ROWS(FILTER(C$4:C61,C$4:C61&lt;&gt;""""))),""^Sell_""),INDEX(FILTER(F$4:F60,C$4:C60&lt;&gt;""""),ROWS(FILTER(C$4:C60,C$4:C60&lt;&gt;""""))),$AC$5*(2^SWITCH(COUNTIF(C$4:C61,""Cursor_up""),0,0,1,1,2"&amp;",2,3)+SWITCH(COUNTIF(C$4:C61,""Cursor_up""),4,0.1,0)*(ROW(C61)-4-COUNTIF(C$4:C61,""Cursor"")-COUNTIF(C$4:C61,""*""&amp;""_up"")-2*COUNTIF(C$4:C61,""Sell_""&amp;""*"")+COUNTIF(C$4:C61,""Sell_Cursor"")-COUNTIF(C$4:C61,""""))+0.01*E61*COUNTIF(C$4:C61,""Plastic_up"")"&amp;")+E61))"),2415.4)</f>
        <v>2415.4</v>
      </c>
      <c r="G61" s="14">
        <f>IFERROR(__xludf.DUMMYFUNCTION("IF(COUNTA(C61:C147)=0,"""",IF(REGEXMATCH(C61,""_up""),VLOOKUP(C61,Upgrades!$F$3:$J$8,1+COUNTIF(C$4:C61,C61),FALSE),IF(C61="""",0,IF(REGEXMATCH(C61,""^Sell_""),-ROUNDDOWN(ROUNDUP(INDEX(Upgrades!$C$3:$C$8,MATCH(SUBSTITUTE(C61,""Sell_"",""""),Upgrades!$B$3:$"&amp;"B$8,0))*1.15^(COUNTIF(C$4:C60,SUBSTITUTE(C61,""Sell_"",""""))-COUNTIF(C$4:C60,""Sell_""&amp;SUBSTITUTE(C61,""Sell_"",""""))))/4),ROUNDUP(INDEX(Upgrades!$C$3:$C$7,MATCH(C61,Upgrades!$B$3:$B$7,0))*1.15^(COUNTIF(C$4:C60,C61)-COUNTIF(C$4:C60,""Sell_""&amp;C61)))))))"),2927.0)</f>
        <v>2927</v>
      </c>
      <c r="H61" s="14">
        <f t="shared" si="3"/>
        <v>2927</v>
      </c>
      <c r="I61" s="75">
        <f t="shared" si="4"/>
        <v>1935548.867</v>
      </c>
      <c r="J61" s="76">
        <f t="shared" si="5"/>
        <v>72.92912831</v>
      </c>
      <c r="K61" s="71" t="str">
        <f t="shared" si="6"/>
        <v>1m 12s</v>
      </c>
      <c r="L61" s="77">
        <f t="shared" si="7"/>
        <v>116749</v>
      </c>
      <c r="M61" s="51">
        <f t="shared" si="8"/>
        <v>-0.25637</v>
      </c>
      <c r="N61" s="52">
        <f>IFERROR(__xludf.DUMMYFUNCTION("IFS(AND(COUNTA(C61:C147)=0,COUNTA(P61:P147)=0),"""",OR(AND(L61&gt;=1000000,OR(Y61&gt;=1000000,COUNTA(P61:P147)=0)),AND(Y61&gt;=1000000,COUNTA(C61:C147)=0),AND(COUNTA(P61:P147)=0,O$3=TRUE)),
ROUNDDOWN((AB$1-AC$1)*MAX(INDEX(S$4:S147,MATCH(LARGE(FILTER(Y$4:Y147,Y$4:Y"&amp;"147&lt;1000000),1),Y$4:Y147)),INDEX(F$4:F147,MATCH(LARGE(FILTER(L$4:L147,L$4:L147&lt;1000000),1),L$4:L147)))),AND(L61&lt;1000000,COUNTA(C61:C147)&gt;0,O$3=FALSE),
ROUNDDOWN(INDEX(Y$4:Y147,MATCH(LARGE(FILTER(W$4:W147,W$4:W147&lt;=J61),1),W$4:W147))+(J61-LARGE(FILTER(W$4:"&amp;"W147,W$4:W147&lt;=J61),1))*INDEX(S$4:S147,MATCH(LARGE(FILTER(W$4:W147,W$4:W147&lt;=J61),1),W$4:W147))-L61),1,
ROUNDDOWN(Y61-INDEX(L$4:L147,MATCH(LARGE(FILTER(J$4:J147,J$4:J147&lt;=W61),1),J$4:J147))-(W61-LARGE(FILTER(J$4:J147,J$4:J147&lt;=W61),1))*INDEX(F$4:F147,MATC"&amp;"H(LARGE(FILTER(J$4:J147,J$4:J147&lt;=W61),1),J$4:J147))))"),615.0)</f>
        <v>615</v>
      </c>
      <c r="O61" s="65">
        <f t="shared" si="9"/>
        <v>11</v>
      </c>
      <c r="P61" s="15" t="s">
        <v>16</v>
      </c>
      <c r="Q61" s="14" t="b">
        <f>IFERROR(__xludf.DUMMYFUNCTION("IF(COUNTA(P61:P147)=0,"""",IFERROR(IF(ISBLANK(P61),FALSE,IF(ISBLANK(T61),1,IF(NOT(COUNTIF($AA$24:$AA$34,SUBSTITUTE(P61,""Sell_"",""""))),1,IF(P61=""Plastic_up"",IF(V61&lt;1000,1),IF(P61=""Super_Up"",IF(OR(COUNTIF(P$4:P61,""Grandma"")-COUNTIF(P$4:P61,""Sell_G"&amp;"randma"")&lt;1,COUNTIF(P$4:P61,VLOOKUP(P61,Upgrades!$F$8:$N$8,7+COUNTIF(P$4:P61,P61)))-COUNTIF(P$4:P61,""Sell_""&amp;VLOOKUP(P61,Upgrades!$F$8:$N$8,7+COUNTIF(P$4:P61,P61)))&lt;15),1),IF(REGEXMATCH(P61,""_up""),IF(COUNTIF(P$4:P61,SUBSTITUTE(P61,""_up"",""""))&lt;IFERRO"&amp;"R(VLOOKUP(P61,Upgrades!$L$3:$P$6,1+COUNTIF(P$4:P61,P61),0),999),1),IF(REGEXMATCH(P61,""Sell_""),IF(COUNTIF(P$4:P61,SUBSTITUTE(P61,""Sell_"",""""))-COUNTIF(P$4:P60,P61)&lt;1,1),FALSE)))))))))"),FALSE)</f>
        <v>0</v>
      </c>
      <c r="R61" s="71">
        <f>IFERROR(__xludf.DUMMYFUNCTION("IF(REGEXMATCH(P61,""^Sell_""),R60, IF(COUNTA(P61:P147)=0,"""",(COUNTIF(P$4:P61,""Cursor"")-COUNTIF(P$4:P61,""Sell_Cursor""))*(0.1*2^SWITCH(COUNTIF(P$4:P61,""Cursor_up""),0,0,1,1,2,2,3)+SWITCH(COUNTIF(P$4:P61,""Cursor_up""),4,0.1,0)*(ROW(P61)-4-COUNTIF(P$4"&amp;":P61,""Cursor"")-COUNTIF(P$4:P61,""*""&amp;""_up"")-2*COUNTIF(P$4:P61,""Sell_""&amp;""*"")+COUNTIF(P$4:P61,""Sell_Cursor"")-COUNTIF(P$4:P61,"""")))+(COUNTIF(P$4:P61,""Grandma"")-COUNTIF(P$4:P61,""Sell_Grandma""))*(1*2^(COUNTIF(P$4:P61,""Grandma_up"")+COUNTIF(P$4:"&amp;"P61,""Super_up"")))+(COUNTIF(P$4:P61,""Farm"")-COUNTIF(P$4:P61,""Sell_Farm""))*(8*2^COUNTIF(P$4:P61,""Farm_up""))*IF(COUNTIF(P$4:P61,""Super_up"")&gt;0,1+0.01*(COUNTIF(P$4:P61,""Grandma"")-COUNTIF(P$4:P61,""Sell_Grandma"")),1)+(COUNTIF(P$4:P61,""Mine"")-COUN"&amp;"TIF(P$4:P61,""Sell_Mine""))*((47*2^COUNTIF(P$4:P61,""Mine_up""))*IF(COUNTIF(P$4:P61,""Super_up"")&gt;1,1+0.005*(COUNTIF(P$4:P61,""Grandma"")-COUNTIF(P$4:P61,""Sell_Grandma"")),1))+(COUNTIF(P$4:P61,""Factory"")-COUNTIF(P$4:P61,""Sell_Factory""))*(260*2^COUNTI"&amp;"F(P$4:P61,""Factory_up""))))"),311.0)</f>
        <v>311</v>
      </c>
      <c r="S61" s="73">
        <f>IFERROR(__xludf.DUMMYFUNCTION("IF(COUNTA(P61:P147)=0,"""",IF(REGEXMATCH(INDEX(FILTER(P$4:P61,P$4:P61&lt;&gt;""""),ROWS(FILTER(P$4:P61,P$4:P61&lt;&gt;""""))),""^Sell_""),INDEX(FILTER(S$4:S60,P$4:P60&lt;&gt;""""),ROWS(FILTER(P$4:P60,P$4:P60&lt;&gt;""""))),$AD$5*(2^SWITCH(COUNTIF(P$4:P61,""Cursor_up""),0,0,1,1,2"&amp;",2,3)+SWITCH(COUNTIF(P$4:P61,""Cursor_up""),4,0.1,0)*(ROW(P61)-4-COUNTIF(P$4:P61,""Cursor"")-COUNTIF(P$4:P61,""*""&amp;""_up"")-2*COUNTIF(P$4:P61,""Sell_""&amp;""*"")+COUNTIF(P$4:P61,""Sell_Cursor"")-COUNTIF(P$4:P61,""""))+0.01*R61*COUNTIF(P$4:P61,""Plastic_up"")"&amp;")+R61))"),2533.0)</f>
        <v>2533</v>
      </c>
      <c r="T61" s="14">
        <f>IFERROR(__xludf.DUMMYFUNCTION("IF(COUNTA(P61:P147)=0,"""",IF(REGEXMATCH(P61,""_up""),VLOOKUP(P61,Upgrades!$F$3:$J$8,1+COUNTIF(P$4:P61,P61),FALSE),IF(P61="""",0,IF(REGEXMATCH(P61,""^Sell_""),-ROUNDDOWN(ROUNDUP(INDEX(Upgrades!$C$3:$C$8,MATCH(SUBSTITUTE(P61,""Sell_"",""""),Upgrades!$B$3:$"&amp;"B$8,0))*1.15^(COUNTIF(P$4:P60,SUBSTITUTE(P61,""Sell_"",""""))-COUNTIF(P$4:P60,""Sell_""&amp;SUBSTITUTE(P61,""Sell_"",""""))))/4),ROUNDUP(INDEX(Upgrades!$C$3:$C$7,MATCH(P61,Upgrades!$B$3:$B$7,0))*1.15^(COUNTIF(P$4:P60,P61)-COUNTIF(P$4:P60,""Sell_""&amp;P61)))))))"),4451.0)</f>
        <v>4451</v>
      </c>
      <c r="U61" s="14">
        <f t="shared" si="10"/>
        <v>4451</v>
      </c>
      <c r="V61" s="75">
        <f t="shared" si="11"/>
        <v>2484354.022</v>
      </c>
      <c r="W61" s="76">
        <f t="shared" si="12"/>
        <v>76.24320931</v>
      </c>
      <c r="X61" s="71" t="str">
        <f t="shared" si="13"/>
        <v>1m 16s</v>
      </c>
      <c r="Y61" s="77">
        <f t="shared" si="14"/>
        <v>125527</v>
      </c>
      <c r="Z61" s="17"/>
      <c r="AA61" s="13"/>
      <c r="AB61" s="13"/>
      <c r="AC61" s="13"/>
      <c r="AD61" s="13"/>
      <c r="AE61" s="13"/>
      <c r="AF61" s="13"/>
      <c r="AG61" s="13"/>
    </row>
    <row r="62">
      <c r="A62" s="12"/>
      <c r="B62" s="65">
        <f t="shared" si="2"/>
        <v>9</v>
      </c>
      <c r="C62" s="66" t="s">
        <v>16</v>
      </c>
      <c r="D62" s="14" t="b">
        <f>IFERROR(__xludf.DUMMYFUNCTION("IF(COUNTA(C62:C147)=0,"""",IFERROR(IF(ISBLANK(C62),FALSE,IF(ISBLANK(G62),1,IF(NOT(COUNTIF($AA$24:$AA$34,SUBSTITUTE(C62,""Sell_"",""""))),1,IF(C62=""Plastic_up"",IF(I62&lt;1000,1),IF(C62=""Super_Up"",IF(OR(COUNTIF(C$4:C62,""Grandma"")-COUNTIF(C$4:C62,""Sell_G"&amp;"randma"")&lt;1,COUNTIF(C$4:C62,VLOOKUP(C62,Upgrades!$F$8:$N$8,7+COUNTIF(C$4:C62,C62)))-COUNTIF(C$4:C62,""Sell_""&amp;VLOOKUP(C62,Upgrades!$F$8:$N$8,7+COUNTIF(C$4:C62,C62)))&lt;15),1),IF(REGEXMATCH(C62,""_up""),IF(COUNTIF(C$4:C62,SUBSTITUTE(C62,""_up"",""""))&lt;IFERRO"&amp;"R(VLOOKUP(C62,Upgrades!$L$3:$P$6,1+COUNTIF(C$4:C62,C62),0),999),1),IF(REGEXMATCH(C62,""Sell_""),IF(COUNTIF(C$4:C62,SUBSTITUTE(C62,""Sell_"",""""))-COUNTIF(C$4:C61,C62)&lt;1,1),FALSE)))))))))"),FALSE)</f>
        <v>0</v>
      </c>
      <c r="E62" s="71">
        <f>IFERROR(__xludf.DUMMYFUNCTION("IF(REGEXMATCH(C62,""^Sell_""),E61, IF(COUNTA(C62:C147)=0,"""",(COUNTIF(C$4:C62,""Cursor"")-COUNTIF(C$4:C62,""Sell_Cursor""))*(0.1*2^SWITCH(COUNTIF(C$4:C62,""Cursor_up""),0,0,1,1,2,2,3)+SWITCH(COUNTIF(C$4:C62,""Cursor_up""),4,0.1,0)*(ROW(C62)-4-COUNTIF(C$4"&amp;":C62,""Cursor"")-COUNTIF(C$4:C62,""*""&amp;""_up"")-2*COUNTIF(C$4:C62,""Sell_""&amp;""*"")+COUNTIF(C$4:C62,""Sell_Cursor"")-COUNTIF(C$4:C62,"""")))+(COUNTIF(C$4:C62,""Grandma"")-COUNTIF(C$4:C62,""Sell_Grandma""))*(1*2^(COUNTIF(C$4:C62,""Grandma_up"")+COUNTIF(C$4:"&amp;"C62,""Super_up"")))+(COUNTIF(C$4:C62,""Farm"")-COUNTIF(C$4:C62,""Sell_Farm""))*(8*2^COUNTIF(C$4:C62,""Farm_up""))*IF(COUNTIF(C$4:C62,""Super_up"")&gt;0,1+0.01*(COUNTIF(C$4:C62,""Grandma"")-COUNTIF(C$4:C62,""Sell_Grandma"")),1)+(COUNTIF(C$4:C62,""Mine"")-COUN"&amp;"TIF(C$4:C62,""Sell_Mine""))*((47*2^COUNTIF(C$4:C62,""Mine_up""))*IF(COUNTIF(C$4:C62,""Super_up"")&gt;1,1+0.005*(COUNTIF(C$4:C62,""Grandma"")-COUNTIF(C$4:C62,""Sell_Grandma"")),1))+(COUNTIF(C$4:C62,""Factory"")-COUNTIF(C$4:C62,""Sell_Factory""))*(260*2^COUNTI"&amp;"F(C$4:C62,""Factory_up""))))"),287.8)</f>
        <v>287.8</v>
      </c>
      <c r="F62" s="73">
        <f>IFERROR(__xludf.DUMMYFUNCTION("IF(COUNTA(C62:C147)=0,"""",IF(REGEXMATCH(INDEX(FILTER(C$4:C62,C$4:C62&lt;&gt;""""),ROWS(FILTER(C$4:C62,C$4:C62&lt;&gt;""""))),""^Sell_""),INDEX(FILTER(F$4:F61,C$4:C61&lt;&gt;""""),ROWS(FILTER(C$4:C61,C$4:C61&lt;&gt;""""))),$AC$5*(2^SWITCH(COUNTIF(C$4:C62,""Cursor_up""),0,0,1,1,2"&amp;",2,3)+SWITCH(COUNTIF(C$4:C62,""Cursor_up""),4,0.1,0)*(ROW(C62)-4-COUNTIF(C$4:C62,""Cursor"")-COUNTIF(C$4:C62,""*""&amp;""_up"")-2*COUNTIF(C$4:C62,""Sell_""&amp;""*"")+COUNTIF(C$4:C62,""Sell_Cursor"")-COUNTIF(C$4:C62,""""))+0.01*E62*COUNTIF(C$4:C62,""Plastic_up"")"&amp;")+E62))"),2463.4)</f>
        <v>2463.4</v>
      </c>
      <c r="G62" s="14">
        <f>IFERROR(__xludf.DUMMYFUNCTION("IF(COUNTA(C62:C147)=0,"""",IF(REGEXMATCH(C62,""_up""),VLOOKUP(C62,Upgrades!$F$3:$J$8,1+COUNTIF(C$4:C62,C62),FALSE),IF(C62="""",0,IF(REGEXMATCH(C62,""^Sell_""),-ROUNDDOWN(ROUNDUP(INDEX(Upgrades!$C$3:$C$8,MATCH(SUBSTITUTE(C62,""Sell_"",""""),Upgrades!$B$3:$"&amp;"B$8,0))*1.15^(COUNTIF(C$4:C61,SUBSTITUTE(C62,""Sell_"",""""))-COUNTIF(C$4:C61,""Sell_""&amp;SUBSTITUTE(C62,""Sell_"",""""))))/4),ROUNDUP(INDEX(Upgrades!$C$3:$C$7,MATCH(C62,Upgrades!$B$3:$B$7,0))*1.15^(COUNTIF(C$4:C61,C62)-COUNTIF(C$4:C61,""Sell_""&amp;C62)))))))"),3365.0)</f>
        <v>3365</v>
      </c>
      <c r="H62" s="14">
        <f t="shared" si="3"/>
        <v>3365</v>
      </c>
      <c r="I62" s="75">
        <f t="shared" si="4"/>
        <v>2094866.09</v>
      </c>
      <c r="J62" s="76">
        <f t="shared" si="5"/>
        <v>74.32227231</v>
      </c>
      <c r="K62" s="71" t="str">
        <f t="shared" si="6"/>
        <v>1m 14s</v>
      </c>
      <c r="L62" s="77">
        <f t="shared" si="7"/>
        <v>120114</v>
      </c>
      <c r="M62" s="51">
        <f t="shared" si="8"/>
        <v>-0.26495</v>
      </c>
      <c r="N62" s="52">
        <f>IFERROR(__xludf.DUMMYFUNCTION("IFS(AND(COUNTA(C62:C147)=0,COUNTA(P62:P147)=0),"""",OR(AND(L62&gt;=1000000,OR(Y62&gt;=1000000,COUNTA(P62:P147)=0)),AND(Y62&gt;=1000000,COUNTA(C62:C147)=0),AND(COUNTA(P62:P147)=0,O$3=TRUE)),
ROUNDDOWN((AB$1-AC$1)*MAX(INDEX(S$4:S147,MATCH(LARGE(FILTER(Y$4:Y147,Y$4:Y"&amp;"147&lt;1000000),1),Y$4:Y147)),INDEX(F$4:F147,MATCH(LARGE(FILTER(L$4:L147,L$4:L147&lt;1000000),1),L$4:L147)))),AND(L62&lt;1000000,COUNTA(C62:C147)&gt;0,O$3=FALSE),
ROUNDDOWN(INDEX(Y$4:Y147,MATCH(LARGE(FILTER(W$4:W147,W$4:W147&lt;=J62),1),W$4:W147))+(J62-LARGE(FILTER(W$4:"&amp;"W147,W$4:W147&lt;=J62),1))*INDEX(S$4:S147,MATCH(LARGE(FILTER(W$4:W147,W$4:W147&lt;=J62),1),W$4:W147))-L62),1,
ROUNDDOWN(Y62-INDEX(L$4:L147,MATCH(LARGE(FILTER(J$4:J147,J$4:J147&lt;=W62),1),J$4:J147))-(W62-LARGE(FILTER(J$4:J147,J$4:J147&lt;=W62),1))*INDEX(F$4:F147,MATC"&amp;"H(LARGE(FILTER(J$4:J147,J$4:J147&lt;=W62),1),J$4:J147))))"),645.0)</f>
        <v>645</v>
      </c>
      <c r="O62" s="65">
        <f t="shared" si="9"/>
        <v>21</v>
      </c>
      <c r="P62" s="15" t="s">
        <v>10</v>
      </c>
      <c r="Q62" s="14" t="b">
        <f>IFERROR(__xludf.DUMMYFUNCTION("IF(COUNTA(P62:P147)=0,"""",IFERROR(IF(ISBLANK(P62),FALSE,IF(ISBLANK(T62),1,IF(NOT(COUNTIF($AA$24:$AA$34,SUBSTITUTE(P62,""Sell_"",""""))),1,IF(P62=""Plastic_up"",IF(V62&lt;1000,1),IF(P62=""Super_Up"",IF(OR(COUNTIF(P$4:P62,""Grandma"")-COUNTIF(P$4:P62,""Sell_G"&amp;"randma"")&lt;1,COUNTIF(P$4:P62,VLOOKUP(P62,Upgrades!$F$8:$N$8,7+COUNTIF(P$4:P62,P62)))-COUNTIF(P$4:P62,""Sell_""&amp;VLOOKUP(P62,Upgrades!$F$8:$N$8,7+COUNTIF(P$4:P62,P62)))&lt;15),1),IF(REGEXMATCH(P62,""_up""),IF(COUNTIF(P$4:P62,SUBSTITUTE(P62,""_up"",""""))&lt;IFERRO"&amp;"R(VLOOKUP(P62,Upgrades!$L$3:$P$6,1+COUNTIF(P$4:P62,P62),0),999),1),IF(REGEXMATCH(P62,""Sell_""),IF(COUNTIF(P$4:P62,SUBSTITUTE(P62,""Sell_"",""""))-COUNTIF(P$4:P61,P62)&lt;1,1),FALSE)))))))))"),FALSE)</f>
        <v>0</v>
      </c>
      <c r="R62" s="71">
        <f>IFERROR(__xludf.DUMMYFUNCTION("IF(REGEXMATCH(P62,""^Sell_""),R61, IF(COUNTA(P62:P147)=0,"""",(COUNTIF(P$4:P62,""Cursor"")-COUNTIF(P$4:P62,""Sell_Cursor""))*(0.1*2^SWITCH(COUNTIF(P$4:P62,""Cursor_up""),0,0,1,1,2,2,3)+SWITCH(COUNTIF(P$4:P62,""Cursor_up""),4,0.1,0)*(ROW(P62)-4-COUNTIF(P$4"&amp;":P62,""Cursor"")-COUNTIF(P$4:P62,""*""&amp;""_up"")-2*COUNTIF(P$4:P62,""Sell_""&amp;""*"")+COUNTIF(P$4:P62,""Sell_Cursor"")-COUNTIF(P$4:P62,"""")))+(COUNTIF(P$4:P62,""Grandma"")-COUNTIF(P$4:P62,""Sell_Grandma""))*(1*2^(COUNTIF(P$4:P62,""Grandma_up"")+COUNTIF(P$4:"&amp;"P62,""Super_up"")))+(COUNTIF(P$4:P62,""Farm"")-COUNTIF(P$4:P62,""Sell_Farm""))*(8*2^COUNTIF(P$4:P62,""Farm_up""))*IF(COUNTIF(P$4:P62,""Super_up"")&gt;0,1+0.01*(COUNTIF(P$4:P62,""Grandma"")-COUNTIF(P$4:P62,""Sell_Grandma"")),1)+(COUNTIF(P$4:P62,""Mine"")-COUN"&amp;"TIF(P$4:P62,""Sell_Mine""))*((47*2^COUNTIF(P$4:P62,""Mine_up""))*IF(COUNTIF(P$4:P62,""Super_up"")&gt;1,1+0.005*(COUNTIF(P$4:P62,""Grandma"")-COUNTIF(P$4:P62,""Sell_Grandma"")),1))+(COUNTIF(P$4:P62,""Factory"")-COUNTIF(P$4:P62,""Sell_Factory""))*(260*2^COUNTI"&amp;"F(P$4:P62,""Factory_up""))))"),311.8)</f>
        <v>311.8</v>
      </c>
      <c r="S62" s="73">
        <f>IFERROR(__xludf.DUMMYFUNCTION("IF(COUNTA(P62:P147)=0,"""",IF(REGEXMATCH(INDEX(FILTER(P$4:P62,P$4:P62&lt;&gt;""""),ROWS(FILTER(P$4:P62,P$4:P62&lt;&gt;""""))),""^Sell_""),INDEX(FILTER(S$4:S61,P$4:P61&lt;&gt;""""),ROWS(FILTER(P$4:P61,P$4:P61&lt;&gt;""""))),$AD$5*(2^SWITCH(COUNTIF(P$4:P62,""Cursor_up""),0,0,1,1,2"&amp;",2,3)+SWITCH(COUNTIF(P$4:P62,""Cursor_up""),4,0.1,0)*(ROW(P62)-4-COUNTIF(P$4:P62,""Cursor"")-COUNTIF(P$4:P62,""*""&amp;""_up"")-2*COUNTIF(P$4:P62,""Sell_""&amp;""*"")+COUNTIF(P$4:P62,""Sell_Cursor"")-COUNTIF(P$4:P62,""""))+0.01*R62*COUNTIF(P$4:P62,""Plastic_up"")"&amp;")+R62))"),2535.4)</f>
        <v>2535.4</v>
      </c>
      <c r="T62" s="14">
        <f>IFERROR(__xludf.DUMMYFUNCTION("IF(COUNTA(P62:P147)=0,"""",IF(REGEXMATCH(P62,""_up""),VLOOKUP(P62,Upgrades!$F$3:$J$8,1+COUNTIF(P$4:P62,P62),FALSE),IF(P62="""",0,IF(REGEXMATCH(P62,""^Sell_""),-ROUNDDOWN(ROUNDUP(INDEX(Upgrades!$C$3:$C$8,MATCH(SUBSTITUTE(P62,""Sell_"",""""),Upgrades!$B$3:$"&amp;"B$8,0))*1.15^(COUNTIF(P$4:P61,SUBSTITUTE(P62,""Sell_"",""""))-COUNTIF(P$4:P61,""Sell_""&amp;SUBSTITUTE(P62,""Sell_"",""""))))/4),ROUNDUP(INDEX(Upgrades!$C$3:$C$7,MATCH(P62,Upgrades!$B$3:$B$7,0))*1.15^(COUNTIF(P$4:P61,P62)-COUNTIF(P$4:P61,""Sell_""&amp;P62)))))))"),246.0)</f>
        <v>246</v>
      </c>
      <c r="U62" s="14">
        <f t="shared" si="10"/>
        <v>246</v>
      </c>
      <c r="V62" s="75">
        <f t="shared" si="11"/>
        <v>2653982.229</v>
      </c>
      <c r="W62" s="76">
        <f t="shared" si="12"/>
        <v>76.34032735</v>
      </c>
      <c r="X62" s="71" t="str">
        <f t="shared" si="13"/>
        <v>1m 16s</v>
      </c>
      <c r="Y62" s="77">
        <f t="shared" si="14"/>
        <v>125773</v>
      </c>
      <c r="Z62" s="17"/>
      <c r="AA62" s="13"/>
      <c r="AB62" s="13"/>
      <c r="AC62" s="13"/>
      <c r="AD62" s="13"/>
      <c r="AE62" s="13"/>
      <c r="AF62" s="13"/>
      <c r="AG62" s="13"/>
    </row>
    <row r="63">
      <c r="A63" s="12"/>
      <c r="B63" s="65">
        <f t="shared" si="2"/>
        <v>10</v>
      </c>
      <c r="C63" s="66" t="s">
        <v>16</v>
      </c>
      <c r="D63" s="14" t="b">
        <f>IFERROR(__xludf.DUMMYFUNCTION("IF(COUNTA(C63:C147)=0,"""",IFERROR(IF(ISBLANK(C63),FALSE,IF(ISBLANK(G63),1,IF(NOT(COUNTIF($AA$24:$AA$34,SUBSTITUTE(C63,""Sell_"",""""))),1,IF(C63=""Plastic_up"",IF(I63&lt;1000,1),IF(C63=""Super_Up"",IF(OR(COUNTIF(C$4:C63,""Grandma"")-COUNTIF(C$4:C63,""Sell_G"&amp;"randma"")&lt;1,COUNTIF(C$4:C63,VLOOKUP(C63,Upgrades!$F$8:$N$8,7+COUNTIF(C$4:C63,C63)))-COUNTIF(C$4:C63,""Sell_""&amp;VLOOKUP(C63,Upgrades!$F$8:$N$8,7+COUNTIF(C$4:C63,C63)))&lt;15),1),IF(REGEXMATCH(C63,""_up""),IF(COUNTIF(C$4:C63,SUBSTITUTE(C63,""_up"",""""))&lt;IFERRO"&amp;"R(VLOOKUP(C63,Upgrades!$L$3:$P$6,1+COUNTIF(C$4:C63,C63),0),999),1),IF(REGEXMATCH(C63,""Sell_""),IF(COUNTIF(C$4:C63,SUBSTITUTE(C63,""Sell_"",""""))-COUNTIF(C$4:C62,C63)&lt;1,1),FALSE)))))))))"),FALSE)</f>
        <v>0</v>
      </c>
      <c r="E63" s="71">
        <f>IFERROR(__xludf.DUMMYFUNCTION("IF(REGEXMATCH(C63,""^Sell_""),E62, IF(COUNTA(C63:C147)=0,"""",(COUNTIF(C$4:C63,""Cursor"")-COUNTIF(C$4:C63,""Sell_Cursor""))*(0.1*2^SWITCH(COUNTIF(C$4:C63,""Cursor_up""),0,0,1,1,2,2,3)+SWITCH(COUNTIF(C$4:C63,""Cursor_up""),4,0.1,0)*(ROW(C63)-4-COUNTIF(C$4"&amp;":C63,""Cursor"")-COUNTIF(C$4:C63,""*""&amp;""_up"")-2*COUNTIF(C$4:C63,""Sell_""&amp;""*"")+COUNTIF(C$4:C63,""Sell_Cursor"")-COUNTIF(C$4:C63,"""")))+(COUNTIF(C$4:C63,""Grandma"")-COUNTIF(C$4:C63,""Sell_Grandma""))*(1*2^(COUNTIF(C$4:C63,""Grandma_up"")+COUNTIF(C$4:"&amp;"C63,""Super_up"")))+(COUNTIF(C$4:C63,""Farm"")-COUNTIF(C$4:C63,""Sell_Farm""))*(8*2^COUNTIF(C$4:C63,""Farm_up""))*IF(COUNTIF(C$4:C63,""Super_up"")&gt;0,1+0.01*(COUNTIF(C$4:C63,""Grandma"")-COUNTIF(C$4:C63,""Sell_Grandma"")),1)+(COUNTIF(C$4:C63,""Mine"")-COUN"&amp;"TIF(C$4:C63,""Sell_Mine""))*((47*2^COUNTIF(C$4:C63,""Mine_up""))*IF(COUNTIF(C$4:C63,""Super_up"")&gt;1,1+0.005*(COUNTIF(C$4:C63,""Grandma"")-COUNTIF(C$4:C63,""Sell_Grandma"")),1))+(COUNTIF(C$4:C63,""Factory"")-COUNTIF(C$4:C63,""Sell_Factory""))*(260*2^COUNTI"&amp;"F(C$4:C63,""Factory_up""))))"),303.8)</f>
        <v>303.8</v>
      </c>
      <c r="F63" s="73">
        <f>IFERROR(__xludf.DUMMYFUNCTION("IF(COUNTA(C63:C147)=0,"""",IF(REGEXMATCH(INDEX(FILTER(C$4:C63,C$4:C63&lt;&gt;""""),ROWS(FILTER(C$4:C63,C$4:C63&lt;&gt;""""))),""^Sell_""),INDEX(FILTER(F$4:F62,C$4:C62&lt;&gt;""""),ROWS(FILTER(C$4:C62,C$4:C62&lt;&gt;""""))),$AC$5*(2^SWITCH(COUNTIF(C$4:C63,""Cursor_up""),0,0,1,1,2"&amp;",2,3)+SWITCH(COUNTIF(C$4:C63,""Cursor_up""),4,0.1,0)*(ROW(C63)-4-COUNTIF(C$4:C63,""Cursor"")-COUNTIF(C$4:C63,""*""&amp;""_up"")-2*COUNTIF(C$4:C63,""Sell_""&amp;""*"")+COUNTIF(C$4:C63,""Sell_Cursor"")-COUNTIF(C$4:C63,""""))+0.01*E63*COUNTIF(C$4:C63,""Plastic_up"")"&amp;")+E63))"),2511.4)</f>
        <v>2511.4</v>
      </c>
      <c r="G63" s="14">
        <f>IFERROR(__xludf.DUMMYFUNCTION("IF(COUNTA(C63:C147)=0,"""",IF(REGEXMATCH(C63,""_up""),VLOOKUP(C63,Upgrades!$F$3:$J$8,1+COUNTIF(C$4:C63,C63),FALSE),IF(C63="""",0,IF(REGEXMATCH(C63,""^Sell_""),-ROUNDDOWN(ROUNDUP(INDEX(Upgrades!$C$3:$C$8,MATCH(SUBSTITUTE(C63,""Sell_"",""""),Upgrades!$B$3:$"&amp;"B$8,0))*1.15^(COUNTIF(C$4:C62,SUBSTITUTE(C63,""Sell_"",""""))-COUNTIF(C$4:C62,""Sell_""&amp;SUBSTITUTE(C63,""Sell_"",""""))))/4),ROUNDUP(INDEX(Upgrades!$C$3:$C$7,MATCH(C63,Upgrades!$B$3:$B$7,0))*1.15^(COUNTIF(C$4:C62,C63)-COUNTIF(C$4:C62,""Sell_""&amp;C63)))))))"),3870.0)</f>
        <v>3870</v>
      </c>
      <c r="H63" s="14">
        <f t="shared" si="3"/>
        <v>3870</v>
      </c>
      <c r="I63" s="75">
        <f t="shared" si="4"/>
        <v>2259979.492</v>
      </c>
      <c r="J63" s="76">
        <f t="shared" si="5"/>
        <v>75.89327174</v>
      </c>
      <c r="K63" s="71" t="str">
        <f t="shared" si="6"/>
        <v>1m 15s</v>
      </c>
      <c r="L63" s="77">
        <f t="shared" si="7"/>
        <v>123984</v>
      </c>
      <c r="M63" s="51">
        <f t="shared" si="8"/>
        <v>-0.27098</v>
      </c>
      <c r="N63" s="52">
        <f>IFERROR(__xludf.DUMMYFUNCTION("IFS(AND(COUNTA(C63:C147)=0,COUNTA(P63:P147)=0),"""",OR(AND(L63&gt;=1000000,OR(Y63&gt;=1000000,COUNTA(P63:P147)=0)),AND(Y63&gt;=1000000,COUNTA(C63:C147)=0),AND(COUNTA(P63:P147)=0,O$3=TRUE)),
ROUNDDOWN((AB$1-AC$1)*MAX(INDEX(S$4:S147,MATCH(LARGE(FILTER(Y$4:Y147,Y$4:Y"&amp;"147&lt;1000000),1),Y$4:Y147)),INDEX(F$4:F147,MATCH(LARGE(FILTER(L$4:L147,L$4:L147&lt;1000000),1),L$4:L147)))),AND(L63&lt;1000000,COUNTA(C63:C147)&gt;0,O$3=FALSE),
ROUNDDOWN(INDEX(Y$4:Y147,MATCH(LARGE(FILTER(W$4:W147,W$4:W147&lt;=J63),1),W$4:W147))+(J63-LARGE(FILTER(W$4:"&amp;"W147,W$4:W147&lt;=J63),1))*INDEX(S$4:S147,MATCH(LARGE(FILTER(W$4:W147,W$4:W147&lt;=J63),1),W$4:W147))-L63),1,
ROUNDDOWN(Y63-INDEX(L$4:L147,MATCH(LARGE(FILTER(J$4:J147,J$4:J147&lt;=W63),1),J$4:J147))-(W63-LARGE(FILTER(J$4:J147,J$4:J147&lt;=W63),1))*INDEX(F$4:F147,MATC"&amp;"H(LARGE(FILTER(J$4:J147,J$4:J147&lt;=W63),1),J$4:J147))))"),673.0)</f>
        <v>673</v>
      </c>
      <c r="O63" s="65">
        <f t="shared" si="9"/>
        <v>19</v>
      </c>
      <c r="P63" s="15" t="s">
        <v>13</v>
      </c>
      <c r="Q63" s="14" t="b">
        <f>IFERROR(__xludf.DUMMYFUNCTION("IF(COUNTA(P63:P147)=0,"""",IFERROR(IF(ISBLANK(P63),FALSE,IF(ISBLANK(T63),1,IF(NOT(COUNTIF($AA$24:$AA$34,SUBSTITUTE(P63,""Sell_"",""""))),1,IF(P63=""Plastic_up"",IF(V63&lt;1000,1),IF(P63=""Super_Up"",IF(OR(COUNTIF(P$4:P63,""Grandma"")-COUNTIF(P$4:P63,""Sell_G"&amp;"randma"")&lt;1,COUNTIF(P$4:P63,VLOOKUP(P63,Upgrades!$F$8:$N$8,7+COUNTIF(P$4:P63,P63)))-COUNTIF(P$4:P63,""Sell_""&amp;VLOOKUP(P63,Upgrades!$F$8:$N$8,7+COUNTIF(P$4:P63,P63)))&lt;15),1),IF(REGEXMATCH(P63,""_up""),IF(COUNTIF(P$4:P63,SUBSTITUTE(P63,""_up"",""""))&lt;IFERRO"&amp;"R(VLOOKUP(P63,Upgrades!$L$3:$P$6,1+COUNTIF(P$4:P63,P63),0),999),1),IF(REGEXMATCH(P63,""Sell_""),IF(COUNTIF(P$4:P63,SUBSTITUTE(P63,""Sell_"",""""))-COUNTIF(P$4:P62,P63)&lt;1,1),FALSE)))))))))"),FALSE)</f>
        <v>0</v>
      </c>
      <c r="R63" s="71">
        <f>IFERROR(__xludf.DUMMYFUNCTION("IF(REGEXMATCH(P63,""^Sell_""),R62, IF(COUNTA(P63:P147)=0,"""",(COUNTIF(P$4:P63,""Cursor"")-COUNTIF(P$4:P63,""Sell_Cursor""))*(0.1*2^SWITCH(COUNTIF(P$4:P63,""Cursor_up""),0,0,1,1,2,2,3)+SWITCH(COUNTIF(P$4:P63,""Cursor_up""),4,0.1,0)*(ROW(P63)-4-COUNTIF(P$4"&amp;":P63,""Cursor"")-COUNTIF(P$4:P63,""*""&amp;""_up"")-2*COUNTIF(P$4:P63,""Sell_""&amp;""*"")+COUNTIF(P$4:P63,""Sell_Cursor"")-COUNTIF(P$4:P63,"""")))+(COUNTIF(P$4:P63,""Grandma"")-COUNTIF(P$4:P63,""Sell_Grandma""))*(1*2^(COUNTIF(P$4:P63,""Grandma_up"")+COUNTIF(P$4:"&amp;"P63,""Super_up"")))+(COUNTIF(P$4:P63,""Farm"")-COUNTIF(P$4:P63,""Sell_Farm""))*(8*2^COUNTIF(P$4:P63,""Farm_up""))*IF(COUNTIF(P$4:P63,""Super_up"")&gt;0,1+0.01*(COUNTIF(P$4:P63,""Grandma"")-COUNTIF(P$4:P63,""Sell_Grandma"")),1)+(COUNTIF(P$4:P63,""Mine"")-COUN"&amp;"TIF(P$4:P63,""Sell_Mine""))*((47*2^COUNTIF(P$4:P63,""Mine_up""))*IF(COUNTIF(P$4:P63,""Super_up"")&gt;1,1+0.005*(COUNTIF(P$4:P63,""Grandma"")-COUNTIF(P$4:P63,""Sell_Grandma"")),1))+(COUNTIF(P$4:P63,""Factory"")-COUNTIF(P$4:P63,""Sell_Factory""))*(260*2^COUNTI"&amp;"F(P$4:P63,""Factory_up""))))"),315.8)</f>
        <v>315.8</v>
      </c>
      <c r="S63" s="73">
        <f>IFERROR(__xludf.DUMMYFUNCTION("IF(COUNTA(P63:P147)=0,"""",IF(REGEXMATCH(INDEX(FILTER(P$4:P63,P$4:P63&lt;&gt;""""),ROWS(FILTER(P$4:P63,P$4:P63&lt;&gt;""""))),""^Sell_""),INDEX(FILTER(S$4:S62,P$4:P62&lt;&gt;""""),ROWS(FILTER(P$4:P62,P$4:P62&lt;&gt;""""))),$AD$5*(2^SWITCH(COUNTIF(P$4:P63,""Cursor_up""),0,0,1,1,2"&amp;",2,3)+SWITCH(COUNTIF(P$4:P63,""Cursor_up""),4,0.1,0)*(ROW(P63)-4-COUNTIF(P$4:P63,""Cursor"")-COUNTIF(P$4:P63,""*""&amp;""_up"")-2*COUNTIF(P$4:P63,""Sell_""&amp;""*"")+COUNTIF(P$4:P63,""Sell_Cursor"")-COUNTIF(P$4:P63,""""))+0.01*R63*COUNTIF(P$4:P63,""Plastic_up"")"&amp;")+R63))"),2547.4000000000005)</f>
        <v>2547.4</v>
      </c>
      <c r="T63" s="14">
        <f>IFERROR(__xludf.DUMMYFUNCTION("IF(COUNTA(P63:P147)=0,"""",IF(REGEXMATCH(P63,""_up""),VLOOKUP(P63,Upgrades!$F$3:$J$8,1+COUNTIF(P$4:P63,P63),FALSE),IF(P63="""",0,IF(REGEXMATCH(P63,""^Sell_""),-ROUNDDOWN(ROUNDUP(INDEX(Upgrades!$C$3:$C$8,MATCH(SUBSTITUTE(P63,""Sell_"",""""),Upgrades!$B$3:$"&amp;"B$8,0))*1.15^(COUNTIF(P$4:P62,SUBSTITUTE(P63,""Sell_"",""""))-COUNTIF(P$4:P62,""Sell_""&amp;SUBSTITUTE(P63,""Sell_"",""""))))/4),ROUNDUP(INDEX(Upgrades!$C$3:$C$7,MATCH(P63,Upgrades!$B$3:$B$7,0))*1.15^(COUNTIF(P$4:P62,P63)-COUNTIF(P$4:P62,""Sell_""&amp;P63)))))))"),1238.0)</f>
        <v>1238</v>
      </c>
      <c r="U63" s="14">
        <f t="shared" si="10"/>
        <v>1238</v>
      </c>
      <c r="V63" s="75">
        <f t="shared" si="11"/>
        <v>2824818.333</v>
      </c>
      <c r="W63" s="76">
        <f t="shared" si="12"/>
        <v>76.82861322</v>
      </c>
      <c r="X63" s="71" t="str">
        <f t="shared" si="13"/>
        <v>1m 16s</v>
      </c>
      <c r="Y63" s="77">
        <f t="shared" si="14"/>
        <v>127011</v>
      </c>
      <c r="Z63" s="17"/>
      <c r="AA63" s="13"/>
      <c r="AB63" s="13"/>
      <c r="AC63" s="13"/>
      <c r="AD63" s="13"/>
      <c r="AE63" s="13"/>
      <c r="AF63" s="13"/>
      <c r="AG63" s="13"/>
    </row>
    <row r="64">
      <c r="A64" s="12"/>
      <c r="B64" s="65">
        <f t="shared" si="2"/>
        <v>2</v>
      </c>
      <c r="C64" s="66" t="s">
        <v>18</v>
      </c>
      <c r="D64" s="14" t="b">
        <f>IFERROR(__xludf.DUMMYFUNCTION("IF(COUNTA(C64:C147)=0,"""",IFERROR(IF(ISBLANK(C64),FALSE,IF(ISBLANK(G64),1,IF(NOT(COUNTIF($AA$24:$AA$34,SUBSTITUTE(C64,""Sell_"",""""))),1,IF(C64=""Plastic_up"",IF(I64&lt;1000,1),IF(C64=""Super_Up"",IF(OR(COUNTIF(C$4:C64,""Grandma"")-COUNTIF(C$4:C64,""Sell_G"&amp;"randma"")&lt;1,COUNTIF(C$4:C64,VLOOKUP(C64,Upgrades!$F$8:$N$8,7+COUNTIF(C$4:C64,C64)))-COUNTIF(C$4:C64,""Sell_""&amp;VLOOKUP(C64,Upgrades!$F$8:$N$8,7+COUNTIF(C$4:C64,C64)))&lt;15),1),IF(REGEXMATCH(C64,""_up""),IF(COUNTIF(C$4:C64,SUBSTITUTE(C64,""_up"",""""))&lt;IFERRO"&amp;"R(VLOOKUP(C64,Upgrades!$L$3:$P$6,1+COUNTIF(C$4:C64,C64),0),999),1),IF(REGEXMATCH(C64,""Sell_""),IF(COUNTIF(C$4:C64,SUBSTITUTE(C64,""Sell_"",""""))-COUNTIF(C$4:C63,C64)&lt;1,1),FALSE)))))))))"),FALSE)</f>
        <v>0</v>
      </c>
      <c r="E64" s="71">
        <f>IFERROR(__xludf.DUMMYFUNCTION("IF(REGEXMATCH(C64,""^Sell_""),E63, IF(COUNTA(C64:C147)=0,"""",(COUNTIF(C$4:C64,""Cursor"")-COUNTIF(C$4:C64,""Sell_Cursor""))*(0.1*2^SWITCH(COUNTIF(C$4:C64,""Cursor_up""),0,0,1,1,2,2,3)+SWITCH(COUNTIF(C$4:C64,""Cursor_up""),4,0.1,0)*(ROW(C64)-4-COUNTIF(C$4"&amp;":C64,""Cursor"")-COUNTIF(C$4:C64,""*""&amp;""_up"")-2*COUNTIF(C$4:C64,""Sell_""&amp;""*"")+COUNTIF(C$4:C64,""Sell_Cursor"")-COUNTIF(C$4:C64,"""")))+(COUNTIF(C$4:C64,""Grandma"")-COUNTIF(C$4:C64,""Sell_Grandma""))*(1*2^(COUNTIF(C$4:C64,""Grandma_up"")+COUNTIF(C$4:"&amp;"C64,""Super_up"")))+(COUNTIF(C$4:C64,""Farm"")-COUNTIF(C$4:C64,""Sell_Farm""))*(8*2^COUNTIF(C$4:C64,""Farm_up""))*IF(COUNTIF(C$4:C64,""Super_up"")&gt;0,1+0.01*(COUNTIF(C$4:C64,""Grandma"")-COUNTIF(C$4:C64,""Sell_Grandma"")),1)+(COUNTIF(C$4:C64,""Mine"")-COUN"&amp;"TIF(C$4:C64,""Sell_Mine""))*((47*2^COUNTIF(C$4:C64,""Mine_up""))*IF(COUNTIF(C$4:C64,""Super_up"")&gt;1,1+0.005*(COUNTIF(C$4:C64,""Grandma"")-COUNTIF(C$4:C64,""Sell_Grandma"")),1))+(COUNTIF(C$4:C64,""Factory"")-COUNTIF(C$4:C64,""Sell_Factory""))*(260*2^COUNTI"&amp;"F(C$4:C64,""Factory_up""))))"),350.8)</f>
        <v>350.8</v>
      </c>
      <c r="F64" s="73">
        <f>IFERROR(__xludf.DUMMYFUNCTION("IF(COUNTA(C64:C147)=0,"""",IF(REGEXMATCH(INDEX(FILTER(C$4:C64,C$4:C64&lt;&gt;""""),ROWS(FILTER(C$4:C64,C$4:C64&lt;&gt;""""))),""^Sell_""),INDEX(FILTER(F$4:F63,C$4:C63&lt;&gt;""""),ROWS(FILTER(C$4:C63,C$4:C63&lt;&gt;""""))),$AC$5*(2^SWITCH(COUNTIF(C$4:C64,""Cursor_up""),0,0,1,1,2"&amp;",2,3)+SWITCH(COUNTIF(C$4:C64,""Cursor_up""),4,0.1,0)*(ROW(C64)-4-COUNTIF(C$4:C64,""Cursor"")-COUNTIF(C$4:C64,""*""&amp;""_up"")-2*COUNTIF(C$4:C64,""Sell_""&amp;""*"")+COUNTIF(C$4:C64,""Sell_Cursor"")-COUNTIF(C$4:C64,""""))+0.01*E64*COUNTIF(C$4:C64,""Plastic_up"")"&amp;")+E64))"),2652.4)</f>
        <v>2652.4</v>
      </c>
      <c r="G64" s="14">
        <f>IFERROR(__xludf.DUMMYFUNCTION("IF(COUNTA(C64:C147)=0,"""",IF(REGEXMATCH(C64,""_up""),VLOOKUP(C64,Upgrades!$F$3:$J$8,1+COUNTIF(C$4:C64,C64),FALSE),IF(C64="""",0,IF(REGEXMATCH(C64,""^Sell_""),-ROUNDDOWN(ROUNDUP(INDEX(Upgrades!$C$3:$C$8,MATCH(SUBSTITUTE(C64,""Sell_"",""""),Upgrades!$B$3:$"&amp;"B$8,0))*1.15^(COUNTIF(C$4:C63,SUBSTITUTE(C64,""Sell_"",""""))-COUNTIF(C$4:C63,""Sell_""&amp;SUBSTITUTE(C64,""Sell_"",""""))))/4),ROUNDUP(INDEX(Upgrades!$C$3:$C$7,MATCH(C64,Upgrades!$B$3:$B$7,0))*1.15^(COUNTIF(C$4:C63,C64)-COUNTIF(C$4:C63,""Sell_""&amp;C64)))))))"),13800.0)</f>
        <v>13800</v>
      </c>
      <c r="H64" s="14">
        <f t="shared" si="3"/>
        <v>13800</v>
      </c>
      <c r="I64" s="75">
        <f t="shared" si="4"/>
        <v>2439652.115</v>
      </c>
      <c r="J64" s="76">
        <f t="shared" si="5"/>
        <v>81.3882148</v>
      </c>
      <c r="K64" s="71" t="str">
        <f t="shared" si="6"/>
        <v>1m 21s</v>
      </c>
      <c r="L64" s="77">
        <f t="shared" si="7"/>
        <v>137784</v>
      </c>
      <c r="M64" s="51">
        <f t="shared" si="8"/>
        <v>-0.33058</v>
      </c>
      <c r="N64" s="52">
        <f>IFERROR(__xludf.DUMMYFUNCTION("IFS(AND(COUNTA(C64:C147)=0,COUNTA(P64:P147)=0),"""",OR(AND(L64&gt;=1000000,OR(Y64&gt;=1000000,COUNTA(P64:P147)=0)),AND(Y64&gt;=1000000,COUNTA(C64:C147)=0),AND(COUNTA(P64:P147)=0,O$3=TRUE)),
ROUNDDOWN((AB$1-AC$1)*MAX(INDEX(S$4:S147,MATCH(LARGE(FILTER(Y$4:Y147,Y$4:Y"&amp;"147&lt;1000000),1),Y$4:Y147)),INDEX(F$4:F147,MATCH(LARGE(FILTER(L$4:L147,L$4:L147&lt;1000000),1),L$4:L147)))),AND(L64&lt;1000000,COUNTA(C64:C147)&gt;0,O$3=FALSE),
ROUNDDOWN(INDEX(Y$4:Y147,MATCH(LARGE(FILTER(W$4:W147,W$4:W147&lt;=J64),1),W$4:W147))+(J64-LARGE(FILTER(W$4:"&amp;"W147,W$4:W147&lt;=J64),1))*INDEX(S$4:S147,MATCH(LARGE(FILTER(W$4:W147,W$4:W147&lt;=J64),1),W$4:W147))-L64),1,
ROUNDDOWN(Y64-INDEX(L$4:L147,MATCH(LARGE(FILTER(J$4:J147,J$4:J147&lt;=W64),1),J$4:J147))-(W64-LARGE(FILTER(J$4:J147,J$4:J147&lt;=W64),1))*INDEX(F$4:F147,MATC"&amp;"H(LARGE(FILTER(J$4:J147,J$4:J147&lt;=W64),1),J$4:J147))))"),842.0)</f>
        <v>842</v>
      </c>
      <c r="O64" s="65">
        <f t="shared" si="9"/>
        <v>2</v>
      </c>
      <c r="P64" s="15" t="s">
        <v>18</v>
      </c>
      <c r="Q64" s="14" t="b">
        <f>IFERROR(__xludf.DUMMYFUNCTION("IF(COUNTA(P64:P147)=0,"""",IFERROR(IF(ISBLANK(P64),FALSE,IF(ISBLANK(T64),1,IF(NOT(COUNTIF($AA$24:$AA$34,SUBSTITUTE(P64,""Sell_"",""""))),1,IF(P64=""Plastic_up"",IF(V64&lt;1000,1),IF(P64=""Super_Up"",IF(OR(COUNTIF(P$4:P64,""Grandma"")-COUNTIF(P$4:P64,""Sell_G"&amp;"randma"")&lt;1,COUNTIF(P$4:P64,VLOOKUP(P64,Upgrades!$F$8:$N$8,7+COUNTIF(P$4:P64,P64)))-COUNTIF(P$4:P64,""Sell_""&amp;VLOOKUP(P64,Upgrades!$F$8:$N$8,7+COUNTIF(P$4:P64,P64)))&lt;15),1),IF(REGEXMATCH(P64,""_up""),IF(COUNTIF(P$4:P64,SUBSTITUTE(P64,""_up"",""""))&lt;IFERRO"&amp;"R(VLOOKUP(P64,Upgrades!$L$3:$P$6,1+COUNTIF(P$4:P64,P64),0),999),1),IF(REGEXMATCH(P64,""Sell_""),IF(COUNTIF(P$4:P64,SUBSTITUTE(P64,""Sell_"",""""))-COUNTIF(P$4:P63,P64)&lt;1,1),FALSE)))))))))"),FALSE)</f>
        <v>0</v>
      </c>
      <c r="R64" s="71">
        <f>IFERROR(__xludf.DUMMYFUNCTION("IF(REGEXMATCH(P64,""^Sell_""),R63, IF(COUNTA(P64:P147)=0,"""",(COUNTIF(P$4:P64,""Cursor"")-COUNTIF(P$4:P64,""Sell_Cursor""))*(0.1*2^SWITCH(COUNTIF(P$4:P64,""Cursor_up""),0,0,1,1,2,2,3)+SWITCH(COUNTIF(P$4:P64,""Cursor_up""),4,0.1,0)*(ROW(P64)-4-COUNTIF(P$4"&amp;":P64,""Cursor"")-COUNTIF(P$4:P64,""*""&amp;""_up"")-2*COUNTIF(P$4:P64,""Sell_""&amp;""*"")+COUNTIF(P$4:P64,""Sell_Cursor"")-COUNTIF(P$4:P64,"""")))+(COUNTIF(P$4:P64,""Grandma"")-COUNTIF(P$4:P64,""Sell_Grandma""))*(1*2^(COUNTIF(P$4:P64,""Grandma_up"")+COUNTIF(P$4:"&amp;"P64,""Super_up"")))+(COUNTIF(P$4:P64,""Farm"")-COUNTIF(P$4:P64,""Sell_Farm""))*(8*2^COUNTIF(P$4:P64,""Farm_up""))*IF(COUNTIF(P$4:P64,""Super_up"")&gt;0,1+0.01*(COUNTIF(P$4:P64,""Grandma"")-COUNTIF(P$4:P64,""Sell_Grandma"")),1)+(COUNTIF(P$4:P64,""Mine"")-COUN"&amp;"TIF(P$4:P64,""Sell_Mine""))*((47*2^COUNTIF(P$4:P64,""Mine_up""))*IF(COUNTIF(P$4:P64,""Super_up"")&gt;1,1+0.005*(COUNTIF(P$4:P64,""Grandma"")-COUNTIF(P$4:P64,""Sell_Grandma"")),1))+(COUNTIF(P$4:P64,""Factory"")-COUNTIF(P$4:P64,""Sell_Factory""))*(260*2^COUNTI"&amp;"F(P$4:P64,""Factory_up""))))"),362.8)</f>
        <v>362.8</v>
      </c>
      <c r="S64" s="73">
        <f>IFERROR(__xludf.DUMMYFUNCTION("IF(COUNTA(P64:P147)=0,"""",IF(REGEXMATCH(INDEX(FILTER(P$4:P64,P$4:P64&lt;&gt;""""),ROWS(FILTER(P$4:P64,P$4:P64&lt;&gt;""""))),""^Sell_""),INDEX(FILTER(S$4:S63,P$4:P63&lt;&gt;""""),ROWS(FILTER(P$4:P63,P$4:P63&lt;&gt;""""))),$AD$5*(2^SWITCH(COUNTIF(P$4:P64,""Cursor_up""),0,0,1,1,2"&amp;",2,3)+SWITCH(COUNTIF(P$4:P64,""Cursor_up""),4,0.1,0)*(ROW(P64)-4-COUNTIF(P$4:P64,""Cursor"")-COUNTIF(P$4:P64,""*""&amp;""_up"")-2*COUNTIF(P$4:P64,""Sell_""&amp;""*"")+COUNTIF(P$4:P64,""Sell_Cursor"")-COUNTIF(P$4:P64,""""))+0.01*R64*COUNTIF(P$4:P64,""Plastic_up"")"&amp;")+R64))"),2688.4)</f>
        <v>2688.4</v>
      </c>
      <c r="T64" s="14">
        <f>IFERROR(__xludf.DUMMYFUNCTION("IF(COUNTA(P64:P147)=0,"""",IF(REGEXMATCH(P64,""_up""),VLOOKUP(P64,Upgrades!$F$3:$J$8,1+COUNTIF(P$4:P64,P64),FALSE),IF(P64="""",0,IF(REGEXMATCH(P64,""^Sell_""),-ROUNDDOWN(ROUNDUP(INDEX(Upgrades!$C$3:$C$8,MATCH(SUBSTITUTE(P64,""Sell_"",""""),Upgrades!$B$3:$"&amp;"B$8,0))*1.15^(COUNTIF(P$4:P63,SUBSTITUTE(P64,""Sell_"",""""))-COUNTIF(P$4:P63,""Sell_""&amp;SUBSTITUTE(P64,""Sell_"",""""))))/4),ROUNDUP(INDEX(Upgrades!$C$3:$C$7,MATCH(P64,Upgrades!$B$3:$B$7,0))*1.15^(COUNTIF(P$4:P63,P64)-COUNTIF(P$4:P63,""Sell_""&amp;P64)))))))"),13800.0)</f>
        <v>13800</v>
      </c>
      <c r="U64" s="14">
        <f t="shared" si="10"/>
        <v>13800</v>
      </c>
      <c r="V64" s="75">
        <f t="shared" si="11"/>
        <v>3008358.287</v>
      </c>
      <c r="W64" s="76">
        <f t="shared" si="12"/>
        <v>82.24590144</v>
      </c>
      <c r="X64" s="71" t="str">
        <f t="shared" si="13"/>
        <v>1m 22s</v>
      </c>
      <c r="Y64" s="77">
        <f t="shared" si="14"/>
        <v>140811</v>
      </c>
      <c r="Z64" s="17"/>
      <c r="AA64" s="13"/>
      <c r="AB64" s="13"/>
      <c r="AC64" s="13"/>
      <c r="AD64" s="13"/>
      <c r="AE64" s="13"/>
      <c r="AF64" s="13"/>
      <c r="AG64" s="13"/>
    </row>
    <row r="65">
      <c r="A65" s="12"/>
      <c r="B65" s="65">
        <f t="shared" si="2"/>
        <v>11</v>
      </c>
      <c r="C65" s="66" t="s">
        <v>16</v>
      </c>
      <c r="D65" s="14" t="b">
        <f>IFERROR(__xludf.DUMMYFUNCTION("IF(COUNTA(C65:C147)=0,"""",IFERROR(IF(ISBLANK(C65),FALSE,IF(ISBLANK(G65),1,IF(NOT(COUNTIF($AA$24:$AA$34,SUBSTITUTE(C65,""Sell_"",""""))),1,IF(C65=""Plastic_up"",IF(I65&lt;1000,1),IF(C65=""Super_Up"",IF(OR(COUNTIF(C$4:C65,""Grandma"")-COUNTIF(C$4:C65,""Sell_G"&amp;"randma"")&lt;1,COUNTIF(C$4:C65,VLOOKUP(C65,Upgrades!$F$8:$N$8,7+COUNTIF(C$4:C65,C65)))-COUNTIF(C$4:C65,""Sell_""&amp;VLOOKUP(C65,Upgrades!$F$8:$N$8,7+COUNTIF(C$4:C65,C65)))&lt;15),1),IF(REGEXMATCH(C65,""_up""),IF(COUNTIF(C$4:C65,SUBSTITUTE(C65,""_up"",""""))&lt;IFERRO"&amp;"R(VLOOKUP(C65,Upgrades!$L$3:$P$6,1+COUNTIF(C$4:C65,C65),0),999),1),IF(REGEXMATCH(C65,""Sell_""),IF(COUNTIF(C$4:C65,SUBSTITUTE(C65,""Sell_"",""""))-COUNTIF(C$4:C64,C65)&lt;1,1),FALSE)))))))))"),FALSE)</f>
        <v>0</v>
      </c>
      <c r="E65" s="71">
        <f>IFERROR(__xludf.DUMMYFUNCTION("IF(REGEXMATCH(C65,""^Sell_""),E64, IF(COUNTA(C65:C147)=0,"""",(COUNTIF(C$4:C65,""Cursor"")-COUNTIF(C$4:C65,""Sell_Cursor""))*(0.1*2^SWITCH(COUNTIF(C$4:C65,""Cursor_up""),0,0,1,1,2,2,3)+SWITCH(COUNTIF(C$4:C65,""Cursor_up""),4,0.1,0)*(ROW(C65)-4-COUNTIF(C$4"&amp;":C65,""Cursor"")-COUNTIF(C$4:C65,""*""&amp;""_up"")-2*COUNTIF(C$4:C65,""Sell_""&amp;""*"")+COUNTIF(C$4:C65,""Sell_Cursor"")-COUNTIF(C$4:C65,"""")))+(COUNTIF(C$4:C65,""Grandma"")-COUNTIF(C$4:C65,""Sell_Grandma""))*(1*2^(COUNTIF(C$4:C65,""Grandma_up"")+COUNTIF(C$4:"&amp;"C65,""Super_up"")))+(COUNTIF(C$4:C65,""Farm"")-COUNTIF(C$4:C65,""Sell_Farm""))*(8*2^COUNTIF(C$4:C65,""Farm_up""))*IF(COUNTIF(C$4:C65,""Super_up"")&gt;0,1+0.01*(COUNTIF(C$4:C65,""Grandma"")-COUNTIF(C$4:C65,""Sell_Grandma"")),1)+(COUNTIF(C$4:C65,""Mine"")-COUN"&amp;"TIF(C$4:C65,""Sell_Mine""))*((47*2^COUNTIF(C$4:C65,""Mine_up""))*IF(COUNTIF(C$4:C65,""Super_up"")&gt;1,1+0.005*(COUNTIF(C$4:C65,""Grandma"")-COUNTIF(C$4:C65,""Sell_Grandma"")),1))+(COUNTIF(C$4:C65,""Factory"")-COUNTIF(C$4:C65,""Sell_Factory""))*(260*2^COUNTI"&amp;"F(C$4:C65,""Factory_up""))))"),366.8)</f>
        <v>366.8</v>
      </c>
      <c r="F65" s="73">
        <f>IFERROR(__xludf.DUMMYFUNCTION("IF(COUNTA(C65:C147)=0,"""",IF(REGEXMATCH(INDEX(FILTER(C$4:C65,C$4:C65&lt;&gt;""""),ROWS(FILTER(C$4:C65,C$4:C65&lt;&gt;""""))),""^Sell_""),INDEX(FILTER(F$4:F64,C$4:C64&lt;&gt;""""),ROWS(FILTER(C$4:C64,C$4:C64&lt;&gt;""""))),$AC$5*(2^SWITCH(COUNTIF(C$4:C65,""Cursor_up""),0,0,1,1,2"&amp;",2,3)+SWITCH(COUNTIF(C$4:C65,""Cursor_up""),4,0.1,0)*(ROW(C65)-4-COUNTIF(C$4:C65,""Cursor"")-COUNTIF(C$4:C65,""*""&amp;""_up"")-2*COUNTIF(C$4:C65,""Sell_""&amp;""*"")+COUNTIF(C$4:C65,""Sell_Cursor"")-COUNTIF(C$4:C65,""""))+0.01*E65*COUNTIF(C$4:C65,""Plastic_up"")"&amp;")+E65))"),2700.4)</f>
        <v>2700.4</v>
      </c>
      <c r="G65" s="14">
        <f>IFERROR(__xludf.DUMMYFUNCTION("IF(COUNTA(C65:C147)=0,"""",IF(REGEXMATCH(C65,""_up""),VLOOKUP(C65,Upgrades!$F$3:$J$8,1+COUNTIF(C$4:C65,C65),FALSE),IF(C65="""",0,IF(REGEXMATCH(C65,""^Sell_""),-ROUNDDOWN(ROUNDUP(INDEX(Upgrades!$C$3:$C$8,MATCH(SUBSTITUTE(C65,""Sell_"",""""),Upgrades!$B$3:$"&amp;"B$8,0))*1.15^(COUNTIF(C$4:C64,SUBSTITUTE(C65,""Sell_"",""""))-COUNTIF(C$4:C64,""Sell_""&amp;SUBSTITUTE(C65,""Sell_"",""""))))/4),ROUNDUP(INDEX(Upgrades!$C$3:$C$7,MATCH(C65,Upgrades!$B$3:$B$7,0))*1.15^(COUNTIF(C$4:C64,C65)-COUNTIF(C$4:C64,""Sell_""&amp;C65)))))))"),4451.0)</f>
        <v>4451</v>
      </c>
      <c r="H65" s="14">
        <f t="shared" si="3"/>
        <v>4451</v>
      </c>
      <c r="I65" s="75">
        <f t="shared" si="4"/>
        <v>2630837.552</v>
      </c>
      <c r="J65" s="76">
        <f t="shared" si="5"/>
        <v>83.06631765</v>
      </c>
      <c r="K65" s="71" t="str">
        <f t="shared" si="6"/>
        <v>1m 23s</v>
      </c>
      <c r="L65" s="77">
        <f t="shared" si="7"/>
        <v>142235</v>
      </c>
      <c r="M65" s="51">
        <f t="shared" si="8"/>
        <v>-0.29073</v>
      </c>
      <c r="N65" s="52">
        <f>IFERROR(__xludf.DUMMYFUNCTION("IFS(AND(COUNTA(C65:C147)=0,COUNTA(P65:P147)=0),"""",OR(AND(L65&gt;=1000000,OR(Y65&gt;=1000000,COUNTA(P65:P147)=0)),AND(Y65&gt;=1000000,COUNTA(C65:C147)=0),AND(COUNTA(P65:P147)=0,O$3=TRUE)),
ROUNDDOWN((AB$1-AC$1)*MAX(INDEX(S$4:S147,MATCH(LARGE(FILTER(Y$4:Y147,Y$4:Y"&amp;"147&lt;1000000),1),Y$4:Y147)),INDEX(F$4:F147,MATCH(LARGE(FILTER(L$4:L147,L$4:L147&lt;1000000),1),L$4:L147)))),AND(L65&lt;1000000,COUNTA(C65:C147)&gt;0,O$3=FALSE),
ROUNDDOWN(INDEX(Y$4:Y147,MATCH(LARGE(FILTER(W$4:W147,W$4:W147&lt;=J65),1),W$4:W147))+(J65-LARGE(FILTER(W$4:"&amp;"W147,W$4:W147&lt;=J65),1))*INDEX(S$4:S147,MATCH(LARGE(FILTER(W$4:W147,W$4:W147&lt;=J65),1),W$4:W147))-L65),1,
ROUNDDOWN(Y65-INDEX(L$4:L147,MATCH(LARGE(FILTER(J$4:J147,J$4:J147&lt;=W65),1),J$4:J147))-(W65-LARGE(FILTER(J$4:J147,J$4:J147&lt;=W65),1))*INDEX(F$4:F147,MATC"&amp;"H(LARGE(FILTER(J$4:J147,J$4:J147&lt;=W65),1),J$4:J147))))"),781.0)</f>
        <v>781</v>
      </c>
      <c r="O65" s="65">
        <f t="shared" si="9"/>
        <v>12</v>
      </c>
      <c r="P65" s="15" t="s">
        <v>16</v>
      </c>
      <c r="Q65" s="14" t="b">
        <f>IFERROR(__xludf.DUMMYFUNCTION("IF(COUNTA(P65:P147)=0,"""",IFERROR(IF(ISBLANK(P65),FALSE,IF(ISBLANK(T65),1,IF(NOT(COUNTIF($AA$24:$AA$34,SUBSTITUTE(P65,""Sell_"",""""))),1,IF(P65=""Plastic_up"",IF(V65&lt;1000,1),IF(P65=""Super_Up"",IF(OR(COUNTIF(P$4:P65,""Grandma"")-COUNTIF(P$4:P65,""Sell_G"&amp;"randma"")&lt;1,COUNTIF(P$4:P65,VLOOKUP(P65,Upgrades!$F$8:$N$8,7+COUNTIF(P$4:P65,P65)))-COUNTIF(P$4:P65,""Sell_""&amp;VLOOKUP(P65,Upgrades!$F$8:$N$8,7+COUNTIF(P$4:P65,P65)))&lt;15),1),IF(REGEXMATCH(P65,""_up""),IF(COUNTIF(P$4:P65,SUBSTITUTE(P65,""_up"",""""))&lt;IFERRO"&amp;"R(VLOOKUP(P65,Upgrades!$L$3:$P$6,1+COUNTIF(P$4:P65,P65),0),999),1),IF(REGEXMATCH(P65,""Sell_""),IF(COUNTIF(P$4:P65,SUBSTITUTE(P65,""Sell_"",""""))-COUNTIF(P$4:P64,P65)&lt;1,1),FALSE)))))))))"),FALSE)</f>
        <v>0</v>
      </c>
      <c r="R65" s="71">
        <f>IFERROR(__xludf.DUMMYFUNCTION("IF(REGEXMATCH(P65,""^Sell_""),R64, IF(COUNTA(P65:P147)=0,"""",(COUNTIF(P$4:P65,""Cursor"")-COUNTIF(P$4:P65,""Sell_Cursor""))*(0.1*2^SWITCH(COUNTIF(P$4:P65,""Cursor_up""),0,0,1,1,2,2,3)+SWITCH(COUNTIF(P$4:P65,""Cursor_up""),4,0.1,0)*(ROW(P65)-4-COUNTIF(P$4"&amp;":P65,""Cursor"")-COUNTIF(P$4:P65,""*""&amp;""_up"")-2*COUNTIF(P$4:P65,""Sell_""&amp;""*"")+COUNTIF(P$4:P65,""Sell_Cursor"")-COUNTIF(P$4:P65,"""")))+(COUNTIF(P$4:P65,""Grandma"")-COUNTIF(P$4:P65,""Sell_Grandma""))*(1*2^(COUNTIF(P$4:P65,""Grandma_up"")+COUNTIF(P$4:"&amp;"P65,""Super_up"")))+(COUNTIF(P$4:P65,""Farm"")-COUNTIF(P$4:P65,""Sell_Farm""))*(8*2^COUNTIF(P$4:P65,""Farm_up""))*IF(COUNTIF(P$4:P65,""Super_up"")&gt;0,1+0.01*(COUNTIF(P$4:P65,""Grandma"")-COUNTIF(P$4:P65,""Sell_Grandma"")),1)+(COUNTIF(P$4:P65,""Mine"")-COUN"&amp;"TIF(P$4:P65,""Sell_Mine""))*((47*2^COUNTIF(P$4:P65,""Mine_up""))*IF(COUNTIF(P$4:P65,""Super_up"")&gt;1,1+0.005*(COUNTIF(P$4:P65,""Grandma"")-COUNTIF(P$4:P65,""Sell_Grandma"")),1))+(COUNTIF(P$4:P65,""Factory"")-COUNTIF(P$4:P65,""Sell_Factory""))*(260*2^COUNTI"&amp;"F(P$4:P65,""Factory_up""))))"),378.8)</f>
        <v>378.8</v>
      </c>
      <c r="S65" s="73">
        <f>IFERROR(__xludf.DUMMYFUNCTION("IF(COUNTA(P65:P147)=0,"""",IF(REGEXMATCH(INDEX(FILTER(P$4:P65,P$4:P65&lt;&gt;""""),ROWS(FILTER(P$4:P65,P$4:P65&lt;&gt;""""))),""^Sell_""),INDEX(FILTER(S$4:S64,P$4:P64&lt;&gt;""""),ROWS(FILTER(P$4:P64,P$4:P64&lt;&gt;""""))),$AD$5*(2^SWITCH(COUNTIF(P$4:P65,""Cursor_up""),0,0,1,1,2"&amp;",2,3)+SWITCH(COUNTIF(P$4:P65,""Cursor_up""),4,0.1,0)*(ROW(P65)-4-COUNTIF(P$4:P65,""Cursor"")-COUNTIF(P$4:P65,""*""&amp;""_up"")-2*COUNTIF(P$4:P65,""Sell_""&amp;""*"")+COUNTIF(P$4:P65,""Sell_Cursor"")-COUNTIF(P$4:P65,""""))+0.01*R65*COUNTIF(P$4:P65,""Plastic_up"")"&amp;")+R65))"),2736.4)</f>
        <v>2736.4</v>
      </c>
      <c r="T65" s="14">
        <f>IFERROR(__xludf.DUMMYFUNCTION("IF(COUNTA(P65:P147)=0,"""",IF(REGEXMATCH(P65,""_up""),VLOOKUP(P65,Upgrades!$F$3:$J$8,1+COUNTIF(P$4:P65,P65),FALSE),IF(P65="""",0,IF(REGEXMATCH(P65,""^Sell_""),-ROUNDDOWN(ROUNDUP(INDEX(Upgrades!$C$3:$C$8,MATCH(SUBSTITUTE(P65,""Sell_"",""""),Upgrades!$B$3:$"&amp;"B$8,0))*1.15^(COUNTIF(P$4:P64,SUBSTITUTE(P65,""Sell_"",""""))-COUNTIF(P$4:P64,""Sell_""&amp;SUBSTITUTE(P65,""Sell_"",""""))))/4),ROUNDUP(INDEX(Upgrades!$C$3:$C$7,MATCH(P65,Upgrades!$B$3:$B$7,0))*1.15^(COUNTIF(P$4:P64,P65)-COUNTIF(P$4:P64,""Sell_""&amp;P65)))))))"),5118.0)</f>
        <v>5118</v>
      </c>
      <c r="U65" s="14">
        <f t="shared" si="10"/>
        <v>5118</v>
      </c>
      <c r="V65" s="75">
        <f t="shared" si="11"/>
        <v>3204056.681</v>
      </c>
      <c r="W65" s="76">
        <f t="shared" si="12"/>
        <v>84.149636</v>
      </c>
      <c r="X65" s="71" t="str">
        <f t="shared" si="13"/>
        <v>1m 24s</v>
      </c>
      <c r="Y65" s="77">
        <f t="shared" si="14"/>
        <v>145929</v>
      </c>
      <c r="Z65" s="17"/>
      <c r="AA65" s="13"/>
      <c r="AB65" s="13"/>
      <c r="AC65" s="13"/>
      <c r="AD65" s="13"/>
      <c r="AE65" s="13"/>
      <c r="AF65" s="13"/>
      <c r="AG65" s="13"/>
    </row>
    <row r="66">
      <c r="A66" s="12"/>
      <c r="B66" s="65">
        <f t="shared" si="2"/>
        <v>12</v>
      </c>
      <c r="C66" s="66" t="s">
        <v>16</v>
      </c>
      <c r="D66" s="14" t="b">
        <f>IFERROR(__xludf.DUMMYFUNCTION("IF(COUNTA(C66:C147)=0,"""",IFERROR(IF(ISBLANK(C66),FALSE,IF(ISBLANK(G66),1,IF(NOT(COUNTIF($AA$24:$AA$34,SUBSTITUTE(C66,""Sell_"",""""))),1,IF(C66=""Plastic_up"",IF(I66&lt;1000,1),IF(C66=""Super_Up"",IF(OR(COUNTIF(C$4:C66,""Grandma"")-COUNTIF(C$4:C66,""Sell_G"&amp;"randma"")&lt;1,COUNTIF(C$4:C66,VLOOKUP(C66,Upgrades!$F$8:$N$8,7+COUNTIF(C$4:C66,C66)))-COUNTIF(C$4:C66,""Sell_""&amp;VLOOKUP(C66,Upgrades!$F$8:$N$8,7+COUNTIF(C$4:C66,C66)))&lt;15),1),IF(REGEXMATCH(C66,""_up""),IF(COUNTIF(C$4:C66,SUBSTITUTE(C66,""_up"",""""))&lt;IFERRO"&amp;"R(VLOOKUP(C66,Upgrades!$L$3:$P$6,1+COUNTIF(C$4:C66,C66),0),999),1),IF(REGEXMATCH(C66,""Sell_""),IF(COUNTIF(C$4:C66,SUBSTITUTE(C66,""Sell_"",""""))-COUNTIF(C$4:C65,C66)&lt;1,1),FALSE)))))))))"),FALSE)</f>
        <v>0</v>
      </c>
      <c r="E66" s="71">
        <f>IFERROR(__xludf.DUMMYFUNCTION("IF(REGEXMATCH(C66,""^Sell_""),E65, IF(COUNTA(C66:C147)=0,"""",(COUNTIF(C$4:C66,""Cursor"")-COUNTIF(C$4:C66,""Sell_Cursor""))*(0.1*2^SWITCH(COUNTIF(C$4:C66,""Cursor_up""),0,0,1,1,2,2,3)+SWITCH(COUNTIF(C$4:C66,""Cursor_up""),4,0.1,0)*(ROW(C66)-4-COUNTIF(C$4"&amp;":C66,""Cursor"")-COUNTIF(C$4:C66,""*""&amp;""_up"")-2*COUNTIF(C$4:C66,""Sell_""&amp;""*"")+COUNTIF(C$4:C66,""Sell_Cursor"")-COUNTIF(C$4:C66,"""")))+(COUNTIF(C$4:C66,""Grandma"")-COUNTIF(C$4:C66,""Sell_Grandma""))*(1*2^(COUNTIF(C$4:C66,""Grandma_up"")+COUNTIF(C$4:"&amp;"C66,""Super_up"")))+(COUNTIF(C$4:C66,""Farm"")-COUNTIF(C$4:C66,""Sell_Farm""))*(8*2^COUNTIF(C$4:C66,""Farm_up""))*IF(COUNTIF(C$4:C66,""Super_up"")&gt;0,1+0.01*(COUNTIF(C$4:C66,""Grandma"")-COUNTIF(C$4:C66,""Sell_Grandma"")),1)+(COUNTIF(C$4:C66,""Mine"")-COUN"&amp;"TIF(C$4:C66,""Sell_Mine""))*((47*2^COUNTIF(C$4:C66,""Mine_up""))*IF(COUNTIF(C$4:C66,""Super_up"")&gt;1,1+0.005*(COUNTIF(C$4:C66,""Grandma"")-COUNTIF(C$4:C66,""Sell_Grandma"")),1))+(COUNTIF(C$4:C66,""Factory"")-COUNTIF(C$4:C66,""Sell_Factory""))*(260*2^COUNTI"&amp;"F(C$4:C66,""Factory_up""))))"),382.8)</f>
        <v>382.8</v>
      </c>
      <c r="F66" s="73">
        <f>IFERROR(__xludf.DUMMYFUNCTION("IF(COUNTA(C66:C147)=0,"""",IF(REGEXMATCH(INDEX(FILTER(C$4:C66,C$4:C66&lt;&gt;""""),ROWS(FILTER(C$4:C66,C$4:C66&lt;&gt;""""))),""^Sell_""),INDEX(FILTER(F$4:F65,C$4:C65&lt;&gt;""""),ROWS(FILTER(C$4:C65,C$4:C65&lt;&gt;""""))),$AC$5*(2^SWITCH(COUNTIF(C$4:C66,""Cursor_up""),0,0,1,1,2"&amp;",2,3)+SWITCH(COUNTIF(C$4:C66,""Cursor_up""),4,0.1,0)*(ROW(C66)-4-COUNTIF(C$4:C66,""Cursor"")-COUNTIF(C$4:C66,""*""&amp;""_up"")-2*COUNTIF(C$4:C66,""Sell_""&amp;""*"")+COUNTIF(C$4:C66,""Sell_Cursor"")-COUNTIF(C$4:C66,""""))+0.01*E66*COUNTIF(C$4:C66,""Plastic_up"")"&amp;")+E66))"),2748.4)</f>
        <v>2748.4</v>
      </c>
      <c r="G66" s="14">
        <f>IFERROR(__xludf.DUMMYFUNCTION("IF(COUNTA(C66:C147)=0,"""",IF(REGEXMATCH(C66,""_up""),VLOOKUP(C66,Upgrades!$F$3:$J$8,1+COUNTIF(C$4:C66,C66),FALSE),IF(C66="""",0,IF(REGEXMATCH(C66,""^Sell_""),-ROUNDDOWN(ROUNDUP(INDEX(Upgrades!$C$3:$C$8,MATCH(SUBSTITUTE(C66,""Sell_"",""""),Upgrades!$B$3:$"&amp;"B$8,0))*1.15^(COUNTIF(C$4:C65,SUBSTITUTE(C66,""Sell_"",""""))-COUNTIF(C$4:C65,""Sell_""&amp;SUBSTITUTE(C66,""Sell_"",""""))))/4),ROUNDUP(INDEX(Upgrades!$C$3:$C$7,MATCH(C66,Upgrades!$B$3:$B$7,0))*1.15^(COUNTIF(C$4:C65,C66)-COUNTIF(C$4:C65,""Sell_""&amp;C66)))))))"),5118.0)</f>
        <v>5118</v>
      </c>
      <c r="H66" s="14">
        <f t="shared" si="3"/>
        <v>5118</v>
      </c>
      <c r="I66" s="75">
        <f t="shared" si="4"/>
        <v>2829103.924</v>
      </c>
      <c r="J66" s="76">
        <f t="shared" si="5"/>
        <v>84.96159242</v>
      </c>
      <c r="K66" s="71" t="str">
        <f t="shared" si="6"/>
        <v>1m 24s</v>
      </c>
      <c r="L66" s="77">
        <f t="shared" si="7"/>
        <v>147353</v>
      </c>
      <c r="M66" s="51">
        <f t="shared" si="8"/>
        <v>-0.29156</v>
      </c>
      <c r="N66" s="52">
        <f>IFERROR(__xludf.DUMMYFUNCTION("IFS(AND(COUNTA(C66:C147)=0,COUNTA(P66:P147)=0),"""",OR(AND(L66&gt;=1000000,OR(Y66&gt;=1000000,COUNTA(P66:P147)=0)),AND(Y66&gt;=1000000,COUNTA(C66:C147)=0),AND(COUNTA(P66:P147)=0,O$3=TRUE)),
ROUNDDOWN((AB$1-AC$1)*MAX(INDEX(S$4:S147,MATCH(LARGE(FILTER(Y$4:Y147,Y$4:Y"&amp;"147&lt;1000000),1),Y$4:Y147)),INDEX(F$4:F147,MATCH(LARGE(FILTER(L$4:L147,L$4:L147&lt;1000000),1),L$4:L147)))),AND(L66&lt;1000000,COUNTA(C66:C147)&gt;0,O$3=FALSE),
ROUNDDOWN(INDEX(Y$4:Y147,MATCH(LARGE(FILTER(W$4:W147,W$4:W147&lt;=J66),1),W$4:W147))+(J66-LARGE(FILTER(W$4:"&amp;"W147,W$4:W147&lt;=J66),1))*INDEX(S$4:S147,MATCH(LARGE(FILTER(W$4:W147,W$4:W147&lt;=J66),1),W$4:W147))-L66),1,
ROUNDDOWN(Y66-INDEX(L$4:L147,MATCH(LARGE(FILTER(J$4:J147,J$4:J147&lt;=W66),1),J$4:J147))-(W66-LARGE(FILTER(J$4:J147,J$4:J147&lt;=W66),1))*INDEX(F$4:F147,MATC"&amp;"H(LARGE(FILTER(J$4:J147,J$4:J147&lt;=W66),1),J$4:J147))))"),797.0)</f>
        <v>797</v>
      </c>
      <c r="O66" s="65">
        <f t="shared" si="9"/>
        <v>13</v>
      </c>
      <c r="P66" s="15" t="s">
        <v>16</v>
      </c>
      <c r="Q66" s="14" t="b">
        <f>IFERROR(__xludf.DUMMYFUNCTION("IF(COUNTA(P66:P147)=0,"""",IFERROR(IF(ISBLANK(P66),FALSE,IF(ISBLANK(T66),1,IF(NOT(COUNTIF($AA$24:$AA$34,SUBSTITUTE(P66,""Sell_"",""""))),1,IF(P66=""Plastic_up"",IF(V66&lt;1000,1),IF(P66=""Super_Up"",IF(OR(COUNTIF(P$4:P66,""Grandma"")-COUNTIF(P$4:P66,""Sell_G"&amp;"randma"")&lt;1,COUNTIF(P$4:P66,VLOOKUP(P66,Upgrades!$F$8:$N$8,7+COUNTIF(P$4:P66,P66)))-COUNTIF(P$4:P66,""Sell_""&amp;VLOOKUP(P66,Upgrades!$F$8:$N$8,7+COUNTIF(P$4:P66,P66)))&lt;15),1),IF(REGEXMATCH(P66,""_up""),IF(COUNTIF(P$4:P66,SUBSTITUTE(P66,""_up"",""""))&lt;IFERRO"&amp;"R(VLOOKUP(P66,Upgrades!$L$3:$P$6,1+COUNTIF(P$4:P66,P66),0),999),1),IF(REGEXMATCH(P66,""Sell_""),IF(COUNTIF(P$4:P66,SUBSTITUTE(P66,""Sell_"",""""))-COUNTIF(P$4:P65,P66)&lt;1,1),FALSE)))))))))"),FALSE)</f>
        <v>0</v>
      </c>
      <c r="R66" s="71">
        <f>IFERROR(__xludf.DUMMYFUNCTION("IF(REGEXMATCH(P66,""^Sell_""),R65, IF(COUNTA(P66:P147)=0,"""",(COUNTIF(P$4:P66,""Cursor"")-COUNTIF(P$4:P66,""Sell_Cursor""))*(0.1*2^SWITCH(COUNTIF(P$4:P66,""Cursor_up""),0,0,1,1,2,2,3)+SWITCH(COUNTIF(P$4:P66,""Cursor_up""),4,0.1,0)*(ROW(P66)-4-COUNTIF(P$4"&amp;":P66,""Cursor"")-COUNTIF(P$4:P66,""*""&amp;""_up"")-2*COUNTIF(P$4:P66,""Sell_""&amp;""*"")+COUNTIF(P$4:P66,""Sell_Cursor"")-COUNTIF(P$4:P66,"""")))+(COUNTIF(P$4:P66,""Grandma"")-COUNTIF(P$4:P66,""Sell_Grandma""))*(1*2^(COUNTIF(P$4:P66,""Grandma_up"")+COUNTIF(P$4:"&amp;"P66,""Super_up"")))+(COUNTIF(P$4:P66,""Farm"")-COUNTIF(P$4:P66,""Sell_Farm""))*(8*2^COUNTIF(P$4:P66,""Farm_up""))*IF(COUNTIF(P$4:P66,""Super_up"")&gt;0,1+0.01*(COUNTIF(P$4:P66,""Grandma"")-COUNTIF(P$4:P66,""Sell_Grandma"")),1)+(COUNTIF(P$4:P66,""Mine"")-COUN"&amp;"TIF(P$4:P66,""Sell_Mine""))*((47*2^COUNTIF(P$4:P66,""Mine_up""))*IF(COUNTIF(P$4:P66,""Super_up"")&gt;1,1+0.005*(COUNTIF(P$4:P66,""Grandma"")-COUNTIF(P$4:P66,""Sell_Grandma"")),1))+(COUNTIF(P$4:P66,""Factory"")-COUNTIF(P$4:P66,""Sell_Factory""))*(260*2^COUNTI"&amp;"F(P$4:P66,""Factory_up""))))"),394.8)</f>
        <v>394.8</v>
      </c>
      <c r="S66" s="73">
        <f>IFERROR(__xludf.DUMMYFUNCTION("IF(COUNTA(P66:P147)=0,"""",IF(REGEXMATCH(INDEX(FILTER(P$4:P66,P$4:P66&lt;&gt;""""),ROWS(FILTER(P$4:P66,P$4:P66&lt;&gt;""""))),""^Sell_""),INDEX(FILTER(S$4:S65,P$4:P65&lt;&gt;""""),ROWS(FILTER(P$4:P65,P$4:P65&lt;&gt;""""))),$AD$5*(2^SWITCH(COUNTIF(P$4:P66,""Cursor_up""),0,0,1,1,2"&amp;",2,3)+SWITCH(COUNTIF(P$4:P66,""Cursor_up""),4,0.1,0)*(ROW(P66)-4-COUNTIF(P$4:P66,""Cursor"")-COUNTIF(P$4:P66,""*""&amp;""_up"")-2*COUNTIF(P$4:P66,""Sell_""&amp;""*"")+COUNTIF(P$4:P66,""Sell_Cursor"")-COUNTIF(P$4:P66,""""))+0.01*R66*COUNTIF(P$4:P66,""Plastic_up"")"&amp;")+R66))"),2784.4)</f>
        <v>2784.4</v>
      </c>
      <c r="T66" s="14">
        <f>IFERROR(__xludf.DUMMYFUNCTION("IF(COUNTA(P66:P147)=0,"""",IF(REGEXMATCH(P66,""_up""),VLOOKUP(P66,Upgrades!$F$3:$J$8,1+COUNTIF(P$4:P66,P66),FALSE),IF(P66="""",0,IF(REGEXMATCH(P66,""^Sell_""),-ROUNDDOWN(ROUNDUP(INDEX(Upgrades!$C$3:$C$8,MATCH(SUBSTITUTE(P66,""Sell_"",""""),Upgrades!$B$3:$"&amp;"B$8,0))*1.15^(COUNTIF(P$4:P65,SUBSTITUTE(P66,""Sell_"",""""))-COUNTIF(P$4:P65,""Sell_""&amp;SUBSTITUTE(P66,""Sell_"",""""))))/4),ROUNDUP(INDEX(Upgrades!$C$3:$C$7,MATCH(P66,Upgrades!$B$3:$B$7,0))*1.15^(COUNTIF(P$4:P65,P66)-COUNTIF(P$4:P65,""Sell_""&amp;P66)))))))"),5886.0)</f>
        <v>5886</v>
      </c>
      <c r="U66" s="14">
        <f t="shared" si="10"/>
        <v>5886</v>
      </c>
      <c r="V66" s="75">
        <f t="shared" si="11"/>
        <v>3407519.063</v>
      </c>
      <c r="W66" s="76">
        <f t="shared" si="12"/>
        <v>86.30063732</v>
      </c>
      <c r="X66" s="71" t="str">
        <f t="shared" si="13"/>
        <v>1m 26s</v>
      </c>
      <c r="Y66" s="77">
        <f t="shared" si="14"/>
        <v>151815</v>
      </c>
      <c r="Z66" s="17"/>
      <c r="AA66" s="13"/>
      <c r="AB66" s="13"/>
      <c r="AC66" s="13"/>
      <c r="AD66" s="13"/>
      <c r="AE66" s="13"/>
      <c r="AF66" s="13"/>
      <c r="AG66" s="13"/>
    </row>
    <row r="67">
      <c r="A67" s="12"/>
      <c r="B67" s="65">
        <f t="shared" si="2"/>
        <v>13</v>
      </c>
      <c r="C67" s="66" t="s">
        <v>16</v>
      </c>
      <c r="D67" s="14" t="b">
        <f>IFERROR(__xludf.DUMMYFUNCTION("IF(COUNTA(C67:C147)=0,"""",IFERROR(IF(ISBLANK(C67),FALSE,IF(ISBLANK(G67),1,IF(NOT(COUNTIF($AA$24:$AA$34,SUBSTITUTE(C67,""Sell_"",""""))),1,IF(C67=""Plastic_up"",IF(I67&lt;1000,1),IF(C67=""Super_Up"",IF(OR(COUNTIF(C$4:C67,""Grandma"")-COUNTIF(C$4:C67,""Sell_G"&amp;"randma"")&lt;1,COUNTIF(C$4:C67,VLOOKUP(C67,Upgrades!$F$8:$N$8,7+COUNTIF(C$4:C67,C67)))-COUNTIF(C$4:C67,""Sell_""&amp;VLOOKUP(C67,Upgrades!$F$8:$N$8,7+COUNTIF(C$4:C67,C67)))&lt;15),1),IF(REGEXMATCH(C67,""_up""),IF(COUNTIF(C$4:C67,SUBSTITUTE(C67,""_up"",""""))&lt;IFERRO"&amp;"R(VLOOKUP(C67,Upgrades!$L$3:$P$6,1+COUNTIF(C$4:C67,C67),0),999),1),IF(REGEXMATCH(C67,""Sell_""),IF(COUNTIF(C$4:C67,SUBSTITUTE(C67,""Sell_"",""""))-COUNTIF(C$4:C66,C67)&lt;1,1),FALSE)))))))))"),FALSE)</f>
        <v>0</v>
      </c>
      <c r="E67" s="71">
        <f>IFERROR(__xludf.DUMMYFUNCTION("IF(REGEXMATCH(C67,""^Sell_""),E66, IF(COUNTA(C67:C147)=0,"""",(COUNTIF(C$4:C67,""Cursor"")-COUNTIF(C$4:C67,""Sell_Cursor""))*(0.1*2^SWITCH(COUNTIF(C$4:C67,""Cursor_up""),0,0,1,1,2,2,3)+SWITCH(COUNTIF(C$4:C67,""Cursor_up""),4,0.1,0)*(ROW(C67)-4-COUNTIF(C$4"&amp;":C67,""Cursor"")-COUNTIF(C$4:C67,""*""&amp;""_up"")-2*COUNTIF(C$4:C67,""Sell_""&amp;""*"")+COUNTIF(C$4:C67,""Sell_Cursor"")-COUNTIF(C$4:C67,"""")))+(COUNTIF(C$4:C67,""Grandma"")-COUNTIF(C$4:C67,""Sell_Grandma""))*(1*2^(COUNTIF(C$4:C67,""Grandma_up"")+COUNTIF(C$4:"&amp;"C67,""Super_up"")))+(COUNTIF(C$4:C67,""Farm"")-COUNTIF(C$4:C67,""Sell_Farm""))*(8*2^COUNTIF(C$4:C67,""Farm_up""))*IF(COUNTIF(C$4:C67,""Super_up"")&gt;0,1+0.01*(COUNTIF(C$4:C67,""Grandma"")-COUNTIF(C$4:C67,""Sell_Grandma"")),1)+(COUNTIF(C$4:C67,""Mine"")-COUN"&amp;"TIF(C$4:C67,""Sell_Mine""))*((47*2^COUNTIF(C$4:C67,""Mine_up""))*IF(COUNTIF(C$4:C67,""Super_up"")&gt;1,1+0.005*(COUNTIF(C$4:C67,""Grandma"")-COUNTIF(C$4:C67,""Sell_Grandma"")),1))+(COUNTIF(C$4:C67,""Factory"")-COUNTIF(C$4:C67,""Sell_Factory""))*(260*2^COUNTI"&amp;"F(C$4:C67,""Factory_up""))))"),398.8)</f>
        <v>398.8</v>
      </c>
      <c r="F67" s="73">
        <f>IFERROR(__xludf.DUMMYFUNCTION("IF(COUNTA(C67:C147)=0,"""",IF(REGEXMATCH(INDEX(FILTER(C$4:C67,C$4:C67&lt;&gt;""""),ROWS(FILTER(C$4:C67,C$4:C67&lt;&gt;""""))),""^Sell_""),INDEX(FILTER(F$4:F66,C$4:C66&lt;&gt;""""),ROWS(FILTER(C$4:C66,C$4:C66&lt;&gt;""""))),$AC$5*(2^SWITCH(COUNTIF(C$4:C67,""Cursor_up""),0,0,1,1,2"&amp;",2,3)+SWITCH(COUNTIF(C$4:C67,""Cursor_up""),4,0.1,0)*(ROW(C67)-4-COUNTIF(C$4:C67,""Cursor"")-COUNTIF(C$4:C67,""*""&amp;""_up"")-2*COUNTIF(C$4:C67,""Sell_""&amp;""*"")+COUNTIF(C$4:C67,""Sell_Cursor"")-COUNTIF(C$4:C67,""""))+0.01*E67*COUNTIF(C$4:C67,""Plastic_up"")"&amp;")+E67))"),2796.4)</f>
        <v>2796.4</v>
      </c>
      <c r="G67" s="14">
        <f>IFERROR(__xludf.DUMMYFUNCTION("IF(COUNTA(C67:C147)=0,"""",IF(REGEXMATCH(C67,""_up""),VLOOKUP(C67,Upgrades!$F$3:$J$8,1+COUNTIF(C$4:C67,C67),FALSE),IF(C67="""",0,IF(REGEXMATCH(C67,""^Sell_""),-ROUNDDOWN(ROUNDUP(INDEX(Upgrades!$C$3:$C$8,MATCH(SUBSTITUTE(C67,""Sell_"",""""),Upgrades!$B$3:$"&amp;"B$8,0))*1.15^(COUNTIF(C$4:C66,SUBSTITUTE(C67,""Sell_"",""""))-COUNTIF(C$4:C66,""Sell_""&amp;SUBSTITUTE(C67,""Sell_"",""""))))/4),ROUNDUP(INDEX(Upgrades!$C$3:$C$7,MATCH(C67,Upgrades!$B$3:$B$7,0))*1.15^(COUNTIF(C$4:C66,C67)-COUNTIF(C$4:C66,""Sell_""&amp;C67)))))))"),5886.0)</f>
        <v>5886</v>
      </c>
      <c r="H67" s="14">
        <f t="shared" si="3"/>
        <v>5886</v>
      </c>
      <c r="I67" s="75">
        <f t="shared" si="4"/>
        <v>3035155.259</v>
      </c>
      <c r="J67" s="76">
        <f t="shared" si="5"/>
        <v>87.10320209</v>
      </c>
      <c r="K67" s="71" t="str">
        <f t="shared" si="6"/>
        <v>1m 27s</v>
      </c>
      <c r="L67" s="77">
        <f t="shared" si="7"/>
        <v>153239</v>
      </c>
      <c r="M67" s="51">
        <f t="shared" si="8"/>
        <v>-0.29114</v>
      </c>
      <c r="N67" s="52">
        <f>IFERROR(__xludf.DUMMYFUNCTION("IFS(AND(COUNTA(C67:C147)=0,COUNTA(P67:P147)=0),"""",OR(AND(L67&gt;=1000000,OR(Y67&gt;=1000000,COUNTA(P67:P147)=0)),AND(Y67&gt;=1000000,COUNTA(C67:C147)=0),AND(COUNTA(P67:P147)=0,O$3=TRUE)),
ROUNDDOWN((AB$1-AC$1)*MAX(INDEX(S$4:S147,MATCH(LARGE(FILTER(Y$4:Y147,Y$4:Y"&amp;"147&lt;1000000),1),Y$4:Y147)),INDEX(F$4:F147,MATCH(LARGE(FILTER(L$4:L147,L$4:L147&lt;1000000),1),L$4:L147)))),AND(L67&lt;1000000,COUNTA(C67:C147)&gt;0,O$3=FALSE),
ROUNDDOWN(INDEX(Y$4:Y147,MATCH(LARGE(FILTER(W$4:W147,W$4:W147&lt;=J67),1),W$4:W147))+(J67-LARGE(FILTER(W$4:"&amp;"W147,W$4:W147&lt;=J67),1))*INDEX(S$4:S147,MATCH(LARGE(FILTER(W$4:W147,W$4:W147&lt;=J67),1),W$4:W147))-L67),1,
ROUNDDOWN(Y67-INDEX(L$4:L147,MATCH(LARGE(FILTER(J$4:J147,J$4:J147&lt;=W67),1),J$4:J147))-(W67-LARGE(FILTER(J$4:J147,J$4:J147&lt;=W67),1))*INDEX(F$4:F147,MATC"&amp;"H(LARGE(FILTER(J$4:J147,J$4:J147&lt;=W67),1),J$4:J147))))"),810.0)</f>
        <v>810</v>
      </c>
      <c r="O67" s="65">
        <f t="shared" si="9"/>
        <v>2</v>
      </c>
      <c r="P67" s="15" t="s">
        <v>17</v>
      </c>
      <c r="Q67" s="14" t="b">
        <f>IFERROR(__xludf.DUMMYFUNCTION("IF(COUNTA(P67:P147)=0,"""",IFERROR(IF(ISBLANK(P67),FALSE,IF(ISBLANK(T67),1,IF(NOT(COUNTIF($AA$24:$AA$34,SUBSTITUTE(P67,""Sell_"",""""))),1,IF(P67=""Plastic_up"",IF(V67&lt;1000,1),IF(P67=""Super_Up"",IF(OR(COUNTIF(P$4:P67,""Grandma"")-COUNTIF(P$4:P67,""Sell_G"&amp;"randma"")&lt;1,COUNTIF(P$4:P67,VLOOKUP(P67,Upgrades!$F$8:$N$8,7+COUNTIF(P$4:P67,P67)))-COUNTIF(P$4:P67,""Sell_""&amp;VLOOKUP(P67,Upgrades!$F$8:$N$8,7+COUNTIF(P$4:P67,P67)))&lt;15),1),IF(REGEXMATCH(P67,""_up""),IF(COUNTIF(P$4:P67,SUBSTITUTE(P67,""_up"",""""))&lt;IFERRO"&amp;"R(VLOOKUP(P67,Upgrades!$L$3:$P$6,1+COUNTIF(P$4:P67,P67),0),999),1),IF(REGEXMATCH(P67,""Sell_""),IF(COUNTIF(P$4:P67,SUBSTITUTE(P67,""Sell_"",""""))-COUNTIF(P$4:P66,P67)&lt;1,1),FALSE)))))))))"),FALSE)</f>
        <v>0</v>
      </c>
      <c r="R67" s="71">
        <f>IFERROR(__xludf.DUMMYFUNCTION("IF(REGEXMATCH(P67,""^Sell_""),R66, IF(COUNTA(P67:P147)=0,"""",(COUNTIF(P$4:P67,""Cursor"")-COUNTIF(P$4:P67,""Sell_Cursor""))*(0.1*2^SWITCH(COUNTIF(P$4:P67,""Cursor_up""),0,0,1,1,2,2,3)+SWITCH(COUNTIF(P$4:P67,""Cursor_up""),4,0.1,0)*(ROW(P67)-4-COUNTIF(P$4"&amp;":P67,""Cursor"")-COUNTIF(P$4:P67,""*""&amp;""_up"")-2*COUNTIF(P$4:P67,""Sell_""&amp;""*"")+COUNTIF(P$4:P67,""Sell_Cursor"")-COUNTIF(P$4:P67,"""")))+(COUNTIF(P$4:P67,""Grandma"")-COUNTIF(P$4:P67,""Sell_Grandma""))*(1*2^(COUNTIF(P$4:P67,""Grandma_up"")+COUNTIF(P$4:"&amp;"P67,""Super_up"")))+(COUNTIF(P$4:P67,""Farm"")-COUNTIF(P$4:P67,""Sell_Farm""))*(8*2^COUNTIF(P$4:P67,""Farm_up""))*IF(COUNTIF(P$4:P67,""Super_up"")&gt;0,1+0.01*(COUNTIF(P$4:P67,""Grandma"")-COUNTIF(P$4:P67,""Sell_Grandma"")),1)+(COUNTIF(P$4:P67,""Mine"")-COUN"&amp;"TIF(P$4:P67,""Sell_Mine""))*((47*2^COUNTIF(P$4:P67,""Mine_up""))*IF(COUNTIF(P$4:P67,""Super_up"")&gt;1,1+0.005*(COUNTIF(P$4:P67,""Grandma"")-COUNTIF(P$4:P67,""Sell_Grandma"")),1))+(COUNTIF(P$4:P67,""Factory"")-COUNTIF(P$4:P67,""Sell_Factory""))*(260*2^COUNTI"&amp;"F(P$4:P67,""Factory_up""))))"),602.8)</f>
        <v>602.8</v>
      </c>
      <c r="S67" s="73">
        <f>IFERROR(__xludf.DUMMYFUNCTION("IF(COUNTA(P67:P147)=0,"""",IF(REGEXMATCH(INDEX(FILTER(P$4:P67,P$4:P67&lt;&gt;""""),ROWS(FILTER(P$4:P67,P$4:P67&lt;&gt;""""))),""^Sell_""),INDEX(FILTER(S$4:S66,P$4:P66&lt;&gt;""""),ROWS(FILTER(P$4:P66,P$4:P66&lt;&gt;""""))),$AD$5*(2^SWITCH(COUNTIF(P$4:P67,""Cursor_up""),0,0,1,1,2"&amp;",2,3)+SWITCH(COUNTIF(P$4:P67,""Cursor_up""),4,0.1,0)*(ROW(P67)-4-COUNTIF(P$4:P67,""Cursor"")-COUNTIF(P$4:P67,""*""&amp;""_up"")-2*COUNTIF(P$4:P67,""Sell_""&amp;""*"")+COUNTIF(P$4:P67,""Sell_Cursor"")-COUNTIF(P$4:P67,""""))+0.01*R67*COUNTIF(P$4:P67,""Plastic_up"")"&amp;")+R67))"),3408.3999999999996)</f>
        <v>3408.4</v>
      </c>
      <c r="T67" s="14">
        <f>IFERROR(__xludf.DUMMYFUNCTION("IF(COUNTA(P67:P147)=0,"""",IF(REGEXMATCH(P67,""_up""),VLOOKUP(P67,Upgrades!$F$3:$J$8,1+COUNTIF(P$4:P67,P67),FALSE),IF(P67="""",0,IF(REGEXMATCH(P67,""^Sell_""),-ROUNDDOWN(ROUNDUP(INDEX(Upgrades!$C$3:$C$8,MATCH(SUBSTITUTE(P67,""Sell_"",""""),Upgrades!$B$3:$"&amp;"B$8,0))*1.15^(COUNTIF(P$4:P66,SUBSTITUTE(P67,""Sell_"",""""))-COUNTIF(P$4:P66,""Sell_""&amp;SUBSTITUTE(P67,""Sell_"",""""))))/4),ROUNDUP(INDEX(Upgrades!$C$3:$C$7,MATCH(P67,Upgrades!$B$3:$B$7,0))*1.15^(COUNTIF(P$4:P66,P67)-COUNTIF(P$4:P66,""Sell_""&amp;P67)))))))"),55000.0)</f>
        <v>55000</v>
      </c>
      <c r="U67" s="14">
        <f t="shared" si="10"/>
        <v>55000</v>
      </c>
      <c r="V67" s="75">
        <f t="shared" si="11"/>
        <v>3660944.618</v>
      </c>
      <c r="W67" s="76">
        <f t="shared" si="12"/>
        <v>106.0535464</v>
      </c>
      <c r="X67" s="71" t="str">
        <f t="shared" si="13"/>
        <v>1m 46s</v>
      </c>
      <c r="Y67" s="77">
        <f t="shared" si="14"/>
        <v>206815</v>
      </c>
      <c r="Z67" s="17"/>
      <c r="AA67" s="13"/>
      <c r="AB67" s="13"/>
      <c r="AC67" s="13"/>
      <c r="AD67" s="13"/>
      <c r="AE67" s="13"/>
      <c r="AF67" s="13"/>
      <c r="AG67" s="13"/>
    </row>
    <row r="68">
      <c r="A68" s="12"/>
      <c r="B68" s="65">
        <f t="shared" si="2"/>
        <v>2</v>
      </c>
      <c r="C68" s="66" t="s">
        <v>17</v>
      </c>
      <c r="D68" s="14" t="b">
        <f>IFERROR(__xludf.DUMMYFUNCTION("IF(COUNTA(C68:C147)=0,"""",IFERROR(IF(ISBLANK(C68),FALSE,IF(ISBLANK(G68),1,IF(NOT(COUNTIF($AA$24:$AA$34,SUBSTITUTE(C68,""Sell_"",""""))),1,IF(C68=""Plastic_up"",IF(I68&lt;1000,1),IF(C68=""Super_Up"",IF(OR(COUNTIF(C$4:C68,""Grandma"")-COUNTIF(C$4:C68,""Sell_G"&amp;"randma"")&lt;1,COUNTIF(C$4:C68,VLOOKUP(C68,Upgrades!$F$8:$N$8,7+COUNTIF(C$4:C68,C68)))-COUNTIF(C$4:C68,""Sell_""&amp;VLOOKUP(C68,Upgrades!$F$8:$N$8,7+COUNTIF(C$4:C68,C68)))&lt;15),1),IF(REGEXMATCH(C68,""_up""),IF(COUNTIF(C$4:C68,SUBSTITUTE(C68,""_up"",""""))&lt;IFERRO"&amp;"R(VLOOKUP(C68,Upgrades!$L$3:$P$6,1+COUNTIF(C$4:C68,C68),0),999),1),IF(REGEXMATCH(C68,""Sell_""),IF(COUNTIF(C$4:C68,SUBSTITUTE(C68,""Sell_"",""""))-COUNTIF(C$4:C67,C68)&lt;1,1),FALSE)))))))))"),FALSE)</f>
        <v>0</v>
      </c>
      <c r="E68" s="71">
        <f>IFERROR(__xludf.DUMMYFUNCTION("IF(REGEXMATCH(C68,""^Sell_""),E67, IF(COUNTA(C68:C147)=0,"""",(COUNTIF(C$4:C68,""Cursor"")-COUNTIF(C$4:C68,""Sell_Cursor""))*(0.1*2^SWITCH(COUNTIF(C$4:C68,""Cursor_up""),0,0,1,1,2,2,3)+SWITCH(COUNTIF(C$4:C68,""Cursor_up""),4,0.1,0)*(ROW(C68)-4-COUNTIF(C$4"&amp;":C68,""Cursor"")-COUNTIF(C$4:C68,""*""&amp;""_up"")-2*COUNTIF(C$4:C68,""Sell_""&amp;""*"")+COUNTIF(C$4:C68,""Sell_Cursor"")-COUNTIF(C$4:C68,"""")))+(COUNTIF(C$4:C68,""Grandma"")-COUNTIF(C$4:C68,""Sell_Grandma""))*(1*2^(COUNTIF(C$4:C68,""Grandma_up"")+COUNTIF(C$4:"&amp;"C68,""Super_up"")))+(COUNTIF(C$4:C68,""Farm"")-COUNTIF(C$4:C68,""Sell_Farm""))*(8*2^COUNTIF(C$4:C68,""Farm_up""))*IF(COUNTIF(C$4:C68,""Super_up"")&gt;0,1+0.01*(COUNTIF(C$4:C68,""Grandma"")-COUNTIF(C$4:C68,""Sell_Grandma"")),1)+(COUNTIF(C$4:C68,""Mine"")-COUN"&amp;"TIF(C$4:C68,""Sell_Mine""))*((47*2^COUNTIF(C$4:C68,""Mine_up""))*IF(COUNTIF(C$4:C68,""Super_up"")&gt;1,1+0.005*(COUNTIF(C$4:C68,""Grandma"")-COUNTIF(C$4:C68,""Sell_Grandma"")),1))+(COUNTIF(C$4:C68,""Factory"")-COUNTIF(C$4:C68,""Sell_Factory""))*(260*2^COUNTI"&amp;"F(C$4:C68,""Factory_up""))))"),606.8)</f>
        <v>606.8</v>
      </c>
      <c r="F68" s="73">
        <f>IFERROR(__xludf.DUMMYFUNCTION("IF(COUNTA(C68:C147)=0,"""",IF(REGEXMATCH(INDEX(FILTER(C$4:C68,C$4:C68&lt;&gt;""""),ROWS(FILTER(C$4:C68,C$4:C68&lt;&gt;""""))),""^Sell_""),INDEX(FILTER(F$4:F67,C$4:C67&lt;&gt;""""),ROWS(FILTER(C$4:C67,C$4:C67&lt;&gt;""""))),$AC$5*(2^SWITCH(COUNTIF(C$4:C68,""Cursor_up""),0,0,1,1,2"&amp;",2,3)+SWITCH(COUNTIF(C$4:C68,""Cursor_up""),4,0.1,0)*(ROW(C68)-4-COUNTIF(C$4:C68,""Cursor"")-COUNTIF(C$4:C68,""*""&amp;""_up"")-2*COUNTIF(C$4:C68,""Sell_""&amp;""*"")+COUNTIF(C$4:C68,""Sell_Cursor"")-COUNTIF(C$4:C68,""""))+0.01*E68*COUNTIF(C$4:C68,""Plastic_up"")"&amp;")+E68))"),3420.3999999999996)</f>
        <v>3420.4</v>
      </c>
      <c r="G68" s="14">
        <f>IFERROR(__xludf.DUMMYFUNCTION("IF(COUNTA(C68:C147)=0,"""",IF(REGEXMATCH(C68,""_up""),VLOOKUP(C68,Upgrades!$F$3:$J$8,1+COUNTIF(C$4:C68,C68),FALSE),IF(C68="""",0,IF(REGEXMATCH(C68,""^Sell_""),-ROUNDDOWN(ROUNDUP(INDEX(Upgrades!$C$3:$C$8,MATCH(SUBSTITUTE(C68,""Sell_"",""""),Upgrades!$B$3:$"&amp;"B$8,0))*1.15^(COUNTIF(C$4:C67,SUBSTITUTE(C68,""Sell_"",""""))-COUNTIF(C$4:C67,""Sell_""&amp;SUBSTITUTE(C68,""Sell_"",""""))))/4),ROUNDUP(INDEX(Upgrades!$C$3:$C$7,MATCH(C68,Upgrades!$B$3:$B$7,0))*1.15^(COUNTIF(C$4:C67,C68)-COUNTIF(C$4:C67,""Sell_""&amp;C68)))))))"),55000.0)</f>
        <v>55000</v>
      </c>
      <c r="H68" s="14">
        <f t="shared" si="3"/>
        <v>55000</v>
      </c>
      <c r="I68" s="75">
        <f t="shared" si="4"/>
        <v>3291150.24</v>
      </c>
      <c r="J68" s="76">
        <f t="shared" si="5"/>
        <v>106.7713468</v>
      </c>
      <c r="K68" s="71" t="str">
        <f t="shared" si="6"/>
        <v>1m 46s</v>
      </c>
      <c r="L68" s="77">
        <f t="shared" si="7"/>
        <v>208239</v>
      </c>
      <c r="M68" s="51">
        <f t="shared" si="8"/>
        <v>-0.3</v>
      </c>
      <c r="N68" s="52">
        <f>IFERROR(__xludf.DUMMYFUNCTION("IFS(AND(COUNTA(C68:C147)=0,COUNTA(P68:P147)=0),"""",OR(AND(L68&gt;=1000000,OR(Y68&gt;=1000000,COUNTA(P68:P147)=0)),AND(Y68&gt;=1000000,COUNTA(C68:C147)=0),AND(COUNTA(P68:P147)=0,O$3=TRUE)),
ROUNDDOWN((AB$1-AC$1)*MAX(INDEX(S$4:S147,MATCH(LARGE(FILTER(Y$4:Y147,Y$4:Y"&amp;"147&lt;1000000),1),Y$4:Y147)),INDEX(F$4:F147,MATCH(LARGE(FILTER(L$4:L147,L$4:L147&lt;1000000),1),L$4:L147)))),AND(L68&lt;1000000,COUNTA(C68:C147)&gt;0,O$3=FALSE),
ROUNDDOWN(INDEX(Y$4:Y147,MATCH(LARGE(FILTER(W$4:W147,W$4:W147&lt;=J68),1),W$4:W147))+(J68-LARGE(FILTER(W$4:"&amp;"W147,W$4:W147&lt;=J68),1))*INDEX(S$4:S147,MATCH(LARGE(FILTER(W$4:W147,W$4:W147&lt;=J68),1),W$4:W147))-L68),1,
ROUNDDOWN(Y68-INDEX(L$4:L147,MATCH(LARGE(FILTER(J$4:J147,J$4:J147&lt;=W68),1),J$4:J147))-(W68-LARGE(FILTER(J$4:J147,J$4:J147&lt;=W68),1))*INDEX(F$4:F147,MATC"&amp;"H(LARGE(FILTER(J$4:J147,J$4:J147&lt;=W68),1),J$4:J147))))"),1022.0)</f>
        <v>1022</v>
      </c>
      <c r="O68" s="65">
        <f t="shared" si="9"/>
        <v>14</v>
      </c>
      <c r="P68" s="15" t="s">
        <v>16</v>
      </c>
      <c r="Q68" s="14" t="b">
        <f>IFERROR(__xludf.DUMMYFUNCTION("IF(COUNTA(P68:P147)=0,"""",IFERROR(IF(ISBLANK(P68),FALSE,IF(ISBLANK(T68),1,IF(NOT(COUNTIF($AA$24:$AA$34,SUBSTITUTE(P68,""Sell_"",""""))),1,IF(P68=""Plastic_up"",IF(V68&lt;1000,1),IF(P68=""Super_Up"",IF(OR(COUNTIF(P$4:P68,""Grandma"")-COUNTIF(P$4:P68,""Sell_G"&amp;"randma"")&lt;1,COUNTIF(P$4:P68,VLOOKUP(P68,Upgrades!$F$8:$N$8,7+COUNTIF(P$4:P68,P68)))-COUNTIF(P$4:P68,""Sell_""&amp;VLOOKUP(P68,Upgrades!$F$8:$N$8,7+COUNTIF(P$4:P68,P68)))&lt;15),1),IF(REGEXMATCH(P68,""_up""),IF(COUNTIF(P$4:P68,SUBSTITUTE(P68,""_up"",""""))&lt;IFERRO"&amp;"R(VLOOKUP(P68,Upgrades!$L$3:$P$6,1+COUNTIF(P$4:P68,P68),0),999),1),IF(REGEXMATCH(P68,""Sell_""),IF(COUNTIF(P$4:P68,SUBSTITUTE(P68,""Sell_"",""""))-COUNTIF(P$4:P67,P68)&lt;1,1),FALSE)))))))))"),FALSE)</f>
        <v>0</v>
      </c>
      <c r="R68" s="71">
        <f>IFERROR(__xludf.DUMMYFUNCTION("IF(REGEXMATCH(P68,""^Sell_""),R67, IF(COUNTA(P68:P147)=0,"""",(COUNTIF(P$4:P68,""Cursor"")-COUNTIF(P$4:P68,""Sell_Cursor""))*(0.1*2^SWITCH(COUNTIF(P$4:P68,""Cursor_up""),0,0,1,1,2,2,3)+SWITCH(COUNTIF(P$4:P68,""Cursor_up""),4,0.1,0)*(ROW(P68)-4-COUNTIF(P$4"&amp;":P68,""Cursor"")-COUNTIF(P$4:P68,""*""&amp;""_up"")-2*COUNTIF(P$4:P68,""Sell_""&amp;""*"")+COUNTIF(P$4:P68,""Sell_Cursor"")-COUNTIF(P$4:P68,"""")))+(COUNTIF(P$4:P68,""Grandma"")-COUNTIF(P$4:P68,""Sell_Grandma""))*(1*2^(COUNTIF(P$4:P68,""Grandma_up"")+COUNTIF(P$4:"&amp;"P68,""Super_up"")))+(COUNTIF(P$4:P68,""Farm"")-COUNTIF(P$4:P68,""Sell_Farm""))*(8*2^COUNTIF(P$4:P68,""Farm_up""))*IF(COUNTIF(P$4:P68,""Super_up"")&gt;0,1+0.01*(COUNTIF(P$4:P68,""Grandma"")-COUNTIF(P$4:P68,""Sell_Grandma"")),1)+(COUNTIF(P$4:P68,""Mine"")-COUN"&amp;"TIF(P$4:P68,""Sell_Mine""))*((47*2^COUNTIF(P$4:P68,""Mine_up""))*IF(COUNTIF(P$4:P68,""Super_up"")&gt;1,1+0.005*(COUNTIF(P$4:P68,""Grandma"")-COUNTIF(P$4:P68,""Sell_Grandma"")),1))+(COUNTIF(P$4:P68,""Factory"")-COUNTIF(P$4:P68,""Sell_Factory""))*(260*2^COUNTI"&amp;"F(P$4:P68,""Factory_up""))))"),634.8)</f>
        <v>634.8</v>
      </c>
      <c r="S68" s="73">
        <f>IFERROR(__xludf.DUMMYFUNCTION("IF(COUNTA(P68:P147)=0,"""",IF(REGEXMATCH(INDEX(FILTER(P$4:P68,P$4:P68&lt;&gt;""""),ROWS(FILTER(P$4:P68,P$4:P68&lt;&gt;""""))),""^Sell_""),INDEX(FILTER(S$4:S67,P$4:P67&lt;&gt;""""),ROWS(FILTER(P$4:P67,P$4:P67&lt;&gt;""""))),$AD$5*(2^SWITCH(COUNTIF(P$4:P68,""Cursor_up""),0,0,1,1,2"&amp;",2,3)+SWITCH(COUNTIF(P$4:P68,""Cursor_up""),4,0.1,0)*(ROW(P68)-4-COUNTIF(P$4:P68,""Cursor"")-COUNTIF(P$4:P68,""*""&amp;""_up"")-2*COUNTIF(P$4:P68,""Sell_""&amp;""*"")+COUNTIF(P$4:P68,""Sell_Cursor"")-COUNTIF(P$4:P68,""""))+0.01*R68*COUNTIF(P$4:P68,""Plastic_up"")"&amp;")+R68))"),3504.3999999999996)</f>
        <v>3504.4</v>
      </c>
      <c r="T68" s="14">
        <f>IFERROR(__xludf.DUMMYFUNCTION("IF(COUNTA(P68:P147)=0,"""",IF(REGEXMATCH(P68,""_up""),VLOOKUP(P68,Upgrades!$F$3:$J$8,1+COUNTIF(P$4:P68,P68),FALSE),IF(P68="""",0,IF(REGEXMATCH(P68,""^Sell_""),-ROUNDDOWN(ROUNDUP(INDEX(Upgrades!$C$3:$C$8,MATCH(SUBSTITUTE(P68,""Sell_"",""""),Upgrades!$B$3:$"&amp;"B$8,0))*1.15^(COUNTIF(P$4:P67,SUBSTITUTE(P68,""Sell_"",""""))-COUNTIF(P$4:P67,""Sell_""&amp;SUBSTITUTE(P68,""Sell_"",""""))))/4),ROUNDUP(INDEX(Upgrades!$C$3:$C$7,MATCH(P68,Upgrades!$B$3:$B$7,0))*1.15^(COUNTIF(P$4:P67,P68)-COUNTIF(P$4:P67,""Sell_""&amp;P68)))))))"),6769.0)</f>
        <v>6769</v>
      </c>
      <c r="U68" s="14">
        <f t="shared" si="10"/>
        <v>6769</v>
      </c>
      <c r="V68" s="75">
        <f t="shared" si="11"/>
        <v>3964060.301</v>
      </c>
      <c r="W68" s="76">
        <f t="shared" si="12"/>
        <v>108.0395222</v>
      </c>
      <c r="X68" s="71" t="str">
        <f t="shared" si="13"/>
        <v>1m 48s</v>
      </c>
      <c r="Y68" s="77">
        <f t="shared" si="14"/>
        <v>213584</v>
      </c>
      <c r="Z68" s="17"/>
      <c r="AA68" s="13"/>
      <c r="AB68" s="13"/>
      <c r="AC68" s="13"/>
      <c r="AD68" s="13"/>
      <c r="AE68" s="13"/>
      <c r="AF68" s="13"/>
      <c r="AG68" s="13"/>
    </row>
    <row r="69">
      <c r="A69" s="12"/>
      <c r="B69" s="65">
        <f t="shared" si="2"/>
        <v>14</v>
      </c>
      <c r="C69" s="66" t="s">
        <v>16</v>
      </c>
      <c r="D69" s="14" t="b">
        <f>IFERROR(__xludf.DUMMYFUNCTION("IF(COUNTA(C69:C147)=0,"""",IFERROR(IF(ISBLANK(C69),FALSE,IF(ISBLANK(G69),1,IF(NOT(COUNTIF($AA$24:$AA$34,SUBSTITUTE(C69,""Sell_"",""""))),1,IF(C69=""Plastic_up"",IF(I69&lt;1000,1),IF(C69=""Super_Up"",IF(OR(COUNTIF(C$4:C69,""Grandma"")-COUNTIF(C$4:C69,""Sell_G"&amp;"randma"")&lt;1,COUNTIF(C$4:C69,VLOOKUP(C69,Upgrades!$F$8:$N$8,7+COUNTIF(C$4:C69,C69)))-COUNTIF(C$4:C69,""Sell_""&amp;VLOOKUP(C69,Upgrades!$F$8:$N$8,7+COUNTIF(C$4:C69,C69)))&lt;15),1),IF(REGEXMATCH(C69,""_up""),IF(COUNTIF(C$4:C69,SUBSTITUTE(C69,""_up"",""""))&lt;IFERRO"&amp;"R(VLOOKUP(C69,Upgrades!$L$3:$P$6,1+COUNTIF(C$4:C69,C69),0),999),1),IF(REGEXMATCH(C69,""Sell_""),IF(COUNTIF(C$4:C69,SUBSTITUTE(C69,""Sell_"",""""))-COUNTIF(C$4:C68,C69)&lt;1,1),FALSE)))))))))"),FALSE)</f>
        <v>0</v>
      </c>
      <c r="E69" s="71">
        <f>IFERROR(__xludf.DUMMYFUNCTION("IF(REGEXMATCH(C69,""^Sell_""),E68, IF(COUNTA(C69:C147)=0,"""",(COUNTIF(C$4:C69,""Cursor"")-COUNTIF(C$4:C69,""Sell_Cursor""))*(0.1*2^SWITCH(COUNTIF(C$4:C69,""Cursor_up""),0,0,1,1,2,2,3)+SWITCH(COUNTIF(C$4:C69,""Cursor_up""),4,0.1,0)*(ROW(C69)-4-COUNTIF(C$4"&amp;":C69,""Cursor"")-COUNTIF(C$4:C69,""*""&amp;""_up"")-2*COUNTIF(C$4:C69,""Sell_""&amp;""*"")+COUNTIF(C$4:C69,""Sell_Cursor"")-COUNTIF(C$4:C69,"""")))+(COUNTIF(C$4:C69,""Grandma"")-COUNTIF(C$4:C69,""Sell_Grandma""))*(1*2^(COUNTIF(C$4:C69,""Grandma_up"")+COUNTIF(C$4:"&amp;"C69,""Super_up"")))+(COUNTIF(C$4:C69,""Farm"")-COUNTIF(C$4:C69,""Sell_Farm""))*(8*2^COUNTIF(C$4:C69,""Farm_up""))*IF(COUNTIF(C$4:C69,""Super_up"")&gt;0,1+0.01*(COUNTIF(C$4:C69,""Grandma"")-COUNTIF(C$4:C69,""Sell_Grandma"")),1)+(COUNTIF(C$4:C69,""Mine"")-COUN"&amp;"TIF(C$4:C69,""Sell_Mine""))*((47*2^COUNTIF(C$4:C69,""Mine_up""))*IF(COUNTIF(C$4:C69,""Super_up"")&gt;1,1+0.005*(COUNTIF(C$4:C69,""Grandma"")-COUNTIF(C$4:C69,""Sell_Grandma"")),1))+(COUNTIF(C$4:C69,""Factory"")-COUNTIF(C$4:C69,""Sell_Factory""))*(260*2^COUNTI"&amp;"F(C$4:C69,""Factory_up""))))"),638.8)</f>
        <v>638.8</v>
      </c>
      <c r="F69" s="73">
        <f>IFERROR(__xludf.DUMMYFUNCTION("IF(COUNTA(C69:C147)=0,"""",IF(REGEXMATCH(INDEX(FILTER(C$4:C69,C$4:C69&lt;&gt;""""),ROWS(FILTER(C$4:C69,C$4:C69&lt;&gt;""""))),""^Sell_""),INDEX(FILTER(F$4:F68,C$4:C68&lt;&gt;""""),ROWS(FILTER(C$4:C68,C$4:C68&lt;&gt;""""))),$AC$5*(2^SWITCH(COUNTIF(C$4:C69,""Cursor_up""),0,0,1,1,2"&amp;",2,3)+SWITCH(COUNTIF(C$4:C69,""Cursor_up""),4,0.1,0)*(ROW(C69)-4-COUNTIF(C$4:C69,""Cursor"")-COUNTIF(C$4:C69,""*""&amp;""_up"")-2*COUNTIF(C$4:C69,""Sell_""&amp;""*"")+COUNTIF(C$4:C69,""Sell_Cursor"")-COUNTIF(C$4:C69,""""))+0.01*E69*COUNTIF(C$4:C69,""Plastic_up"")"&amp;")+E69))"),3516.3999999999996)</f>
        <v>3516.4</v>
      </c>
      <c r="G69" s="14">
        <f>IFERROR(__xludf.DUMMYFUNCTION("IF(COUNTA(C69:C147)=0,"""",IF(REGEXMATCH(C69,""_up""),VLOOKUP(C69,Upgrades!$F$3:$J$8,1+COUNTIF(C$4:C69,C69),FALSE),IF(C69="""",0,IF(REGEXMATCH(C69,""^Sell_""),-ROUNDDOWN(ROUNDUP(INDEX(Upgrades!$C$3:$C$8,MATCH(SUBSTITUTE(C69,""Sell_"",""""),Upgrades!$B$3:$"&amp;"B$8,0))*1.15^(COUNTIF(C$4:C68,SUBSTITUTE(C69,""Sell_"",""""))-COUNTIF(C$4:C68,""Sell_""&amp;SUBSTITUTE(C69,""Sell_"",""""))))/4),ROUNDUP(INDEX(Upgrades!$C$3:$C$7,MATCH(C69,Upgrades!$B$3:$B$7,0))*1.15^(COUNTIF(C$4:C68,C69)-COUNTIF(C$4:C68,""Sell_""&amp;C69)))))))"),6769.0)</f>
        <v>6769</v>
      </c>
      <c r="H69" s="14">
        <f t="shared" si="3"/>
        <v>6769</v>
      </c>
      <c r="I69" s="75">
        <f t="shared" si="4"/>
        <v>3597130.239</v>
      </c>
      <c r="J69" s="76">
        <f t="shared" si="5"/>
        <v>108.7503551</v>
      </c>
      <c r="K69" s="71" t="str">
        <f t="shared" si="6"/>
        <v>1m 48s</v>
      </c>
      <c r="L69" s="77">
        <f t="shared" si="7"/>
        <v>215008</v>
      </c>
      <c r="M69" s="51">
        <f t="shared" si="8"/>
        <v>-0.30448</v>
      </c>
      <c r="N69" s="52">
        <f>IFERROR(__xludf.DUMMYFUNCTION("IFS(AND(COUNTA(C69:C147)=0,COUNTA(P69:P147)=0),"""",OR(AND(L69&gt;=1000000,OR(Y69&gt;=1000000,COUNTA(P69:P147)=0)),AND(Y69&gt;=1000000,COUNTA(C69:C147)=0),AND(COUNTA(P69:P147)=0,O$3=TRUE)),
ROUNDDOWN((AB$1-AC$1)*MAX(INDEX(S$4:S147,MATCH(LARGE(FILTER(Y$4:Y147,Y$4:Y"&amp;"147&lt;1000000),1),Y$4:Y147)),INDEX(F$4:F147,MATCH(LARGE(FILTER(L$4:L147,L$4:L147&lt;1000000),1),L$4:L147)))),AND(L69&lt;1000000,COUNTA(C69:C147)&gt;0,O$3=FALSE),
ROUNDDOWN(INDEX(Y$4:Y147,MATCH(LARGE(FILTER(W$4:W147,W$4:W147&lt;=J69),1),W$4:W147))+(J69-LARGE(FILTER(W$4:"&amp;"W147,W$4:W147&lt;=J69),1))*INDEX(S$4:S147,MATCH(LARGE(FILTER(W$4:W147,W$4:W147&lt;=J69),1),W$4:W147))-L69),1,
ROUNDDOWN(Y69-INDEX(L$4:L147,MATCH(LARGE(FILTER(J$4:J147,J$4:J147&lt;=W69),1),J$4:J147))-(W69-LARGE(FILTER(J$4:J147,J$4:J147&lt;=W69),1))*INDEX(F$4:F147,MATC"&amp;"H(LARGE(FILTER(J$4:J147,J$4:J147&lt;=W69),1),J$4:J147))))"),1067.0)</f>
        <v>1067</v>
      </c>
      <c r="O69" s="65">
        <f t="shared" si="9"/>
        <v>15</v>
      </c>
      <c r="P69" s="15" t="s">
        <v>16</v>
      </c>
      <c r="Q69" s="14" t="b">
        <f>IFERROR(__xludf.DUMMYFUNCTION("IF(COUNTA(P69:P147)=0,"""",IFERROR(IF(ISBLANK(P69),FALSE,IF(ISBLANK(T69),1,IF(NOT(COUNTIF($AA$24:$AA$34,SUBSTITUTE(P69,""Sell_"",""""))),1,IF(P69=""Plastic_up"",IF(V69&lt;1000,1),IF(P69=""Super_Up"",IF(OR(COUNTIF(P$4:P69,""Grandma"")-COUNTIF(P$4:P69,""Sell_G"&amp;"randma"")&lt;1,COUNTIF(P$4:P69,VLOOKUP(P69,Upgrades!$F$8:$N$8,7+COUNTIF(P$4:P69,P69)))-COUNTIF(P$4:P69,""Sell_""&amp;VLOOKUP(P69,Upgrades!$F$8:$N$8,7+COUNTIF(P$4:P69,P69)))&lt;15),1),IF(REGEXMATCH(P69,""_up""),IF(COUNTIF(P$4:P69,SUBSTITUTE(P69,""_up"",""""))&lt;IFERRO"&amp;"R(VLOOKUP(P69,Upgrades!$L$3:$P$6,1+COUNTIF(P$4:P69,P69),0),999),1),IF(REGEXMATCH(P69,""Sell_""),IF(COUNTIF(P$4:P69,SUBSTITUTE(P69,""Sell_"",""""))-COUNTIF(P$4:P68,P69)&lt;1,1),FALSE)))))))))"),FALSE)</f>
        <v>0</v>
      </c>
      <c r="R69" s="71">
        <f>IFERROR(__xludf.DUMMYFUNCTION("IF(REGEXMATCH(P69,""^Sell_""),R68, IF(COUNTA(P69:P147)=0,"""",(COUNTIF(P$4:P69,""Cursor"")-COUNTIF(P$4:P69,""Sell_Cursor""))*(0.1*2^SWITCH(COUNTIF(P$4:P69,""Cursor_up""),0,0,1,1,2,2,3)+SWITCH(COUNTIF(P$4:P69,""Cursor_up""),4,0.1,0)*(ROW(P69)-4-COUNTIF(P$4"&amp;":P69,""Cursor"")-COUNTIF(P$4:P69,""*""&amp;""_up"")-2*COUNTIF(P$4:P69,""Sell_""&amp;""*"")+COUNTIF(P$4:P69,""Sell_Cursor"")-COUNTIF(P$4:P69,"""")))+(COUNTIF(P$4:P69,""Grandma"")-COUNTIF(P$4:P69,""Sell_Grandma""))*(1*2^(COUNTIF(P$4:P69,""Grandma_up"")+COUNTIF(P$4:"&amp;"P69,""Super_up"")))+(COUNTIF(P$4:P69,""Farm"")-COUNTIF(P$4:P69,""Sell_Farm""))*(8*2^COUNTIF(P$4:P69,""Farm_up""))*IF(COUNTIF(P$4:P69,""Super_up"")&gt;0,1+0.01*(COUNTIF(P$4:P69,""Grandma"")-COUNTIF(P$4:P69,""Sell_Grandma"")),1)+(COUNTIF(P$4:P69,""Mine"")-COUN"&amp;"TIF(P$4:P69,""Sell_Mine""))*((47*2^COUNTIF(P$4:P69,""Mine_up""))*IF(COUNTIF(P$4:P69,""Super_up"")&gt;1,1+0.005*(COUNTIF(P$4:P69,""Grandma"")-COUNTIF(P$4:P69,""Sell_Grandma"")),1))+(COUNTIF(P$4:P69,""Factory"")-COUNTIF(P$4:P69,""Sell_Factory""))*(260*2^COUNTI"&amp;"F(P$4:P69,""Factory_up""))))"),666.8)</f>
        <v>666.8</v>
      </c>
      <c r="S69" s="73">
        <f>IFERROR(__xludf.DUMMYFUNCTION("IF(COUNTA(P69:P147)=0,"""",IF(REGEXMATCH(INDEX(FILTER(P$4:P69,P$4:P69&lt;&gt;""""),ROWS(FILTER(P$4:P69,P$4:P69&lt;&gt;""""))),""^Sell_""),INDEX(FILTER(S$4:S68,P$4:P68&lt;&gt;""""),ROWS(FILTER(P$4:P68,P$4:P68&lt;&gt;""""))),$AD$5*(2^SWITCH(COUNTIF(P$4:P69,""Cursor_up""),0,0,1,1,2"&amp;",2,3)+SWITCH(COUNTIF(P$4:P69,""Cursor_up""),4,0.1,0)*(ROW(P69)-4-COUNTIF(P$4:P69,""Cursor"")-COUNTIF(P$4:P69,""*""&amp;""_up"")-2*COUNTIF(P$4:P69,""Sell_""&amp;""*"")+COUNTIF(P$4:P69,""Sell_Cursor"")-COUNTIF(P$4:P69,""""))+0.01*R69*COUNTIF(P$4:P69,""Plastic_up"")"&amp;")+R69))"),3600.3999999999996)</f>
        <v>3600.4</v>
      </c>
      <c r="T69" s="14">
        <f>IFERROR(__xludf.DUMMYFUNCTION("IF(COUNTA(P69:P147)=0,"""",IF(REGEXMATCH(P69,""_up""),VLOOKUP(P69,Upgrades!$F$3:$J$8,1+COUNTIF(P$4:P69,P69),FALSE),IF(P69="""",0,IF(REGEXMATCH(P69,""^Sell_""),-ROUNDDOWN(ROUNDUP(INDEX(Upgrades!$C$3:$C$8,MATCH(SUBSTITUTE(P69,""Sell_"",""""),Upgrades!$B$3:$"&amp;"B$8,0))*1.15^(COUNTIF(P$4:P68,SUBSTITUTE(P69,""Sell_"",""""))-COUNTIF(P$4:P68,""Sell_""&amp;SUBSTITUTE(P69,""Sell_"",""""))))/4),ROUNDUP(INDEX(Upgrades!$C$3:$C$7,MATCH(P69,Upgrades!$B$3:$B$7,0))*1.15^(COUNTIF(P$4:P68,P69)-COUNTIF(P$4:P68,""Sell_""&amp;P69)))))))"),7784.0)</f>
        <v>7784</v>
      </c>
      <c r="U69" s="14">
        <f t="shared" si="10"/>
        <v>7784</v>
      </c>
      <c r="V69" s="75">
        <f t="shared" si="11"/>
        <v>4280464.491</v>
      </c>
      <c r="W69" s="76">
        <f t="shared" si="12"/>
        <v>110.2607298</v>
      </c>
      <c r="X69" s="71" t="str">
        <f t="shared" si="13"/>
        <v>1m 50s</v>
      </c>
      <c r="Y69" s="77">
        <f t="shared" si="14"/>
        <v>221368</v>
      </c>
      <c r="Z69" s="17"/>
      <c r="AA69" s="13"/>
      <c r="AB69" s="13"/>
      <c r="AC69" s="13"/>
      <c r="AD69" s="13"/>
      <c r="AE69" s="13"/>
      <c r="AF69" s="13"/>
      <c r="AG69" s="13"/>
    </row>
    <row r="70">
      <c r="A70" s="12"/>
      <c r="B70" s="65">
        <f t="shared" si="2"/>
        <v>15</v>
      </c>
      <c r="C70" s="66" t="s">
        <v>16</v>
      </c>
      <c r="D70" s="14" t="b">
        <f>IFERROR(__xludf.DUMMYFUNCTION("IF(COUNTA(C70:C147)=0,"""",IFERROR(IF(ISBLANK(C70),FALSE,IF(ISBLANK(G70),1,IF(NOT(COUNTIF($AA$24:$AA$34,SUBSTITUTE(C70,""Sell_"",""""))),1,IF(C70=""Plastic_up"",IF(I70&lt;1000,1),IF(C70=""Super_Up"",IF(OR(COUNTIF(C$4:C70,""Grandma"")-COUNTIF(C$4:C70,""Sell_G"&amp;"randma"")&lt;1,COUNTIF(C$4:C70,VLOOKUP(C70,Upgrades!$F$8:$N$8,7+COUNTIF(C$4:C70,C70)))-COUNTIF(C$4:C70,""Sell_""&amp;VLOOKUP(C70,Upgrades!$F$8:$N$8,7+COUNTIF(C$4:C70,C70)))&lt;15),1),IF(REGEXMATCH(C70,""_up""),IF(COUNTIF(C$4:C70,SUBSTITUTE(C70,""_up"",""""))&lt;IFERRO"&amp;"R(VLOOKUP(C70,Upgrades!$L$3:$P$6,1+COUNTIF(C$4:C70,C70),0),999),1),IF(REGEXMATCH(C70,""Sell_""),IF(COUNTIF(C$4:C70,SUBSTITUTE(C70,""Sell_"",""""))-COUNTIF(C$4:C69,C70)&lt;1,1),FALSE)))))))))"),FALSE)</f>
        <v>0</v>
      </c>
      <c r="E70" s="71">
        <f>IFERROR(__xludf.DUMMYFUNCTION("IF(REGEXMATCH(C70,""^Sell_""),E69, IF(COUNTA(C70:C147)=0,"""",(COUNTIF(C$4:C70,""Cursor"")-COUNTIF(C$4:C70,""Sell_Cursor""))*(0.1*2^SWITCH(COUNTIF(C$4:C70,""Cursor_up""),0,0,1,1,2,2,3)+SWITCH(COUNTIF(C$4:C70,""Cursor_up""),4,0.1,0)*(ROW(C70)-4-COUNTIF(C$4"&amp;":C70,""Cursor"")-COUNTIF(C$4:C70,""*""&amp;""_up"")-2*COUNTIF(C$4:C70,""Sell_""&amp;""*"")+COUNTIF(C$4:C70,""Sell_Cursor"")-COUNTIF(C$4:C70,"""")))+(COUNTIF(C$4:C70,""Grandma"")-COUNTIF(C$4:C70,""Sell_Grandma""))*(1*2^(COUNTIF(C$4:C70,""Grandma_up"")+COUNTIF(C$4:"&amp;"C70,""Super_up"")))+(COUNTIF(C$4:C70,""Farm"")-COUNTIF(C$4:C70,""Sell_Farm""))*(8*2^COUNTIF(C$4:C70,""Farm_up""))*IF(COUNTIF(C$4:C70,""Super_up"")&gt;0,1+0.01*(COUNTIF(C$4:C70,""Grandma"")-COUNTIF(C$4:C70,""Sell_Grandma"")),1)+(COUNTIF(C$4:C70,""Mine"")-COUN"&amp;"TIF(C$4:C70,""Sell_Mine""))*((47*2^COUNTIF(C$4:C70,""Mine_up""))*IF(COUNTIF(C$4:C70,""Super_up"")&gt;1,1+0.005*(COUNTIF(C$4:C70,""Grandma"")-COUNTIF(C$4:C70,""Sell_Grandma"")),1))+(COUNTIF(C$4:C70,""Factory"")-COUNTIF(C$4:C70,""Sell_Factory""))*(260*2^COUNTI"&amp;"F(C$4:C70,""Factory_up""))))"),670.8)</f>
        <v>670.8</v>
      </c>
      <c r="F70" s="73">
        <f>IFERROR(__xludf.DUMMYFUNCTION("IF(COUNTA(C70:C147)=0,"""",IF(REGEXMATCH(INDEX(FILTER(C$4:C70,C$4:C70&lt;&gt;""""),ROWS(FILTER(C$4:C70,C$4:C70&lt;&gt;""""))),""^Sell_""),INDEX(FILTER(F$4:F69,C$4:C69&lt;&gt;""""),ROWS(FILTER(C$4:C69,C$4:C69&lt;&gt;""""))),$AC$5*(2^SWITCH(COUNTIF(C$4:C70,""Cursor_up""),0,0,1,1,2"&amp;",2,3)+SWITCH(COUNTIF(C$4:C70,""Cursor_up""),4,0.1,0)*(ROW(C70)-4-COUNTIF(C$4:C70,""Cursor"")-COUNTIF(C$4:C70,""*""&amp;""_up"")-2*COUNTIF(C$4:C70,""Sell_""&amp;""*"")+COUNTIF(C$4:C70,""Sell_Cursor"")-COUNTIF(C$4:C70,""""))+0.01*E70*COUNTIF(C$4:C70,""Plastic_up"")"&amp;")+E70))"),3612.3999999999996)</f>
        <v>3612.4</v>
      </c>
      <c r="G70" s="14">
        <f>IFERROR(__xludf.DUMMYFUNCTION("IF(COUNTA(C70:C147)=0,"""",IF(REGEXMATCH(C70,""_up""),VLOOKUP(C70,Upgrades!$F$3:$J$8,1+COUNTIF(C$4:C70,C70),FALSE),IF(C70="""",0,IF(REGEXMATCH(C70,""^Sell_""),-ROUNDDOWN(ROUNDUP(INDEX(Upgrades!$C$3:$C$8,MATCH(SUBSTITUTE(C70,""Sell_"",""""),Upgrades!$B$3:$"&amp;"B$8,0))*1.15^(COUNTIF(C$4:C69,SUBSTITUTE(C70,""Sell_"",""""))-COUNTIF(C$4:C69,""Sell_""&amp;SUBSTITUTE(C70,""Sell_"",""""))))/4),ROUNDUP(INDEX(Upgrades!$C$3:$C$7,MATCH(C70,Upgrades!$B$3:$B$7,0))*1.15^(COUNTIF(C$4:C69,C70)-COUNTIF(C$4:C69,""Sell_""&amp;C70)))))))"),7784.0)</f>
        <v>7784</v>
      </c>
      <c r="H70" s="14">
        <f t="shared" si="3"/>
        <v>7784</v>
      </c>
      <c r="I70" s="75">
        <f t="shared" si="4"/>
        <v>3916440.196</v>
      </c>
      <c r="J70" s="76">
        <f t="shared" si="5"/>
        <v>110.9639827</v>
      </c>
      <c r="K70" s="71" t="str">
        <f t="shared" si="6"/>
        <v>1m 50s</v>
      </c>
      <c r="L70" s="77">
        <f t="shared" si="7"/>
        <v>222792</v>
      </c>
      <c r="M70" s="51">
        <f t="shared" si="8"/>
        <v>-0.30774</v>
      </c>
      <c r="N70" s="52">
        <f>IFERROR(__xludf.DUMMYFUNCTION("IFS(AND(COUNTA(C70:C147)=0,COUNTA(P70:P147)=0),"""",OR(AND(L70&gt;=1000000,OR(Y70&gt;=1000000,COUNTA(P70:P147)=0)),AND(Y70&gt;=1000000,COUNTA(C70:C147)=0),AND(COUNTA(P70:P147)=0,O$3=TRUE)),
ROUNDDOWN((AB$1-AC$1)*MAX(INDEX(S$4:S147,MATCH(LARGE(FILTER(Y$4:Y147,Y$4:Y"&amp;"147&lt;1000000),1),Y$4:Y147)),INDEX(F$4:F147,MATCH(LARGE(FILTER(L$4:L147,L$4:L147&lt;1000000),1),L$4:L147)))),AND(L70&lt;1000000,COUNTA(C70:C147)&gt;0,O$3=FALSE),
ROUNDDOWN(INDEX(Y$4:Y147,MATCH(LARGE(FILTER(W$4:W147,W$4:W147&lt;=J70),1),W$4:W147))+(J70-LARGE(FILTER(W$4:"&amp;"W147,W$4:W147&lt;=J70),1))*INDEX(S$4:S147,MATCH(LARGE(FILTER(W$4:W147,W$4:W147&lt;=J70),1),W$4:W147))-L70),1,
ROUNDDOWN(Y70-INDEX(L$4:L147,MATCH(LARGE(FILTER(J$4:J147,J$4:J147&lt;=W70),1),J$4:J147))-(W70-LARGE(FILTER(J$4:J147,J$4:J147&lt;=W70),1))*INDEX(F$4:F147,MATC"&amp;"H(LARGE(FILTER(J$4:J147,J$4:J147&lt;=W70),1),J$4:J147))))"),1107.0)</f>
        <v>1107</v>
      </c>
      <c r="O70" s="65">
        <f t="shared" si="9"/>
        <v>16</v>
      </c>
      <c r="P70" s="15" t="s">
        <v>16</v>
      </c>
      <c r="Q70" s="14" t="b">
        <f>IFERROR(__xludf.DUMMYFUNCTION("IF(COUNTA(P70:P147)=0,"""",IFERROR(IF(ISBLANK(P70),FALSE,IF(ISBLANK(T70),1,IF(NOT(COUNTIF($AA$24:$AA$34,SUBSTITUTE(P70,""Sell_"",""""))),1,IF(P70=""Plastic_up"",IF(V70&lt;1000,1),IF(P70=""Super_Up"",IF(OR(COUNTIF(P$4:P70,""Grandma"")-COUNTIF(P$4:P70,""Sell_G"&amp;"randma"")&lt;1,COUNTIF(P$4:P70,VLOOKUP(P70,Upgrades!$F$8:$N$8,7+COUNTIF(P$4:P70,P70)))-COUNTIF(P$4:P70,""Sell_""&amp;VLOOKUP(P70,Upgrades!$F$8:$N$8,7+COUNTIF(P$4:P70,P70)))&lt;15),1),IF(REGEXMATCH(P70,""_up""),IF(COUNTIF(P$4:P70,SUBSTITUTE(P70,""_up"",""""))&lt;IFERRO"&amp;"R(VLOOKUP(P70,Upgrades!$L$3:$P$6,1+COUNTIF(P$4:P70,P70),0),999),1),IF(REGEXMATCH(P70,""Sell_""),IF(COUNTIF(P$4:P70,SUBSTITUTE(P70,""Sell_"",""""))-COUNTIF(P$4:P69,P70)&lt;1,1),FALSE)))))))))"),FALSE)</f>
        <v>0</v>
      </c>
      <c r="R70" s="71">
        <f>IFERROR(__xludf.DUMMYFUNCTION("IF(REGEXMATCH(P70,""^Sell_""),R69, IF(COUNTA(P70:P147)=0,"""",(COUNTIF(P$4:P70,""Cursor"")-COUNTIF(P$4:P70,""Sell_Cursor""))*(0.1*2^SWITCH(COUNTIF(P$4:P70,""Cursor_up""),0,0,1,1,2,2,3)+SWITCH(COUNTIF(P$4:P70,""Cursor_up""),4,0.1,0)*(ROW(P70)-4-COUNTIF(P$4"&amp;":P70,""Cursor"")-COUNTIF(P$4:P70,""*""&amp;""_up"")-2*COUNTIF(P$4:P70,""Sell_""&amp;""*"")+COUNTIF(P$4:P70,""Sell_Cursor"")-COUNTIF(P$4:P70,"""")))+(COUNTIF(P$4:P70,""Grandma"")-COUNTIF(P$4:P70,""Sell_Grandma""))*(1*2^(COUNTIF(P$4:P70,""Grandma_up"")+COUNTIF(P$4:"&amp;"P70,""Super_up"")))+(COUNTIF(P$4:P70,""Farm"")-COUNTIF(P$4:P70,""Sell_Farm""))*(8*2^COUNTIF(P$4:P70,""Farm_up""))*IF(COUNTIF(P$4:P70,""Super_up"")&gt;0,1+0.01*(COUNTIF(P$4:P70,""Grandma"")-COUNTIF(P$4:P70,""Sell_Grandma"")),1)+(COUNTIF(P$4:P70,""Mine"")-COUN"&amp;"TIF(P$4:P70,""Sell_Mine""))*((47*2^COUNTIF(P$4:P70,""Mine_up""))*IF(COUNTIF(P$4:P70,""Super_up"")&gt;1,1+0.005*(COUNTIF(P$4:P70,""Grandma"")-COUNTIF(P$4:P70,""Sell_Grandma"")),1))+(COUNTIF(P$4:P70,""Factory"")-COUNTIF(P$4:P70,""Sell_Factory""))*(260*2^COUNTI"&amp;"F(P$4:P70,""Factory_up""))))"),698.8)</f>
        <v>698.8</v>
      </c>
      <c r="S70" s="73">
        <f>IFERROR(__xludf.DUMMYFUNCTION("IF(COUNTA(P70:P147)=0,"""",IF(REGEXMATCH(INDEX(FILTER(P$4:P70,P$4:P70&lt;&gt;""""),ROWS(FILTER(P$4:P70,P$4:P70&lt;&gt;""""))),""^Sell_""),INDEX(FILTER(S$4:S69,P$4:P69&lt;&gt;""""),ROWS(FILTER(P$4:P69,P$4:P69&lt;&gt;""""))),$AD$5*(2^SWITCH(COUNTIF(P$4:P70,""Cursor_up""),0,0,1,1,2"&amp;",2,3)+SWITCH(COUNTIF(P$4:P70,""Cursor_up""),4,0.1,0)*(ROW(P70)-4-COUNTIF(P$4:P70,""Cursor"")-COUNTIF(P$4:P70,""*""&amp;""_up"")-2*COUNTIF(P$4:P70,""Sell_""&amp;""*"")+COUNTIF(P$4:P70,""Sell_Cursor"")-COUNTIF(P$4:P70,""""))+0.01*R70*COUNTIF(P$4:P70,""Plastic_up"")"&amp;")+R70))"),3696.3999999999996)</f>
        <v>3696.4</v>
      </c>
      <c r="T70" s="14">
        <f>IFERROR(__xludf.DUMMYFUNCTION("IF(COUNTA(P70:P147)=0,"""",IF(REGEXMATCH(P70,""_up""),VLOOKUP(P70,Upgrades!$F$3:$J$8,1+COUNTIF(P$4:P70,P70),FALSE),IF(P70="""",0,IF(REGEXMATCH(P70,""^Sell_""),-ROUNDDOWN(ROUNDUP(INDEX(Upgrades!$C$3:$C$8,MATCH(SUBSTITUTE(P70,""Sell_"",""""),Upgrades!$B$3:$"&amp;"B$8,0))*1.15^(COUNTIF(P$4:P69,SUBSTITUTE(P70,""Sell_"",""""))-COUNTIF(P$4:P69,""Sell_""&amp;SUBSTITUTE(P70,""Sell_"",""""))))/4),ROUNDUP(INDEX(Upgrades!$C$3:$C$7,MATCH(P70,Upgrades!$B$3:$B$7,0))*1.15^(COUNTIF(P$4:P69,P70)-COUNTIF(P$4:P69,""Sell_""&amp;P70)))))))"),8951.0)</f>
        <v>8951</v>
      </c>
      <c r="U70" s="14">
        <f t="shared" si="10"/>
        <v>8951</v>
      </c>
      <c r="V70" s="75">
        <f t="shared" si="11"/>
        <v>4611218.629</v>
      </c>
      <c r="W70" s="76">
        <f t="shared" si="12"/>
        <v>112.7468425</v>
      </c>
      <c r="X70" s="71" t="str">
        <f t="shared" si="13"/>
        <v>1m 52s</v>
      </c>
      <c r="Y70" s="77">
        <f t="shared" si="14"/>
        <v>230319</v>
      </c>
      <c r="Z70" s="17"/>
      <c r="AA70" s="13"/>
      <c r="AB70" s="13"/>
      <c r="AC70" s="13"/>
      <c r="AD70" s="13"/>
      <c r="AE70" s="13"/>
      <c r="AF70" s="13"/>
      <c r="AG70" s="13"/>
    </row>
    <row r="71">
      <c r="A71" s="12"/>
      <c r="B71" s="65">
        <f t="shared" si="2"/>
        <v>16</v>
      </c>
      <c r="C71" s="66" t="s">
        <v>16</v>
      </c>
      <c r="D71" s="14" t="b">
        <f>IFERROR(__xludf.DUMMYFUNCTION("IF(COUNTA(C71:C147)=0,"""",IFERROR(IF(ISBLANK(C71),FALSE,IF(ISBLANK(G71),1,IF(NOT(COUNTIF($AA$24:$AA$34,SUBSTITUTE(C71,""Sell_"",""""))),1,IF(C71=""Plastic_up"",IF(I71&lt;1000,1),IF(C71=""Super_Up"",IF(OR(COUNTIF(C$4:C71,""Grandma"")-COUNTIF(C$4:C71,""Sell_G"&amp;"randma"")&lt;1,COUNTIF(C$4:C71,VLOOKUP(C71,Upgrades!$F$8:$N$8,7+COUNTIF(C$4:C71,C71)))-COUNTIF(C$4:C71,""Sell_""&amp;VLOOKUP(C71,Upgrades!$F$8:$N$8,7+COUNTIF(C$4:C71,C71)))&lt;15),1),IF(REGEXMATCH(C71,""_up""),IF(COUNTIF(C$4:C71,SUBSTITUTE(C71,""_up"",""""))&lt;IFERRO"&amp;"R(VLOOKUP(C71,Upgrades!$L$3:$P$6,1+COUNTIF(C$4:C71,C71),0),999),1),IF(REGEXMATCH(C71,""Sell_""),IF(COUNTIF(C$4:C71,SUBSTITUTE(C71,""Sell_"",""""))-COUNTIF(C$4:C70,C71)&lt;1,1),FALSE)))))))))"),FALSE)</f>
        <v>0</v>
      </c>
      <c r="E71" s="71">
        <f>IFERROR(__xludf.DUMMYFUNCTION("IF(REGEXMATCH(C71,""^Sell_""),E70, IF(COUNTA(C71:C147)=0,"""",(COUNTIF(C$4:C71,""Cursor"")-COUNTIF(C$4:C71,""Sell_Cursor""))*(0.1*2^SWITCH(COUNTIF(C$4:C71,""Cursor_up""),0,0,1,1,2,2,3)+SWITCH(COUNTIF(C$4:C71,""Cursor_up""),4,0.1,0)*(ROW(C71)-4-COUNTIF(C$4"&amp;":C71,""Cursor"")-COUNTIF(C$4:C71,""*""&amp;""_up"")-2*COUNTIF(C$4:C71,""Sell_""&amp;""*"")+COUNTIF(C$4:C71,""Sell_Cursor"")-COUNTIF(C$4:C71,"""")))+(COUNTIF(C$4:C71,""Grandma"")-COUNTIF(C$4:C71,""Sell_Grandma""))*(1*2^(COUNTIF(C$4:C71,""Grandma_up"")+COUNTIF(C$4:"&amp;"C71,""Super_up"")))+(COUNTIF(C$4:C71,""Farm"")-COUNTIF(C$4:C71,""Sell_Farm""))*(8*2^COUNTIF(C$4:C71,""Farm_up""))*IF(COUNTIF(C$4:C71,""Super_up"")&gt;0,1+0.01*(COUNTIF(C$4:C71,""Grandma"")-COUNTIF(C$4:C71,""Sell_Grandma"")),1)+(COUNTIF(C$4:C71,""Mine"")-COUN"&amp;"TIF(C$4:C71,""Sell_Mine""))*((47*2^COUNTIF(C$4:C71,""Mine_up""))*IF(COUNTIF(C$4:C71,""Super_up"")&gt;1,1+0.005*(COUNTIF(C$4:C71,""Grandma"")-COUNTIF(C$4:C71,""Sell_Grandma"")),1))+(COUNTIF(C$4:C71,""Factory"")-COUNTIF(C$4:C71,""Sell_Factory""))*(260*2^COUNTI"&amp;"F(C$4:C71,""Factory_up""))))"),702.8)</f>
        <v>702.8</v>
      </c>
      <c r="F71" s="73">
        <f>IFERROR(__xludf.DUMMYFUNCTION("IF(COUNTA(C71:C147)=0,"""",IF(REGEXMATCH(INDEX(FILTER(C$4:C71,C$4:C71&lt;&gt;""""),ROWS(FILTER(C$4:C71,C$4:C71&lt;&gt;""""))),""^Sell_""),INDEX(FILTER(F$4:F70,C$4:C70&lt;&gt;""""),ROWS(FILTER(C$4:C70,C$4:C70&lt;&gt;""""))),$AC$5*(2^SWITCH(COUNTIF(C$4:C71,""Cursor_up""),0,0,1,1,2"&amp;",2,3)+SWITCH(COUNTIF(C$4:C71,""Cursor_up""),4,0.1,0)*(ROW(C71)-4-COUNTIF(C$4:C71,""Cursor"")-COUNTIF(C$4:C71,""*""&amp;""_up"")-2*COUNTIF(C$4:C71,""Sell_""&amp;""*"")+COUNTIF(C$4:C71,""Sell_Cursor"")-COUNTIF(C$4:C71,""""))+0.01*E71*COUNTIF(C$4:C71,""Plastic_up"")"&amp;")+E71))"),3708.3999999999996)</f>
        <v>3708.4</v>
      </c>
      <c r="G71" s="14">
        <f>IFERROR(__xludf.DUMMYFUNCTION("IF(COUNTA(C71:C147)=0,"""",IF(REGEXMATCH(C71,""_up""),VLOOKUP(C71,Upgrades!$F$3:$J$8,1+COUNTIF(C$4:C71,C71),FALSE),IF(C71="""",0,IF(REGEXMATCH(C71,""^Sell_""),-ROUNDDOWN(ROUNDUP(INDEX(Upgrades!$C$3:$C$8,MATCH(SUBSTITUTE(C71,""Sell_"",""""),Upgrades!$B$3:$"&amp;"B$8,0))*1.15^(COUNTIF(C$4:C70,SUBSTITUTE(C71,""Sell_"",""""))-COUNTIF(C$4:C70,""Sell_""&amp;SUBSTITUTE(C71,""Sell_"",""""))))/4),ROUNDUP(INDEX(Upgrades!$C$3:$C$7,MATCH(C71,Upgrades!$B$3:$B$7,0))*1.15^(COUNTIF(C$4:C70,C71)-COUNTIF(C$4:C70,""Sell_""&amp;C71)))))))"),8951.0)</f>
        <v>8951</v>
      </c>
      <c r="H71" s="14">
        <f t="shared" si="3"/>
        <v>8951</v>
      </c>
      <c r="I71" s="75">
        <f t="shared" si="4"/>
        <v>4250140.703</v>
      </c>
      <c r="J71" s="76">
        <f t="shared" si="5"/>
        <v>113.4418368</v>
      </c>
      <c r="K71" s="71" t="str">
        <f t="shared" si="6"/>
        <v>1m 53s</v>
      </c>
      <c r="L71" s="77">
        <f t="shared" si="7"/>
        <v>231743</v>
      </c>
      <c r="M71" s="51">
        <f t="shared" si="8"/>
        <v>-0.30975</v>
      </c>
      <c r="N71" s="52">
        <f>IFERROR(__xludf.DUMMYFUNCTION("IFS(AND(COUNTA(C71:C147)=0,COUNTA(P71:P147)=0),"""",OR(AND(L71&gt;=1000000,OR(Y71&gt;=1000000,COUNTA(P71:P147)=0)),AND(Y71&gt;=1000000,COUNTA(C71:C147)=0),AND(COUNTA(P71:P147)=0,O$3=TRUE)),
ROUNDDOWN((AB$1-AC$1)*MAX(INDEX(S$4:S147,MATCH(LARGE(FILTER(Y$4:Y147,Y$4:Y"&amp;"147&lt;1000000),1),Y$4:Y147)),INDEX(F$4:F147,MATCH(LARGE(FILTER(L$4:L147,L$4:L147&lt;1000000),1),L$4:L147)))),AND(L71&lt;1000000,COUNTA(C71:C147)&gt;0,O$3=FALSE),
ROUNDDOWN(INDEX(Y$4:Y147,MATCH(LARGE(FILTER(W$4:W147,W$4:W147&lt;=J71),1),W$4:W147))+(J71-LARGE(FILTER(W$4:"&amp;"W147,W$4:W147&lt;=J71),1))*INDEX(S$4:S147,MATCH(LARGE(FILTER(W$4:W147,W$4:W147&lt;=J71),1),W$4:W147))-L71),1,
ROUNDDOWN(Y71-INDEX(L$4:L147,MATCH(LARGE(FILTER(J$4:J147,J$4:J147&lt;=W71),1),J$4:J147))-(W71-LARGE(FILTER(J$4:J147,J$4:J147&lt;=W71),1))*INDEX(F$4:F147,MATC"&amp;"H(LARGE(FILTER(J$4:J147,J$4:J147&lt;=W71),1),J$4:J147))))"),1144.0)</f>
        <v>1144</v>
      </c>
      <c r="O71" s="65">
        <f t="shared" si="9"/>
        <v>17</v>
      </c>
      <c r="P71" s="15" t="s">
        <v>16</v>
      </c>
      <c r="Q71" s="14" t="b">
        <f>IFERROR(__xludf.DUMMYFUNCTION("IF(COUNTA(P71:P147)=0,"""",IFERROR(IF(ISBLANK(P71),FALSE,IF(ISBLANK(T71),1,IF(NOT(COUNTIF($AA$24:$AA$34,SUBSTITUTE(P71,""Sell_"",""""))),1,IF(P71=""Plastic_up"",IF(V71&lt;1000,1),IF(P71=""Super_Up"",IF(OR(COUNTIF(P$4:P71,""Grandma"")-COUNTIF(P$4:P71,""Sell_G"&amp;"randma"")&lt;1,COUNTIF(P$4:P71,VLOOKUP(P71,Upgrades!$F$8:$N$8,7+COUNTIF(P$4:P71,P71)))-COUNTIF(P$4:P71,""Sell_""&amp;VLOOKUP(P71,Upgrades!$F$8:$N$8,7+COUNTIF(P$4:P71,P71)))&lt;15),1),IF(REGEXMATCH(P71,""_up""),IF(COUNTIF(P$4:P71,SUBSTITUTE(P71,""_up"",""""))&lt;IFERRO"&amp;"R(VLOOKUP(P71,Upgrades!$L$3:$P$6,1+COUNTIF(P$4:P71,P71),0),999),1),IF(REGEXMATCH(P71,""Sell_""),IF(COUNTIF(P$4:P71,SUBSTITUTE(P71,""Sell_"",""""))-COUNTIF(P$4:P70,P71)&lt;1,1),FALSE)))))))))"),FALSE)</f>
        <v>0</v>
      </c>
      <c r="R71" s="71">
        <f>IFERROR(__xludf.DUMMYFUNCTION("IF(REGEXMATCH(P71,""^Sell_""),R70, IF(COUNTA(P71:P147)=0,"""",(COUNTIF(P$4:P71,""Cursor"")-COUNTIF(P$4:P71,""Sell_Cursor""))*(0.1*2^SWITCH(COUNTIF(P$4:P71,""Cursor_up""),0,0,1,1,2,2,3)+SWITCH(COUNTIF(P$4:P71,""Cursor_up""),4,0.1,0)*(ROW(P71)-4-COUNTIF(P$4"&amp;":P71,""Cursor"")-COUNTIF(P$4:P71,""*""&amp;""_up"")-2*COUNTIF(P$4:P71,""Sell_""&amp;""*"")+COUNTIF(P$4:P71,""Sell_Cursor"")-COUNTIF(P$4:P71,"""")))+(COUNTIF(P$4:P71,""Grandma"")-COUNTIF(P$4:P71,""Sell_Grandma""))*(1*2^(COUNTIF(P$4:P71,""Grandma_up"")+COUNTIF(P$4:"&amp;"P71,""Super_up"")))+(COUNTIF(P$4:P71,""Farm"")-COUNTIF(P$4:P71,""Sell_Farm""))*(8*2^COUNTIF(P$4:P71,""Farm_up""))*IF(COUNTIF(P$4:P71,""Super_up"")&gt;0,1+0.01*(COUNTIF(P$4:P71,""Grandma"")-COUNTIF(P$4:P71,""Sell_Grandma"")),1)+(COUNTIF(P$4:P71,""Mine"")-COUN"&amp;"TIF(P$4:P71,""Sell_Mine""))*((47*2^COUNTIF(P$4:P71,""Mine_up""))*IF(COUNTIF(P$4:P71,""Super_up"")&gt;1,1+0.005*(COUNTIF(P$4:P71,""Grandma"")-COUNTIF(P$4:P71,""Sell_Grandma"")),1))+(COUNTIF(P$4:P71,""Factory"")-COUNTIF(P$4:P71,""Sell_Factory""))*(260*2^COUNTI"&amp;"F(P$4:P71,""Factory_up""))))"),730.8)</f>
        <v>730.8</v>
      </c>
      <c r="S71" s="73">
        <f>IFERROR(__xludf.DUMMYFUNCTION("IF(COUNTA(P71:P147)=0,"""",IF(REGEXMATCH(INDEX(FILTER(P$4:P71,P$4:P71&lt;&gt;""""),ROWS(FILTER(P$4:P71,P$4:P71&lt;&gt;""""))),""^Sell_""),INDEX(FILTER(S$4:S70,P$4:P70&lt;&gt;""""),ROWS(FILTER(P$4:P70,P$4:P70&lt;&gt;""""))),$AD$5*(2^SWITCH(COUNTIF(P$4:P71,""Cursor_up""),0,0,1,1,2"&amp;",2,3)+SWITCH(COUNTIF(P$4:P71,""Cursor_up""),4,0.1,0)*(ROW(P71)-4-COUNTIF(P$4:P71,""Cursor"")-COUNTIF(P$4:P71,""*""&amp;""_up"")-2*COUNTIF(P$4:P71,""Sell_""&amp;""*"")+COUNTIF(P$4:P71,""Sell_Cursor"")-COUNTIF(P$4:P71,""""))+0.01*R71*COUNTIF(P$4:P71,""Plastic_up"")"&amp;")+R71))"),3792.3999999999996)</f>
        <v>3792.4</v>
      </c>
      <c r="T71" s="14">
        <f>IFERROR(__xludf.DUMMYFUNCTION("IF(COUNTA(P71:P147)=0,"""",IF(REGEXMATCH(P71,""_up""),VLOOKUP(P71,Upgrades!$F$3:$J$8,1+COUNTIF(P$4:P71,P71),FALSE),IF(P71="""",0,IF(REGEXMATCH(P71,""^Sell_""),-ROUNDDOWN(ROUNDUP(INDEX(Upgrades!$C$3:$C$8,MATCH(SUBSTITUTE(P71,""Sell_"",""""),Upgrades!$B$3:$"&amp;"B$8,0))*1.15^(COUNTIF(P$4:P70,SUBSTITUTE(P71,""Sell_"",""""))-COUNTIF(P$4:P70,""Sell_""&amp;SUBSTITUTE(P71,""Sell_"",""""))))/4),ROUNDUP(INDEX(Upgrades!$C$3:$C$7,MATCH(P71,Upgrades!$B$3:$B$7,0))*1.15^(COUNTIF(P$4:P70,P71)-COUNTIF(P$4:P70,""Sell_""&amp;P71)))))))"),10294.0)</f>
        <v>10294</v>
      </c>
      <c r="U71" s="14">
        <f t="shared" si="10"/>
        <v>10294</v>
      </c>
      <c r="V71" s="75">
        <f t="shared" si="11"/>
        <v>4957536.495</v>
      </c>
      <c r="W71" s="76">
        <f t="shared" si="12"/>
        <v>115.5317143</v>
      </c>
      <c r="X71" s="71" t="str">
        <f t="shared" si="13"/>
        <v>1m 55s</v>
      </c>
      <c r="Y71" s="77">
        <f t="shared" si="14"/>
        <v>240613</v>
      </c>
      <c r="Z71" s="17"/>
      <c r="AA71" s="13"/>
      <c r="AB71" s="13"/>
      <c r="AC71" s="13"/>
      <c r="AD71" s="13"/>
      <c r="AE71" s="13"/>
      <c r="AF71" s="13"/>
      <c r="AG71" s="13"/>
    </row>
    <row r="72">
      <c r="A72" s="12"/>
      <c r="B72" s="65">
        <f t="shared" si="2"/>
        <v>17</v>
      </c>
      <c r="C72" s="66" t="s">
        <v>16</v>
      </c>
      <c r="D72" s="14" t="b">
        <f>IFERROR(__xludf.DUMMYFUNCTION("IF(COUNTA(C72:C147)=0,"""",IFERROR(IF(ISBLANK(C72),FALSE,IF(ISBLANK(G72),1,IF(NOT(COUNTIF($AA$24:$AA$34,SUBSTITUTE(C72,""Sell_"",""""))),1,IF(C72=""Plastic_up"",IF(I72&lt;1000,1),IF(C72=""Super_Up"",IF(OR(COUNTIF(C$4:C72,""Grandma"")-COUNTIF(C$4:C72,""Sell_G"&amp;"randma"")&lt;1,COUNTIF(C$4:C72,VLOOKUP(C72,Upgrades!$F$8:$N$8,7+COUNTIF(C$4:C72,C72)))-COUNTIF(C$4:C72,""Sell_""&amp;VLOOKUP(C72,Upgrades!$F$8:$N$8,7+COUNTIF(C$4:C72,C72)))&lt;15),1),IF(REGEXMATCH(C72,""_up""),IF(COUNTIF(C$4:C72,SUBSTITUTE(C72,""_up"",""""))&lt;IFERRO"&amp;"R(VLOOKUP(C72,Upgrades!$L$3:$P$6,1+COUNTIF(C$4:C72,C72),0),999),1),IF(REGEXMATCH(C72,""Sell_""),IF(COUNTIF(C$4:C72,SUBSTITUTE(C72,""Sell_"",""""))-COUNTIF(C$4:C71,C72)&lt;1,1),FALSE)))))))))"),FALSE)</f>
        <v>0</v>
      </c>
      <c r="E72" s="71">
        <f>IFERROR(__xludf.DUMMYFUNCTION("IF(REGEXMATCH(C72,""^Sell_""),E71, IF(COUNTA(C72:C147)=0,"""",(COUNTIF(C$4:C72,""Cursor"")-COUNTIF(C$4:C72,""Sell_Cursor""))*(0.1*2^SWITCH(COUNTIF(C$4:C72,""Cursor_up""),0,0,1,1,2,2,3)+SWITCH(COUNTIF(C$4:C72,""Cursor_up""),4,0.1,0)*(ROW(C72)-4-COUNTIF(C$4"&amp;":C72,""Cursor"")-COUNTIF(C$4:C72,""*""&amp;""_up"")-2*COUNTIF(C$4:C72,""Sell_""&amp;""*"")+COUNTIF(C$4:C72,""Sell_Cursor"")-COUNTIF(C$4:C72,"""")))+(COUNTIF(C$4:C72,""Grandma"")-COUNTIF(C$4:C72,""Sell_Grandma""))*(1*2^(COUNTIF(C$4:C72,""Grandma_up"")+COUNTIF(C$4:"&amp;"C72,""Super_up"")))+(COUNTIF(C$4:C72,""Farm"")-COUNTIF(C$4:C72,""Sell_Farm""))*(8*2^COUNTIF(C$4:C72,""Farm_up""))*IF(COUNTIF(C$4:C72,""Super_up"")&gt;0,1+0.01*(COUNTIF(C$4:C72,""Grandma"")-COUNTIF(C$4:C72,""Sell_Grandma"")),1)+(COUNTIF(C$4:C72,""Mine"")-COUN"&amp;"TIF(C$4:C72,""Sell_Mine""))*((47*2^COUNTIF(C$4:C72,""Mine_up""))*IF(COUNTIF(C$4:C72,""Super_up"")&gt;1,1+0.005*(COUNTIF(C$4:C72,""Grandma"")-COUNTIF(C$4:C72,""Sell_Grandma"")),1))+(COUNTIF(C$4:C72,""Factory"")-COUNTIF(C$4:C72,""Sell_Factory""))*(260*2^COUNTI"&amp;"F(C$4:C72,""Factory_up""))))"),734.8)</f>
        <v>734.8</v>
      </c>
      <c r="F72" s="73">
        <f>IFERROR(__xludf.DUMMYFUNCTION("IF(COUNTA(C72:C147)=0,"""",IF(REGEXMATCH(INDEX(FILTER(C$4:C72,C$4:C72&lt;&gt;""""),ROWS(FILTER(C$4:C72,C$4:C72&lt;&gt;""""))),""^Sell_""),INDEX(FILTER(F$4:F71,C$4:C71&lt;&gt;""""),ROWS(FILTER(C$4:C71,C$4:C71&lt;&gt;""""))),$AC$5*(2^SWITCH(COUNTIF(C$4:C72,""Cursor_up""),0,0,1,1,2"&amp;",2,3)+SWITCH(COUNTIF(C$4:C72,""Cursor_up""),4,0.1,0)*(ROW(C72)-4-COUNTIF(C$4:C72,""Cursor"")-COUNTIF(C$4:C72,""*""&amp;""_up"")-2*COUNTIF(C$4:C72,""Sell_""&amp;""*"")+COUNTIF(C$4:C72,""Sell_Cursor"")-COUNTIF(C$4:C72,""""))+0.01*E72*COUNTIF(C$4:C72,""Plastic_up"")"&amp;")+E72))"),3804.3999999999996)</f>
        <v>3804.4</v>
      </c>
      <c r="G72" s="14">
        <f>IFERROR(__xludf.DUMMYFUNCTION("IF(COUNTA(C72:C147)=0,"""",IF(REGEXMATCH(C72,""_up""),VLOOKUP(C72,Upgrades!$F$3:$J$8,1+COUNTIF(C$4:C72,C72),FALSE),IF(C72="""",0,IF(REGEXMATCH(C72,""^Sell_""),-ROUNDDOWN(ROUNDUP(INDEX(Upgrades!$C$3:$C$8,MATCH(SUBSTITUTE(C72,""Sell_"",""""),Upgrades!$B$3:$"&amp;"B$8,0))*1.15^(COUNTIF(C$4:C71,SUBSTITUTE(C72,""Sell_"",""""))-COUNTIF(C$4:C71,""Sell_""&amp;SUBSTITUTE(C72,""Sell_"",""""))))/4),ROUNDUP(INDEX(Upgrades!$C$3:$C$7,MATCH(C72,Upgrades!$B$3:$B$7,0))*1.15^(COUNTIF(C$4:C71,C72)-COUNTIF(C$4:C71,""Sell_""&amp;C72)))))))"),10294.0)</f>
        <v>10294</v>
      </c>
      <c r="H72" s="14">
        <f t="shared" si="3"/>
        <v>10294</v>
      </c>
      <c r="I72" s="75">
        <f t="shared" si="4"/>
        <v>4599444.613</v>
      </c>
      <c r="J72" s="76">
        <f t="shared" si="5"/>
        <v>116.217697</v>
      </c>
      <c r="K72" s="71" t="str">
        <f t="shared" si="6"/>
        <v>1m 56s</v>
      </c>
      <c r="L72" s="77">
        <f t="shared" si="7"/>
        <v>242037</v>
      </c>
      <c r="M72" s="51">
        <f t="shared" si="8"/>
        <v>-0.31049</v>
      </c>
      <c r="N72" s="52">
        <f>IFERROR(__xludf.DUMMYFUNCTION("IFS(AND(COUNTA(C72:C147)=0,COUNTA(P72:P147)=0),"""",OR(AND(L72&gt;=1000000,OR(Y72&gt;=1000000,COUNTA(P72:P147)=0)),AND(Y72&gt;=1000000,COUNTA(C72:C147)=0),AND(COUNTA(P72:P147)=0,O$3=TRUE)),
ROUNDDOWN((AB$1-AC$1)*MAX(INDEX(S$4:S147,MATCH(LARGE(FILTER(Y$4:Y147,Y$4:Y"&amp;"147&lt;1000000),1),Y$4:Y147)),INDEX(F$4:F147,MATCH(LARGE(FILTER(L$4:L147,L$4:L147&lt;1000000),1),L$4:L147)))),AND(L72&lt;1000000,COUNTA(C72:C147)&gt;0,O$3=FALSE),
ROUNDDOWN(INDEX(Y$4:Y147,MATCH(LARGE(FILTER(W$4:W147,W$4:W147&lt;=J72),1),W$4:W147))+(J72-LARGE(FILTER(W$4:"&amp;"W147,W$4:W147&lt;=J72),1))*INDEX(S$4:S147,MATCH(LARGE(FILTER(W$4:W147,W$4:W147&lt;=J72),1),W$4:W147))-L72),1,
ROUNDDOWN(Y72-INDEX(L$4:L147,MATCH(LARGE(FILTER(J$4:J147,J$4:J147&lt;=W72),1),J$4:J147))-(W72-LARGE(FILTER(J$4:J147,J$4:J147&lt;=W72),1))*INDEX(F$4:F147,MATC"&amp;"H(LARGE(FILTER(J$4:J147,J$4:J147&lt;=W72),1),J$4:J147))))"),1177.0)</f>
        <v>1177</v>
      </c>
      <c r="O72" s="65">
        <f t="shared" si="9"/>
        <v>3</v>
      </c>
      <c r="P72" s="15" t="s">
        <v>18</v>
      </c>
      <c r="Q72" s="14" t="b">
        <f>IFERROR(__xludf.DUMMYFUNCTION("IF(COUNTA(P72:P147)=0,"""",IFERROR(IF(ISBLANK(P72),FALSE,IF(ISBLANK(T72),1,IF(NOT(COUNTIF($AA$24:$AA$34,SUBSTITUTE(P72,""Sell_"",""""))),1,IF(P72=""Plastic_up"",IF(V72&lt;1000,1),IF(P72=""Super_Up"",IF(OR(COUNTIF(P$4:P72,""Grandma"")-COUNTIF(P$4:P72,""Sell_G"&amp;"randma"")&lt;1,COUNTIF(P$4:P72,VLOOKUP(P72,Upgrades!$F$8:$N$8,7+COUNTIF(P$4:P72,P72)))-COUNTIF(P$4:P72,""Sell_""&amp;VLOOKUP(P72,Upgrades!$F$8:$N$8,7+COUNTIF(P$4:P72,P72)))&lt;15),1),IF(REGEXMATCH(P72,""_up""),IF(COUNTIF(P$4:P72,SUBSTITUTE(P72,""_up"",""""))&lt;IFERRO"&amp;"R(VLOOKUP(P72,Upgrades!$L$3:$P$6,1+COUNTIF(P$4:P72,P72),0),999),1),IF(REGEXMATCH(P72,""Sell_""),IF(COUNTIF(P$4:P72,SUBSTITUTE(P72,""Sell_"",""""))-COUNTIF(P$4:P71,P72)&lt;1,1),FALSE)))))))))"),FALSE)</f>
        <v>0</v>
      </c>
      <c r="R72" s="71">
        <f>IFERROR(__xludf.DUMMYFUNCTION("IF(REGEXMATCH(P72,""^Sell_""),R71, IF(COUNTA(P72:P147)=0,"""",(COUNTIF(P$4:P72,""Cursor"")-COUNTIF(P$4:P72,""Sell_Cursor""))*(0.1*2^SWITCH(COUNTIF(P$4:P72,""Cursor_up""),0,0,1,1,2,2,3)+SWITCH(COUNTIF(P$4:P72,""Cursor_up""),4,0.1,0)*(ROW(P72)-4-COUNTIF(P$4"&amp;":P72,""Cursor"")-COUNTIF(P$4:P72,""*""&amp;""_up"")-2*COUNTIF(P$4:P72,""Sell_""&amp;""*"")+COUNTIF(P$4:P72,""Sell_Cursor"")-COUNTIF(P$4:P72,"""")))+(COUNTIF(P$4:P72,""Grandma"")-COUNTIF(P$4:P72,""Sell_Grandma""))*(1*2^(COUNTIF(P$4:P72,""Grandma_up"")+COUNTIF(P$4:"&amp;"P72,""Super_up"")))+(COUNTIF(P$4:P72,""Farm"")-COUNTIF(P$4:P72,""Sell_Farm""))*(8*2^COUNTIF(P$4:P72,""Farm_up""))*IF(COUNTIF(P$4:P72,""Super_up"")&gt;0,1+0.01*(COUNTIF(P$4:P72,""Grandma"")-COUNTIF(P$4:P72,""Sell_Grandma"")),1)+(COUNTIF(P$4:P72,""Mine"")-COUN"&amp;"TIF(P$4:P72,""Sell_Mine""))*((47*2^COUNTIF(P$4:P72,""Mine_up""))*IF(COUNTIF(P$4:P72,""Super_up"")&gt;1,1+0.005*(COUNTIF(P$4:P72,""Grandma"")-COUNTIF(P$4:P72,""Sell_Grandma"")),1))+(COUNTIF(P$4:P72,""Factory"")-COUNTIF(P$4:P72,""Sell_Factory""))*(260*2^COUNTI"&amp;"F(P$4:P72,""Factory_up""))))"),777.8)</f>
        <v>777.8</v>
      </c>
      <c r="S72" s="73">
        <f>IFERROR(__xludf.DUMMYFUNCTION("IF(COUNTA(P72:P147)=0,"""",IF(REGEXMATCH(INDEX(FILTER(P$4:P72,P$4:P72&lt;&gt;""""),ROWS(FILTER(P$4:P72,P$4:P72&lt;&gt;""""))),""^Sell_""),INDEX(FILTER(S$4:S71,P$4:P71&lt;&gt;""""),ROWS(FILTER(P$4:P71,P$4:P71&lt;&gt;""""))),$AD$5*(2^SWITCH(COUNTIF(P$4:P72,""Cursor_up""),0,0,1,1,2"&amp;",2,3)+SWITCH(COUNTIF(P$4:P72,""Cursor_up""),4,0.1,0)*(ROW(P72)-4-COUNTIF(P$4:P72,""Cursor"")-COUNTIF(P$4:P72,""*""&amp;""_up"")-2*COUNTIF(P$4:P72,""Sell_""&amp;""*"")+COUNTIF(P$4:P72,""Sell_Cursor"")-COUNTIF(P$4:P72,""""))+0.01*R72*COUNTIF(P$4:P72,""Plastic_up"")"&amp;")+R72))"),3933.3999999999996)</f>
        <v>3933.4</v>
      </c>
      <c r="T72" s="14">
        <f>IFERROR(__xludf.DUMMYFUNCTION("IF(COUNTA(P72:P147)=0,"""",IF(REGEXMATCH(P72,""_up""),VLOOKUP(P72,Upgrades!$F$3:$J$8,1+COUNTIF(P$4:P72,P72),FALSE),IF(P72="""",0,IF(REGEXMATCH(P72,""^Sell_""),-ROUNDDOWN(ROUNDUP(INDEX(Upgrades!$C$3:$C$8,MATCH(SUBSTITUTE(P72,""Sell_"",""""),Upgrades!$B$3:$"&amp;"B$8,0))*1.15^(COUNTIF(P$4:P71,SUBSTITUTE(P72,""Sell_"",""""))-COUNTIF(P$4:P71,""Sell_""&amp;SUBSTITUTE(P72,""Sell_"",""""))))/4),ROUNDUP(INDEX(Upgrades!$C$3:$C$7,MATCH(P72,Upgrades!$B$3:$B$7,0))*1.15^(COUNTIF(P$4:P71,P72)-COUNTIF(P$4:P71,""Sell_""&amp;P72)))))))"),15870.0)</f>
        <v>15870</v>
      </c>
      <c r="U72" s="14">
        <f t="shared" si="10"/>
        <v>15870</v>
      </c>
      <c r="V72" s="75">
        <f t="shared" si="11"/>
        <v>5324060.224</v>
      </c>
      <c r="W72" s="76">
        <f t="shared" si="12"/>
        <v>119.7163994</v>
      </c>
      <c r="X72" s="71" t="str">
        <f t="shared" si="13"/>
        <v>1m 59s</v>
      </c>
      <c r="Y72" s="77">
        <f t="shared" si="14"/>
        <v>256483</v>
      </c>
      <c r="Z72" s="17"/>
      <c r="AA72" s="13"/>
      <c r="AB72" s="13"/>
      <c r="AC72" s="13"/>
      <c r="AD72" s="13"/>
      <c r="AE72" s="13"/>
      <c r="AF72" s="13"/>
      <c r="AG72" s="13"/>
    </row>
    <row r="73">
      <c r="A73" s="12"/>
      <c r="B73" s="65">
        <f t="shared" si="2"/>
        <v>3</v>
      </c>
      <c r="C73" s="66" t="s">
        <v>18</v>
      </c>
      <c r="D73" s="14" t="b">
        <f>IFERROR(__xludf.DUMMYFUNCTION("IF(COUNTA(C73:C147)=0,"""",IFERROR(IF(ISBLANK(C73),FALSE,IF(ISBLANK(G73),1,IF(NOT(COUNTIF($AA$24:$AA$34,SUBSTITUTE(C73,""Sell_"",""""))),1,IF(C73=""Plastic_up"",IF(I73&lt;1000,1),IF(C73=""Super_Up"",IF(OR(COUNTIF(C$4:C73,""Grandma"")-COUNTIF(C$4:C73,""Sell_G"&amp;"randma"")&lt;1,COUNTIF(C$4:C73,VLOOKUP(C73,Upgrades!$F$8:$N$8,7+COUNTIF(C$4:C73,C73)))-COUNTIF(C$4:C73,""Sell_""&amp;VLOOKUP(C73,Upgrades!$F$8:$N$8,7+COUNTIF(C$4:C73,C73)))&lt;15),1),IF(REGEXMATCH(C73,""_up""),IF(COUNTIF(C$4:C73,SUBSTITUTE(C73,""_up"",""""))&lt;IFERRO"&amp;"R(VLOOKUP(C73,Upgrades!$L$3:$P$6,1+COUNTIF(C$4:C73,C73),0),999),1),IF(REGEXMATCH(C73,""Sell_""),IF(COUNTIF(C$4:C73,SUBSTITUTE(C73,""Sell_"",""""))-COUNTIF(C$4:C72,C73)&lt;1,1),FALSE)))))))))"),FALSE)</f>
        <v>0</v>
      </c>
      <c r="E73" s="71">
        <f>IFERROR(__xludf.DUMMYFUNCTION("IF(REGEXMATCH(C73,""^Sell_""),E72, IF(COUNTA(C73:C147)=0,"""",(COUNTIF(C$4:C73,""Cursor"")-COUNTIF(C$4:C73,""Sell_Cursor""))*(0.1*2^SWITCH(COUNTIF(C$4:C73,""Cursor_up""),0,0,1,1,2,2,3)+SWITCH(COUNTIF(C$4:C73,""Cursor_up""),4,0.1,0)*(ROW(C73)-4-COUNTIF(C$4"&amp;":C73,""Cursor"")-COUNTIF(C$4:C73,""*""&amp;""_up"")-2*COUNTIF(C$4:C73,""Sell_""&amp;""*"")+COUNTIF(C$4:C73,""Sell_Cursor"")-COUNTIF(C$4:C73,"""")))+(COUNTIF(C$4:C73,""Grandma"")-COUNTIF(C$4:C73,""Sell_Grandma""))*(1*2^(COUNTIF(C$4:C73,""Grandma_up"")+COUNTIF(C$4:"&amp;"C73,""Super_up"")))+(COUNTIF(C$4:C73,""Farm"")-COUNTIF(C$4:C73,""Sell_Farm""))*(8*2^COUNTIF(C$4:C73,""Farm_up""))*IF(COUNTIF(C$4:C73,""Super_up"")&gt;0,1+0.01*(COUNTIF(C$4:C73,""Grandma"")-COUNTIF(C$4:C73,""Sell_Grandma"")),1)+(COUNTIF(C$4:C73,""Mine"")-COUN"&amp;"TIF(C$4:C73,""Sell_Mine""))*((47*2^COUNTIF(C$4:C73,""Mine_up""))*IF(COUNTIF(C$4:C73,""Super_up"")&gt;1,1+0.005*(COUNTIF(C$4:C73,""Grandma"")-COUNTIF(C$4:C73,""Sell_Grandma"")),1))+(COUNTIF(C$4:C73,""Factory"")-COUNTIF(C$4:C73,""Sell_Factory""))*(260*2^COUNTI"&amp;"F(C$4:C73,""Factory_up""))))"),781.8)</f>
        <v>781.8</v>
      </c>
      <c r="F73" s="73">
        <f>IFERROR(__xludf.DUMMYFUNCTION("IF(COUNTA(C73:C147)=0,"""",IF(REGEXMATCH(INDEX(FILTER(C$4:C73,C$4:C73&lt;&gt;""""),ROWS(FILTER(C$4:C73,C$4:C73&lt;&gt;""""))),""^Sell_""),INDEX(FILTER(F$4:F72,C$4:C72&lt;&gt;""""),ROWS(FILTER(C$4:C72,C$4:C72&lt;&gt;""""))),$AC$5*(2^SWITCH(COUNTIF(C$4:C73,""Cursor_up""),0,0,1,1,2"&amp;",2,3)+SWITCH(COUNTIF(C$4:C73,""Cursor_up""),4,0.1,0)*(ROW(C73)-4-COUNTIF(C$4:C73,""Cursor"")-COUNTIF(C$4:C73,""*""&amp;""_up"")-2*COUNTIF(C$4:C73,""Sell_""&amp;""*"")+COUNTIF(C$4:C73,""Sell_Cursor"")-COUNTIF(C$4:C73,""""))+0.01*E73*COUNTIF(C$4:C73,""Plastic_up"")"&amp;")+E73))"),3945.3999999999996)</f>
        <v>3945.4</v>
      </c>
      <c r="G73" s="14">
        <f>IFERROR(__xludf.DUMMYFUNCTION("IF(COUNTA(C73:C147)=0,"""",IF(REGEXMATCH(C73,""_up""),VLOOKUP(C73,Upgrades!$F$3:$J$8,1+COUNTIF(C$4:C73,C73),FALSE),IF(C73="""",0,IF(REGEXMATCH(C73,""^Sell_""),-ROUNDDOWN(ROUNDUP(INDEX(Upgrades!$C$3:$C$8,MATCH(SUBSTITUTE(C73,""Sell_"",""""),Upgrades!$B$3:$"&amp;"B$8,0))*1.15^(COUNTIF(C$4:C72,SUBSTITUTE(C73,""Sell_"",""""))-COUNTIF(C$4:C72,""Sell_""&amp;SUBSTITUTE(C73,""Sell_"",""""))))/4),ROUNDUP(INDEX(Upgrades!$C$3:$C$7,MATCH(C73,Upgrades!$B$3:$B$7,0))*1.15^(COUNTIF(C$4:C72,C73)-COUNTIF(C$4:C72,""Sell_""&amp;C73)))))))"),15870.0)</f>
        <v>15870</v>
      </c>
      <c r="H73" s="14">
        <f t="shared" si="3"/>
        <v>15870</v>
      </c>
      <c r="I73" s="75">
        <f t="shared" si="4"/>
        <v>4968991.248</v>
      </c>
      <c r="J73" s="76">
        <f t="shared" si="5"/>
        <v>120.3891826</v>
      </c>
      <c r="K73" s="71" t="str">
        <f t="shared" si="6"/>
        <v>2m 00s</v>
      </c>
      <c r="L73" s="77">
        <f t="shared" si="7"/>
        <v>257907</v>
      </c>
      <c r="M73" s="51">
        <f t="shared" si="8"/>
        <v>-0.31075</v>
      </c>
      <c r="N73" s="52">
        <f>IFERROR(__xludf.DUMMYFUNCTION("IFS(AND(COUNTA(C73:C147)=0,COUNTA(P73:P147)=0),"""",OR(AND(L73&gt;=1000000,OR(Y73&gt;=1000000,COUNTA(P73:P147)=0)),AND(Y73&gt;=1000000,COUNTA(C73:C147)=0),AND(COUNTA(P73:P147)=0,O$3=TRUE)),
ROUNDDOWN((AB$1-AC$1)*MAX(INDEX(S$4:S147,MATCH(LARGE(FILTER(Y$4:Y147,Y$4:Y"&amp;"147&lt;1000000),1),Y$4:Y147)),INDEX(F$4:F147,MATCH(LARGE(FILTER(L$4:L147,L$4:L147&lt;1000000),1),L$4:L147)))),AND(L73&lt;1000000,COUNTA(C73:C147)&gt;0,O$3=FALSE),
ROUNDDOWN(INDEX(Y$4:Y147,MATCH(LARGE(FILTER(W$4:W147,W$4:W147&lt;=J73),1),W$4:W147))+(J73-LARGE(FILTER(W$4:"&amp;"W147,W$4:W147&lt;=J73),1))*INDEX(S$4:S147,MATCH(LARGE(FILTER(W$4:W147,W$4:W147&lt;=J73),1),W$4:W147))-L73),1,
ROUNDDOWN(Y73-INDEX(L$4:L147,MATCH(LARGE(FILTER(J$4:J147,J$4:J147&lt;=W73),1),J$4:J147))-(W73-LARGE(FILTER(J$4:J147,J$4:J147&lt;=W73),1))*INDEX(F$4:F147,MATC"&amp;"H(LARGE(FILTER(J$4:J147,J$4:J147&lt;=W73),1),J$4:J147))))"),1222.0)</f>
        <v>1222</v>
      </c>
      <c r="O73" s="65">
        <f t="shared" si="9"/>
        <v>1</v>
      </c>
      <c r="P73" s="15" t="s">
        <v>24</v>
      </c>
      <c r="Q73" s="14" t="b">
        <f>IFERROR(__xludf.DUMMYFUNCTION("IF(COUNTA(P73:P147)=0,"""",IFERROR(IF(ISBLANK(P73),FALSE,IF(ISBLANK(T73),1,IF(NOT(COUNTIF($AA$24:$AA$34,SUBSTITUTE(P73,""Sell_"",""""))),1,IF(P73=""Plastic_up"",IF(V73&lt;1000,1),IF(P73=""Super_Up"",IF(OR(COUNTIF(P$4:P73,""Grandma"")-COUNTIF(P$4:P73,""Sell_G"&amp;"randma"")&lt;1,COUNTIF(P$4:P73,VLOOKUP(P73,Upgrades!$F$8:$N$8,7+COUNTIF(P$4:P73,P73)))-COUNTIF(P$4:P73,""Sell_""&amp;VLOOKUP(P73,Upgrades!$F$8:$N$8,7+COUNTIF(P$4:P73,P73)))&lt;15),1),IF(REGEXMATCH(P73,""_up""),IF(COUNTIF(P$4:P73,SUBSTITUTE(P73,""_up"",""""))&lt;IFERRO"&amp;"R(VLOOKUP(P73,Upgrades!$L$3:$P$6,1+COUNTIF(P$4:P73,P73),0),999),1),IF(REGEXMATCH(P73,""Sell_""),IF(COUNTIF(P$4:P73,SUBSTITUTE(P73,""Sell_"",""""))-COUNTIF(P$4:P72,P73)&lt;1,1),FALSE)))))))))"),FALSE)</f>
        <v>0</v>
      </c>
      <c r="R73" s="71">
        <f>IFERROR(__xludf.DUMMYFUNCTION("IF(REGEXMATCH(P73,""^Sell_""),R72, IF(COUNTA(P73:P147)=0,"""",(COUNTIF(P$4:P73,""Cursor"")-COUNTIF(P$4:P73,""Sell_Cursor""))*(0.1*2^SWITCH(COUNTIF(P$4:P73,""Cursor_up""),0,0,1,1,2,2,3)+SWITCH(COUNTIF(P$4:P73,""Cursor_up""),4,0.1,0)*(ROW(P73)-4-COUNTIF(P$4"&amp;":P73,""Cursor"")-COUNTIF(P$4:P73,""*""&amp;""_up"")-2*COUNTIF(P$4:P73,""Sell_""&amp;""*"")+COUNTIF(P$4:P73,""Sell_Cursor"")-COUNTIF(P$4:P73,"""")))+(COUNTIF(P$4:P73,""Grandma"")-COUNTIF(P$4:P73,""Sell_Grandma""))*(1*2^(COUNTIF(P$4:P73,""Grandma_up"")+COUNTIF(P$4:"&amp;"P73,""Super_up"")))+(COUNTIF(P$4:P73,""Farm"")-COUNTIF(P$4:P73,""Sell_Farm""))*(8*2^COUNTIF(P$4:P73,""Farm_up""))*IF(COUNTIF(P$4:P73,""Super_up"")&gt;0,1+0.01*(COUNTIF(P$4:P73,""Grandma"")-COUNTIF(P$4:P73,""Sell_Grandma"")),1)+(COUNTIF(P$4:P73,""Mine"")-COUN"&amp;"TIF(P$4:P73,""Sell_Mine""))*((47*2^COUNTIF(P$4:P73,""Mine_up""))*IF(COUNTIF(P$4:P73,""Super_up"")&gt;1,1+0.005*(COUNTIF(P$4:P73,""Grandma"")-COUNTIF(P$4:P73,""Sell_Grandma"")),1))+(COUNTIF(P$4:P73,""Factory"")-COUNTIF(P$4:P73,""Sell_Factory""))*(260*2^COUNTI"&amp;"F(P$4:P73,""Factory_up""))))"),957.1600000000001)</f>
        <v>957.16</v>
      </c>
      <c r="S73" s="73">
        <f>IFERROR(__xludf.DUMMYFUNCTION("IF(COUNTA(P73:P147)=0,"""",IF(REGEXMATCH(INDEX(FILTER(P$4:P73,P$4:P73&lt;&gt;""""),ROWS(FILTER(P$4:P73,P$4:P73&lt;&gt;""""))),""^Sell_""),INDEX(FILTER(S$4:S72,P$4:P72&lt;&gt;""""),ROWS(FILTER(P$4:P72,P$4:P72&lt;&gt;""""))),$AD$5*(2^SWITCH(COUNTIF(P$4:P73,""Cursor_up""),0,0,1,1,2"&amp;",2,3)+SWITCH(COUNTIF(P$4:P73,""Cursor_up""),4,0.1,0)*(ROW(P73)-4-COUNTIF(P$4:P73,""Cursor"")-COUNTIF(P$4:P73,""*""&amp;""_up"")-2*COUNTIF(P$4:P73,""Sell_""&amp;""*"")+COUNTIF(P$4:P73,""Sell_Cursor"")-COUNTIF(P$4:P73,""""))+0.01*R73*COUNTIF(P$4:P73,""Plastic_up"")"&amp;")+R73))"),4471.4800000000005)</f>
        <v>4471.48</v>
      </c>
      <c r="T73" s="14">
        <f>IFERROR(__xludf.DUMMYFUNCTION("IF(COUNTA(P73:P147)=0,"""",IF(REGEXMATCH(P73,""_up""),VLOOKUP(P73,Upgrades!$F$3:$J$8,1+COUNTIF(P$4:P73,P73),FALSE),IF(P73="""",0,IF(REGEXMATCH(P73,""^Sell_""),-ROUNDDOWN(ROUNDUP(INDEX(Upgrades!$C$3:$C$8,MATCH(SUBSTITUTE(P73,""Sell_"",""""),Upgrades!$B$3:$"&amp;"B$8,0))*1.15^(COUNTIF(P$4:P72,SUBSTITUTE(P73,""Sell_"",""""))-COUNTIF(P$4:P72,""Sell_""&amp;SUBSTITUTE(P73,""Sell_"",""""))))/4),ROUNDUP(INDEX(Upgrades!$C$3:$C$7,MATCH(P73,Upgrades!$B$3:$B$7,0))*1.15^(COUNTIF(P$4:P72,P73)-COUNTIF(P$4:P72,""Sell_""&amp;P73)))))))"),55000.0)</f>
        <v>55000</v>
      </c>
      <c r="U73" s="14">
        <f t="shared" si="10"/>
        <v>55000</v>
      </c>
      <c r="V73" s="75">
        <f t="shared" si="11"/>
        <v>5745961.461</v>
      </c>
      <c r="W73" s="76">
        <f t="shared" si="12"/>
        <v>133.6992133</v>
      </c>
      <c r="X73" s="71" t="str">
        <f t="shared" si="13"/>
        <v>2m 13s</v>
      </c>
      <c r="Y73" s="77">
        <f t="shared" si="14"/>
        <v>311483</v>
      </c>
      <c r="Z73" s="17"/>
      <c r="AA73" s="13"/>
      <c r="AB73" s="13"/>
      <c r="AC73" s="13"/>
      <c r="AD73" s="13"/>
      <c r="AE73" s="13"/>
      <c r="AF73" s="13"/>
      <c r="AG73" s="13"/>
    </row>
    <row r="74">
      <c r="A74" s="12"/>
      <c r="B74" s="65">
        <f t="shared" si="2"/>
        <v>1</v>
      </c>
      <c r="C74" s="66" t="s">
        <v>24</v>
      </c>
      <c r="D74" s="14" t="b">
        <f>IFERROR(__xludf.DUMMYFUNCTION("IF(COUNTA(C74:C147)=0,"""",IFERROR(IF(ISBLANK(C74),FALSE,IF(ISBLANK(G74),1,IF(NOT(COUNTIF($AA$24:$AA$34,SUBSTITUTE(C74,""Sell_"",""""))),1,IF(C74=""Plastic_up"",IF(I74&lt;1000,1),IF(C74=""Super_Up"",IF(OR(COUNTIF(C$4:C74,""Grandma"")-COUNTIF(C$4:C74,""Sell_G"&amp;"randma"")&lt;1,COUNTIF(C$4:C74,VLOOKUP(C74,Upgrades!$F$8:$N$8,7+COUNTIF(C$4:C74,C74)))-COUNTIF(C$4:C74,""Sell_""&amp;VLOOKUP(C74,Upgrades!$F$8:$N$8,7+COUNTIF(C$4:C74,C74)))&lt;15),1),IF(REGEXMATCH(C74,""_up""),IF(COUNTIF(C$4:C74,SUBSTITUTE(C74,""_up"",""""))&lt;IFERRO"&amp;"R(VLOOKUP(C74,Upgrades!$L$3:$P$6,1+COUNTIF(C$4:C74,C74),0),999),1),IF(REGEXMATCH(C74,""Sell_""),IF(COUNTIF(C$4:C74,SUBSTITUTE(C74,""Sell_"",""""))-COUNTIF(C$4:C73,C74)&lt;1,1),FALSE)))))))))"),FALSE)</f>
        <v>0</v>
      </c>
      <c r="E74" s="71">
        <f>IFERROR(__xludf.DUMMYFUNCTION("IF(REGEXMATCH(C74,""^Sell_""),E73, IF(COUNTA(C74:C147)=0,"""",(COUNTIF(C$4:C74,""Cursor"")-COUNTIF(C$4:C74,""Sell_Cursor""))*(0.1*2^SWITCH(COUNTIF(C$4:C74,""Cursor_up""),0,0,1,1,2,2,3)+SWITCH(COUNTIF(C$4:C74,""Cursor_up""),4,0.1,0)*(ROW(C74)-4-COUNTIF(C$4"&amp;":C74,""Cursor"")-COUNTIF(C$4:C74,""*""&amp;""_up"")-2*COUNTIF(C$4:C74,""Sell_""&amp;""*"")+COUNTIF(C$4:C74,""Sell_Cursor"")-COUNTIF(C$4:C74,"""")))+(COUNTIF(C$4:C74,""Grandma"")-COUNTIF(C$4:C74,""Sell_Grandma""))*(1*2^(COUNTIF(C$4:C74,""Grandma_up"")+COUNTIF(C$4:"&amp;"C74,""Super_up"")))+(COUNTIF(C$4:C74,""Farm"")-COUNTIF(C$4:C74,""Sell_Farm""))*(8*2^COUNTIF(C$4:C74,""Farm_up""))*IF(COUNTIF(C$4:C74,""Super_up"")&gt;0,1+0.01*(COUNTIF(C$4:C74,""Grandma"")-COUNTIF(C$4:C74,""Sell_Grandma"")),1)+(COUNTIF(C$4:C74,""Mine"")-COUN"&amp;"TIF(C$4:C74,""Sell_Mine""))*((47*2^COUNTIF(C$4:C74,""Mine_up""))*IF(COUNTIF(C$4:C74,""Super_up"")&gt;1,1+0.005*(COUNTIF(C$4:C74,""Grandma"")-COUNTIF(C$4:C74,""Sell_Grandma"")),1))+(COUNTIF(C$4:C74,""Factory"")-COUNTIF(C$4:C74,""Sell_Factory""))*(260*2^COUNTI"&amp;"F(C$4:C74,""Factory_up""))))"),970.5999999999999)</f>
        <v>970.6</v>
      </c>
      <c r="F74" s="73">
        <f>IFERROR(__xludf.DUMMYFUNCTION("IF(COUNTA(C74:C147)=0,"""",IF(REGEXMATCH(INDEX(FILTER(C$4:C74,C$4:C74&lt;&gt;""""),ROWS(FILTER(C$4:C74,C$4:C74&lt;&gt;""""))),""^Sell_""),INDEX(FILTER(F$4:F73,C$4:C73&lt;&gt;""""),ROWS(FILTER(C$4:C73,C$4:C73&lt;&gt;""""))),$AC$5*(2^SWITCH(COUNTIF(C$4:C74,""Cursor_up""),0,0,1,1,2"&amp;",2,3)+SWITCH(COUNTIF(C$4:C74,""Cursor_up""),4,0.1,0)*(ROW(C74)-4-COUNTIF(C$4:C74,""Cursor"")-COUNTIF(C$4:C74,""*""&amp;""_up"")-2*COUNTIF(C$4:C74,""Sell_""&amp;""*"")+COUNTIF(C$4:C74,""Sell_Cursor"")-COUNTIF(C$4:C74,""""))+0.01*E74*COUNTIF(C$4:C74,""Plastic_up"")"&amp;")+E74))"),4511.799999999999)</f>
        <v>4511.8</v>
      </c>
      <c r="G74" s="14">
        <f>IFERROR(__xludf.DUMMYFUNCTION("IF(COUNTA(C74:C147)=0,"""",IF(REGEXMATCH(C74,""_up""),VLOOKUP(C74,Upgrades!$F$3:$J$8,1+COUNTIF(C$4:C74,C74),FALSE),IF(C74="""",0,IF(REGEXMATCH(C74,""^Sell_""),-ROUNDDOWN(ROUNDUP(INDEX(Upgrades!$C$3:$C$8,MATCH(SUBSTITUTE(C74,""Sell_"",""""),Upgrades!$B$3:$"&amp;"B$8,0))*1.15^(COUNTIF(C$4:C73,SUBSTITUTE(C74,""Sell_"",""""))-COUNTIF(C$4:C73,""Sell_""&amp;SUBSTITUTE(C74,""Sell_"",""""))))/4),ROUNDUP(INDEX(Upgrades!$C$3:$C$7,MATCH(C74,Upgrades!$B$3:$B$7,0))*1.15^(COUNTIF(C$4:C73,C74)-COUNTIF(C$4:C73,""Sell_""&amp;C74)))))))"),55000.0)</f>
        <v>55000</v>
      </c>
      <c r="H74" s="14">
        <f t="shared" si="3"/>
        <v>55000</v>
      </c>
      <c r="I74" s="75">
        <f t="shared" si="4"/>
        <v>5393955.951</v>
      </c>
      <c r="J74" s="76">
        <f t="shared" si="5"/>
        <v>134.3294675</v>
      </c>
      <c r="K74" s="71" t="str">
        <f t="shared" si="6"/>
        <v>2m 14s</v>
      </c>
      <c r="L74" s="77">
        <f t="shared" si="7"/>
        <v>312907</v>
      </c>
      <c r="M74" s="51">
        <f t="shared" si="8"/>
        <v>-0.31179</v>
      </c>
      <c r="N74" s="52">
        <f>IFERROR(__xludf.DUMMYFUNCTION("IFS(AND(COUNTA(C74:C147)=0,COUNTA(P74:P147)=0),"""",OR(AND(L74&gt;=1000000,OR(Y74&gt;=1000000,COUNTA(P74:P147)=0)),AND(Y74&gt;=1000000,COUNTA(C74:C147)=0),AND(COUNTA(P74:P147)=0,O$3=TRUE)),
ROUNDDOWN((AB$1-AC$1)*MAX(INDEX(S$4:S147,MATCH(LARGE(FILTER(Y$4:Y147,Y$4:Y"&amp;"147&lt;1000000),1),Y$4:Y147)),INDEX(F$4:F147,MATCH(LARGE(FILTER(L$4:L147,L$4:L147&lt;1000000),1),L$4:L147)))),AND(L74&lt;1000000,COUNTA(C74:C147)&gt;0,O$3=FALSE),
ROUNDDOWN(INDEX(Y$4:Y147,MATCH(LARGE(FILTER(W$4:W147,W$4:W147&lt;=J74),1),W$4:W147))+(J74-LARGE(FILTER(W$4:"&amp;"W147,W$4:W147&lt;=J74),1))*INDEX(S$4:S147,MATCH(LARGE(FILTER(W$4:W147,W$4:W147&lt;=J74),1),W$4:W147))-L74),1,
ROUNDDOWN(Y74-INDEX(L$4:L147,MATCH(LARGE(FILTER(J$4:J147,J$4:J147&lt;=W74),1),J$4:J147))-(W74-LARGE(FILTER(J$4:J147,J$4:J147&lt;=W74),1))*INDEX(F$4:F147,MATC"&amp;"H(LARGE(FILTER(J$4:J147,J$4:J147&lt;=W74),1),J$4:J147))))"),1406.0)</f>
        <v>1406</v>
      </c>
      <c r="O74" s="65">
        <f t="shared" si="9"/>
        <v>20</v>
      </c>
      <c r="P74" s="15" t="s">
        <v>13</v>
      </c>
      <c r="Q74" s="14" t="b">
        <f>IFERROR(__xludf.DUMMYFUNCTION("IF(COUNTA(P74:P147)=0,"""",IFERROR(IF(ISBLANK(P74),FALSE,IF(ISBLANK(T74),1,IF(NOT(COUNTIF($AA$24:$AA$34,SUBSTITUTE(P74,""Sell_"",""""))),1,IF(P74=""Plastic_up"",IF(V74&lt;1000,1),IF(P74=""Super_Up"",IF(OR(COUNTIF(P$4:P74,""Grandma"")-COUNTIF(P$4:P74,""Sell_G"&amp;"randma"")&lt;1,COUNTIF(P$4:P74,VLOOKUP(P74,Upgrades!$F$8:$N$8,7+COUNTIF(P$4:P74,P74)))-COUNTIF(P$4:P74,""Sell_""&amp;VLOOKUP(P74,Upgrades!$F$8:$N$8,7+COUNTIF(P$4:P74,P74)))&lt;15),1),IF(REGEXMATCH(P74,""_up""),IF(COUNTIF(P$4:P74,SUBSTITUTE(P74,""_up"",""""))&lt;IFERRO"&amp;"R(VLOOKUP(P74,Upgrades!$L$3:$P$6,1+COUNTIF(P$4:P74,P74),0),999),1),IF(REGEXMATCH(P74,""Sell_""),IF(COUNTIF(P$4:P74,SUBSTITUTE(P74,""Sell_"",""""))-COUNTIF(P$4:P73,P74)&lt;1,1),FALSE)))))))))"),FALSE)</f>
        <v>0</v>
      </c>
      <c r="R74" s="71">
        <f>IFERROR(__xludf.DUMMYFUNCTION("IF(REGEXMATCH(P74,""^Sell_""),R73, IF(COUNTA(P74:P147)=0,"""",(COUNTIF(P$4:P74,""Cursor"")-COUNTIF(P$4:P74,""Sell_Cursor""))*(0.1*2^SWITCH(COUNTIF(P$4:P74,""Cursor_up""),0,0,1,1,2,2,3)+SWITCH(COUNTIF(P$4:P74,""Cursor_up""),4,0.1,0)*(ROW(P74)-4-COUNTIF(P$4"&amp;":P74,""Cursor"")-COUNTIF(P$4:P74,""*""&amp;""_up"")-2*COUNTIF(P$4:P74,""Sell_""&amp;""*"")+COUNTIF(P$4:P74,""Sell_Cursor"")-COUNTIF(P$4:P74,"""")))+(COUNTIF(P$4:P74,""Grandma"")-COUNTIF(P$4:P74,""Sell_Grandma""))*(1*2^(COUNTIF(P$4:P74,""Grandma_up"")+COUNTIF(P$4:"&amp;"P74,""Super_up"")))+(COUNTIF(P$4:P74,""Farm"")-COUNTIF(P$4:P74,""Sell_Farm""))*(8*2^COUNTIF(P$4:P74,""Farm_up""))*IF(COUNTIF(P$4:P74,""Super_up"")&gt;0,1+0.01*(COUNTIF(P$4:P74,""Grandma"")-COUNTIF(P$4:P74,""Sell_Grandma"")),1)+(COUNTIF(P$4:P74,""Mine"")-COUN"&amp;"TIF(P$4:P74,""Sell_Mine""))*((47*2^COUNTIF(P$4:P74,""Mine_up""))*IF(COUNTIF(P$4:P74,""Super_up"")&gt;1,1+0.005*(COUNTIF(P$4:P74,""Grandma"")-COUNTIF(P$4:P74,""Sell_Grandma"")),1))+(COUNTIF(P$4:P74,""Factory"")-COUNTIF(P$4:P74,""Sell_Factory""))*(260*2^COUNTI"&amp;"F(P$4:P74,""Factory_up""))))"),970.5999999999999)</f>
        <v>970.6</v>
      </c>
      <c r="S74" s="73">
        <f>IFERROR(__xludf.DUMMYFUNCTION("IF(COUNTA(P74:P147)=0,"""",IF(REGEXMATCH(INDEX(FILTER(P$4:P74,P$4:P74&lt;&gt;""""),ROWS(FILTER(P$4:P74,P$4:P74&lt;&gt;""""))),""^Sell_""),INDEX(FILTER(S$4:S73,P$4:P73&lt;&gt;""""),ROWS(FILTER(P$4:P73,P$4:P73&lt;&gt;""""))),$AD$5*(2^SWITCH(COUNTIF(P$4:P74,""Cursor_up""),0,0,1,1,2"&amp;",2,3)+SWITCH(COUNTIF(P$4:P74,""Cursor_up""),4,0.1,0)*(ROW(P74)-4-COUNTIF(P$4:P74,""Cursor"")-COUNTIF(P$4:P74,""*""&amp;""_up"")-2*COUNTIF(P$4:P74,""Sell_""&amp;""*"")+COUNTIF(P$4:P74,""Sell_Cursor"")-COUNTIF(P$4:P74,""""))+0.01*R74*COUNTIF(P$4:P74,""Plastic_up"")"&amp;")+R74))"),4511.799999999999)</f>
        <v>4511.8</v>
      </c>
      <c r="T74" s="14">
        <f>IFERROR(__xludf.DUMMYFUNCTION("IF(COUNTA(P74:P147)=0,"""",IF(REGEXMATCH(P74,""_up""),VLOOKUP(P74,Upgrades!$F$3:$J$8,1+COUNTIF(P$4:P74,P74),FALSE),IF(P74="""",0,IF(REGEXMATCH(P74,""^Sell_""),-ROUNDDOWN(ROUNDUP(INDEX(Upgrades!$C$3:$C$8,MATCH(SUBSTITUTE(P74,""Sell_"",""""),Upgrades!$B$3:$"&amp;"B$8,0))*1.15^(COUNTIF(P$4:P73,SUBSTITUTE(P74,""Sell_"",""""))-COUNTIF(P$4:P73,""Sell_""&amp;SUBSTITUTE(P74,""Sell_"",""""))))/4),ROUNDUP(INDEX(Upgrades!$C$3:$C$7,MATCH(P74,Upgrades!$B$3:$B$7,0))*1.15^(COUNTIF(P$4:P73,P74)-COUNTIF(P$4:P73,""Sell_""&amp;P74)))))))"),1424.0)</f>
        <v>1424</v>
      </c>
      <c r="U74" s="14">
        <f t="shared" si="10"/>
        <v>1424</v>
      </c>
      <c r="V74" s="75">
        <f t="shared" si="11"/>
        <v>6216942.46</v>
      </c>
      <c r="W74" s="76">
        <f t="shared" si="12"/>
        <v>134.0176761</v>
      </c>
      <c r="X74" s="71" t="str">
        <f t="shared" si="13"/>
        <v>2m 14s</v>
      </c>
      <c r="Y74" s="77">
        <f t="shared" si="14"/>
        <v>312907</v>
      </c>
      <c r="Z74" s="17"/>
      <c r="AA74" s="13"/>
      <c r="AB74" s="13"/>
      <c r="AC74" s="13"/>
      <c r="AD74" s="13"/>
      <c r="AE74" s="13"/>
      <c r="AF74" s="13"/>
      <c r="AG74" s="13"/>
    </row>
    <row r="75">
      <c r="A75" s="12"/>
      <c r="B75" s="65">
        <f t="shared" si="2"/>
        <v>21</v>
      </c>
      <c r="C75" s="66" t="s">
        <v>13</v>
      </c>
      <c r="D75" s="14" t="b">
        <f>IFERROR(__xludf.DUMMYFUNCTION("IF(COUNTA(C75:C147)=0,"""",IFERROR(IF(ISBLANK(C75),FALSE,IF(ISBLANK(G75),1,IF(NOT(COUNTIF($AA$24:$AA$34,SUBSTITUTE(C75,""Sell_"",""""))),1,IF(C75=""Plastic_up"",IF(I75&lt;1000,1),IF(C75=""Super_Up"",IF(OR(COUNTIF(C$4:C75,""Grandma"")-COUNTIF(C$4:C75,""Sell_G"&amp;"randma"")&lt;1,COUNTIF(C$4:C75,VLOOKUP(C75,Upgrades!$F$8:$N$8,7+COUNTIF(C$4:C75,C75)))-COUNTIF(C$4:C75,""Sell_""&amp;VLOOKUP(C75,Upgrades!$F$8:$N$8,7+COUNTIF(C$4:C75,C75)))&lt;15),1),IF(REGEXMATCH(C75,""_up""),IF(COUNTIF(C$4:C75,SUBSTITUTE(C75,""_up"",""""))&lt;IFERRO"&amp;"R(VLOOKUP(C75,Upgrades!$L$3:$P$6,1+COUNTIF(C$4:C75,C75),0),999),1),IF(REGEXMATCH(C75,""Sell_""),IF(COUNTIF(C$4:C75,SUBSTITUTE(C75,""Sell_"",""""))-COUNTIF(C$4:C74,C75)&lt;1,1),FALSE)))))))))"),FALSE)</f>
        <v>0</v>
      </c>
      <c r="E75" s="71">
        <f>IFERROR(__xludf.DUMMYFUNCTION("IF(REGEXMATCH(C75,""^Sell_""),E74, IF(COUNTA(C75:C147)=0,"""",(COUNTIF(C$4:C75,""Cursor"")-COUNTIF(C$4:C75,""Sell_Cursor""))*(0.1*2^SWITCH(COUNTIF(C$4:C75,""Cursor_up""),0,0,1,1,2,2,3)+SWITCH(COUNTIF(C$4:C75,""Cursor_up""),4,0.1,0)*(ROW(C75)-4-COUNTIF(C$4"&amp;":C75,""Cursor"")-COUNTIF(C$4:C75,""*""&amp;""_up"")-2*COUNTIF(C$4:C75,""Sell_""&amp;""*"")+COUNTIF(C$4:C75,""Sell_Cursor"")-COUNTIF(C$4:C75,"""")))+(COUNTIF(C$4:C75,""Grandma"")-COUNTIF(C$4:C75,""Sell_Grandma""))*(1*2^(COUNTIF(C$4:C75,""Grandma_up"")+COUNTIF(C$4:"&amp;"C75,""Super_up"")))+(COUNTIF(C$4:C75,""Farm"")-COUNTIF(C$4:C75,""Sell_Farm""))*(8*2^COUNTIF(C$4:C75,""Farm_up""))*IF(COUNTIF(C$4:C75,""Super_up"")&gt;0,1+0.01*(COUNTIF(C$4:C75,""Grandma"")-COUNTIF(C$4:C75,""Sell_Grandma"")),1)+(COUNTIF(C$4:C75,""Mine"")-COUN"&amp;"TIF(C$4:C75,""Sell_Mine""))*((47*2^COUNTIF(C$4:C75,""Mine_up""))*IF(COUNTIF(C$4:C75,""Super_up"")&gt;1,1+0.005*(COUNTIF(C$4:C75,""Grandma"")-COUNTIF(C$4:C75,""Sell_Grandma"")),1))+(COUNTIF(C$4:C75,""Factory"")-COUNTIF(C$4:C75,""Sell_Factory""))*(260*2^COUNTI"&amp;"F(C$4:C75,""Factory_up""))))"),984.04)</f>
        <v>984.04</v>
      </c>
      <c r="F75" s="73">
        <f>IFERROR(__xludf.DUMMYFUNCTION("IF(COUNTA(C75:C147)=0,"""",IF(REGEXMATCH(INDEX(FILTER(C$4:C75,C$4:C75&lt;&gt;""""),ROWS(FILTER(C$4:C75,C$4:C75&lt;&gt;""""))),""^Sell_""),INDEX(FILTER(F$4:F74,C$4:C74&lt;&gt;""""),ROWS(FILTER(C$4:C74,C$4:C74&lt;&gt;""""))),$AC$5*(2^SWITCH(COUNTIF(C$4:C75,""Cursor_up""),0,0,1,1,2"&amp;",2,3)+SWITCH(COUNTIF(C$4:C75,""Cursor_up""),4,0.1,0)*(ROW(C75)-4-COUNTIF(C$4:C75,""Cursor"")-COUNTIF(C$4:C75,""*""&amp;""_up"")-2*COUNTIF(C$4:C75,""Sell_""&amp;""*"")+COUNTIF(C$4:C75,""Sell_Cursor"")-COUNTIF(C$4:C75,""""))+0.01*E75*COUNTIF(C$4:C75,""Plastic_up"")"&amp;")+E75))"),4552.120000000001)</f>
        <v>4552.12</v>
      </c>
      <c r="G75" s="14">
        <f>IFERROR(__xludf.DUMMYFUNCTION("IF(COUNTA(C75:C147)=0,"""",IF(REGEXMATCH(C75,""_up""),VLOOKUP(C75,Upgrades!$F$3:$J$8,1+COUNTIF(C$4:C75,C75),FALSE),IF(C75="""",0,IF(REGEXMATCH(C75,""^Sell_""),-ROUNDDOWN(ROUNDUP(INDEX(Upgrades!$C$3:$C$8,MATCH(SUBSTITUTE(C75,""Sell_"",""""),Upgrades!$B$3:$"&amp;"B$8,0))*1.15^(COUNTIF(C$4:C74,SUBSTITUTE(C75,""Sell_"",""""))-COUNTIF(C$4:C74,""Sell_""&amp;SUBSTITUTE(C75,""Sell_"",""""))))/4),ROUNDUP(INDEX(Upgrades!$C$3:$C$7,MATCH(C75,Upgrades!$B$3:$B$7,0))*1.15^(COUNTIF(C$4:C74,C75)-COUNTIF(C$4:C74,""Sell_""&amp;C75)))))))"),1637.0)</f>
        <v>1637</v>
      </c>
      <c r="H75" s="14">
        <f t="shared" si="3"/>
        <v>1637</v>
      </c>
      <c r="I75" s="75">
        <f t="shared" si="4"/>
        <v>5870928.303</v>
      </c>
      <c r="J75" s="76">
        <f t="shared" si="5"/>
        <v>134.6922939</v>
      </c>
      <c r="K75" s="71" t="str">
        <f t="shared" si="6"/>
        <v>2m 14s</v>
      </c>
      <c r="L75" s="77">
        <f t="shared" si="7"/>
        <v>314544</v>
      </c>
      <c r="M75" s="51">
        <f t="shared" si="8"/>
        <v>-0.31179</v>
      </c>
      <c r="N75" s="52">
        <f>IFERROR(__xludf.DUMMYFUNCTION("IFS(AND(COUNTA(C75:C147)=0,COUNTA(P75:P147)=0),"""",OR(AND(L75&gt;=1000000,OR(Y75&gt;=1000000,COUNTA(P75:P147)=0)),AND(Y75&gt;=1000000,COUNTA(C75:C147)=0),AND(COUNTA(P75:P147)=0,O$3=TRUE)),
ROUNDDOWN((AB$1-AC$1)*MAX(INDEX(S$4:S147,MATCH(LARGE(FILTER(Y$4:Y147,Y$4:Y"&amp;"147&lt;1000000),1),Y$4:Y147)),INDEX(F$4:F147,MATCH(LARGE(FILTER(L$4:L147,L$4:L147&lt;1000000),1),L$4:L147)))),AND(L75&lt;1000000,COUNTA(C75:C147)&gt;0,O$3=FALSE),
ROUNDDOWN(INDEX(Y$4:Y147,MATCH(LARGE(FILTER(W$4:W147,W$4:W147&lt;=J75),1),W$4:W147))+(J75-LARGE(FILTER(W$4:"&amp;"W147,W$4:W147&lt;=J75),1))*INDEX(S$4:S147,MATCH(LARGE(FILTER(W$4:W147,W$4:W147&lt;=J75),1),W$4:W147))-L75),1,
ROUNDDOWN(Y75-INDEX(L$4:L147,MATCH(LARGE(FILTER(J$4:J147,J$4:J147&lt;=W75),1),J$4:J147))-(W75-LARGE(FILTER(J$4:J147,J$4:J147&lt;=W75),1))*INDEX(F$4:F147,MATC"&amp;"H(LARGE(FILTER(J$4:J147,J$4:J147&lt;=W75),1),J$4:J147))))"),1419.0)</f>
        <v>1419</v>
      </c>
      <c r="O75" s="65">
        <f t="shared" si="9"/>
        <v>21</v>
      </c>
      <c r="P75" s="15" t="s">
        <v>13</v>
      </c>
      <c r="Q75" s="14" t="b">
        <f>IFERROR(__xludf.DUMMYFUNCTION("IF(COUNTA(P75:P147)=0,"""",IFERROR(IF(ISBLANK(P75),FALSE,IF(ISBLANK(T75),1,IF(NOT(COUNTIF($AA$24:$AA$34,SUBSTITUTE(P75,""Sell_"",""""))),1,IF(P75=""Plastic_up"",IF(V75&lt;1000,1),IF(P75=""Super_Up"",IF(OR(COUNTIF(P$4:P75,""Grandma"")-COUNTIF(P$4:P75,""Sell_G"&amp;"randma"")&lt;1,COUNTIF(P$4:P75,VLOOKUP(P75,Upgrades!$F$8:$N$8,7+COUNTIF(P$4:P75,P75)))-COUNTIF(P$4:P75,""Sell_""&amp;VLOOKUP(P75,Upgrades!$F$8:$N$8,7+COUNTIF(P$4:P75,P75)))&lt;15),1),IF(REGEXMATCH(P75,""_up""),IF(COUNTIF(P$4:P75,SUBSTITUTE(P75,""_up"",""""))&lt;IFERRO"&amp;"R(VLOOKUP(P75,Upgrades!$L$3:$P$6,1+COUNTIF(P$4:P75,P75),0),999),1),IF(REGEXMATCH(P75,""Sell_""),IF(COUNTIF(P$4:P75,SUBSTITUTE(P75,""Sell_"",""""))-COUNTIF(P$4:P74,P75)&lt;1,1),FALSE)))))))))"),FALSE)</f>
        <v>0</v>
      </c>
      <c r="R75" s="71">
        <f>IFERROR(__xludf.DUMMYFUNCTION("IF(REGEXMATCH(P75,""^Sell_""),R74, IF(COUNTA(P75:P147)=0,"""",(COUNTIF(P$4:P75,""Cursor"")-COUNTIF(P$4:P75,""Sell_Cursor""))*(0.1*2^SWITCH(COUNTIF(P$4:P75,""Cursor_up""),0,0,1,1,2,2,3)+SWITCH(COUNTIF(P$4:P75,""Cursor_up""),4,0.1,0)*(ROW(P75)-4-COUNTIF(P$4"&amp;":P75,""Cursor"")-COUNTIF(P$4:P75,""*""&amp;""_up"")-2*COUNTIF(P$4:P75,""Sell_""&amp;""*"")+COUNTIF(P$4:P75,""Sell_Cursor"")-COUNTIF(P$4:P75,"""")))+(COUNTIF(P$4:P75,""Grandma"")-COUNTIF(P$4:P75,""Sell_Grandma""))*(1*2^(COUNTIF(P$4:P75,""Grandma_up"")+COUNTIF(P$4:"&amp;"P75,""Super_up"")))+(COUNTIF(P$4:P75,""Farm"")-COUNTIF(P$4:P75,""Sell_Farm""))*(8*2^COUNTIF(P$4:P75,""Farm_up""))*IF(COUNTIF(P$4:P75,""Super_up"")&gt;0,1+0.01*(COUNTIF(P$4:P75,""Grandma"")-COUNTIF(P$4:P75,""Sell_Grandma"")),1)+(COUNTIF(P$4:P75,""Mine"")-COUN"&amp;"TIF(P$4:P75,""Sell_Mine""))*((47*2^COUNTIF(P$4:P75,""Mine_up""))*IF(COUNTIF(P$4:P75,""Super_up"")&gt;1,1+0.005*(COUNTIF(P$4:P75,""Grandma"")-COUNTIF(P$4:P75,""Sell_Grandma"")),1))+(COUNTIF(P$4:P75,""Factory"")-COUNTIF(P$4:P75,""Sell_Factory""))*(260*2^COUNTI"&amp;"F(P$4:P75,""Factory_up""))))"),984.04)</f>
        <v>984.04</v>
      </c>
      <c r="S75" s="73">
        <f>IFERROR(__xludf.DUMMYFUNCTION("IF(COUNTA(P75:P147)=0,"""",IF(REGEXMATCH(INDEX(FILTER(P$4:P75,P$4:P75&lt;&gt;""""),ROWS(FILTER(P$4:P75,P$4:P75&lt;&gt;""""))),""^Sell_""),INDEX(FILTER(S$4:S74,P$4:P74&lt;&gt;""""),ROWS(FILTER(P$4:P74,P$4:P74&lt;&gt;""""))),$AD$5*(2^SWITCH(COUNTIF(P$4:P75,""Cursor_up""),0,0,1,1,2"&amp;",2,3)+SWITCH(COUNTIF(P$4:P75,""Cursor_up""),4,0.1,0)*(ROW(P75)-4-COUNTIF(P$4:P75,""Cursor"")-COUNTIF(P$4:P75,""*""&amp;""_up"")-2*COUNTIF(P$4:P75,""Sell_""&amp;""*"")+COUNTIF(P$4:P75,""Sell_Cursor"")-COUNTIF(P$4:P75,""""))+0.01*R75*COUNTIF(P$4:P75,""Plastic_up"")"&amp;")+R75))"),4552.120000000001)</f>
        <v>4552.12</v>
      </c>
      <c r="T75" s="14">
        <f>IFERROR(__xludf.DUMMYFUNCTION("IF(COUNTA(P75:P147)=0,"""",IF(REGEXMATCH(P75,""_up""),VLOOKUP(P75,Upgrades!$F$3:$J$8,1+COUNTIF(P$4:P75,P75),FALSE),IF(P75="""",0,IF(REGEXMATCH(P75,""^Sell_""),-ROUNDDOWN(ROUNDUP(INDEX(Upgrades!$C$3:$C$8,MATCH(SUBSTITUTE(P75,""Sell_"",""""),Upgrades!$B$3:$"&amp;"B$8,0))*1.15^(COUNTIF(P$4:P74,SUBSTITUTE(P75,""Sell_"",""""))-COUNTIF(P$4:P74,""Sell_""&amp;SUBSTITUTE(P75,""Sell_"",""""))))/4),ROUNDUP(INDEX(Upgrades!$C$3:$C$7,MATCH(P75,Upgrades!$B$3:$B$7,0))*1.15^(COUNTIF(P$4:P74,P75)-COUNTIF(P$4:P74,""Sell_""&amp;P75)))))))"),1637.0)</f>
        <v>1637</v>
      </c>
      <c r="U75" s="14">
        <f t="shared" si="10"/>
        <v>1637</v>
      </c>
      <c r="V75" s="75">
        <f t="shared" si="11"/>
        <v>6692810.696</v>
      </c>
      <c r="W75" s="76">
        <f t="shared" si="12"/>
        <v>134.3805024</v>
      </c>
      <c r="X75" s="71" t="str">
        <f t="shared" si="13"/>
        <v>2m 14s</v>
      </c>
      <c r="Y75" s="77">
        <f t="shared" si="14"/>
        <v>314544</v>
      </c>
      <c r="Z75" s="17"/>
      <c r="AA75" s="13"/>
      <c r="AB75" s="13"/>
      <c r="AC75" s="13"/>
      <c r="AD75" s="13"/>
      <c r="AE75" s="13"/>
      <c r="AF75" s="13"/>
      <c r="AG75" s="13"/>
    </row>
    <row r="76">
      <c r="A76" s="12"/>
      <c r="B76" s="65">
        <f t="shared" si="2"/>
        <v>22</v>
      </c>
      <c r="C76" s="66" t="s">
        <v>13</v>
      </c>
      <c r="D76" s="14" t="b">
        <f>IFERROR(__xludf.DUMMYFUNCTION("IF(COUNTA(C76:C147)=0,"""",IFERROR(IF(ISBLANK(C76),FALSE,IF(ISBLANK(G76),1,IF(NOT(COUNTIF($AA$24:$AA$34,SUBSTITUTE(C76,""Sell_"",""""))),1,IF(C76=""Plastic_up"",IF(I76&lt;1000,1),IF(C76=""Super_Up"",IF(OR(COUNTIF(C$4:C76,""Grandma"")-COUNTIF(C$4:C76,""Sell_G"&amp;"randma"")&lt;1,COUNTIF(C$4:C76,VLOOKUP(C76,Upgrades!$F$8:$N$8,7+COUNTIF(C$4:C76,C76)))-COUNTIF(C$4:C76,""Sell_""&amp;VLOOKUP(C76,Upgrades!$F$8:$N$8,7+COUNTIF(C$4:C76,C76)))&lt;15),1),IF(REGEXMATCH(C76,""_up""),IF(COUNTIF(C$4:C76,SUBSTITUTE(C76,""_up"",""""))&lt;IFERRO"&amp;"R(VLOOKUP(C76,Upgrades!$L$3:$P$6,1+COUNTIF(C$4:C76,C76),0),999),1),IF(REGEXMATCH(C76,""Sell_""),IF(COUNTIF(C$4:C76,SUBSTITUTE(C76,""Sell_"",""""))-COUNTIF(C$4:C75,C76)&lt;1,1),FALSE)))))))))"),FALSE)</f>
        <v>0</v>
      </c>
      <c r="E76" s="71">
        <f>IFERROR(__xludf.DUMMYFUNCTION("IF(REGEXMATCH(C76,""^Sell_""),E75, IF(COUNTA(C76:C147)=0,"""",(COUNTIF(C$4:C76,""Cursor"")-COUNTIF(C$4:C76,""Sell_Cursor""))*(0.1*2^SWITCH(COUNTIF(C$4:C76,""Cursor_up""),0,0,1,1,2,2,3)+SWITCH(COUNTIF(C$4:C76,""Cursor_up""),4,0.1,0)*(ROW(C76)-4-COUNTIF(C$4"&amp;":C76,""Cursor"")-COUNTIF(C$4:C76,""*""&amp;""_up"")-2*COUNTIF(C$4:C76,""Sell_""&amp;""*"")+COUNTIF(C$4:C76,""Sell_Cursor"")-COUNTIF(C$4:C76,"""")))+(COUNTIF(C$4:C76,""Grandma"")-COUNTIF(C$4:C76,""Sell_Grandma""))*(1*2^(COUNTIF(C$4:C76,""Grandma_up"")+COUNTIF(C$4:"&amp;"C76,""Super_up"")))+(COUNTIF(C$4:C76,""Farm"")-COUNTIF(C$4:C76,""Sell_Farm""))*(8*2^COUNTIF(C$4:C76,""Farm_up""))*IF(COUNTIF(C$4:C76,""Super_up"")&gt;0,1+0.01*(COUNTIF(C$4:C76,""Grandma"")-COUNTIF(C$4:C76,""Sell_Grandma"")),1)+(COUNTIF(C$4:C76,""Mine"")-COUN"&amp;"TIF(C$4:C76,""Sell_Mine""))*((47*2^COUNTIF(C$4:C76,""Mine_up""))*IF(COUNTIF(C$4:C76,""Super_up"")&gt;1,1+0.005*(COUNTIF(C$4:C76,""Grandma"")-COUNTIF(C$4:C76,""Sell_Grandma"")),1))+(COUNTIF(C$4:C76,""Factory"")-COUNTIF(C$4:C76,""Sell_Factory""))*(260*2^COUNTI"&amp;"F(C$4:C76,""Factory_up""))))"),997.48)</f>
        <v>997.48</v>
      </c>
      <c r="F76" s="73">
        <f>IFERROR(__xludf.DUMMYFUNCTION("IF(COUNTA(C76:C147)=0,"""",IF(REGEXMATCH(INDEX(FILTER(C$4:C76,C$4:C76&lt;&gt;""""),ROWS(FILTER(C$4:C76,C$4:C76&lt;&gt;""""))),""^Sell_""),INDEX(FILTER(F$4:F75,C$4:C75&lt;&gt;""""),ROWS(FILTER(C$4:C75,C$4:C75&lt;&gt;""""))),$AC$5*(2^SWITCH(COUNTIF(C$4:C76,""Cursor_up""),0,0,1,1,2"&amp;",2,3)+SWITCH(COUNTIF(C$4:C76,""Cursor_up""),4,0.1,0)*(ROW(C76)-4-COUNTIF(C$4:C76,""Cursor"")-COUNTIF(C$4:C76,""*""&amp;""_up"")-2*COUNTIF(C$4:C76,""Sell_""&amp;""*"")+COUNTIF(C$4:C76,""Sell_Cursor"")-COUNTIF(C$4:C76,""""))+0.01*E76*COUNTIF(C$4:C76,""Plastic_up"")"&amp;")+E76))"),4592.4400000000005)</f>
        <v>4592.44</v>
      </c>
      <c r="G76" s="14">
        <f>IFERROR(__xludf.DUMMYFUNCTION("IF(COUNTA(C76:C147)=0,"""",IF(REGEXMATCH(C76,""_up""),VLOOKUP(C76,Upgrades!$F$3:$J$8,1+COUNTIF(C$4:C76,C76),FALSE),IF(C76="""",0,IF(REGEXMATCH(C76,""^Sell_""),-ROUNDDOWN(ROUNDUP(INDEX(Upgrades!$C$3:$C$8,MATCH(SUBSTITUTE(C76,""Sell_"",""""),Upgrades!$B$3:$"&amp;"B$8,0))*1.15^(COUNTIF(C$4:C75,SUBSTITUTE(C76,""Sell_"",""""))-COUNTIF(C$4:C75,""Sell_""&amp;SUBSTITUTE(C76,""Sell_"",""""))))/4),ROUNDUP(INDEX(Upgrades!$C$3:$C$7,MATCH(C76,Upgrades!$B$3:$B$7,0))*1.15^(COUNTIF(C$4:C75,C76)-COUNTIF(C$4:C75,""Sell_""&amp;C76)))))))"),1883.0)</f>
        <v>1883</v>
      </c>
      <c r="H76" s="14">
        <f t="shared" si="3"/>
        <v>1883</v>
      </c>
      <c r="I76" s="75">
        <f t="shared" si="4"/>
        <v>6352997.131</v>
      </c>
      <c r="J76" s="76">
        <f t="shared" si="5"/>
        <v>135.1059473</v>
      </c>
      <c r="K76" s="71" t="str">
        <f t="shared" si="6"/>
        <v>2m 15s</v>
      </c>
      <c r="L76" s="77">
        <f t="shared" si="7"/>
        <v>316427</v>
      </c>
      <c r="M76" s="51">
        <f t="shared" si="8"/>
        <v>-0.31179</v>
      </c>
      <c r="N76" s="52">
        <f>IFERROR(__xludf.DUMMYFUNCTION("IFS(AND(COUNTA(C76:C147)=0,COUNTA(P76:P147)=0),"""",OR(AND(L76&gt;=1000000,OR(Y76&gt;=1000000,COUNTA(P76:P147)=0)),AND(Y76&gt;=1000000,COUNTA(C76:C147)=0),AND(COUNTA(P76:P147)=0,O$3=TRUE)),
ROUNDDOWN((AB$1-AC$1)*MAX(INDEX(S$4:S147,MATCH(LARGE(FILTER(Y$4:Y147,Y$4:Y"&amp;"147&lt;1000000),1),Y$4:Y147)),INDEX(F$4:F147,MATCH(LARGE(FILTER(L$4:L147,L$4:L147&lt;1000000),1),L$4:L147)))),AND(L76&lt;1000000,COUNTA(C76:C147)&gt;0,O$3=FALSE),
ROUNDDOWN(INDEX(Y$4:Y147,MATCH(LARGE(FILTER(W$4:W147,W$4:W147&lt;=J76),1),W$4:W147))+(J76-LARGE(FILTER(W$4:"&amp;"W147,W$4:W147&lt;=J76),1))*INDEX(S$4:S147,MATCH(LARGE(FILTER(W$4:W147,W$4:W147&lt;=J76),1),W$4:W147))-L76),1,
ROUNDDOWN(Y76-INDEX(L$4:L147,MATCH(LARGE(FILTER(J$4:J147,J$4:J147&lt;=W76),1),J$4:J147))-(W76-LARGE(FILTER(J$4:J147,J$4:J147&lt;=W76),1))*INDEX(F$4:F147,MATC"&amp;"H(LARGE(FILTER(J$4:J147,J$4:J147&lt;=W76),1),J$4:J147))))"),1431.0)</f>
        <v>1431</v>
      </c>
      <c r="O76" s="65">
        <f t="shared" si="9"/>
        <v>22</v>
      </c>
      <c r="P76" s="15" t="s">
        <v>13</v>
      </c>
      <c r="Q76" s="14" t="b">
        <f>IFERROR(__xludf.DUMMYFUNCTION("IF(COUNTA(P76:P147)=0,"""",IFERROR(IF(ISBLANK(P76),FALSE,IF(ISBLANK(T76),1,IF(NOT(COUNTIF($AA$24:$AA$34,SUBSTITUTE(P76,""Sell_"",""""))),1,IF(P76=""Plastic_up"",IF(V76&lt;1000,1),IF(P76=""Super_Up"",IF(OR(COUNTIF(P$4:P76,""Grandma"")-COUNTIF(P$4:P76,""Sell_G"&amp;"randma"")&lt;1,COUNTIF(P$4:P76,VLOOKUP(P76,Upgrades!$F$8:$N$8,7+COUNTIF(P$4:P76,P76)))-COUNTIF(P$4:P76,""Sell_""&amp;VLOOKUP(P76,Upgrades!$F$8:$N$8,7+COUNTIF(P$4:P76,P76)))&lt;15),1),IF(REGEXMATCH(P76,""_up""),IF(COUNTIF(P$4:P76,SUBSTITUTE(P76,""_up"",""""))&lt;IFERRO"&amp;"R(VLOOKUP(P76,Upgrades!$L$3:$P$6,1+COUNTIF(P$4:P76,P76),0),999),1),IF(REGEXMATCH(P76,""Sell_""),IF(COUNTIF(P$4:P76,SUBSTITUTE(P76,""Sell_"",""""))-COUNTIF(P$4:P75,P76)&lt;1,1),FALSE)))))))))"),FALSE)</f>
        <v>0</v>
      </c>
      <c r="R76" s="71">
        <f>IFERROR(__xludf.DUMMYFUNCTION("IF(REGEXMATCH(P76,""^Sell_""),R75, IF(COUNTA(P76:P147)=0,"""",(COUNTIF(P$4:P76,""Cursor"")-COUNTIF(P$4:P76,""Sell_Cursor""))*(0.1*2^SWITCH(COUNTIF(P$4:P76,""Cursor_up""),0,0,1,1,2,2,3)+SWITCH(COUNTIF(P$4:P76,""Cursor_up""),4,0.1,0)*(ROW(P76)-4-COUNTIF(P$4"&amp;":P76,""Cursor"")-COUNTIF(P$4:P76,""*""&amp;""_up"")-2*COUNTIF(P$4:P76,""Sell_""&amp;""*"")+COUNTIF(P$4:P76,""Sell_Cursor"")-COUNTIF(P$4:P76,"""")))+(COUNTIF(P$4:P76,""Grandma"")-COUNTIF(P$4:P76,""Sell_Grandma""))*(1*2^(COUNTIF(P$4:P76,""Grandma_up"")+COUNTIF(P$4:"&amp;"P76,""Super_up"")))+(COUNTIF(P$4:P76,""Farm"")-COUNTIF(P$4:P76,""Sell_Farm""))*(8*2^COUNTIF(P$4:P76,""Farm_up""))*IF(COUNTIF(P$4:P76,""Super_up"")&gt;0,1+0.01*(COUNTIF(P$4:P76,""Grandma"")-COUNTIF(P$4:P76,""Sell_Grandma"")),1)+(COUNTIF(P$4:P76,""Mine"")-COUN"&amp;"TIF(P$4:P76,""Sell_Mine""))*((47*2^COUNTIF(P$4:P76,""Mine_up""))*IF(COUNTIF(P$4:P76,""Super_up"")&gt;1,1+0.005*(COUNTIF(P$4:P76,""Grandma"")-COUNTIF(P$4:P76,""Sell_Grandma"")),1))+(COUNTIF(P$4:P76,""Factory"")-COUNTIF(P$4:P76,""Sell_Factory""))*(260*2^COUNTI"&amp;"F(P$4:P76,""Factory_up""))))"),997.48)</f>
        <v>997.48</v>
      </c>
      <c r="S76" s="73">
        <f>IFERROR(__xludf.DUMMYFUNCTION("IF(COUNTA(P76:P147)=0,"""",IF(REGEXMATCH(INDEX(FILTER(P$4:P76,P$4:P76&lt;&gt;""""),ROWS(FILTER(P$4:P76,P$4:P76&lt;&gt;""""))),""^Sell_""),INDEX(FILTER(S$4:S75,P$4:P75&lt;&gt;""""),ROWS(FILTER(P$4:P75,P$4:P75&lt;&gt;""""))),$AD$5*(2^SWITCH(COUNTIF(P$4:P76,""Cursor_up""),0,0,1,1,2"&amp;",2,3)+SWITCH(COUNTIF(P$4:P76,""Cursor_up""),4,0.1,0)*(ROW(P76)-4-COUNTIF(P$4:P76,""Cursor"")-COUNTIF(P$4:P76,""*""&amp;""_up"")-2*COUNTIF(P$4:P76,""Sell_""&amp;""*"")+COUNTIF(P$4:P76,""Sell_Cursor"")-COUNTIF(P$4:P76,""""))+0.01*R76*COUNTIF(P$4:P76,""Plastic_up"")"&amp;")+R76))"),4592.4400000000005)</f>
        <v>4592.44</v>
      </c>
      <c r="T76" s="14">
        <f>IFERROR(__xludf.DUMMYFUNCTION("IF(COUNTA(P76:P147)=0,"""",IF(REGEXMATCH(P76,""_up""),VLOOKUP(P76,Upgrades!$F$3:$J$8,1+COUNTIF(P$4:P76,P76),FALSE),IF(P76="""",0,IF(REGEXMATCH(P76,""^Sell_""),-ROUNDDOWN(ROUNDUP(INDEX(Upgrades!$C$3:$C$8,MATCH(SUBSTITUTE(P76,""Sell_"",""""),Upgrades!$B$3:$"&amp;"B$8,0))*1.15^(COUNTIF(P$4:P75,SUBSTITUTE(P76,""Sell_"",""""))-COUNTIF(P$4:P75,""Sell_""&amp;SUBSTITUTE(P76,""Sell_"",""""))))/4),ROUNDUP(INDEX(Upgrades!$C$3:$C$7,MATCH(P76,Upgrades!$B$3:$B$7,0))*1.15^(COUNTIF(P$4:P75,P76)-COUNTIF(P$4:P75,""Sell_""&amp;P76)))))))"),1883.0)</f>
        <v>1883</v>
      </c>
      <c r="U76" s="14">
        <f t="shared" si="10"/>
        <v>1883</v>
      </c>
      <c r="V76" s="75">
        <f t="shared" si="11"/>
        <v>7173767.027</v>
      </c>
      <c r="W76" s="76">
        <f t="shared" si="12"/>
        <v>134.7941558</v>
      </c>
      <c r="X76" s="71" t="str">
        <f t="shared" si="13"/>
        <v>2m 14s</v>
      </c>
      <c r="Y76" s="77">
        <f t="shared" si="14"/>
        <v>316427</v>
      </c>
      <c r="Z76" s="17"/>
      <c r="AA76" s="13"/>
      <c r="AB76" s="13"/>
      <c r="AC76" s="13"/>
      <c r="AD76" s="13"/>
      <c r="AE76" s="13"/>
      <c r="AF76" s="13"/>
      <c r="AG76" s="13"/>
    </row>
    <row r="77">
      <c r="A77" s="12"/>
      <c r="B77" s="65">
        <f t="shared" si="2"/>
        <v>23</v>
      </c>
      <c r="C77" s="66" t="s">
        <v>13</v>
      </c>
      <c r="D77" s="14" t="b">
        <f>IFERROR(__xludf.DUMMYFUNCTION("IF(COUNTA(C77:C147)=0,"""",IFERROR(IF(ISBLANK(C77),FALSE,IF(ISBLANK(G77),1,IF(NOT(COUNTIF($AA$24:$AA$34,SUBSTITUTE(C77,""Sell_"",""""))),1,IF(C77=""Plastic_up"",IF(I77&lt;1000,1),IF(C77=""Super_Up"",IF(OR(COUNTIF(C$4:C77,""Grandma"")-COUNTIF(C$4:C77,""Sell_G"&amp;"randma"")&lt;1,COUNTIF(C$4:C77,VLOOKUP(C77,Upgrades!$F$8:$N$8,7+COUNTIF(C$4:C77,C77)))-COUNTIF(C$4:C77,""Sell_""&amp;VLOOKUP(C77,Upgrades!$F$8:$N$8,7+COUNTIF(C$4:C77,C77)))&lt;15),1),IF(REGEXMATCH(C77,""_up""),IF(COUNTIF(C$4:C77,SUBSTITUTE(C77,""_up"",""""))&lt;IFERRO"&amp;"R(VLOOKUP(C77,Upgrades!$L$3:$P$6,1+COUNTIF(C$4:C77,C77),0),999),1),IF(REGEXMATCH(C77,""Sell_""),IF(COUNTIF(C$4:C77,SUBSTITUTE(C77,""Sell_"",""""))-COUNTIF(C$4:C76,C77)&lt;1,1),FALSE)))))))))"),FALSE)</f>
        <v>0</v>
      </c>
      <c r="E77" s="71">
        <f>IFERROR(__xludf.DUMMYFUNCTION("IF(REGEXMATCH(C77,""^Sell_""),E76, IF(COUNTA(C77:C147)=0,"""",(COUNTIF(C$4:C77,""Cursor"")-COUNTIF(C$4:C77,""Sell_Cursor""))*(0.1*2^SWITCH(COUNTIF(C$4:C77,""Cursor_up""),0,0,1,1,2,2,3)+SWITCH(COUNTIF(C$4:C77,""Cursor_up""),4,0.1,0)*(ROW(C77)-4-COUNTIF(C$4"&amp;":C77,""Cursor"")-COUNTIF(C$4:C77,""*""&amp;""_up"")-2*COUNTIF(C$4:C77,""Sell_""&amp;""*"")+COUNTIF(C$4:C77,""Sell_Cursor"")-COUNTIF(C$4:C77,"""")))+(COUNTIF(C$4:C77,""Grandma"")-COUNTIF(C$4:C77,""Sell_Grandma""))*(1*2^(COUNTIF(C$4:C77,""Grandma_up"")+COUNTIF(C$4:"&amp;"C77,""Super_up"")))+(COUNTIF(C$4:C77,""Farm"")-COUNTIF(C$4:C77,""Sell_Farm""))*(8*2^COUNTIF(C$4:C77,""Farm_up""))*IF(COUNTIF(C$4:C77,""Super_up"")&gt;0,1+0.01*(COUNTIF(C$4:C77,""Grandma"")-COUNTIF(C$4:C77,""Sell_Grandma"")),1)+(COUNTIF(C$4:C77,""Mine"")-COUN"&amp;"TIF(C$4:C77,""Sell_Mine""))*((47*2^COUNTIF(C$4:C77,""Mine_up""))*IF(COUNTIF(C$4:C77,""Super_up"")&gt;1,1+0.005*(COUNTIF(C$4:C77,""Grandma"")-COUNTIF(C$4:C77,""Sell_Grandma"")),1))+(COUNTIF(C$4:C77,""Factory"")-COUNTIF(C$4:C77,""Sell_Factory""))*(260*2^COUNTI"&amp;"F(C$4:C77,""Factory_up""))))"),1010.9200000000001)</f>
        <v>1010.92</v>
      </c>
      <c r="F77" s="73">
        <f>IFERROR(__xludf.DUMMYFUNCTION("IF(COUNTA(C77:C147)=0,"""",IF(REGEXMATCH(INDEX(FILTER(C$4:C77,C$4:C77&lt;&gt;""""),ROWS(FILTER(C$4:C77,C$4:C77&lt;&gt;""""))),""^Sell_""),INDEX(FILTER(F$4:F76,C$4:C76&lt;&gt;""""),ROWS(FILTER(C$4:C76,C$4:C76&lt;&gt;""""))),$AC$5*(2^SWITCH(COUNTIF(C$4:C77,""Cursor_up""),0,0,1,1,2"&amp;",2,3)+SWITCH(COUNTIF(C$4:C77,""Cursor_up""),4,0.1,0)*(ROW(C77)-4-COUNTIF(C$4:C77,""Cursor"")-COUNTIF(C$4:C77,""*""&amp;""_up"")-2*COUNTIF(C$4:C77,""Sell_""&amp;""*"")+COUNTIF(C$4:C77,""Sell_Cursor"")-COUNTIF(C$4:C77,""""))+0.01*E77*COUNTIF(C$4:C77,""Plastic_up"")"&amp;")+E77))"),4632.76)</f>
        <v>4632.76</v>
      </c>
      <c r="G77" s="14">
        <f>IFERROR(__xludf.DUMMYFUNCTION("IF(COUNTA(C77:C147)=0,"""",IF(REGEXMATCH(C77,""_up""),VLOOKUP(C77,Upgrades!$F$3:$J$8,1+COUNTIF(C$4:C77,C77),FALSE),IF(C77="""",0,IF(REGEXMATCH(C77,""^Sell_""),-ROUNDDOWN(ROUNDUP(INDEX(Upgrades!$C$3:$C$8,MATCH(SUBSTITUTE(C77,""Sell_"",""""),Upgrades!$B$3:$"&amp;"B$8,0))*1.15^(COUNTIF(C$4:C76,SUBSTITUTE(C77,""Sell_"",""""))-COUNTIF(C$4:C76,""Sell_""&amp;SUBSTITUTE(C77,""Sell_"",""""))))/4),ROUNDUP(INDEX(Upgrades!$C$3:$C$7,MATCH(C77,Upgrades!$B$3:$B$7,0))*1.15^(COUNTIF(C$4:C76,C77)-COUNTIF(C$4:C76,""Sell_""&amp;C77)))))))"),2165.0)</f>
        <v>2165</v>
      </c>
      <c r="H77" s="14">
        <f t="shared" si="3"/>
        <v>2165</v>
      </c>
      <c r="I77" s="75">
        <f t="shared" si="4"/>
        <v>6840392.368</v>
      </c>
      <c r="J77" s="76">
        <f t="shared" si="5"/>
        <v>135.5773743</v>
      </c>
      <c r="K77" s="71" t="str">
        <f t="shared" si="6"/>
        <v>2m 15s</v>
      </c>
      <c r="L77" s="77">
        <f t="shared" si="7"/>
        <v>318592</v>
      </c>
      <c r="M77" s="51">
        <f t="shared" si="8"/>
        <v>-0.31179</v>
      </c>
      <c r="N77" s="52">
        <f>IFERROR(__xludf.DUMMYFUNCTION("IFS(AND(COUNTA(C77:C147)=0,COUNTA(P77:P147)=0),"""",OR(AND(L77&gt;=1000000,OR(Y77&gt;=1000000,COUNTA(P77:P147)=0)),AND(Y77&gt;=1000000,COUNTA(C77:C147)=0),AND(COUNTA(P77:P147)=0,O$3=TRUE)),
ROUNDDOWN((AB$1-AC$1)*MAX(INDEX(S$4:S147,MATCH(LARGE(FILTER(Y$4:Y147,Y$4:Y"&amp;"147&lt;1000000),1),Y$4:Y147)),INDEX(F$4:F147,MATCH(LARGE(FILTER(L$4:L147,L$4:L147&lt;1000000),1),L$4:L147)))),AND(L77&lt;1000000,COUNTA(C77:C147)&gt;0,O$3=FALSE),
ROUNDDOWN(INDEX(Y$4:Y147,MATCH(LARGE(FILTER(W$4:W147,W$4:W147&lt;=J77),1),W$4:W147))+(J77-LARGE(FILTER(W$4:"&amp;"W147,W$4:W147&lt;=J77),1))*INDEX(S$4:S147,MATCH(LARGE(FILTER(W$4:W147,W$4:W147&lt;=J77),1),W$4:W147))-L77),1,
ROUNDDOWN(Y77-INDEX(L$4:L147,MATCH(LARGE(FILTER(J$4:J147,J$4:J147&lt;=W77),1),J$4:J147))-(W77-LARGE(FILTER(J$4:J147,J$4:J147&lt;=W77),1))*INDEX(F$4:F147,MATC"&amp;"H(LARGE(FILTER(J$4:J147,J$4:J147&lt;=W77),1),J$4:J147))))"),1444.0)</f>
        <v>1444</v>
      </c>
      <c r="O77" s="65">
        <f t="shared" si="9"/>
        <v>23</v>
      </c>
      <c r="P77" s="15" t="s">
        <v>13</v>
      </c>
      <c r="Q77" s="14" t="b">
        <f>IFERROR(__xludf.DUMMYFUNCTION("IF(COUNTA(P77:P147)=0,"""",IFERROR(IF(ISBLANK(P77),FALSE,IF(ISBLANK(T77),1,IF(NOT(COUNTIF($AA$24:$AA$34,SUBSTITUTE(P77,""Sell_"",""""))),1,IF(P77=""Plastic_up"",IF(V77&lt;1000,1),IF(P77=""Super_Up"",IF(OR(COUNTIF(P$4:P77,""Grandma"")-COUNTIF(P$4:P77,""Sell_G"&amp;"randma"")&lt;1,COUNTIF(P$4:P77,VLOOKUP(P77,Upgrades!$F$8:$N$8,7+COUNTIF(P$4:P77,P77)))-COUNTIF(P$4:P77,""Sell_""&amp;VLOOKUP(P77,Upgrades!$F$8:$N$8,7+COUNTIF(P$4:P77,P77)))&lt;15),1),IF(REGEXMATCH(P77,""_up""),IF(COUNTIF(P$4:P77,SUBSTITUTE(P77,""_up"",""""))&lt;IFERRO"&amp;"R(VLOOKUP(P77,Upgrades!$L$3:$P$6,1+COUNTIF(P$4:P77,P77),0),999),1),IF(REGEXMATCH(P77,""Sell_""),IF(COUNTIF(P$4:P77,SUBSTITUTE(P77,""Sell_"",""""))-COUNTIF(P$4:P76,P77)&lt;1,1),FALSE)))))))))"),FALSE)</f>
        <v>0</v>
      </c>
      <c r="R77" s="71">
        <f>IFERROR(__xludf.DUMMYFUNCTION("IF(REGEXMATCH(P77,""^Sell_""),R76, IF(COUNTA(P77:P147)=0,"""",(COUNTIF(P$4:P77,""Cursor"")-COUNTIF(P$4:P77,""Sell_Cursor""))*(0.1*2^SWITCH(COUNTIF(P$4:P77,""Cursor_up""),0,0,1,1,2,2,3)+SWITCH(COUNTIF(P$4:P77,""Cursor_up""),4,0.1,0)*(ROW(P77)-4-COUNTIF(P$4"&amp;":P77,""Cursor"")-COUNTIF(P$4:P77,""*""&amp;""_up"")-2*COUNTIF(P$4:P77,""Sell_""&amp;""*"")+COUNTIF(P$4:P77,""Sell_Cursor"")-COUNTIF(P$4:P77,"""")))+(COUNTIF(P$4:P77,""Grandma"")-COUNTIF(P$4:P77,""Sell_Grandma""))*(1*2^(COUNTIF(P$4:P77,""Grandma_up"")+COUNTIF(P$4:"&amp;"P77,""Super_up"")))+(COUNTIF(P$4:P77,""Farm"")-COUNTIF(P$4:P77,""Sell_Farm""))*(8*2^COUNTIF(P$4:P77,""Farm_up""))*IF(COUNTIF(P$4:P77,""Super_up"")&gt;0,1+0.01*(COUNTIF(P$4:P77,""Grandma"")-COUNTIF(P$4:P77,""Sell_Grandma"")),1)+(COUNTIF(P$4:P77,""Mine"")-COUN"&amp;"TIF(P$4:P77,""Sell_Mine""))*((47*2^COUNTIF(P$4:P77,""Mine_up""))*IF(COUNTIF(P$4:P77,""Super_up"")&gt;1,1+0.005*(COUNTIF(P$4:P77,""Grandma"")-COUNTIF(P$4:P77,""Sell_Grandma"")),1))+(COUNTIF(P$4:P77,""Factory"")-COUNTIF(P$4:P77,""Sell_Factory""))*(260*2^COUNTI"&amp;"F(P$4:P77,""Factory_up""))))"),1010.9200000000001)</f>
        <v>1010.92</v>
      </c>
      <c r="S77" s="73">
        <f>IFERROR(__xludf.DUMMYFUNCTION("IF(COUNTA(P77:P147)=0,"""",IF(REGEXMATCH(INDEX(FILTER(P$4:P77,P$4:P77&lt;&gt;""""),ROWS(FILTER(P$4:P77,P$4:P77&lt;&gt;""""))),""^Sell_""),INDEX(FILTER(S$4:S76,P$4:P76&lt;&gt;""""),ROWS(FILTER(P$4:P76,P$4:P76&lt;&gt;""""))),$AD$5*(2^SWITCH(COUNTIF(P$4:P77,""Cursor_up""),0,0,1,1,2"&amp;",2,3)+SWITCH(COUNTIF(P$4:P77,""Cursor_up""),4,0.1,0)*(ROW(P77)-4-COUNTIF(P$4:P77,""Cursor"")-COUNTIF(P$4:P77,""*""&amp;""_up"")-2*COUNTIF(P$4:P77,""Sell_""&amp;""*"")+COUNTIF(P$4:P77,""Sell_Cursor"")-COUNTIF(P$4:P77,""""))+0.01*R77*COUNTIF(P$4:P77,""Plastic_up"")"&amp;")+R77))"),4632.76)</f>
        <v>4632.76</v>
      </c>
      <c r="T77" s="14">
        <f>IFERROR(__xludf.DUMMYFUNCTION("IF(COUNTA(P77:P147)=0,"""",IF(REGEXMATCH(P77,""_up""),VLOOKUP(P77,Upgrades!$F$3:$J$8,1+COUNTIF(P$4:P77,P77),FALSE),IF(P77="""",0,IF(REGEXMATCH(P77,""^Sell_""),-ROUNDDOWN(ROUNDUP(INDEX(Upgrades!$C$3:$C$8,MATCH(SUBSTITUTE(P77,""Sell_"",""""),Upgrades!$B$3:$"&amp;"B$8,0))*1.15^(COUNTIF(P$4:P76,SUBSTITUTE(P77,""Sell_"",""""))-COUNTIF(P$4:P76,""Sell_""&amp;SUBSTITUTE(P77,""Sell_"",""""))))/4),ROUNDUP(INDEX(Upgrades!$C$3:$C$7,MATCH(P77,Upgrades!$B$3:$B$7,0))*1.15^(COUNTIF(P$4:P76,P77)-COUNTIF(P$4:P76,""Sell_""&amp;P77)))))))"),2165.0)</f>
        <v>2165</v>
      </c>
      <c r="U77" s="14">
        <f t="shared" si="10"/>
        <v>2165</v>
      </c>
      <c r="V77" s="75">
        <f t="shared" si="11"/>
        <v>7660041.387</v>
      </c>
      <c r="W77" s="76">
        <f t="shared" si="12"/>
        <v>135.2655828</v>
      </c>
      <c r="X77" s="71" t="str">
        <f t="shared" si="13"/>
        <v>2m 15s</v>
      </c>
      <c r="Y77" s="77">
        <f t="shared" si="14"/>
        <v>318592</v>
      </c>
      <c r="Z77" s="17"/>
      <c r="AA77" s="13"/>
      <c r="AB77" s="13"/>
      <c r="AC77" s="13"/>
      <c r="AD77" s="13"/>
      <c r="AE77" s="13"/>
      <c r="AF77" s="13"/>
      <c r="AG77" s="13"/>
    </row>
    <row r="78">
      <c r="A78" s="12"/>
      <c r="B78" s="65">
        <f t="shared" si="2"/>
        <v>24</v>
      </c>
      <c r="C78" s="66" t="s">
        <v>13</v>
      </c>
      <c r="D78" s="14" t="b">
        <f>IFERROR(__xludf.DUMMYFUNCTION("IF(COUNTA(C78:C147)=0,"""",IFERROR(IF(ISBLANK(C78),FALSE,IF(ISBLANK(G78),1,IF(NOT(COUNTIF($AA$24:$AA$34,SUBSTITUTE(C78,""Sell_"",""""))),1,IF(C78=""Plastic_up"",IF(I78&lt;1000,1),IF(C78=""Super_Up"",IF(OR(COUNTIF(C$4:C78,""Grandma"")-COUNTIF(C$4:C78,""Sell_G"&amp;"randma"")&lt;1,COUNTIF(C$4:C78,VLOOKUP(C78,Upgrades!$F$8:$N$8,7+COUNTIF(C$4:C78,C78)))-COUNTIF(C$4:C78,""Sell_""&amp;VLOOKUP(C78,Upgrades!$F$8:$N$8,7+COUNTIF(C$4:C78,C78)))&lt;15),1),IF(REGEXMATCH(C78,""_up""),IF(COUNTIF(C$4:C78,SUBSTITUTE(C78,""_up"",""""))&lt;IFERRO"&amp;"R(VLOOKUP(C78,Upgrades!$L$3:$P$6,1+COUNTIF(C$4:C78,C78),0),999),1),IF(REGEXMATCH(C78,""Sell_""),IF(COUNTIF(C$4:C78,SUBSTITUTE(C78,""Sell_"",""""))-COUNTIF(C$4:C77,C78)&lt;1,1),FALSE)))))))))"),FALSE)</f>
        <v>0</v>
      </c>
      <c r="E78" s="71">
        <f>IFERROR(__xludf.DUMMYFUNCTION("IF(REGEXMATCH(C78,""^Sell_""),E77, IF(COUNTA(C78:C147)=0,"""",(COUNTIF(C$4:C78,""Cursor"")-COUNTIF(C$4:C78,""Sell_Cursor""))*(0.1*2^SWITCH(COUNTIF(C$4:C78,""Cursor_up""),0,0,1,1,2,2,3)+SWITCH(COUNTIF(C$4:C78,""Cursor_up""),4,0.1,0)*(ROW(C78)-4-COUNTIF(C$4"&amp;":C78,""Cursor"")-COUNTIF(C$4:C78,""*""&amp;""_up"")-2*COUNTIF(C$4:C78,""Sell_""&amp;""*"")+COUNTIF(C$4:C78,""Sell_Cursor"")-COUNTIF(C$4:C78,"""")))+(COUNTIF(C$4:C78,""Grandma"")-COUNTIF(C$4:C78,""Sell_Grandma""))*(1*2^(COUNTIF(C$4:C78,""Grandma_up"")+COUNTIF(C$4:"&amp;"C78,""Super_up"")))+(COUNTIF(C$4:C78,""Farm"")-COUNTIF(C$4:C78,""Sell_Farm""))*(8*2^COUNTIF(C$4:C78,""Farm_up""))*IF(COUNTIF(C$4:C78,""Super_up"")&gt;0,1+0.01*(COUNTIF(C$4:C78,""Grandma"")-COUNTIF(C$4:C78,""Sell_Grandma"")),1)+(COUNTIF(C$4:C78,""Mine"")-COUN"&amp;"TIF(C$4:C78,""Sell_Mine""))*((47*2^COUNTIF(C$4:C78,""Mine_up""))*IF(COUNTIF(C$4:C78,""Super_up"")&gt;1,1+0.005*(COUNTIF(C$4:C78,""Grandma"")-COUNTIF(C$4:C78,""Sell_Grandma"")),1))+(COUNTIF(C$4:C78,""Factory"")-COUNTIF(C$4:C78,""Sell_Factory""))*(260*2^COUNTI"&amp;"F(C$4:C78,""Factory_up""))))"),1024.36)</f>
        <v>1024.36</v>
      </c>
      <c r="F78" s="73">
        <f>IFERROR(__xludf.DUMMYFUNCTION("IF(COUNTA(C78:C147)=0,"""",IF(REGEXMATCH(INDEX(FILTER(C$4:C78,C$4:C78&lt;&gt;""""),ROWS(FILTER(C$4:C78,C$4:C78&lt;&gt;""""))),""^Sell_""),INDEX(FILTER(F$4:F77,C$4:C77&lt;&gt;""""),ROWS(FILTER(C$4:C77,C$4:C77&lt;&gt;""""))),$AC$5*(2^SWITCH(COUNTIF(C$4:C78,""Cursor_up""),0,0,1,1,2"&amp;",2,3)+SWITCH(COUNTIF(C$4:C78,""Cursor_up""),4,0.1,0)*(ROW(C78)-4-COUNTIF(C$4:C78,""Cursor"")-COUNTIF(C$4:C78,""*""&amp;""_up"")-2*COUNTIF(C$4:C78,""Sell_""&amp;""*"")+COUNTIF(C$4:C78,""Sell_Cursor"")-COUNTIF(C$4:C78,""""))+0.01*E78*COUNTIF(C$4:C78,""Plastic_up"")"&amp;")+E78))"),4673.08)</f>
        <v>4673.08</v>
      </c>
      <c r="G78" s="14">
        <f>IFERROR(__xludf.DUMMYFUNCTION("IF(COUNTA(C78:C147)=0,"""",IF(REGEXMATCH(C78,""_up""),VLOOKUP(C78,Upgrades!$F$3:$J$8,1+COUNTIF(C$4:C78,C78),FALSE),IF(C78="""",0,IF(REGEXMATCH(C78,""^Sell_""),-ROUNDDOWN(ROUNDUP(INDEX(Upgrades!$C$3:$C$8,MATCH(SUBSTITUTE(C78,""Sell_"",""""),Upgrades!$B$3:$"&amp;"B$8,0))*1.15^(COUNTIF(C$4:C77,SUBSTITUTE(C78,""Sell_"",""""))-COUNTIF(C$4:C77,""Sell_""&amp;SUBSTITUTE(C78,""Sell_"",""""))))/4),ROUNDUP(INDEX(Upgrades!$C$3:$C$7,MATCH(C78,Upgrades!$B$3:$B$7,0))*1.15^(COUNTIF(C$4:C77,C78)-COUNTIF(C$4:C77,""Sell_""&amp;C78)))))))"),2490.0)</f>
        <v>2490</v>
      </c>
      <c r="H78" s="14">
        <f t="shared" si="3"/>
        <v>2490</v>
      </c>
      <c r="I78" s="75">
        <f t="shared" si="4"/>
        <v>7333378.58</v>
      </c>
      <c r="J78" s="76">
        <f t="shared" si="5"/>
        <v>136.1148508</v>
      </c>
      <c r="K78" s="71" t="str">
        <f t="shared" si="6"/>
        <v>2m 16s</v>
      </c>
      <c r="L78" s="77">
        <f t="shared" si="7"/>
        <v>321082</v>
      </c>
      <c r="M78" s="51">
        <f t="shared" si="8"/>
        <v>-0.31179</v>
      </c>
      <c r="N78" s="52">
        <f>IFERROR(__xludf.DUMMYFUNCTION("IFS(AND(COUNTA(C78:C147)=0,COUNTA(P78:P147)=0),"""",OR(AND(L78&gt;=1000000,OR(Y78&gt;=1000000,COUNTA(P78:P147)=0)),AND(Y78&gt;=1000000,COUNTA(C78:C147)=0),AND(COUNTA(P78:P147)=0,O$3=TRUE)),
ROUNDDOWN((AB$1-AC$1)*MAX(INDEX(S$4:S147,MATCH(LARGE(FILTER(Y$4:Y147,Y$4:Y"&amp;"147&lt;1000000),1),Y$4:Y147)),INDEX(F$4:F147,MATCH(LARGE(FILTER(L$4:L147,L$4:L147&lt;1000000),1),L$4:L147)))),AND(L78&lt;1000000,COUNTA(C78:C147)&gt;0,O$3=FALSE),
ROUNDDOWN(INDEX(Y$4:Y147,MATCH(LARGE(FILTER(W$4:W147,W$4:W147&lt;=J78),1),W$4:W147))+(J78-LARGE(FILTER(W$4:"&amp;"W147,W$4:W147&lt;=J78),1))*INDEX(S$4:S147,MATCH(LARGE(FILTER(W$4:W147,W$4:W147&lt;=J78),1),W$4:W147))-L78),1,
ROUNDDOWN(Y78-INDEX(L$4:L147,MATCH(LARGE(FILTER(J$4:J147,J$4:J147&lt;=W78),1),J$4:J147))-(W78-LARGE(FILTER(J$4:J147,J$4:J147&lt;=W78),1))*INDEX(F$4:F147,MATC"&amp;"H(LARGE(FILTER(J$4:J147,J$4:J147&lt;=W78),1),J$4:J147))))"),1457.0)</f>
        <v>1457</v>
      </c>
      <c r="O78" s="65">
        <f t="shared" si="9"/>
        <v>24</v>
      </c>
      <c r="P78" s="15" t="s">
        <v>13</v>
      </c>
      <c r="Q78" s="14" t="b">
        <f>IFERROR(__xludf.DUMMYFUNCTION("IF(COUNTA(P78:P147)=0,"""",IFERROR(IF(ISBLANK(P78),FALSE,IF(ISBLANK(T78),1,IF(NOT(COUNTIF($AA$24:$AA$34,SUBSTITUTE(P78,""Sell_"",""""))),1,IF(P78=""Plastic_up"",IF(V78&lt;1000,1),IF(P78=""Super_Up"",IF(OR(COUNTIF(P$4:P78,""Grandma"")-COUNTIF(P$4:P78,""Sell_G"&amp;"randma"")&lt;1,COUNTIF(P$4:P78,VLOOKUP(P78,Upgrades!$F$8:$N$8,7+COUNTIF(P$4:P78,P78)))-COUNTIF(P$4:P78,""Sell_""&amp;VLOOKUP(P78,Upgrades!$F$8:$N$8,7+COUNTIF(P$4:P78,P78)))&lt;15),1),IF(REGEXMATCH(P78,""_up""),IF(COUNTIF(P$4:P78,SUBSTITUTE(P78,""_up"",""""))&lt;IFERRO"&amp;"R(VLOOKUP(P78,Upgrades!$L$3:$P$6,1+COUNTIF(P$4:P78,P78),0),999),1),IF(REGEXMATCH(P78,""Sell_""),IF(COUNTIF(P$4:P78,SUBSTITUTE(P78,""Sell_"",""""))-COUNTIF(P$4:P77,P78)&lt;1,1),FALSE)))))))))"),FALSE)</f>
        <v>0</v>
      </c>
      <c r="R78" s="71">
        <f>IFERROR(__xludf.DUMMYFUNCTION("IF(REGEXMATCH(P78,""^Sell_""),R77, IF(COUNTA(P78:P147)=0,"""",(COUNTIF(P$4:P78,""Cursor"")-COUNTIF(P$4:P78,""Sell_Cursor""))*(0.1*2^SWITCH(COUNTIF(P$4:P78,""Cursor_up""),0,0,1,1,2,2,3)+SWITCH(COUNTIF(P$4:P78,""Cursor_up""),4,0.1,0)*(ROW(P78)-4-COUNTIF(P$4"&amp;":P78,""Cursor"")-COUNTIF(P$4:P78,""*""&amp;""_up"")-2*COUNTIF(P$4:P78,""Sell_""&amp;""*"")+COUNTIF(P$4:P78,""Sell_Cursor"")-COUNTIF(P$4:P78,"""")))+(COUNTIF(P$4:P78,""Grandma"")-COUNTIF(P$4:P78,""Sell_Grandma""))*(1*2^(COUNTIF(P$4:P78,""Grandma_up"")+COUNTIF(P$4:"&amp;"P78,""Super_up"")))+(COUNTIF(P$4:P78,""Farm"")-COUNTIF(P$4:P78,""Sell_Farm""))*(8*2^COUNTIF(P$4:P78,""Farm_up""))*IF(COUNTIF(P$4:P78,""Super_up"")&gt;0,1+0.01*(COUNTIF(P$4:P78,""Grandma"")-COUNTIF(P$4:P78,""Sell_Grandma"")),1)+(COUNTIF(P$4:P78,""Mine"")-COUN"&amp;"TIF(P$4:P78,""Sell_Mine""))*((47*2^COUNTIF(P$4:P78,""Mine_up""))*IF(COUNTIF(P$4:P78,""Super_up"")&gt;1,1+0.005*(COUNTIF(P$4:P78,""Grandma"")-COUNTIF(P$4:P78,""Sell_Grandma"")),1))+(COUNTIF(P$4:P78,""Factory"")-COUNTIF(P$4:P78,""Sell_Factory""))*(260*2^COUNTI"&amp;"F(P$4:P78,""Factory_up""))))"),1024.36)</f>
        <v>1024.36</v>
      </c>
      <c r="S78" s="73">
        <f>IFERROR(__xludf.DUMMYFUNCTION("IF(COUNTA(P78:P147)=0,"""",IF(REGEXMATCH(INDEX(FILTER(P$4:P78,P$4:P78&lt;&gt;""""),ROWS(FILTER(P$4:P78,P$4:P78&lt;&gt;""""))),""^Sell_""),INDEX(FILTER(S$4:S77,P$4:P77&lt;&gt;""""),ROWS(FILTER(P$4:P77,P$4:P77&lt;&gt;""""))),$AD$5*(2^SWITCH(COUNTIF(P$4:P78,""Cursor_up""),0,0,1,1,2"&amp;",2,3)+SWITCH(COUNTIF(P$4:P78,""Cursor_up""),4,0.1,0)*(ROW(P78)-4-COUNTIF(P$4:P78,""Cursor"")-COUNTIF(P$4:P78,""*""&amp;""_up"")-2*COUNTIF(P$4:P78,""Sell_""&amp;""*"")+COUNTIF(P$4:P78,""Sell_Cursor"")-COUNTIF(P$4:P78,""""))+0.01*R78*COUNTIF(P$4:P78,""Plastic_up"")"&amp;")+R78))"),4673.08)</f>
        <v>4673.08</v>
      </c>
      <c r="T78" s="14">
        <f>IFERROR(__xludf.DUMMYFUNCTION("IF(COUNTA(P78:P147)=0,"""",IF(REGEXMATCH(P78,""_up""),VLOOKUP(P78,Upgrades!$F$3:$J$8,1+COUNTIF(P$4:P78,P78),FALSE),IF(P78="""",0,IF(REGEXMATCH(P78,""^Sell_""),-ROUNDDOWN(ROUNDUP(INDEX(Upgrades!$C$3:$C$8,MATCH(SUBSTITUTE(P78,""Sell_"",""""),Upgrades!$B$3:$"&amp;"B$8,0))*1.15^(COUNTIF(P$4:P77,SUBSTITUTE(P78,""Sell_"",""""))-COUNTIF(P$4:P77,""Sell_""&amp;SUBSTITUTE(P78,""Sell_"",""""))))/4),ROUNDUP(INDEX(Upgrades!$C$3:$C$7,MATCH(P78,Upgrades!$B$3:$B$7,0))*1.15^(COUNTIF(P$4:P77,P78)-COUNTIF(P$4:P77,""Sell_""&amp;P78)))))))"),2490.0)</f>
        <v>2490</v>
      </c>
      <c r="U78" s="14">
        <f t="shared" si="10"/>
        <v>2490</v>
      </c>
      <c r="V78" s="75">
        <f t="shared" si="11"/>
        <v>8151898.339</v>
      </c>
      <c r="W78" s="76">
        <f t="shared" si="12"/>
        <v>135.8030594</v>
      </c>
      <c r="X78" s="71" t="str">
        <f t="shared" si="13"/>
        <v>2m 15s</v>
      </c>
      <c r="Y78" s="77">
        <f t="shared" si="14"/>
        <v>321082</v>
      </c>
      <c r="Z78" s="17"/>
      <c r="AA78" s="13"/>
      <c r="AB78" s="13"/>
      <c r="AC78" s="13"/>
      <c r="AD78" s="13"/>
      <c r="AE78" s="13"/>
      <c r="AF78" s="13"/>
      <c r="AG78" s="13"/>
    </row>
    <row r="79">
      <c r="A79" s="12"/>
      <c r="B79" s="65">
        <f t="shared" si="2"/>
        <v>25</v>
      </c>
      <c r="C79" s="66" t="s">
        <v>13</v>
      </c>
      <c r="D79" s="14" t="b">
        <f>IFERROR(__xludf.DUMMYFUNCTION("IF(COUNTA(C79:C147)=0,"""",IFERROR(IF(ISBLANK(C79),FALSE,IF(ISBLANK(G79),1,IF(NOT(COUNTIF($AA$24:$AA$34,SUBSTITUTE(C79,""Sell_"",""""))),1,IF(C79=""Plastic_up"",IF(I79&lt;1000,1),IF(C79=""Super_Up"",IF(OR(COUNTIF(C$4:C79,""Grandma"")-COUNTIF(C$4:C79,""Sell_G"&amp;"randma"")&lt;1,COUNTIF(C$4:C79,VLOOKUP(C79,Upgrades!$F$8:$N$8,7+COUNTIF(C$4:C79,C79)))-COUNTIF(C$4:C79,""Sell_""&amp;VLOOKUP(C79,Upgrades!$F$8:$N$8,7+COUNTIF(C$4:C79,C79)))&lt;15),1),IF(REGEXMATCH(C79,""_up""),IF(COUNTIF(C$4:C79,SUBSTITUTE(C79,""_up"",""""))&lt;IFERRO"&amp;"R(VLOOKUP(C79,Upgrades!$L$3:$P$6,1+COUNTIF(C$4:C79,C79),0),999),1),IF(REGEXMATCH(C79,""Sell_""),IF(COUNTIF(C$4:C79,SUBSTITUTE(C79,""Sell_"",""""))-COUNTIF(C$4:C78,C79)&lt;1,1),FALSE)))))))))"),FALSE)</f>
        <v>0</v>
      </c>
      <c r="E79" s="71">
        <f>IFERROR(__xludf.DUMMYFUNCTION("IF(REGEXMATCH(C79,""^Sell_""),E78, IF(COUNTA(C79:C147)=0,"""",(COUNTIF(C$4:C79,""Cursor"")-COUNTIF(C$4:C79,""Sell_Cursor""))*(0.1*2^SWITCH(COUNTIF(C$4:C79,""Cursor_up""),0,0,1,1,2,2,3)+SWITCH(COUNTIF(C$4:C79,""Cursor_up""),4,0.1,0)*(ROW(C79)-4-COUNTIF(C$4"&amp;":C79,""Cursor"")-COUNTIF(C$4:C79,""*""&amp;""_up"")-2*COUNTIF(C$4:C79,""Sell_""&amp;""*"")+COUNTIF(C$4:C79,""Sell_Cursor"")-COUNTIF(C$4:C79,"""")))+(COUNTIF(C$4:C79,""Grandma"")-COUNTIF(C$4:C79,""Sell_Grandma""))*(1*2^(COUNTIF(C$4:C79,""Grandma_up"")+COUNTIF(C$4:"&amp;"C79,""Super_up"")))+(COUNTIF(C$4:C79,""Farm"")-COUNTIF(C$4:C79,""Sell_Farm""))*(8*2^COUNTIF(C$4:C79,""Farm_up""))*IF(COUNTIF(C$4:C79,""Super_up"")&gt;0,1+0.01*(COUNTIF(C$4:C79,""Grandma"")-COUNTIF(C$4:C79,""Sell_Grandma"")),1)+(COUNTIF(C$4:C79,""Mine"")-COUN"&amp;"TIF(C$4:C79,""Sell_Mine""))*((47*2^COUNTIF(C$4:C79,""Mine_up""))*IF(COUNTIF(C$4:C79,""Super_up"")&gt;1,1+0.005*(COUNTIF(C$4:C79,""Grandma"")-COUNTIF(C$4:C79,""Sell_Grandma"")),1))+(COUNTIF(C$4:C79,""Factory"")-COUNTIF(C$4:C79,""Sell_Factory""))*(260*2^COUNTI"&amp;"F(C$4:C79,""Factory_up""))))"),1037.8)</f>
        <v>1037.8</v>
      </c>
      <c r="F79" s="73">
        <f>IFERROR(__xludf.DUMMYFUNCTION("IF(COUNTA(C79:C147)=0,"""",IF(REGEXMATCH(INDEX(FILTER(C$4:C79,C$4:C79&lt;&gt;""""),ROWS(FILTER(C$4:C79,C$4:C79&lt;&gt;""""))),""^Sell_""),INDEX(FILTER(F$4:F78,C$4:C78&lt;&gt;""""),ROWS(FILTER(C$4:C78,C$4:C78&lt;&gt;""""))),$AC$5*(2^SWITCH(COUNTIF(C$4:C79,""Cursor_up""),0,0,1,1,2"&amp;",2,3)+SWITCH(COUNTIF(C$4:C79,""Cursor_up""),4,0.1,0)*(ROW(C79)-4-COUNTIF(C$4:C79,""Cursor"")-COUNTIF(C$4:C79,""*""&amp;""_up"")-2*COUNTIF(C$4:C79,""Sell_""&amp;""*"")+COUNTIF(C$4:C79,""Sell_Cursor"")-COUNTIF(C$4:C79,""""))+0.01*E79*COUNTIF(C$4:C79,""Plastic_up"")"&amp;")+E79))"),4713.4)</f>
        <v>4713.4</v>
      </c>
      <c r="G79" s="14">
        <f>IFERROR(__xludf.DUMMYFUNCTION("IF(COUNTA(C79:C147)=0,"""",IF(REGEXMATCH(C79,""_up""),VLOOKUP(C79,Upgrades!$F$3:$J$8,1+COUNTIF(C$4:C79,C79),FALSE),IF(C79="""",0,IF(REGEXMATCH(C79,""^Sell_""),-ROUNDDOWN(ROUNDUP(INDEX(Upgrades!$C$3:$C$8,MATCH(SUBSTITUTE(C79,""Sell_"",""""),Upgrades!$B$3:$"&amp;"B$8,0))*1.15^(COUNTIF(C$4:C78,SUBSTITUTE(C79,""Sell_"",""""))-COUNTIF(C$4:C78,""Sell_""&amp;SUBSTITUTE(C79,""Sell_"",""""))))/4),ROUNDUP(INDEX(Upgrades!$C$3:$C$7,MATCH(C79,Upgrades!$B$3:$B$7,0))*1.15^(COUNTIF(C$4:C78,C79)-COUNTIF(C$4:C78,""Sell_""&amp;C79)))))))"),2863.0)</f>
        <v>2863</v>
      </c>
      <c r="H79" s="14">
        <f t="shared" si="3"/>
        <v>2863</v>
      </c>
      <c r="I79" s="75">
        <f t="shared" si="4"/>
        <v>7832258.976</v>
      </c>
      <c r="J79" s="76">
        <f t="shared" si="5"/>
        <v>136.7275089</v>
      </c>
      <c r="K79" s="71" t="str">
        <f t="shared" si="6"/>
        <v>2m 16s</v>
      </c>
      <c r="L79" s="77">
        <f t="shared" si="7"/>
        <v>323945</v>
      </c>
      <c r="M79" s="51">
        <f t="shared" si="8"/>
        <v>-0.31179</v>
      </c>
      <c r="N79" s="52">
        <f>IFERROR(__xludf.DUMMYFUNCTION("IFS(AND(COUNTA(C79:C147)=0,COUNTA(P79:P147)=0),"""",OR(AND(L79&gt;=1000000,OR(Y79&gt;=1000000,COUNTA(P79:P147)=0)),AND(Y79&gt;=1000000,COUNTA(C79:C147)=0),AND(COUNTA(P79:P147)=0,O$3=TRUE)),
ROUNDDOWN((AB$1-AC$1)*MAX(INDEX(S$4:S147,MATCH(LARGE(FILTER(Y$4:Y147,Y$4:Y"&amp;"147&lt;1000000),1),Y$4:Y147)),INDEX(F$4:F147,MATCH(LARGE(FILTER(L$4:L147,L$4:L147&lt;1000000),1),L$4:L147)))),AND(L79&lt;1000000,COUNTA(C79:C147)&gt;0,O$3=FALSE),
ROUNDDOWN(INDEX(Y$4:Y147,MATCH(LARGE(FILTER(W$4:W147,W$4:W147&lt;=J79),1),W$4:W147))+(J79-LARGE(FILTER(W$4:"&amp;"W147,W$4:W147&lt;=J79),1))*INDEX(S$4:S147,MATCH(LARGE(FILTER(W$4:W147,W$4:W147&lt;=J79),1),W$4:W147))-L79),1,
ROUNDDOWN(Y79-INDEX(L$4:L147,MATCH(LARGE(FILTER(J$4:J147,J$4:J147&lt;=W79),1),J$4:J147))-(W79-LARGE(FILTER(J$4:J147,J$4:J147&lt;=W79),1))*INDEX(F$4:F147,MATC"&amp;"H(LARGE(FILTER(J$4:J147,J$4:J147&lt;=W79),1),J$4:J147))))"),1469.0)</f>
        <v>1469</v>
      </c>
      <c r="O79" s="65">
        <f t="shared" si="9"/>
        <v>25</v>
      </c>
      <c r="P79" s="15" t="s">
        <v>13</v>
      </c>
      <c r="Q79" s="14" t="b">
        <f>IFERROR(__xludf.DUMMYFUNCTION("IF(COUNTA(P79:P147)=0,"""",IFERROR(IF(ISBLANK(P79),FALSE,IF(ISBLANK(T79),1,IF(NOT(COUNTIF($AA$24:$AA$34,SUBSTITUTE(P79,""Sell_"",""""))),1,IF(P79=""Plastic_up"",IF(V79&lt;1000,1),IF(P79=""Super_Up"",IF(OR(COUNTIF(P$4:P79,""Grandma"")-COUNTIF(P$4:P79,""Sell_G"&amp;"randma"")&lt;1,COUNTIF(P$4:P79,VLOOKUP(P79,Upgrades!$F$8:$N$8,7+COUNTIF(P$4:P79,P79)))-COUNTIF(P$4:P79,""Sell_""&amp;VLOOKUP(P79,Upgrades!$F$8:$N$8,7+COUNTIF(P$4:P79,P79)))&lt;15),1),IF(REGEXMATCH(P79,""_up""),IF(COUNTIF(P$4:P79,SUBSTITUTE(P79,""_up"",""""))&lt;IFERRO"&amp;"R(VLOOKUP(P79,Upgrades!$L$3:$P$6,1+COUNTIF(P$4:P79,P79),0),999),1),IF(REGEXMATCH(P79,""Sell_""),IF(COUNTIF(P$4:P79,SUBSTITUTE(P79,""Sell_"",""""))-COUNTIF(P$4:P78,P79)&lt;1,1),FALSE)))))))))"),FALSE)</f>
        <v>0</v>
      </c>
      <c r="R79" s="71">
        <f>IFERROR(__xludf.DUMMYFUNCTION("IF(REGEXMATCH(P79,""^Sell_""),R78, IF(COUNTA(P79:P147)=0,"""",(COUNTIF(P$4:P79,""Cursor"")-COUNTIF(P$4:P79,""Sell_Cursor""))*(0.1*2^SWITCH(COUNTIF(P$4:P79,""Cursor_up""),0,0,1,1,2,2,3)+SWITCH(COUNTIF(P$4:P79,""Cursor_up""),4,0.1,0)*(ROW(P79)-4-COUNTIF(P$4"&amp;":P79,""Cursor"")-COUNTIF(P$4:P79,""*""&amp;""_up"")-2*COUNTIF(P$4:P79,""Sell_""&amp;""*"")+COUNTIF(P$4:P79,""Sell_Cursor"")-COUNTIF(P$4:P79,"""")))+(COUNTIF(P$4:P79,""Grandma"")-COUNTIF(P$4:P79,""Sell_Grandma""))*(1*2^(COUNTIF(P$4:P79,""Grandma_up"")+COUNTIF(P$4:"&amp;"P79,""Super_up"")))+(COUNTIF(P$4:P79,""Farm"")-COUNTIF(P$4:P79,""Sell_Farm""))*(8*2^COUNTIF(P$4:P79,""Farm_up""))*IF(COUNTIF(P$4:P79,""Super_up"")&gt;0,1+0.01*(COUNTIF(P$4:P79,""Grandma"")-COUNTIF(P$4:P79,""Sell_Grandma"")),1)+(COUNTIF(P$4:P79,""Mine"")-COUN"&amp;"TIF(P$4:P79,""Sell_Mine""))*((47*2^COUNTIF(P$4:P79,""Mine_up""))*IF(COUNTIF(P$4:P79,""Super_up"")&gt;1,1+0.005*(COUNTIF(P$4:P79,""Grandma"")-COUNTIF(P$4:P79,""Sell_Grandma"")),1))+(COUNTIF(P$4:P79,""Factory"")-COUNTIF(P$4:P79,""Sell_Factory""))*(260*2^COUNTI"&amp;"F(P$4:P79,""Factory_up""))))"),1037.8)</f>
        <v>1037.8</v>
      </c>
      <c r="S79" s="73">
        <f>IFERROR(__xludf.DUMMYFUNCTION("IF(COUNTA(P79:P147)=0,"""",IF(REGEXMATCH(INDEX(FILTER(P$4:P79,P$4:P79&lt;&gt;""""),ROWS(FILTER(P$4:P79,P$4:P79&lt;&gt;""""))),""^Sell_""),INDEX(FILTER(S$4:S78,P$4:P78&lt;&gt;""""),ROWS(FILTER(P$4:P78,P$4:P78&lt;&gt;""""))),$AD$5*(2^SWITCH(COUNTIF(P$4:P79,""Cursor_up""),0,0,1,1,2"&amp;",2,3)+SWITCH(COUNTIF(P$4:P79,""Cursor_up""),4,0.1,0)*(ROW(P79)-4-COUNTIF(P$4:P79,""Cursor"")-COUNTIF(P$4:P79,""*""&amp;""_up"")-2*COUNTIF(P$4:P79,""Sell_""&amp;""*"")+COUNTIF(P$4:P79,""Sell_Cursor"")-COUNTIF(P$4:P79,""""))+0.01*R79*COUNTIF(P$4:P79,""Plastic_up"")"&amp;")+R79))"),4713.4)</f>
        <v>4713.4</v>
      </c>
      <c r="T79" s="14">
        <f>IFERROR(__xludf.DUMMYFUNCTION("IF(COUNTA(P79:P147)=0,"""",IF(REGEXMATCH(P79,""_up""),VLOOKUP(P79,Upgrades!$F$3:$J$8,1+COUNTIF(P$4:P79,P79),FALSE),IF(P79="""",0,IF(REGEXMATCH(P79,""^Sell_""),-ROUNDDOWN(ROUNDUP(INDEX(Upgrades!$C$3:$C$8,MATCH(SUBSTITUTE(P79,""Sell_"",""""),Upgrades!$B$3:$"&amp;"B$8,0))*1.15^(COUNTIF(P$4:P78,SUBSTITUTE(P79,""Sell_"",""""))-COUNTIF(P$4:P78,""Sell_""&amp;SUBSTITUTE(P79,""Sell_"",""""))))/4),ROUNDUP(INDEX(Upgrades!$C$3:$C$7,MATCH(P79,Upgrades!$B$3:$B$7,0))*1.15^(COUNTIF(P$4:P78,P79)-COUNTIF(P$4:P78,""Sell_""&amp;P79)))))))"),2863.0)</f>
        <v>2863</v>
      </c>
      <c r="U79" s="14">
        <f t="shared" si="10"/>
        <v>2863</v>
      </c>
      <c r="V79" s="75">
        <f t="shared" si="11"/>
        <v>8649641.096</v>
      </c>
      <c r="W79" s="76">
        <f t="shared" si="12"/>
        <v>136.4157174</v>
      </c>
      <c r="X79" s="71" t="str">
        <f t="shared" si="13"/>
        <v>2m 16s</v>
      </c>
      <c r="Y79" s="77">
        <f t="shared" si="14"/>
        <v>323945</v>
      </c>
      <c r="Z79" s="17"/>
      <c r="AA79" s="13"/>
      <c r="AB79" s="13"/>
      <c r="AC79" s="13"/>
      <c r="AD79" s="13"/>
      <c r="AE79" s="13"/>
      <c r="AF79" s="13"/>
      <c r="AG79" s="13"/>
    </row>
    <row r="80">
      <c r="A80" s="12"/>
      <c r="B80" s="65">
        <f t="shared" si="2"/>
        <v>26</v>
      </c>
      <c r="C80" s="66" t="s">
        <v>13</v>
      </c>
      <c r="D80" s="14" t="b">
        <f>IFERROR(__xludf.DUMMYFUNCTION("IF(COUNTA(C80:C147)=0,"""",IFERROR(IF(ISBLANK(C80),FALSE,IF(ISBLANK(G80),1,IF(NOT(COUNTIF($AA$24:$AA$34,SUBSTITUTE(C80,""Sell_"",""""))),1,IF(C80=""Plastic_up"",IF(I80&lt;1000,1),IF(C80=""Super_Up"",IF(OR(COUNTIF(C$4:C80,""Grandma"")-COUNTIF(C$4:C80,""Sell_G"&amp;"randma"")&lt;1,COUNTIF(C$4:C80,VLOOKUP(C80,Upgrades!$F$8:$N$8,7+COUNTIF(C$4:C80,C80)))-COUNTIF(C$4:C80,""Sell_""&amp;VLOOKUP(C80,Upgrades!$F$8:$N$8,7+COUNTIF(C$4:C80,C80)))&lt;15),1),IF(REGEXMATCH(C80,""_up""),IF(COUNTIF(C$4:C80,SUBSTITUTE(C80,""_up"",""""))&lt;IFERRO"&amp;"R(VLOOKUP(C80,Upgrades!$L$3:$P$6,1+COUNTIF(C$4:C80,C80),0),999),1),IF(REGEXMATCH(C80,""Sell_""),IF(COUNTIF(C$4:C80,SUBSTITUTE(C80,""Sell_"",""""))-COUNTIF(C$4:C79,C80)&lt;1,1),FALSE)))))))))"),FALSE)</f>
        <v>0</v>
      </c>
      <c r="E80" s="71">
        <f>IFERROR(__xludf.DUMMYFUNCTION("IF(REGEXMATCH(C80,""^Sell_""),E79, IF(COUNTA(C80:C147)=0,"""",(COUNTIF(C$4:C80,""Cursor"")-COUNTIF(C$4:C80,""Sell_Cursor""))*(0.1*2^SWITCH(COUNTIF(C$4:C80,""Cursor_up""),0,0,1,1,2,2,3)+SWITCH(COUNTIF(C$4:C80,""Cursor_up""),4,0.1,0)*(ROW(C80)-4-COUNTIF(C$4"&amp;":C80,""Cursor"")-COUNTIF(C$4:C80,""*""&amp;""_up"")-2*COUNTIF(C$4:C80,""Sell_""&amp;""*"")+COUNTIF(C$4:C80,""Sell_Cursor"")-COUNTIF(C$4:C80,"""")))+(COUNTIF(C$4:C80,""Grandma"")-COUNTIF(C$4:C80,""Sell_Grandma""))*(1*2^(COUNTIF(C$4:C80,""Grandma_up"")+COUNTIF(C$4:"&amp;"C80,""Super_up"")))+(COUNTIF(C$4:C80,""Farm"")-COUNTIF(C$4:C80,""Sell_Farm""))*(8*2^COUNTIF(C$4:C80,""Farm_up""))*IF(COUNTIF(C$4:C80,""Super_up"")&gt;0,1+0.01*(COUNTIF(C$4:C80,""Grandma"")-COUNTIF(C$4:C80,""Sell_Grandma"")),1)+(COUNTIF(C$4:C80,""Mine"")-COUN"&amp;"TIF(C$4:C80,""Sell_Mine""))*((47*2^COUNTIF(C$4:C80,""Mine_up""))*IF(COUNTIF(C$4:C80,""Super_up"")&gt;1,1+0.005*(COUNTIF(C$4:C80,""Grandma"")-COUNTIF(C$4:C80,""Sell_Grandma"")),1))+(COUNTIF(C$4:C80,""Factory"")-COUNTIF(C$4:C80,""Sell_Factory""))*(260*2^COUNTI"&amp;"F(C$4:C80,""Factory_up""))))"),1051.24)</f>
        <v>1051.24</v>
      </c>
      <c r="F80" s="73">
        <f>IFERROR(__xludf.DUMMYFUNCTION("IF(COUNTA(C80:C147)=0,"""",IF(REGEXMATCH(INDEX(FILTER(C$4:C80,C$4:C80&lt;&gt;""""),ROWS(FILTER(C$4:C80,C$4:C80&lt;&gt;""""))),""^Sell_""),INDEX(FILTER(F$4:F79,C$4:C79&lt;&gt;""""),ROWS(FILTER(C$4:C79,C$4:C79&lt;&gt;""""))),$AC$5*(2^SWITCH(COUNTIF(C$4:C80,""Cursor_up""),0,0,1,1,2"&amp;",2,3)+SWITCH(COUNTIF(C$4:C80,""Cursor_up""),4,0.1,0)*(ROW(C80)-4-COUNTIF(C$4:C80,""Cursor"")-COUNTIF(C$4:C80,""*""&amp;""_up"")-2*COUNTIF(C$4:C80,""Sell_""&amp;""*"")+COUNTIF(C$4:C80,""Sell_Cursor"")-COUNTIF(C$4:C80,""""))+0.01*E80*COUNTIF(C$4:C80,""Plastic_up"")"&amp;")+E80))"),4753.72)</f>
        <v>4753.72</v>
      </c>
      <c r="G80" s="14">
        <f>IFERROR(__xludf.DUMMYFUNCTION("IF(COUNTA(C80:C147)=0,"""",IF(REGEXMATCH(C80,""_up""),VLOOKUP(C80,Upgrades!$F$3:$J$8,1+COUNTIF(C$4:C80,C80),FALSE),IF(C80="""",0,IF(REGEXMATCH(C80,""^Sell_""),-ROUNDDOWN(ROUNDUP(INDEX(Upgrades!$C$3:$C$8,MATCH(SUBSTITUTE(C80,""Sell_"",""""),Upgrades!$B$3:$"&amp;"B$8,0))*1.15^(COUNTIF(C$4:C79,SUBSTITUTE(C80,""Sell_"",""""))-COUNTIF(C$4:C79,""Sell_""&amp;SUBSTITUTE(C80,""Sell_"",""""))))/4),ROUNDUP(INDEX(Upgrades!$C$3:$C$7,MATCH(C80,Upgrades!$B$3:$B$7,0))*1.15^(COUNTIF(C$4:C79,C80)-COUNTIF(C$4:C79,""Sell_""&amp;C80)))))))"),3292.0)</f>
        <v>3292</v>
      </c>
      <c r="H80" s="14">
        <f t="shared" si="3"/>
        <v>3292</v>
      </c>
      <c r="I80" s="75">
        <f t="shared" si="4"/>
        <v>8337381.772</v>
      </c>
      <c r="J80" s="76">
        <f t="shared" si="5"/>
        <v>137.4259431</v>
      </c>
      <c r="K80" s="71" t="str">
        <f t="shared" si="6"/>
        <v>2m 17s</v>
      </c>
      <c r="L80" s="77">
        <f t="shared" si="7"/>
        <v>327237</v>
      </c>
      <c r="M80" s="51">
        <f t="shared" si="8"/>
        <v>-0.31179</v>
      </c>
      <c r="N80" s="52">
        <f>IFERROR(__xludf.DUMMYFUNCTION("IFS(AND(COUNTA(C80:C147)=0,COUNTA(P80:P147)=0),"""",OR(AND(L80&gt;=1000000,OR(Y80&gt;=1000000,COUNTA(P80:P147)=0)),AND(Y80&gt;=1000000,COUNTA(C80:C147)=0),AND(COUNTA(P80:P147)=0,O$3=TRUE)),
ROUNDDOWN((AB$1-AC$1)*MAX(INDEX(S$4:S147,MATCH(LARGE(FILTER(Y$4:Y147,Y$4:Y"&amp;"147&lt;1000000),1),Y$4:Y147)),INDEX(F$4:F147,MATCH(LARGE(FILTER(L$4:L147,L$4:L147&lt;1000000),1),L$4:L147)))),AND(L80&lt;1000000,COUNTA(C80:C147)&gt;0,O$3=FALSE),
ROUNDDOWN(INDEX(Y$4:Y147,MATCH(LARGE(FILTER(W$4:W147,W$4:W147&lt;=J80),1),W$4:W147))+(J80-LARGE(FILTER(W$4:"&amp;"W147,W$4:W147&lt;=J80),1))*INDEX(S$4:S147,MATCH(LARGE(FILTER(W$4:W147,W$4:W147&lt;=J80),1),W$4:W147))-L80),1,
ROUNDDOWN(Y80-INDEX(L$4:L147,MATCH(LARGE(FILTER(J$4:J147,J$4:J147&lt;=W80),1),J$4:J147))-(W80-LARGE(FILTER(J$4:J147,J$4:J147&lt;=W80),1))*INDEX(F$4:F147,MATC"&amp;"H(LARGE(FILTER(J$4:J147,J$4:J147&lt;=W80),1),J$4:J147))))"),1482.0)</f>
        <v>1482</v>
      </c>
      <c r="O80" s="65">
        <f t="shared" si="9"/>
        <v>26</v>
      </c>
      <c r="P80" s="15" t="s">
        <v>13</v>
      </c>
      <c r="Q80" s="14" t="b">
        <f>IFERROR(__xludf.DUMMYFUNCTION("IF(COUNTA(P80:P147)=0,"""",IFERROR(IF(ISBLANK(P80),FALSE,IF(ISBLANK(T80),1,IF(NOT(COUNTIF($AA$24:$AA$34,SUBSTITUTE(P80,""Sell_"",""""))),1,IF(P80=""Plastic_up"",IF(V80&lt;1000,1),IF(P80=""Super_Up"",IF(OR(COUNTIF(P$4:P80,""Grandma"")-COUNTIF(P$4:P80,""Sell_G"&amp;"randma"")&lt;1,COUNTIF(P$4:P80,VLOOKUP(P80,Upgrades!$F$8:$N$8,7+COUNTIF(P$4:P80,P80)))-COUNTIF(P$4:P80,""Sell_""&amp;VLOOKUP(P80,Upgrades!$F$8:$N$8,7+COUNTIF(P$4:P80,P80)))&lt;15),1),IF(REGEXMATCH(P80,""_up""),IF(COUNTIF(P$4:P80,SUBSTITUTE(P80,""_up"",""""))&lt;IFERRO"&amp;"R(VLOOKUP(P80,Upgrades!$L$3:$P$6,1+COUNTIF(P$4:P80,P80),0),999),1),IF(REGEXMATCH(P80,""Sell_""),IF(COUNTIF(P$4:P80,SUBSTITUTE(P80,""Sell_"",""""))-COUNTIF(P$4:P79,P80)&lt;1,1),FALSE)))))))))"),FALSE)</f>
        <v>0</v>
      </c>
      <c r="R80" s="71">
        <f>IFERROR(__xludf.DUMMYFUNCTION("IF(REGEXMATCH(P80,""^Sell_""),R79, IF(COUNTA(P80:P147)=0,"""",(COUNTIF(P$4:P80,""Cursor"")-COUNTIF(P$4:P80,""Sell_Cursor""))*(0.1*2^SWITCH(COUNTIF(P$4:P80,""Cursor_up""),0,0,1,1,2,2,3)+SWITCH(COUNTIF(P$4:P80,""Cursor_up""),4,0.1,0)*(ROW(P80)-4-COUNTIF(P$4"&amp;":P80,""Cursor"")-COUNTIF(P$4:P80,""*""&amp;""_up"")-2*COUNTIF(P$4:P80,""Sell_""&amp;""*"")+COUNTIF(P$4:P80,""Sell_Cursor"")-COUNTIF(P$4:P80,"""")))+(COUNTIF(P$4:P80,""Grandma"")-COUNTIF(P$4:P80,""Sell_Grandma""))*(1*2^(COUNTIF(P$4:P80,""Grandma_up"")+COUNTIF(P$4:"&amp;"P80,""Super_up"")))+(COUNTIF(P$4:P80,""Farm"")-COUNTIF(P$4:P80,""Sell_Farm""))*(8*2^COUNTIF(P$4:P80,""Farm_up""))*IF(COUNTIF(P$4:P80,""Super_up"")&gt;0,1+0.01*(COUNTIF(P$4:P80,""Grandma"")-COUNTIF(P$4:P80,""Sell_Grandma"")),1)+(COUNTIF(P$4:P80,""Mine"")-COUN"&amp;"TIF(P$4:P80,""Sell_Mine""))*((47*2^COUNTIF(P$4:P80,""Mine_up""))*IF(COUNTIF(P$4:P80,""Super_up"")&gt;1,1+0.005*(COUNTIF(P$4:P80,""Grandma"")-COUNTIF(P$4:P80,""Sell_Grandma"")),1))+(COUNTIF(P$4:P80,""Factory"")-COUNTIF(P$4:P80,""Sell_Factory""))*(260*2^COUNTI"&amp;"F(P$4:P80,""Factory_up""))))"),1051.24)</f>
        <v>1051.24</v>
      </c>
      <c r="S80" s="73">
        <f>IFERROR(__xludf.DUMMYFUNCTION("IF(COUNTA(P80:P147)=0,"""",IF(REGEXMATCH(INDEX(FILTER(P$4:P80,P$4:P80&lt;&gt;""""),ROWS(FILTER(P$4:P80,P$4:P80&lt;&gt;""""))),""^Sell_""),INDEX(FILTER(S$4:S79,P$4:P79&lt;&gt;""""),ROWS(FILTER(P$4:P79,P$4:P79&lt;&gt;""""))),$AD$5*(2^SWITCH(COUNTIF(P$4:P80,""Cursor_up""),0,0,1,1,2"&amp;",2,3)+SWITCH(COUNTIF(P$4:P80,""Cursor_up""),4,0.1,0)*(ROW(P80)-4-COUNTIF(P$4:P80,""Cursor"")-COUNTIF(P$4:P80,""*""&amp;""_up"")-2*COUNTIF(P$4:P80,""Sell_""&amp;""*"")+COUNTIF(P$4:P80,""Sell_Cursor"")-COUNTIF(P$4:P80,""""))+0.01*R80*COUNTIF(P$4:P80,""Plastic_up"")"&amp;")+R80))"),4753.72)</f>
        <v>4753.72</v>
      </c>
      <c r="T80" s="14">
        <f>IFERROR(__xludf.DUMMYFUNCTION("IF(COUNTA(P80:P147)=0,"""",IF(REGEXMATCH(P80,""_up""),VLOOKUP(P80,Upgrades!$F$3:$J$8,1+COUNTIF(P$4:P80,P80),FALSE),IF(P80="""",0,IF(REGEXMATCH(P80,""^Sell_""),-ROUNDDOWN(ROUNDUP(INDEX(Upgrades!$C$3:$C$8,MATCH(SUBSTITUTE(P80,""Sell_"",""""),Upgrades!$B$3:$"&amp;"B$8,0))*1.15^(COUNTIF(P$4:P79,SUBSTITUTE(P80,""Sell_"",""""))-COUNTIF(P$4:P79,""Sell_""&amp;SUBSTITUTE(P80,""Sell_"",""""))))/4),ROUNDUP(INDEX(Upgrades!$C$3:$C$7,MATCH(P80,Upgrades!$B$3:$B$7,0))*1.15^(COUNTIF(P$4:P79,P80)-COUNTIF(P$4:P79,""Sell_""&amp;P80)))))))"),3292.0)</f>
        <v>3292</v>
      </c>
      <c r="U80" s="14">
        <f t="shared" si="10"/>
        <v>3292</v>
      </c>
      <c r="V80" s="75">
        <f t="shared" si="11"/>
        <v>9153617.871</v>
      </c>
      <c r="W80" s="76">
        <f t="shared" si="12"/>
        <v>137.1141517</v>
      </c>
      <c r="X80" s="71" t="str">
        <f t="shared" si="13"/>
        <v>2m 17s</v>
      </c>
      <c r="Y80" s="77">
        <f t="shared" si="14"/>
        <v>327237</v>
      </c>
      <c r="Z80" s="17"/>
      <c r="AA80" s="13"/>
      <c r="AB80" s="13"/>
      <c r="AC80" s="13"/>
      <c r="AD80" s="13"/>
      <c r="AE80" s="13"/>
      <c r="AF80" s="13"/>
      <c r="AG80" s="13"/>
    </row>
    <row r="81">
      <c r="A81" s="12"/>
      <c r="B81" s="65">
        <f t="shared" si="2"/>
        <v>27</v>
      </c>
      <c r="C81" s="66" t="s">
        <v>13</v>
      </c>
      <c r="D81" s="14" t="b">
        <f>IFERROR(__xludf.DUMMYFUNCTION("IF(COUNTA(C81:C147)=0,"""",IFERROR(IF(ISBLANK(C81),FALSE,IF(ISBLANK(G81),1,IF(NOT(COUNTIF($AA$24:$AA$34,SUBSTITUTE(C81,""Sell_"",""""))),1,IF(C81=""Plastic_up"",IF(I81&lt;1000,1),IF(C81=""Super_Up"",IF(OR(COUNTIF(C$4:C81,""Grandma"")-COUNTIF(C$4:C81,""Sell_G"&amp;"randma"")&lt;1,COUNTIF(C$4:C81,VLOOKUP(C81,Upgrades!$F$8:$N$8,7+COUNTIF(C$4:C81,C81)))-COUNTIF(C$4:C81,""Sell_""&amp;VLOOKUP(C81,Upgrades!$F$8:$N$8,7+COUNTIF(C$4:C81,C81)))&lt;15),1),IF(REGEXMATCH(C81,""_up""),IF(COUNTIF(C$4:C81,SUBSTITUTE(C81,""_up"",""""))&lt;IFERRO"&amp;"R(VLOOKUP(C81,Upgrades!$L$3:$P$6,1+COUNTIF(C$4:C81,C81),0),999),1),IF(REGEXMATCH(C81,""Sell_""),IF(COUNTIF(C$4:C81,SUBSTITUTE(C81,""Sell_"",""""))-COUNTIF(C$4:C80,C81)&lt;1,1),FALSE)))))))))"),FALSE)</f>
        <v>0</v>
      </c>
      <c r="E81" s="71">
        <f>IFERROR(__xludf.DUMMYFUNCTION("IF(REGEXMATCH(C81,""^Sell_""),E80, IF(COUNTA(C81:C147)=0,"""",(COUNTIF(C$4:C81,""Cursor"")-COUNTIF(C$4:C81,""Sell_Cursor""))*(0.1*2^SWITCH(COUNTIF(C$4:C81,""Cursor_up""),0,0,1,1,2,2,3)+SWITCH(COUNTIF(C$4:C81,""Cursor_up""),4,0.1,0)*(ROW(C81)-4-COUNTIF(C$4"&amp;":C81,""Cursor"")-COUNTIF(C$4:C81,""*""&amp;""_up"")-2*COUNTIF(C$4:C81,""Sell_""&amp;""*"")+COUNTIF(C$4:C81,""Sell_Cursor"")-COUNTIF(C$4:C81,"""")))+(COUNTIF(C$4:C81,""Grandma"")-COUNTIF(C$4:C81,""Sell_Grandma""))*(1*2^(COUNTIF(C$4:C81,""Grandma_up"")+COUNTIF(C$4:"&amp;"C81,""Super_up"")))+(COUNTIF(C$4:C81,""Farm"")-COUNTIF(C$4:C81,""Sell_Farm""))*(8*2^COUNTIF(C$4:C81,""Farm_up""))*IF(COUNTIF(C$4:C81,""Super_up"")&gt;0,1+0.01*(COUNTIF(C$4:C81,""Grandma"")-COUNTIF(C$4:C81,""Sell_Grandma"")),1)+(COUNTIF(C$4:C81,""Mine"")-COUN"&amp;"TIF(C$4:C81,""Sell_Mine""))*((47*2^COUNTIF(C$4:C81,""Mine_up""))*IF(COUNTIF(C$4:C81,""Super_up"")&gt;1,1+0.005*(COUNTIF(C$4:C81,""Grandma"")-COUNTIF(C$4:C81,""Sell_Grandma"")),1))+(COUNTIF(C$4:C81,""Factory"")-COUNTIF(C$4:C81,""Sell_Factory""))*(260*2^COUNTI"&amp;"F(C$4:C81,""Factory_up""))))"),1064.68)</f>
        <v>1064.68</v>
      </c>
      <c r="F81" s="73">
        <f>IFERROR(__xludf.DUMMYFUNCTION("IF(COUNTA(C81:C147)=0,"""",IF(REGEXMATCH(INDEX(FILTER(C$4:C81,C$4:C81&lt;&gt;""""),ROWS(FILTER(C$4:C81,C$4:C81&lt;&gt;""""))),""^Sell_""),INDEX(FILTER(F$4:F80,C$4:C80&lt;&gt;""""),ROWS(FILTER(C$4:C80,C$4:C80&lt;&gt;""""))),$AC$5*(2^SWITCH(COUNTIF(C$4:C81,""Cursor_up""),0,0,1,1,2"&amp;",2,3)+SWITCH(COUNTIF(C$4:C81,""Cursor_up""),4,0.1,0)*(ROW(C81)-4-COUNTIF(C$4:C81,""Cursor"")-COUNTIF(C$4:C81,""*""&amp;""_up"")-2*COUNTIF(C$4:C81,""Sell_""&amp;""*"")+COUNTIF(C$4:C81,""Sell_Cursor"")-COUNTIF(C$4:C81,""""))+0.01*E81*COUNTIF(C$4:C81,""Plastic_up"")"&amp;")+E81))"),4794.04)</f>
        <v>4794.04</v>
      </c>
      <c r="G81" s="14">
        <f>IFERROR(__xludf.DUMMYFUNCTION("IF(COUNTA(C81:C147)=0,"""",IF(REGEXMATCH(C81,""_up""),VLOOKUP(C81,Upgrades!$F$3:$J$8,1+COUNTIF(C$4:C81,C81),FALSE),IF(C81="""",0,IF(REGEXMATCH(C81,""^Sell_""),-ROUNDDOWN(ROUNDUP(INDEX(Upgrades!$C$3:$C$8,MATCH(SUBSTITUTE(C81,""Sell_"",""""),Upgrades!$B$3:$"&amp;"B$8,0))*1.15^(COUNTIF(C$4:C80,SUBSTITUTE(C81,""Sell_"",""""))-COUNTIF(C$4:C80,""Sell_""&amp;SUBSTITUTE(C81,""Sell_"",""""))))/4),ROUNDUP(INDEX(Upgrades!$C$3:$C$7,MATCH(C81,Upgrades!$B$3:$B$7,0))*1.15^(COUNTIF(C$4:C80,C81)-COUNTIF(C$4:C80,""Sell_""&amp;C81)))))))"),3786.0)</f>
        <v>3786</v>
      </c>
      <c r="H81" s="14">
        <f t="shared" si="3"/>
        <v>3786</v>
      </c>
      <c r="I81" s="75">
        <f t="shared" si="4"/>
        <v>8849147.34</v>
      </c>
      <c r="J81" s="76">
        <f t="shared" si="5"/>
        <v>138.222372</v>
      </c>
      <c r="K81" s="71" t="str">
        <f t="shared" si="6"/>
        <v>2m 18s</v>
      </c>
      <c r="L81" s="77">
        <f t="shared" si="7"/>
        <v>331023</v>
      </c>
      <c r="M81" s="51">
        <f t="shared" si="8"/>
        <v>-0.31179</v>
      </c>
      <c r="N81" s="52">
        <f>IFERROR(__xludf.DUMMYFUNCTION("IFS(AND(COUNTA(C81:C147)=0,COUNTA(P81:P147)=0),"""",OR(AND(L81&gt;=1000000,OR(Y81&gt;=1000000,COUNTA(P81:P147)=0)),AND(Y81&gt;=1000000,COUNTA(C81:C147)=0),AND(COUNTA(P81:P147)=0,O$3=TRUE)),
ROUNDDOWN((AB$1-AC$1)*MAX(INDEX(S$4:S147,MATCH(LARGE(FILTER(Y$4:Y147,Y$4:Y"&amp;"147&lt;1000000),1),Y$4:Y147)),INDEX(F$4:F147,MATCH(LARGE(FILTER(L$4:L147,L$4:L147&lt;1000000),1),L$4:L147)))),AND(L81&lt;1000000,COUNTA(C81:C147)&gt;0,O$3=FALSE),
ROUNDDOWN(INDEX(Y$4:Y147,MATCH(LARGE(FILTER(W$4:W147,W$4:W147&lt;=J81),1),W$4:W147))+(J81-LARGE(FILTER(W$4:"&amp;"W147,W$4:W147&lt;=J81),1))*INDEX(S$4:S147,MATCH(LARGE(FILTER(W$4:W147,W$4:W147&lt;=J81),1),W$4:W147))-L81),1,
ROUNDDOWN(Y81-INDEX(L$4:L147,MATCH(LARGE(FILTER(J$4:J147,J$4:J147&lt;=W81),1),J$4:J147))-(W81-LARGE(FILTER(J$4:J147,J$4:J147&lt;=W81),1))*INDEX(F$4:F147,MATC"&amp;"H(LARGE(FILTER(J$4:J147,J$4:J147&lt;=W81),1),J$4:J147))))"),1494.0)</f>
        <v>1494</v>
      </c>
      <c r="O81" s="65">
        <f t="shared" si="9"/>
        <v>27</v>
      </c>
      <c r="P81" s="15" t="s">
        <v>13</v>
      </c>
      <c r="Q81" s="14" t="b">
        <f>IFERROR(__xludf.DUMMYFUNCTION("IF(COUNTA(P81:P147)=0,"""",IFERROR(IF(ISBLANK(P81),FALSE,IF(ISBLANK(T81),1,IF(NOT(COUNTIF($AA$24:$AA$34,SUBSTITUTE(P81,""Sell_"",""""))),1,IF(P81=""Plastic_up"",IF(V81&lt;1000,1),IF(P81=""Super_Up"",IF(OR(COUNTIF(P$4:P81,""Grandma"")-COUNTIF(P$4:P81,""Sell_G"&amp;"randma"")&lt;1,COUNTIF(P$4:P81,VLOOKUP(P81,Upgrades!$F$8:$N$8,7+COUNTIF(P$4:P81,P81)))-COUNTIF(P$4:P81,""Sell_""&amp;VLOOKUP(P81,Upgrades!$F$8:$N$8,7+COUNTIF(P$4:P81,P81)))&lt;15),1),IF(REGEXMATCH(P81,""_up""),IF(COUNTIF(P$4:P81,SUBSTITUTE(P81,""_up"",""""))&lt;IFERRO"&amp;"R(VLOOKUP(P81,Upgrades!$L$3:$P$6,1+COUNTIF(P$4:P81,P81),0),999),1),IF(REGEXMATCH(P81,""Sell_""),IF(COUNTIF(P$4:P81,SUBSTITUTE(P81,""Sell_"",""""))-COUNTIF(P$4:P80,P81)&lt;1,1),FALSE)))))))))"),FALSE)</f>
        <v>0</v>
      </c>
      <c r="R81" s="71">
        <f>IFERROR(__xludf.DUMMYFUNCTION("IF(REGEXMATCH(P81,""^Sell_""),R80, IF(COUNTA(P81:P147)=0,"""",(COUNTIF(P$4:P81,""Cursor"")-COUNTIF(P$4:P81,""Sell_Cursor""))*(0.1*2^SWITCH(COUNTIF(P$4:P81,""Cursor_up""),0,0,1,1,2,2,3)+SWITCH(COUNTIF(P$4:P81,""Cursor_up""),4,0.1,0)*(ROW(P81)-4-COUNTIF(P$4"&amp;":P81,""Cursor"")-COUNTIF(P$4:P81,""*""&amp;""_up"")-2*COUNTIF(P$4:P81,""Sell_""&amp;""*"")+COUNTIF(P$4:P81,""Sell_Cursor"")-COUNTIF(P$4:P81,"""")))+(COUNTIF(P$4:P81,""Grandma"")-COUNTIF(P$4:P81,""Sell_Grandma""))*(1*2^(COUNTIF(P$4:P81,""Grandma_up"")+COUNTIF(P$4:"&amp;"P81,""Super_up"")))+(COUNTIF(P$4:P81,""Farm"")-COUNTIF(P$4:P81,""Sell_Farm""))*(8*2^COUNTIF(P$4:P81,""Farm_up""))*IF(COUNTIF(P$4:P81,""Super_up"")&gt;0,1+0.01*(COUNTIF(P$4:P81,""Grandma"")-COUNTIF(P$4:P81,""Sell_Grandma"")),1)+(COUNTIF(P$4:P81,""Mine"")-COUN"&amp;"TIF(P$4:P81,""Sell_Mine""))*((47*2^COUNTIF(P$4:P81,""Mine_up""))*IF(COUNTIF(P$4:P81,""Super_up"")&gt;1,1+0.005*(COUNTIF(P$4:P81,""Grandma"")-COUNTIF(P$4:P81,""Sell_Grandma"")),1))+(COUNTIF(P$4:P81,""Factory"")-COUNTIF(P$4:P81,""Sell_Factory""))*(260*2^COUNTI"&amp;"F(P$4:P81,""Factory_up""))))"),1064.68)</f>
        <v>1064.68</v>
      </c>
      <c r="S81" s="73">
        <f>IFERROR(__xludf.DUMMYFUNCTION("IF(COUNTA(P81:P147)=0,"""",IF(REGEXMATCH(INDEX(FILTER(P$4:P81,P$4:P81&lt;&gt;""""),ROWS(FILTER(P$4:P81,P$4:P81&lt;&gt;""""))),""^Sell_""),INDEX(FILTER(S$4:S80,P$4:P80&lt;&gt;""""),ROWS(FILTER(P$4:P80,P$4:P80&lt;&gt;""""))),$AD$5*(2^SWITCH(COUNTIF(P$4:P81,""Cursor_up""),0,0,1,1,2"&amp;",2,3)+SWITCH(COUNTIF(P$4:P81,""Cursor_up""),4,0.1,0)*(ROW(P81)-4-COUNTIF(P$4:P81,""Cursor"")-COUNTIF(P$4:P81,""*""&amp;""_up"")-2*COUNTIF(P$4:P81,""Sell_""&amp;""*"")+COUNTIF(P$4:P81,""Sell_Cursor"")-COUNTIF(P$4:P81,""""))+0.01*R81*COUNTIF(P$4:P81,""Plastic_up"")"&amp;")+R81))"),4794.04)</f>
        <v>4794.04</v>
      </c>
      <c r="T81" s="14">
        <f>IFERROR(__xludf.DUMMYFUNCTION("IF(COUNTA(P81:P147)=0,"""",IF(REGEXMATCH(P81,""_up""),VLOOKUP(P81,Upgrades!$F$3:$J$8,1+COUNTIF(P$4:P81,P81),FALSE),IF(P81="""",0,IF(REGEXMATCH(P81,""^Sell_""),-ROUNDDOWN(ROUNDUP(INDEX(Upgrades!$C$3:$C$8,MATCH(SUBSTITUTE(P81,""Sell_"",""""),Upgrades!$B$3:$"&amp;"B$8,0))*1.15^(COUNTIF(P$4:P80,SUBSTITUTE(P81,""Sell_"",""""))-COUNTIF(P$4:P80,""Sell_""&amp;SUBSTITUTE(P81,""Sell_"",""""))))/4),ROUNDUP(INDEX(Upgrades!$C$3:$C$7,MATCH(P81,Upgrades!$B$3:$B$7,0))*1.15^(COUNTIF(P$4:P80,P81)-COUNTIF(P$4:P80,""Sell_""&amp;P81)))))))"),3786.0)</f>
        <v>3786</v>
      </c>
      <c r="U81" s="14">
        <f t="shared" si="10"/>
        <v>3786</v>
      </c>
      <c r="V81" s="75">
        <f t="shared" si="11"/>
        <v>9664229.038</v>
      </c>
      <c r="W81" s="76">
        <f t="shared" si="12"/>
        <v>137.9105806</v>
      </c>
      <c r="X81" s="71" t="str">
        <f t="shared" si="13"/>
        <v>2m 17s</v>
      </c>
      <c r="Y81" s="77">
        <f t="shared" si="14"/>
        <v>331023</v>
      </c>
      <c r="Z81" s="17"/>
      <c r="AA81" s="13"/>
      <c r="AB81" s="13"/>
      <c r="AC81" s="13"/>
      <c r="AD81" s="13"/>
      <c r="AE81" s="13"/>
      <c r="AF81" s="13"/>
      <c r="AG81" s="13"/>
    </row>
    <row r="82">
      <c r="A82" s="12"/>
      <c r="B82" s="65">
        <f t="shared" si="2"/>
        <v>3</v>
      </c>
      <c r="C82" s="66" t="s">
        <v>14</v>
      </c>
      <c r="D82" s="14" t="b">
        <f>IFERROR(__xludf.DUMMYFUNCTION("IF(COUNTA(C82:C147)=0,"""",IFERROR(IF(ISBLANK(C82),FALSE,IF(ISBLANK(G82),1,IF(NOT(COUNTIF($AA$24:$AA$34,SUBSTITUTE(C82,""Sell_"",""""))),1,IF(C82=""Plastic_up"",IF(I82&lt;1000,1),IF(C82=""Super_Up"",IF(OR(COUNTIF(C$4:C82,""Grandma"")-COUNTIF(C$4:C82,""Sell_G"&amp;"randma"")&lt;1,COUNTIF(C$4:C82,VLOOKUP(C82,Upgrades!$F$8:$N$8,7+COUNTIF(C$4:C82,C82)))-COUNTIF(C$4:C82,""Sell_""&amp;VLOOKUP(C82,Upgrades!$F$8:$N$8,7+COUNTIF(C$4:C82,C82)))&lt;15),1),IF(REGEXMATCH(C82,""_up""),IF(COUNTIF(C$4:C82,SUBSTITUTE(C82,""_up"",""""))&lt;IFERRO"&amp;"R(VLOOKUP(C82,Upgrades!$L$3:$P$6,1+COUNTIF(C$4:C82,C82),0),999),1),IF(REGEXMATCH(C82,""Sell_""),IF(COUNTIF(C$4:C82,SUBSTITUTE(C82,""Sell_"",""""))-COUNTIF(C$4:C81,C82)&lt;1,1),FALSE)))))))))"),FALSE)</f>
        <v>0</v>
      </c>
      <c r="E82" s="71">
        <f>IFERROR(__xludf.DUMMYFUNCTION("IF(REGEXMATCH(C82,""^Sell_""),E81, IF(COUNTA(C82:C147)=0,"""",(COUNTIF(C$4:C82,""Cursor"")-COUNTIF(C$4:C82,""Sell_Cursor""))*(0.1*2^SWITCH(COUNTIF(C$4:C82,""Cursor_up""),0,0,1,1,2,2,3)+SWITCH(COUNTIF(C$4:C82,""Cursor_up""),4,0.1,0)*(ROW(C82)-4-COUNTIF(C$4"&amp;":C82,""Cursor"")-COUNTIF(C$4:C82,""*""&amp;""_up"")-2*COUNTIF(C$4:C82,""Sell_""&amp;""*"")+COUNTIF(C$4:C82,""Sell_Cursor"")-COUNTIF(C$4:C82,"""")))+(COUNTIF(C$4:C82,""Grandma"")-COUNTIF(C$4:C82,""Sell_Grandma""))*(1*2^(COUNTIF(C$4:C82,""Grandma_up"")+COUNTIF(C$4:"&amp;"C82,""Super_up"")))+(COUNTIF(C$4:C82,""Farm"")-COUNTIF(C$4:C82,""Sell_Farm""))*(8*2^COUNTIF(C$4:C82,""Farm_up""))*IF(COUNTIF(C$4:C82,""Super_up"")&gt;0,1+0.01*(COUNTIF(C$4:C82,""Grandma"")-COUNTIF(C$4:C82,""Sell_Grandma"")),1)+(COUNTIF(C$4:C82,""Mine"")-COUN"&amp;"TIF(C$4:C82,""Sell_Mine""))*((47*2^COUNTIF(C$4:C82,""Mine_up""))*IF(COUNTIF(C$4:C82,""Super_up"")&gt;1,1+0.005*(COUNTIF(C$4:C82,""Grandma"")-COUNTIF(C$4:C82,""Sell_Grandma"")),1))+(COUNTIF(C$4:C82,""Factory"")-COUNTIF(C$4:C82,""Sell_Factory""))*(260*2^COUNTI"&amp;"F(C$4:C82,""Factory_up""))))"),1280.68)</f>
        <v>1280.68</v>
      </c>
      <c r="F82" s="73">
        <f>IFERROR(__xludf.DUMMYFUNCTION("IF(COUNTA(C82:C147)=0,"""",IF(REGEXMATCH(INDEX(FILTER(C$4:C82,C$4:C82&lt;&gt;""""),ROWS(FILTER(C$4:C82,C$4:C82&lt;&gt;""""))),""^Sell_""),INDEX(FILTER(F$4:F81,C$4:C81&lt;&gt;""""),ROWS(FILTER(C$4:C81,C$4:C81&lt;&gt;""""))),$AC$5*(2^SWITCH(COUNTIF(C$4:C82,""Cursor_up""),0,0,1,1,2"&amp;",2,3)+SWITCH(COUNTIF(C$4:C82,""Cursor_up""),4,0.1,0)*(ROW(C82)-4-COUNTIF(C$4:C82,""Cursor"")-COUNTIF(C$4:C82,""*""&amp;""_up"")-2*COUNTIF(C$4:C82,""Sell_""&amp;""*"")+COUNTIF(C$4:C82,""Sell_Cursor"")-COUNTIF(C$4:C82,""""))+0.01*E82*COUNTIF(C$4:C82,""Plastic_up"")"&amp;")+E82))"),5442.040000000001)</f>
        <v>5442.04</v>
      </c>
      <c r="G82" s="14">
        <f>IFERROR(__xludf.DUMMYFUNCTION("IF(COUNTA(C82:C147)=0,"""",IF(REGEXMATCH(C82,""_up""),VLOOKUP(C82,Upgrades!$F$3:$J$8,1+COUNTIF(C$4:C82,C82),FALSE),IF(C82="""",0,IF(REGEXMATCH(C82,""^Sell_""),-ROUNDDOWN(ROUNDUP(INDEX(Upgrades!$C$3:$C$8,MATCH(SUBSTITUTE(C82,""Sell_"",""""),Upgrades!$B$3:$"&amp;"B$8,0))*1.15^(COUNTIF(C$4:C81,SUBSTITUTE(C82,""Sell_"",""""))-COUNTIF(C$4:C81,""Sell_""&amp;SUBSTITUTE(C82,""Sell_"",""""))))/4),ROUNDUP(INDEX(Upgrades!$C$3:$C$7,MATCH(C82,Upgrades!$B$3:$B$7,0))*1.15^(COUNTIF(C$4:C81,C82)-COUNTIF(C$4:C81,""Sell_""&amp;C82)))))))"),50000.0)</f>
        <v>50000</v>
      </c>
      <c r="H82" s="14">
        <f t="shared" si="3"/>
        <v>50000</v>
      </c>
      <c r="I82" s="75">
        <f t="shared" si="4"/>
        <v>9403524.121</v>
      </c>
      <c r="J82" s="76">
        <f t="shared" si="5"/>
        <v>148.6519888</v>
      </c>
      <c r="K82" s="71" t="str">
        <f t="shared" si="6"/>
        <v>2m 28s</v>
      </c>
      <c r="L82" s="77">
        <f t="shared" si="7"/>
        <v>381023</v>
      </c>
      <c r="M82" s="51">
        <f t="shared" si="8"/>
        <v>-0.31179</v>
      </c>
      <c r="N82" s="52">
        <f>IFERROR(__xludf.DUMMYFUNCTION("IFS(AND(COUNTA(C82:C147)=0,COUNTA(P82:P147)=0),"""",OR(AND(L82&gt;=1000000,OR(Y82&gt;=1000000,COUNTA(P82:P147)=0)),AND(Y82&gt;=1000000,COUNTA(C82:C147)=0),AND(COUNTA(P82:P147)=0,O$3=TRUE)),
ROUNDDOWN((AB$1-AC$1)*MAX(INDEX(S$4:S147,MATCH(LARGE(FILTER(Y$4:Y147,Y$4:Y"&amp;"147&lt;1000000),1),Y$4:Y147)),INDEX(F$4:F147,MATCH(LARGE(FILTER(L$4:L147,L$4:L147&lt;1000000),1),L$4:L147)))),AND(L82&lt;1000000,COUNTA(C82:C147)&gt;0,O$3=FALSE),
ROUNDDOWN(INDEX(Y$4:Y147,MATCH(LARGE(FILTER(W$4:W147,W$4:W147&lt;=J82),1),W$4:W147))+(J82-LARGE(FILTER(W$4:"&amp;"W147,W$4:W147&lt;=J82),1))*INDEX(S$4:S147,MATCH(LARGE(FILTER(W$4:W147,W$4:W147&lt;=J82),1),W$4:W147))-L82),1,
ROUNDDOWN(Y82-INDEX(L$4:L147,MATCH(LARGE(FILTER(J$4:J147,J$4:J147&lt;=W82),1),J$4:J147))-(W82-LARGE(FILTER(J$4:J147,J$4:J147&lt;=W82),1))*INDEX(F$4:F147,MATC"&amp;"H(LARGE(FILTER(J$4:J147,J$4:J147&lt;=W82),1),J$4:J147))))"),1696.0)</f>
        <v>1696</v>
      </c>
      <c r="O82" s="65">
        <f t="shared" si="9"/>
        <v>3</v>
      </c>
      <c r="P82" s="15" t="s">
        <v>14</v>
      </c>
      <c r="Q82" s="14" t="b">
        <f>IFERROR(__xludf.DUMMYFUNCTION("IF(COUNTA(P82:P147)=0,"""",IFERROR(IF(ISBLANK(P82),FALSE,IF(ISBLANK(T82),1,IF(NOT(COUNTIF($AA$24:$AA$34,SUBSTITUTE(P82,""Sell_"",""""))),1,IF(P82=""Plastic_up"",IF(V82&lt;1000,1),IF(P82=""Super_Up"",IF(OR(COUNTIF(P$4:P82,""Grandma"")-COUNTIF(P$4:P82,""Sell_G"&amp;"randma"")&lt;1,COUNTIF(P$4:P82,VLOOKUP(P82,Upgrades!$F$8:$N$8,7+COUNTIF(P$4:P82,P82)))-COUNTIF(P$4:P82,""Sell_""&amp;VLOOKUP(P82,Upgrades!$F$8:$N$8,7+COUNTIF(P$4:P82,P82)))&lt;15),1),IF(REGEXMATCH(P82,""_up""),IF(COUNTIF(P$4:P82,SUBSTITUTE(P82,""_up"",""""))&lt;IFERRO"&amp;"R(VLOOKUP(P82,Upgrades!$L$3:$P$6,1+COUNTIF(P$4:P82,P82),0),999),1),IF(REGEXMATCH(P82,""Sell_""),IF(COUNTIF(P$4:P82,SUBSTITUTE(P82,""Sell_"",""""))-COUNTIF(P$4:P81,P82)&lt;1,1),FALSE)))))))))"),FALSE)</f>
        <v>0</v>
      </c>
      <c r="R82" s="71">
        <f>IFERROR(__xludf.DUMMYFUNCTION("IF(REGEXMATCH(P82,""^Sell_""),R81, IF(COUNTA(P82:P147)=0,"""",(COUNTIF(P$4:P82,""Cursor"")-COUNTIF(P$4:P82,""Sell_Cursor""))*(0.1*2^SWITCH(COUNTIF(P$4:P82,""Cursor_up""),0,0,1,1,2,2,3)+SWITCH(COUNTIF(P$4:P82,""Cursor_up""),4,0.1,0)*(ROW(P82)-4-COUNTIF(P$4"&amp;":P82,""Cursor"")-COUNTIF(P$4:P82,""*""&amp;""_up"")-2*COUNTIF(P$4:P82,""Sell_""&amp;""*"")+COUNTIF(P$4:P82,""Sell_Cursor"")-COUNTIF(P$4:P82,"""")))+(COUNTIF(P$4:P82,""Grandma"")-COUNTIF(P$4:P82,""Sell_Grandma""))*(1*2^(COUNTIF(P$4:P82,""Grandma_up"")+COUNTIF(P$4:"&amp;"P82,""Super_up"")))+(COUNTIF(P$4:P82,""Farm"")-COUNTIF(P$4:P82,""Sell_Farm""))*(8*2^COUNTIF(P$4:P82,""Farm_up""))*IF(COUNTIF(P$4:P82,""Super_up"")&gt;0,1+0.01*(COUNTIF(P$4:P82,""Grandma"")-COUNTIF(P$4:P82,""Sell_Grandma"")),1)+(COUNTIF(P$4:P82,""Mine"")-COUN"&amp;"TIF(P$4:P82,""Sell_Mine""))*((47*2^COUNTIF(P$4:P82,""Mine_up""))*IF(COUNTIF(P$4:P82,""Super_up"")&gt;1,1+0.005*(COUNTIF(P$4:P82,""Grandma"")-COUNTIF(P$4:P82,""Sell_Grandma"")),1))+(COUNTIF(P$4:P82,""Factory"")-COUNTIF(P$4:P82,""Sell_Factory""))*(260*2^COUNTI"&amp;"F(P$4:P82,""Factory_up""))))"),1280.68)</f>
        <v>1280.68</v>
      </c>
      <c r="S82" s="73">
        <f>IFERROR(__xludf.DUMMYFUNCTION("IF(COUNTA(P82:P147)=0,"""",IF(REGEXMATCH(INDEX(FILTER(P$4:P82,P$4:P82&lt;&gt;""""),ROWS(FILTER(P$4:P82,P$4:P82&lt;&gt;""""))),""^Sell_""),INDEX(FILTER(S$4:S81,P$4:P81&lt;&gt;""""),ROWS(FILTER(P$4:P81,P$4:P81&lt;&gt;""""))),$AD$5*(2^SWITCH(COUNTIF(P$4:P82,""Cursor_up""),0,0,1,1,2"&amp;",2,3)+SWITCH(COUNTIF(P$4:P82,""Cursor_up""),4,0.1,0)*(ROW(P82)-4-COUNTIF(P$4:P82,""Cursor"")-COUNTIF(P$4:P82,""*""&amp;""_up"")-2*COUNTIF(P$4:P82,""Sell_""&amp;""*"")+COUNTIF(P$4:P82,""Sell_Cursor"")-COUNTIF(P$4:P82,""""))+0.01*R82*COUNTIF(P$4:P82,""Plastic_up"")"&amp;")+R82))"),5442.040000000001)</f>
        <v>5442.04</v>
      </c>
      <c r="T82" s="14">
        <f>IFERROR(__xludf.DUMMYFUNCTION("IF(COUNTA(P82:P147)=0,"""",IF(REGEXMATCH(P82,""_up""),VLOOKUP(P82,Upgrades!$F$3:$J$8,1+COUNTIF(P$4:P82,P82),FALSE),IF(P82="""",0,IF(REGEXMATCH(P82,""^Sell_""),-ROUNDDOWN(ROUNDUP(INDEX(Upgrades!$C$3:$C$8,MATCH(SUBSTITUTE(P82,""Sell_"",""""),Upgrades!$B$3:$"&amp;"B$8,0))*1.15^(COUNTIF(P$4:P81,SUBSTITUTE(P82,""Sell_"",""""))-COUNTIF(P$4:P81,""Sell_""&amp;SUBSTITUTE(P82,""Sell_"",""""))))/4),ROUNDUP(INDEX(Upgrades!$C$3:$C$7,MATCH(P82,Upgrades!$B$3:$B$7,0))*1.15^(COUNTIF(P$4:P81,P82)-COUNTIF(P$4:P81,""Sell_""&amp;P82)))))))"),50000.0)</f>
        <v>50000</v>
      </c>
      <c r="U82" s="14">
        <f t="shared" si="10"/>
        <v>50000</v>
      </c>
      <c r="V82" s="75">
        <f t="shared" si="11"/>
        <v>10217443.04</v>
      </c>
      <c r="W82" s="76">
        <f t="shared" si="12"/>
        <v>148.3401973</v>
      </c>
      <c r="X82" s="71" t="str">
        <f t="shared" si="13"/>
        <v>2m 28s</v>
      </c>
      <c r="Y82" s="77">
        <f t="shared" si="14"/>
        <v>381023</v>
      </c>
      <c r="Z82" s="17"/>
      <c r="AA82" s="13"/>
      <c r="AB82" s="13"/>
      <c r="AC82" s="13"/>
      <c r="AD82" s="13"/>
      <c r="AE82" s="13"/>
      <c r="AF82" s="13"/>
      <c r="AG82" s="13"/>
    </row>
    <row r="83">
      <c r="A83" s="12"/>
      <c r="B83" s="65">
        <f t="shared" si="2"/>
        <v>28</v>
      </c>
      <c r="C83" s="66" t="s">
        <v>13</v>
      </c>
      <c r="D83" s="14" t="b">
        <f>IFERROR(__xludf.DUMMYFUNCTION("IF(COUNTA(C83:C147)=0,"""",IFERROR(IF(ISBLANK(C83),FALSE,IF(ISBLANK(G83),1,IF(NOT(COUNTIF($AA$24:$AA$34,SUBSTITUTE(C83,""Sell_"",""""))),1,IF(C83=""Plastic_up"",IF(I83&lt;1000,1),IF(C83=""Super_Up"",IF(OR(COUNTIF(C$4:C83,""Grandma"")-COUNTIF(C$4:C83,""Sell_G"&amp;"randma"")&lt;1,COUNTIF(C$4:C83,VLOOKUP(C83,Upgrades!$F$8:$N$8,7+COUNTIF(C$4:C83,C83)))-COUNTIF(C$4:C83,""Sell_""&amp;VLOOKUP(C83,Upgrades!$F$8:$N$8,7+COUNTIF(C$4:C83,C83)))&lt;15),1),IF(REGEXMATCH(C83,""_up""),IF(COUNTIF(C$4:C83,SUBSTITUTE(C83,""_up"",""""))&lt;IFERRO"&amp;"R(VLOOKUP(C83,Upgrades!$L$3:$P$6,1+COUNTIF(C$4:C83,C83),0),999),1),IF(REGEXMATCH(C83,""Sell_""),IF(COUNTIF(C$4:C83,SUBSTITUTE(C83,""Sell_"",""""))-COUNTIF(C$4:C82,C83)&lt;1,1),FALSE)))))))))"),FALSE)</f>
        <v>0</v>
      </c>
      <c r="E83" s="71">
        <f>IFERROR(__xludf.DUMMYFUNCTION("IF(REGEXMATCH(C83,""^Sell_""),E82, IF(COUNTA(C83:C147)=0,"""",(COUNTIF(C$4:C83,""Cursor"")-COUNTIF(C$4:C83,""Sell_Cursor""))*(0.1*2^SWITCH(COUNTIF(C$4:C83,""Cursor_up""),0,0,1,1,2,2,3)+SWITCH(COUNTIF(C$4:C83,""Cursor_up""),4,0.1,0)*(ROW(C83)-4-COUNTIF(C$4"&amp;":C83,""Cursor"")-COUNTIF(C$4:C83,""*""&amp;""_up"")-2*COUNTIF(C$4:C83,""Sell_""&amp;""*"")+COUNTIF(C$4:C83,""Sell_Cursor"")-COUNTIF(C$4:C83,"""")))+(COUNTIF(C$4:C83,""Grandma"")-COUNTIF(C$4:C83,""Sell_Grandma""))*(1*2^(COUNTIF(C$4:C83,""Grandma_up"")+COUNTIF(C$4:"&amp;"C83,""Super_up"")))+(COUNTIF(C$4:C83,""Farm"")-COUNTIF(C$4:C83,""Sell_Farm""))*(8*2^COUNTIF(C$4:C83,""Farm_up""))*IF(COUNTIF(C$4:C83,""Super_up"")&gt;0,1+0.01*(COUNTIF(C$4:C83,""Grandma"")-COUNTIF(C$4:C83,""Sell_Grandma"")),1)+(COUNTIF(C$4:C83,""Mine"")-COUN"&amp;"TIF(C$4:C83,""Sell_Mine""))*((47*2^COUNTIF(C$4:C83,""Mine_up""))*IF(COUNTIF(C$4:C83,""Super_up"")&gt;1,1+0.005*(COUNTIF(C$4:C83,""Grandma"")-COUNTIF(C$4:C83,""Sell_Grandma"")),1))+(COUNTIF(C$4:C83,""Factory"")-COUNTIF(C$4:C83,""Sell_Factory""))*(260*2^COUNTI"&amp;"F(C$4:C83,""Factory_up""))))"),1302.1200000000001)</f>
        <v>1302.12</v>
      </c>
      <c r="F83" s="73">
        <f>IFERROR(__xludf.DUMMYFUNCTION("IF(COUNTA(C83:C147)=0,"""",IF(REGEXMATCH(INDEX(FILTER(C$4:C83,C$4:C83&lt;&gt;""""),ROWS(FILTER(C$4:C83,C$4:C83&lt;&gt;""""))),""^Sell_""),INDEX(FILTER(F$4:F82,C$4:C82&lt;&gt;""""),ROWS(FILTER(C$4:C82,C$4:C82&lt;&gt;""""))),$AC$5*(2^SWITCH(COUNTIF(C$4:C83,""Cursor_up""),0,0,1,1,2"&amp;",2,3)+SWITCH(COUNTIF(C$4:C83,""Cursor_up""),4,0.1,0)*(ROW(C83)-4-COUNTIF(C$4:C83,""Cursor"")-COUNTIF(C$4:C83,""*""&amp;""_up"")-2*COUNTIF(C$4:C83,""Sell_""&amp;""*"")+COUNTIF(C$4:C83,""Sell_Cursor"")-COUNTIF(C$4:C83,""""))+0.01*E83*COUNTIF(C$4:C83,""Plastic_up"")"&amp;")+E83))"),5506.36)</f>
        <v>5506.36</v>
      </c>
      <c r="G83" s="14">
        <f>IFERROR(__xludf.DUMMYFUNCTION("IF(COUNTA(C83:C147)=0,"""",IF(REGEXMATCH(C83,""_up""),VLOOKUP(C83,Upgrades!$F$3:$J$8,1+COUNTIF(C$4:C83,C83),FALSE),IF(C83="""",0,IF(REGEXMATCH(C83,""^Sell_""),-ROUNDDOWN(ROUNDUP(INDEX(Upgrades!$C$3:$C$8,MATCH(SUBSTITUTE(C83,""Sell_"",""""),Upgrades!$B$3:$"&amp;"B$8,0))*1.15^(COUNTIF(C$4:C82,SUBSTITUTE(C83,""Sell_"",""""))-COUNTIF(C$4:C82,""Sell_""&amp;SUBSTITUTE(C83,""Sell_"",""""))))/4),ROUNDUP(INDEX(Upgrades!$C$3:$C$7,MATCH(C83,Upgrades!$B$3:$B$7,0))*1.15^(COUNTIF(C$4:C82,C83)-COUNTIF(C$4:C82,""Sell_""&amp;C83)))))))"),4354.0)</f>
        <v>4354</v>
      </c>
      <c r="H83" s="14">
        <f t="shared" si="3"/>
        <v>4354</v>
      </c>
      <c r="I83" s="75">
        <f t="shared" si="4"/>
        <v>10025447.93</v>
      </c>
      <c r="J83" s="76">
        <f t="shared" si="5"/>
        <v>149.4520564</v>
      </c>
      <c r="K83" s="71" t="str">
        <f t="shared" si="6"/>
        <v>2m 29s</v>
      </c>
      <c r="L83" s="77">
        <f t="shared" si="7"/>
        <v>385377</v>
      </c>
      <c r="M83" s="51">
        <f t="shared" si="8"/>
        <v>-0.31179</v>
      </c>
      <c r="N83" s="52">
        <f>IFERROR(__xludf.DUMMYFUNCTION("IFS(AND(COUNTA(C83:C147)=0,COUNTA(P83:P147)=0),"""",OR(AND(L83&gt;=1000000,OR(Y83&gt;=1000000,COUNTA(P83:P147)=0)),AND(Y83&gt;=1000000,COUNTA(C83:C147)=0),AND(COUNTA(P83:P147)=0,O$3=TRUE)),
ROUNDDOWN((AB$1-AC$1)*MAX(INDEX(S$4:S147,MATCH(LARGE(FILTER(Y$4:Y147,Y$4:Y"&amp;"147&lt;1000000),1),Y$4:Y147)),INDEX(F$4:F147,MATCH(LARGE(FILTER(L$4:L147,L$4:L147&lt;1000000),1),L$4:L147)))),AND(L83&lt;1000000,COUNTA(C83:C147)&gt;0,O$3=FALSE),
ROUNDDOWN(INDEX(Y$4:Y147,MATCH(LARGE(FILTER(W$4:W147,W$4:W147&lt;=J83),1),W$4:W147))+(J83-LARGE(FILTER(W$4:"&amp;"W147,W$4:W147&lt;=J83),1))*INDEX(S$4:S147,MATCH(LARGE(FILTER(W$4:W147,W$4:W147&lt;=J83),1),W$4:W147))-L83),1,
ROUNDDOWN(Y83-INDEX(L$4:L147,MATCH(LARGE(FILTER(J$4:J147,J$4:J147&lt;=W83),1),J$4:J147))-(W83-LARGE(FILTER(J$4:J147,J$4:J147&lt;=W83),1))*INDEX(F$4:F147,MATC"&amp;"H(LARGE(FILTER(J$4:J147,J$4:J147&lt;=W83),1),J$4:J147))))"),1716.0)</f>
        <v>1716</v>
      </c>
      <c r="O83" s="65">
        <f t="shared" si="9"/>
        <v>28</v>
      </c>
      <c r="P83" s="15" t="s">
        <v>13</v>
      </c>
      <c r="Q83" s="14" t="b">
        <f>IFERROR(__xludf.DUMMYFUNCTION("IF(COUNTA(P83:P147)=0,"""",IFERROR(IF(ISBLANK(P83),FALSE,IF(ISBLANK(T83),1,IF(NOT(COUNTIF($AA$24:$AA$34,SUBSTITUTE(P83,""Sell_"",""""))),1,IF(P83=""Plastic_up"",IF(V83&lt;1000,1),IF(P83=""Super_Up"",IF(OR(COUNTIF(P$4:P83,""Grandma"")-COUNTIF(P$4:P83,""Sell_G"&amp;"randma"")&lt;1,COUNTIF(P$4:P83,VLOOKUP(P83,Upgrades!$F$8:$N$8,7+COUNTIF(P$4:P83,P83)))-COUNTIF(P$4:P83,""Sell_""&amp;VLOOKUP(P83,Upgrades!$F$8:$N$8,7+COUNTIF(P$4:P83,P83)))&lt;15),1),IF(REGEXMATCH(P83,""_up""),IF(COUNTIF(P$4:P83,SUBSTITUTE(P83,""_up"",""""))&lt;IFERRO"&amp;"R(VLOOKUP(P83,Upgrades!$L$3:$P$6,1+COUNTIF(P$4:P83,P83),0),999),1),IF(REGEXMATCH(P83,""Sell_""),IF(COUNTIF(P$4:P83,SUBSTITUTE(P83,""Sell_"",""""))-COUNTIF(P$4:P82,P83)&lt;1,1),FALSE)))))))))"),FALSE)</f>
        <v>0</v>
      </c>
      <c r="R83" s="71">
        <f>IFERROR(__xludf.DUMMYFUNCTION("IF(REGEXMATCH(P83,""^Sell_""),R82, IF(COUNTA(P83:P147)=0,"""",(COUNTIF(P$4:P83,""Cursor"")-COUNTIF(P$4:P83,""Sell_Cursor""))*(0.1*2^SWITCH(COUNTIF(P$4:P83,""Cursor_up""),0,0,1,1,2,2,3)+SWITCH(COUNTIF(P$4:P83,""Cursor_up""),4,0.1,0)*(ROW(P83)-4-COUNTIF(P$4"&amp;":P83,""Cursor"")-COUNTIF(P$4:P83,""*""&amp;""_up"")-2*COUNTIF(P$4:P83,""Sell_""&amp;""*"")+COUNTIF(P$4:P83,""Sell_Cursor"")-COUNTIF(P$4:P83,"""")))+(COUNTIF(P$4:P83,""Grandma"")-COUNTIF(P$4:P83,""Sell_Grandma""))*(1*2^(COUNTIF(P$4:P83,""Grandma_up"")+COUNTIF(P$4:"&amp;"P83,""Super_up"")))+(COUNTIF(P$4:P83,""Farm"")-COUNTIF(P$4:P83,""Sell_Farm""))*(8*2^COUNTIF(P$4:P83,""Farm_up""))*IF(COUNTIF(P$4:P83,""Super_up"")&gt;0,1+0.01*(COUNTIF(P$4:P83,""Grandma"")-COUNTIF(P$4:P83,""Sell_Grandma"")),1)+(COUNTIF(P$4:P83,""Mine"")-COUN"&amp;"TIF(P$4:P83,""Sell_Mine""))*((47*2^COUNTIF(P$4:P83,""Mine_up""))*IF(COUNTIF(P$4:P83,""Super_up"")&gt;1,1+0.005*(COUNTIF(P$4:P83,""Grandma"")-COUNTIF(P$4:P83,""Sell_Grandma"")),1))+(COUNTIF(P$4:P83,""Factory"")-COUNTIF(P$4:P83,""Sell_Factory""))*(260*2^COUNTI"&amp;"F(P$4:P83,""Factory_up""))))"),1302.1200000000001)</f>
        <v>1302.12</v>
      </c>
      <c r="S83" s="73">
        <f>IFERROR(__xludf.DUMMYFUNCTION("IF(COUNTA(P83:P147)=0,"""",IF(REGEXMATCH(INDEX(FILTER(P$4:P83,P$4:P83&lt;&gt;""""),ROWS(FILTER(P$4:P83,P$4:P83&lt;&gt;""""))),""^Sell_""),INDEX(FILTER(S$4:S82,P$4:P82&lt;&gt;""""),ROWS(FILTER(P$4:P82,P$4:P82&lt;&gt;""""))),$AD$5*(2^SWITCH(COUNTIF(P$4:P83,""Cursor_up""),0,0,1,1,2"&amp;",2,3)+SWITCH(COUNTIF(P$4:P83,""Cursor_up""),4,0.1,0)*(ROW(P83)-4-COUNTIF(P$4:P83,""Cursor"")-COUNTIF(P$4:P83,""*""&amp;""_up"")-2*COUNTIF(P$4:P83,""Sell_""&amp;""*"")+COUNTIF(P$4:P83,""Sell_Cursor"")-COUNTIF(P$4:P83,""""))+0.01*R83*COUNTIF(P$4:P83,""Plastic_up"")"&amp;")+R83))"),5506.36)</f>
        <v>5506.36</v>
      </c>
      <c r="T83" s="14">
        <f>IFERROR(__xludf.DUMMYFUNCTION("IF(COUNTA(P83:P147)=0,"""",IF(REGEXMATCH(P83,""_up""),VLOOKUP(P83,Upgrades!$F$3:$J$8,1+COUNTIF(P$4:P83,P83),FALSE),IF(P83="""",0,IF(REGEXMATCH(P83,""^Sell_""),-ROUNDDOWN(ROUNDUP(INDEX(Upgrades!$C$3:$C$8,MATCH(SUBSTITUTE(P83,""Sell_"",""""),Upgrades!$B$3:$"&amp;"B$8,0))*1.15^(COUNTIF(P$4:P82,SUBSTITUTE(P83,""Sell_"",""""))-COUNTIF(P$4:P82,""Sell_""&amp;SUBSTITUTE(P83,""Sell_"",""""))))/4),ROUNDUP(INDEX(Upgrades!$C$3:$C$7,MATCH(P83,Upgrades!$B$3:$B$7,0))*1.15^(COUNTIF(P$4:P82,P83)-COUNTIF(P$4:P82,""Sell_""&amp;P83)))))))"),4354.0)</f>
        <v>4354</v>
      </c>
      <c r="U83" s="14">
        <f t="shared" si="10"/>
        <v>4354</v>
      </c>
      <c r="V83" s="75">
        <f t="shared" si="11"/>
        <v>10838069.37</v>
      </c>
      <c r="W83" s="76">
        <f t="shared" si="12"/>
        <v>149.140265</v>
      </c>
      <c r="X83" s="71" t="str">
        <f t="shared" si="13"/>
        <v>2m 29s</v>
      </c>
      <c r="Y83" s="77">
        <f t="shared" si="14"/>
        <v>385377</v>
      </c>
      <c r="Z83" s="17"/>
      <c r="AA83" s="13"/>
      <c r="AB83" s="13"/>
      <c r="AC83" s="13"/>
      <c r="AD83" s="13"/>
      <c r="AE83" s="13"/>
      <c r="AF83" s="13"/>
      <c r="AG83" s="13"/>
    </row>
    <row r="84">
      <c r="A84" s="12"/>
      <c r="B84" s="65">
        <f t="shared" si="2"/>
        <v>29</v>
      </c>
      <c r="C84" s="66" t="s">
        <v>13</v>
      </c>
      <c r="D84" s="14" t="b">
        <f>IFERROR(__xludf.DUMMYFUNCTION("IF(COUNTA(C84:C147)=0,"""",IFERROR(IF(ISBLANK(C84),FALSE,IF(ISBLANK(G84),1,IF(NOT(COUNTIF($AA$24:$AA$34,SUBSTITUTE(C84,""Sell_"",""""))),1,IF(C84=""Plastic_up"",IF(I84&lt;1000,1),IF(C84=""Super_Up"",IF(OR(COUNTIF(C$4:C84,""Grandma"")-COUNTIF(C$4:C84,""Sell_G"&amp;"randma"")&lt;1,COUNTIF(C$4:C84,VLOOKUP(C84,Upgrades!$F$8:$N$8,7+COUNTIF(C$4:C84,C84)))-COUNTIF(C$4:C84,""Sell_""&amp;VLOOKUP(C84,Upgrades!$F$8:$N$8,7+COUNTIF(C$4:C84,C84)))&lt;15),1),IF(REGEXMATCH(C84,""_up""),IF(COUNTIF(C$4:C84,SUBSTITUTE(C84,""_up"",""""))&lt;IFERRO"&amp;"R(VLOOKUP(C84,Upgrades!$L$3:$P$6,1+COUNTIF(C$4:C84,C84),0),999),1),IF(REGEXMATCH(C84,""Sell_""),IF(COUNTIF(C$4:C84,SUBSTITUTE(C84,""Sell_"",""""))-COUNTIF(C$4:C83,C84)&lt;1,1),FALSE)))))))))"),FALSE)</f>
        <v>0</v>
      </c>
      <c r="E84" s="71">
        <f>IFERROR(__xludf.DUMMYFUNCTION("IF(REGEXMATCH(C84,""^Sell_""),E83, IF(COUNTA(C84:C147)=0,"""",(COUNTIF(C$4:C84,""Cursor"")-COUNTIF(C$4:C84,""Sell_Cursor""))*(0.1*2^SWITCH(COUNTIF(C$4:C84,""Cursor_up""),0,0,1,1,2,2,3)+SWITCH(COUNTIF(C$4:C84,""Cursor_up""),4,0.1,0)*(ROW(C84)-4-COUNTIF(C$4"&amp;":C84,""Cursor"")-COUNTIF(C$4:C84,""*""&amp;""_up"")-2*COUNTIF(C$4:C84,""Sell_""&amp;""*"")+COUNTIF(C$4:C84,""Sell_Cursor"")-COUNTIF(C$4:C84,"""")))+(COUNTIF(C$4:C84,""Grandma"")-COUNTIF(C$4:C84,""Sell_Grandma""))*(1*2^(COUNTIF(C$4:C84,""Grandma_up"")+COUNTIF(C$4:"&amp;"C84,""Super_up"")))+(COUNTIF(C$4:C84,""Farm"")-COUNTIF(C$4:C84,""Sell_Farm""))*(8*2^COUNTIF(C$4:C84,""Farm_up""))*IF(COUNTIF(C$4:C84,""Super_up"")&gt;0,1+0.01*(COUNTIF(C$4:C84,""Grandma"")-COUNTIF(C$4:C84,""Sell_Grandma"")),1)+(COUNTIF(C$4:C84,""Mine"")-COUN"&amp;"TIF(C$4:C84,""Sell_Mine""))*((47*2^COUNTIF(C$4:C84,""Mine_up""))*IF(COUNTIF(C$4:C84,""Super_up"")&gt;1,1+0.005*(COUNTIF(C$4:C84,""Grandma"")-COUNTIF(C$4:C84,""Sell_Grandma"")),1))+(COUNTIF(C$4:C84,""Factory"")-COUNTIF(C$4:C84,""Sell_Factory""))*(260*2^COUNTI"&amp;"F(C$4:C84,""Factory_up""))))"),1323.56)</f>
        <v>1323.56</v>
      </c>
      <c r="F84" s="73">
        <f>IFERROR(__xludf.DUMMYFUNCTION("IF(COUNTA(C84:C147)=0,"""",IF(REGEXMATCH(INDEX(FILTER(C$4:C84,C$4:C84&lt;&gt;""""),ROWS(FILTER(C$4:C84,C$4:C84&lt;&gt;""""))),""^Sell_""),INDEX(FILTER(F$4:F83,C$4:C83&lt;&gt;""""),ROWS(FILTER(C$4:C83,C$4:C83&lt;&gt;""""))),$AC$5*(2^SWITCH(COUNTIF(C$4:C84,""Cursor_up""),0,0,1,1,2"&amp;",2,3)+SWITCH(COUNTIF(C$4:C84,""Cursor_up""),4,0.1,0)*(ROW(C84)-4-COUNTIF(C$4:C84,""Cursor"")-COUNTIF(C$4:C84,""*""&amp;""_up"")-2*COUNTIF(C$4:C84,""Sell_""&amp;""*"")+COUNTIF(C$4:C84,""Sell_Cursor"")-COUNTIF(C$4:C84,""""))+0.01*E84*COUNTIF(C$4:C84,""Plastic_up"")"&amp;")+E84))"),5570.68)</f>
        <v>5570.68</v>
      </c>
      <c r="G84" s="14">
        <f>IFERROR(__xludf.DUMMYFUNCTION("IF(COUNTA(C84:C147)=0,"""",IF(REGEXMATCH(C84,""_up""),VLOOKUP(C84,Upgrades!$F$3:$J$8,1+COUNTIF(C$4:C84,C84),FALSE),IF(C84="""",0,IF(REGEXMATCH(C84,""^Sell_""),-ROUNDDOWN(ROUNDUP(INDEX(Upgrades!$C$3:$C$8,MATCH(SUBSTITUTE(C84,""Sell_"",""""),Upgrades!$B$3:$"&amp;"B$8,0))*1.15^(COUNTIF(C$4:C83,SUBSTITUTE(C84,""Sell_"",""""))-COUNTIF(C$4:C83,""Sell_""&amp;SUBSTITUTE(C84,""Sell_"",""""))))/4),ROUNDUP(INDEX(Upgrades!$C$3:$C$7,MATCH(C84,Upgrades!$B$3:$B$7,0))*1.15^(COUNTIF(C$4:C83,C84)-COUNTIF(C$4:C83,""Sell_""&amp;C84)))))))"),5007.0)</f>
        <v>5007</v>
      </c>
      <c r="H84" s="14">
        <f t="shared" si="3"/>
        <v>5007</v>
      </c>
      <c r="I84" s="75">
        <f t="shared" si="4"/>
        <v>10657603.21</v>
      </c>
      <c r="J84" s="76">
        <f t="shared" si="5"/>
        <v>150.3613686</v>
      </c>
      <c r="K84" s="71" t="str">
        <f t="shared" si="6"/>
        <v>2m 30s</v>
      </c>
      <c r="L84" s="77">
        <f t="shared" si="7"/>
        <v>390384</v>
      </c>
      <c r="M84" s="51">
        <f t="shared" si="8"/>
        <v>-0.31179</v>
      </c>
      <c r="N84" s="52">
        <f>IFERROR(__xludf.DUMMYFUNCTION("IFS(AND(COUNTA(C84:C147)=0,COUNTA(P84:P147)=0),"""",OR(AND(L84&gt;=1000000,OR(Y84&gt;=1000000,COUNTA(P84:P147)=0)),AND(Y84&gt;=1000000,COUNTA(C84:C147)=0),AND(COUNTA(P84:P147)=0,O$3=TRUE)),
ROUNDDOWN((AB$1-AC$1)*MAX(INDEX(S$4:S147,MATCH(LARGE(FILTER(Y$4:Y147,Y$4:Y"&amp;"147&lt;1000000),1),Y$4:Y147)),INDEX(F$4:F147,MATCH(LARGE(FILTER(L$4:L147,L$4:L147&lt;1000000),1),L$4:L147)))),AND(L84&lt;1000000,COUNTA(C84:C147)&gt;0,O$3=FALSE),
ROUNDDOWN(INDEX(Y$4:Y147,MATCH(LARGE(FILTER(W$4:W147,W$4:W147&lt;=J84),1),W$4:W147))+(J84-LARGE(FILTER(W$4:"&amp;"W147,W$4:W147&lt;=J84),1))*INDEX(S$4:S147,MATCH(LARGE(FILTER(W$4:W147,W$4:W147&lt;=J84),1),W$4:W147))-L84),1,
ROUNDDOWN(Y84-INDEX(L$4:L147,MATCH(LARGE(FILTER(J$4:J147,J$4:J147&lt;=W84),1),J$4:J147))-(W84-LARGE(FILTER(J$4:J147,J$4:J147&lt;=W84),1))*INDEX(F$4:F147,MATC"&amp;"H(LARGE(FILTER(J$4:J147,J$4:J147&lt;=W84),1),J$4:J147))))"),1736.0)</f>
        <v>1736</v>
      </c>
      <c r="O84" s="65">
        <f t="shared" si="9"/>
        <v>29</v>
      </c>
      <c r="P84" s="15" t="s">
        <v>13</v>
      </c>
      <c r="Q84" s="14" t="b">
        <f>IFERROR(__xludf.DUMMYFUNCTION("IF(COUNTA(P84:P147)=0,"""",IFERROR(IF(ISBLANK(P84),FALSE,IF(ISBLANK(T84),1,IF(NOT(COUNTIF($AA$24:$AA$34,SUBSTITUTE(P84,""Sell_"",""""))),1,IF(P84=""Plastic_up"",IF(V84&lt;1000,1),IF(P84=""Super_Up"",IF(OR(COUNTIF(P$4:P84,""Grandma"")-COUNTIF(P$4:P84,""Sell_G"&amp;"randma"")&lt;1,COUNTIF(P$4:P84,VLOOKUP(P84,Upgrades!$F$8:$N$8,7+COUNTIF(P$4:P84,P84)))-COUNTIF(P$4:P84,""Sell_""&amp;VLOOKUP(P84,Upgrades!$F$8:$N$8,7+COUNTIF(P$4:P84,P84)))&lt;15),1),IF(REGEXMATCH(P84,""_up""),IF(COUNTIF(P$4:P84,SUBSTITUTE(P84,""_up"",""""))&lt;IFERRO"&amp;"R(VLOOKUP(P84,Upgrades!$L$3:$P$6,1+COUNTIF(P$4:P84,P84),0),999),1),IF(REGEXMATCH(P84,""Sell_""),IF(COUNTIF(P$4:P84,SUBSTITUTE(P84,""Sell_"",""""))-COUNTIF(P$4:P83,P84)&lt;1,1),FALSE)))))))))"),FALSE)</f>
        <v>0</v>
      </c>
      <c r="R84" s="71">
        <f>IFERROR(__xludf.DUMMYFUNCTION("IF(REGEXMATCH(P84,""^Sell_""),R83, IF(COUNTA(P84:P147)=0,"""",(COUNTIF(P$4:P84,""Cursor"")-COUNTIF(P$4:P84,""Sell_Cursor""))*(0.1*2^SWITCH(COUNTIF(P$4:P84,""Cursor_up""),0,0,1,1,2,2,3)+SWITCH(COUNTIF(P$4:P84,""Cursor_up""),4,0.1,0)*(ROW(P84)-4-COUNTIF(P$4"&amp;":P84,""Cursor"")-COUNTIF(P$4:P84,""*""&amp;""_up"")-2*COUNTIF(P$4:P84,""Sell_""&amp;""*"")+COUNTIF(P$4:P84,""Sell_Cursor"")-COUNTIF(P$4:P84,"""")))+(COUNTIF(P$4:P84,""Grandma"")-COUNTIF(P$4:P84,""Sell_Grandma""))*(1*2^(COUNTIF(P$4:P84,""Grandma_up"")+COUNTIF(P$4:"&amp;"P84,""Super_up"")))+(COUNTIF(P$4:P84,""Farm"")-COUNTIF(P$4:P84,""Sell_Farm""))*(8*2^COUNTIF(P$4:P84,""Farm_up""))*IF(COUNTIF(P$4:P84,""Super_up"")&gt;0,1+0.01*(COUNTIF(P$4:P84,""Grandma"")-COUNTIF(P$4:P84,""Sell_Grandma"")),1)+(COUNTIF(P$4:P84,""Mine"")-COUN"&amp;"TIF(P$4:P84,""Sell_Mine""))*((47*2^COUNTIF(P$4:P84,""Mine_up""))*IF(COUNTIF(P$4:P84,""Super_up"")&gt;1,1+0.005*(COUNTIF(P$4:P84,""Grandma"")-COUNTIF(P$4:P84,""Sell_Grandma"")),1))+(COUNTIF(P$4:P84,""Factory"")-COUNTIF(P$4:P84,""Sell_Factory""))*(260*2^COUNTI"&amp;"F(P$4:P84,""Factory_up""))))"),1323.56)</f>
        <v>1323.56</v>
      </c>
      <c r="S84" s="73">
        <f>IFERROR(__xludf.DUMMYFUNCTION("IF(COUNTA(P84:P147)=0,"""",IF(REGEXMATCH(INDEX(FILTER(P$4:P84,P$4:P84&lt;&gt;""""),ROWS(FILTER(P$4:P84,P$4:P84&lt;&gt;""""))),""^Sell_""),INDEX(FILTER(S$4:S83,P$4:P83&lt;&gt;""""),ROWS(FILTER(P$4:P83,P$4:P83&lt;&gt;""""))),$AD$5*(2^SWITCH(COUNTIF(P$4:P84,""Cursor_up""),0,0,1,1,2"&amp;",2,3)+SWITCH(COUNTIF(P$4:P84,""Cursor_up""),4,0.1,0)*(ROW(P84)-4-COUNTIF(P$4:P84,""Cursor"")-COUNTIF(P$4:P84,""*""&amp;""_up"")-2*COUNTIF(P$4:P84,""Sell_""&amp;""*"")+COUNTIF(P$4:P84,""Sell_Cursor"")-COUNTIF(P$4:P84,""""))+0.01*R84*COUNTIF(P$4:P84,""Plastic_up"")"&amp;")+R84))"),5570.68)</f>
        <v>5570.68</v>
      </c>
      <c r="T84" s="14">
        <f>IFERROR(__xludf.DUMMYFUNCTION("IF(COUNTA(P84:P147)=0,"""",IF(REGEXMATCH(P84,""_up""),VLOOKUP(P84,Upgrades!$F$3:$J$8,1+COUNTIF(P$4:P84,P84),FALSE),IF(P84="""",0,IF(REGEXMATCH(P84,""^Sell_""),-ROUNDDOWN(ROUNDUP(INDEX(Upgrades!$C$3:$C$8,MATCH(SUBSTITUTE(P84,""Sell_"",""""),Upgrades!$B$3:$"&amp;"B$8,0))*1.15^(COUNTIF(P$4:P83,SUBSTITUTE(P84,""Sell_"",""""))-COUNTIF(P$4:P83,""Sell_""&amp;SUBSTITUTE(P84,""Sell_"",""""))))/4),ROUNDUP(INDEX(Upgrades!$C$3:$C$7,MATCH(P84,Upgrades!$B$3:$B$7,0))*1.15^(COUNTIF(P$4:P83,P84)-COUNTIF(P$4:P83,""Sell_""&amp;P84)))))))"),5007.0)</f>
        <v>5007</v>
      </c>
      <c r="U84" s="14">
        <f t="shared" si="10"/>
        <v>5007</v>
      </c>
      <c r="V84" s="75">
        <f t="shared" si="11"/>
        <v>11468913.8</v>
      </c>
      <c r="W84" s="76">
        <f t="shared" si="12"/>
        <v>150.0495771</v>
      </c>
      <c r="X84" s="71" t="str">
        <f t="shared" si="13"/>
        <v>2m 30s</v>
      </c>
      <c r="Y84" s="77">
        <f t="shared" si="14"/>
        <v>390384</v>
      </c>
      <c r="Z84" s="17"/>
      <c r="AA84" s="13"/>
      <c r="AB84" s="13"/>
      <c r="AC84" s="13"/>
      <c r="AD84" s="13"/>
      <c r="AE84" s="13"/>
      <c r="AF84" s="13"/>
      <c r="AG84" s="13"/>
    </row>
    <row r="85">
      <c r="A85" s="12"/>
      <c r="B85" s="65">
        <f t="shared" si="2"/>
        <v>30</v>
      </c>
      <c r="C85" s="66" t="s">
        <v>13</v>
      </c>
      <c r="D85" s="14" t="b">
        <f>IFERROR(__xludf.DUMMYFUNCTION("IF(COUNTA(C85:C147)=0,"""",IFERROR(IF(ISBLANK(C85),FALSE,IF(ISBLANK(G85),1,IF(NOT(COUNTIF($AA$24:$AA$34,SUBSTITUTE(C85,""Sell_"",""""))),1,IF(C85=""Plastic_up"",IF(I85&lt;1000,1),IF(C85=""Super_Up"",IF(OR(COUNTIF(C$4:C85,""Grandma"")-COUNTIF(C$4:C85,""Sell_G"&amp;"randma"")&lt;1,COUNTIF(C$4:C85,VLOOKUP(C85,Upgrades!$F$8:$N$8,7+COUNTIF(C$4:C85,C85)))-COUNTIF(C$4:C85,""Sell_""&amp;VLOOKUP(C85,Upgrades!$F$8:$N$8,7+COUNTIF(C$4:C85,C85)))&lt;15),1),IF(REGEXMATCH(C85,""_up""),IF(COUNTIF(C$4:C85,SUBSTITUTE(C85,""_up"",""""))&lt;IFERRO"&amp;"R(VLOOKUP(C85,Upgrades!$L$3:$P$6,1+COUNTIF(C$4:C85,C85),0),999),1),IF(REGEXMATCH(C85,""Sell_""),IF(COUNTIF(C$4:C85,SUBSTITUTE(C85,""Sell_"",""""))-COUNTIF(C$4:C84,C85)&lt;1,1),FALSE)))))))))"),FALSE)</f>
        <v>0</v>
      </c>
      <c r="E85" s="71">
        <f>IFERROR(__xludf.DUMMYFUNCTION("IF(REGEXMATCH(C85,""^Sell_""),E84, IF(COUNTA(C85:C147)=0,"""",(COUNTIF(C$4:C85,""Cursor"")-COUNTIF(C$4:C85,""Sell_Cursor""))*(0.1*2^SWITCH(COUNTIF(C$4:C85,""Cursor_up""),0,0,1,1,2,2,3)+SWITCH(COUNTIF(C$4:C85,""Cursor_up""),4,0.1,0)*(ROW(C85)-4-COUNTIF(C$4"&amp;":C85,""Cursor"")-COUNTIF(C$4:C85,""*""&amp;""_up"")-2*COUNTIF(C$4:C85,""Sell_""&amp;""*"")+COUNTIF(C$4:C85,""Sell_Cursor"")-COUNTIF(C$4:C85,"""")))+(COUNTIF(C$4:C85,""Grandma"")-COUNTIF(C$4:C85,""Sell_Grandma""))*(1*2^(COUNTIF(C$4:C85,""Grandma_up"")+COUNTIF(C$4:"&amp;"C85,""Super_up"")))+(COUNTIF(C$4:C85,""Farm"")-COUNTIF(C$4:C85,""Sell_Farm""))*(8*2^COUNTIF(C$4:C85,""Farm_up""))*IF(COUNTIF(C$4:C85,""Super_up"")&gt;0,1+0.01*(COUNTIF(C$4:C85,""Grandma"")-COUNTIF(C$4:C85,""Sell_Grandma"")),1)+(COUNTIF(C$4:C85,""Mine"")-COUN"&amp;"TIF(C$4:C85,""Sell_Mine""))*((47*2^COUNTIF(C$4:C85,""Mine_up""))*IF(COUNTIF(C$4:C85,""Super_up"")&gt;1,1+0.005*(COUNTIF(C$4:C85,""Grandma"")-COUNTIF(C$4:C85,""Sell_Grandma"")),1))+(COUNTIF(C$4:C85,""Factory"")-COUNTIF(C$4:C85,""Sell_Factory""))*(260*2^COUNTI"&amp;"F(C$4:C85,""Factory_up""))))"),1345.0)</f>
        <v>1345</v>
      </c>
      <c r="F85" s="73">
        <f>IFERROR(__xludf.DUMMYFUNCTION("IF(COUNTA(C85:C147)=0,"""",IF(REGEXMATCH(INDEX(FILTER(C$4:C85,C$4:C85&lt;&gt;""""),ROWS(FILTER(C$4:C85,C$4:C85&lt;&gt;""""))),""^Sell_""),INDEX(FILTER(F$4:F84,C$4:C84&lt;&gt;""""),ROWS(FILTER(C$4:C84,C$4:C84&lt;&gt;""""))),$AC$5*(2^SWITCH(COUNTIF(C$4:C85,""Cursor_up""),0,0,1,1,2"&amp;",2,3)+SWITCH(COUNTIF(C$4:C85,""Cursor_up""),4,0.1,0)*(ROW(C85)-4-COUNTIF(C$4:C85,""Cursor"")-COUNTIF(C$4:C85,""*""&amp;""_up"")-2*COUNTIF(C$4:C85,""Sell_""&amp;""*"")+COUNTIF(C$4:C85,""Sell_Cursor"")-COUNTIF(C$4:C85,""""))+0.01*E85*COUNTIF(C$4:C85,""Plastic_up"")"&amp;")+E85))"),5635.000000000001)</f>
        <v>5635</v>
      </c>
      <c r="G85" s="14">
        <f>IFERROR(__xludf.DUMMYFUNCTION("IF(COUNTA(C85:C147)=0,"""",IF(REGEXMATCH(C85,""_up""),VLOOKUP(C85,Upgrades!$F$3:$J$8,1+COUNTIF(C$4:C85,C85),FALSE),IF(C85="""",0,IF(REGEXMATCH(C85,""^Sell_""),-ROUNDDOWN(ROUNDUP(INDEX(Upgrades!$C$3:$C$8,MATCH(SUBSTITUTE(C85,""Sell_"",""""),Upgrades!$B$3:$"&amp;"B$8,0))*1.15^(COUNTIF(C$4:C84,SUBSTITUTE(C85,""Sell_"",""""))-COUNTIF(C$4:C84,""Sell_""&amp;SUBSTITUTE(C85,""Sell_"",""""))))/4),ROUNDUP(INDEX(Upgrades!$C$3:$C$7,MATCH(C85,Upgrades!$B$3:$B$7,0))*1.15^(COUNTIF(C$4:C84,C85)-COUNTIF(C$4:C84,""Sell_""&amp;C85)))))))"),5758.0)</f>
        <v>5758</v>
      </c>
      <c r="H85" s="14">
        <f t="shared" si="3"/>
        <v>5758</v>
      </c>
      <c r="I85" s="75">
        <f t="shared" si="4"/>
        <v>11300595.92</v>
      </c>
      <c r="J85" s="76">
        <f t="shared" si="5"/>
        <v>151.3949946</v>
      </c>
      <c r="K85" s="71" t="str">
        <f t="shared" si="6"/>
        <v>2m 31s</v>
      </c>
      <c r="L85" s="77">
        <f t="shared" si="7"/>
        <v>396142</v>
      </c>
      <c r="M85" s="51">
        <f t="shared" si="8"/>
        <v>-0.31179</v>
      </c>
      <c r="N85" s="52">
        <f>IFERROR(__xludf.DUMMYFUNCTION("IFS(AND(COUNTA(C85:C147)=0,COUNTA(P85:P147)=0),"""",OR(AND(L85&gt;=1000000,OR(Y85&gt;=1000000,COUNTA(P85:P147)=0)),AND(Y85&gt;=1000000,COUNTA(C85:C147)=0),AND(COUNTA(P85:P147)=0,O$3=TRUE)),
ROUNDDOWN((AB$1-AC$1)*MAX(INDEX(S$4:S147,MATCH(LARGE(FILTER(Y$4:Y147,Y$4:Y"&amp;"147&lt;1000000),1),Y$4:Y147)),INDEX(F$4:F147,MATCH(LARGE(FILTER(L$4:L147,L$4:L147&lt;1000000),1),L$4:L147)))),AND(L85&lt;1000000,COUNTA(C85:C147)&gt;0,O$3=FALSE),
ROUNDDOWN(INDEX(Y$4:Y147,MATCH(LARGE(FILTER(W$4:W147,W$4:W147&lt;=J85),1),W$4:W147))+(J85-LARGE(FILTER(W$4:"&amp;"W147,W$4:W147&lt;=J85),1))*INDEX(S$4:S147,MATCH(LARGE(FILTER(W$4:W147,W$4:W147&lt;=J85),1),W$4:W147))-L85),1,
ROUNDDOWN(Y85-INDEX(L$4:L147,MATCH(LARGE(FILTER(J$4:J147,J$4:J147&lt;=W85),1),J$4:J147))-(W85-LARGE(FILTER(J$4:J147,J$4:J147&lt;=W85),1))*INDEX(F$4:F147,MATC"&amp;"H(LARGE(FILTER(J$4:J147,J$4:J147&lt;=W85),1),J$4:J147))))"),1758.0)</f>
        <v>1758</v>
      </c>
      <c r="O85" s="65">
        <f t="shared" si="9"/>
        <v>30</v>
      </c>
      <c r="P85" s="15" t="s">
        <v>13</v>
      </c>
      <c r="Q85" s="14" t="b">
        <f>IFERROR(__xludf.DUMMYFUNCTION("IF(COUNTA(P85:P147)=0,"""",IFERROR(IF(ISBLANK(P85),FALSE,IF(ISBLANK(T85),1,IF(NOT(COUNTIF($AA$24:$AA$34,SUBSTITUTE(P85,""Sell_"",""""))),1,IF(P85=""Plastic_up"",IF(V85&lt;1000,1),IF(P85=""Super_Up"",IF(OR(COUNTIF(P$4:P85,""Grandma"")-COUNTIF(P$4:P85,""Sell_G"&amp;"randma"")&lt;1,COUNTIF(P$4:P85,VLOOKUP(P85,Upgrades!$F$8:$N$8,7+COUNTIF(P$4:P85,P85)))-COUNTIF(P$4:P85,""Sell_""&amp;VLOOKUP(P85,Upgrades!$F$8:$N$8,7+COUNTIF(P$4:P85,P85)))&lt;15),1),IF(REGEXMATCH(P85,""_up""),IF(COUNTIF(P$4:P85,SUBSTITUTE(P85,""_up"",""""))&lt;IFERRO"&amp;"R(VLOOKUP(P85,Upgrades!$L$3:$P$6,1+COUNTIF(P$4:P85,P85),0),999),1),IF(REGEXMATCH(P85,""Sell_""),IF(COUNTIF(P$4:P85,SUBSTITUTE(P85,""Sell_"",""""))-COUNTIF(P$4:P84,P85)&lt;1,1),FALSE)))))))))"),FALSE)</f>
        <v>0</v>
      </c>
      <c r="R85" s="71">
        <f>IFERROR(__xludf.DUMMYFUNCTION("IF(REGEXMATCH(P85,""^Sell_""),R84, IF(COUNTA(P85:P147)=0,"""",(COUNTIF(P$4:P85,""Cursor"")-COUNTIF(P$4:P85,""Sell_Cursor""))*(0.1*2^SWITCH(COUNTIF(P$4:P85,""Cursor_up""),0,0,1,1,2,2,3)+SWITCH(COUNTIF(P$4:P85,""Cursor_up""),4,0.1,0)*(ROW(P85)-4-COUNTIF(P$4"&amp;":P85,""Cursor"")-COUNTIF(P$4:P85,""*""&amp;""_up"")-2*COUNTIF(P$4:P85,""Sell_""&amp;""*"")+COUNTIF(P$4:P85,""Sell_Cursor"")-COUNTIF(P$4:P85,"""")))+(COUNTIF(P$4:P85,""Grandma"")-COUNTIF(P$4:P85,""Sell_Grandma""))*(1*2^(COUNTIF(P$4:P85,""Grandma_up"")+COUNTIF(P$4:"&amp;"P85,""Super_up"")))+(COUNTIF(P$4:P85,""Farm"")-COUNTIF(P$4:P85,""Sell_Farm""))*(8*2^COUNTIF(P$4:P85,""Farm_up""))*IF(COUNTIF(P$4:P85,""Super_up"")&gt;0,1+0.01*(COUNTIF(P$4:P85,""Grandma"")-COUNTIF(P$4:P85,""Sell_Grandma"")),1)+(COUNTIF(P$4:P85,""Mine"")-COUN"&amp;"TIF(P$4:P85,""Sell_Mine""))*((47*2^COUNTIF(P$4:P85,""Mine_up""))*IF(COUNTIF(P$4:P85,""Super_up"")&gt;1,1+0.005*(COUNTIF(P$4:P85,""Grandma"")-COUNTIF(P$4:P85,""Sell_Grandma"")),1))+(COUNTIF(P$4:P85,""Factory"")-COUNTIF(P$4:P85,""Sell_Factory""))*(260*2^COUNTI"&amp;"F(P$4:P85,""Factory_up""))))"),1345.0)</f>
        <v>1345</v>
      </c>
      <c r="S85" s="73">
        <f>IFERROR(__xludf.DUMMYFUNCTION("IF(COUNTA(P85:P147)=0,"""",IF(REGEXMATCH(INDEX(FILTER(P$4:P85,P$4:P85&lt;&gt;""""),ROWS(FILTER(P$4:P85,P$4:P85&lt;&gt;""""))),""^Sell_""),INDEX(FILTER(S$4:S84,P$4:P84&lt;&gt;""""),ROWS(FILTER(P$4:P84,P$4:P84&lt;&gt;""""))),$AD$5*(2^SWITCH(COUNTIF(P$4:P85,""Cursor_up""),0,0,1,1,2"&amp;",2,3)+SWITCH(COUNTIF(P$4:P85,""Cursor_up""),4,0.1,0)*(ROW(P85)-4-COUNTIF(P$4:P85,""Cursor"")-COUNTIF(P$4:P85,""*""&amp;""_up"")-2*COUNTIF(P$4:P85,""Sell_""&amp;""*"")+COUNTIF(P$4:P85,""Sell_Cursor"")-COUNTIF(P$4:P85,""""))+0.01*R85*COUNTIF(P$4:P85,""Plastic_up"")"&amp;")+R85))"),5635.000000000001)</f>
        <v>5635</v>
      </c>
      <c r="T85" s="14">
        <f>IFERROR(__xludf.DUMMYFUNCTION("IF(COUNTA(P85:P147)=0,"""",IF(REGEXMATCH(P85,""_up""),VLOOKUP(P85,Upgrades!$F$3:$J$8,1+COUNTIF(P$4:P85,P85),FALSE),IF(P85="""",0,IF(REGEXMATCH(P85,""^Sell_""),-ROUNDDOWN(ROUNDUP(INDEX(Upgrades!$C$3:$C$8,MATCH(SUBSTITUTE(P85,""Sell_"",""""),Upgrades!$B$3:$"&amp;"B$8,0))*1.15^(COUNTIF(P$4:P84,SUBSTITUTE(P85,""Sell_"",""""))-COUNTIF(P$4:P84,""Sell_""&amp;SUBSTITUTE(P85,""Sell_"",""""))))/4),ROUNDUP(INDEX(Upgrades!$C$3:$C$7,MATCH(P85,Upgrades!$B$3:$B$7,0))*1.15^(COUNTIF(P$4:P84,P85)-COUNTIF(P$4:P84,""Sell_""&amp;P85)))))))"),5758.0)</f>
        <v>5758</v>
      </c>
      <c r="U85" s="14">
        <f t="shared" si="10"/>
        <v>5758</v>
      </c>
      <c r="V85" s="75">
        <f t="shared" si="11"/>
        <v>12110582.3</v>
      </c>
      <c r="W85" s="76">
        <f t="shared" si="12"/>
        <v>151.0832032</v>
      </c>
      <c r="X85" s="71" t="str">
        <f t="shared" si="13"/>
        <v>2m 31s</v>
      </c>
      <c r="Y85" s="77">
        <f t="shared" si="14"/>
        <v>396142</v>
      </c>
      <c r="Z85" s="17"/>
      <c r="AA85" s="13"/>
      <c r="AB85" s="13"/>
      <c r="AC85" s="13"/>
      <c r="AD85" s="13"/>
      <c r="AE85" s="13"/>
      <c r="AF85" s="13"/>
      <c r="AG85" s="13"/>
    </row>
    <row r="86">
      <c r="A86" s="12"/>
      <c r="B86" s="65">
        <f t="shared" si="2"/>
        <v>22</v>
      </c>
      <c r="C86" s="66" t="s">
        <v>10</v>
      </c>
      <c r="D86" s="14" t="b">
        <f>IFERROR(__xludf.DUMMYFUNCTION("IF(COUNTA(C86:C147)=0,"""",IFERROR(IF(ISBLANK(C86),FALSE,IF(ISBLANK(G86),1,IF(NOT(COUNTIF($AA$24:$AA$34,SUBSTITUTE(C86,""Sell_"",""""))),1,IF(C86=""Plastic_up"",IF(I86&lt;1000,1),IF(C86=""Super_Up"",IF(OR(COUNTIF(C$4:C86,""Grandma"")-COUNTIF(C$4:C86,""Sell_G"&amp;"randma"")&lt;1,COUNTIF(C$4:C86,VLOOKUP(C86,Upgrades!$F$8:$N$8,7+COUNTIF(C$4:C86,C86)))-COUNTIF(C$4:C86,""Sell_""&amp;VLOOKUP(C86,Upgrades!$F$8:$N$8,7+COUNTIF(C$4:C86,C86)))&lt;15),1),IF(REGEXMATCH(C86,""_up""),IF(COUNTIF(C$4:C86,SUBSTITUTE(C86,""_up"",""""))&lt;IFERRO"&amp;"R(VLOOKUP(C86,Upgrades!$L$3:$P$6,1+COUNTIF(C$4:C86,C86),0),999),1),IF(REGEXMATCH(C86,""Sell_""),IF(COUNTIF(C$4:C86,SUBSTITUTE(C86,""Sell_"",""""))-COUNTIF(C$4:C85,C86)&lt;1,1),FALSE)))))))))"),FALSE)</f>
        <v>0</v>
      </c>
      <c r="E86" s="71">
        <f>IFERROR(__xludf.DUMMYFUNCTION("IF(REGEXMATCH(C86,""^Sell_""),E85, IF(COUNTA(C86:C147)=0,"""",(COUNTIF(C$4:C86,""Cursor"")-COUNTIF(C$4:C86,""Sell_Cursor""))*(0.1*2^SWITCH(COUNTIF(C$4:C86,""Cursor_up""),0,0,1,1,2,2,3)+SWITCH(COUNTIF(C$4:C86,""Cursor_up""),4,0.1,0)*(ROW(C86)-4-COUNTIF(C$4"&amp;":C86,""Cursor"")-COUNTIF(C$4:C86,""*""&amp;""_up"")-2*COUNTIF(C$4:C86,""Sell_""&amp;""*"")+COUNTIF(C$4:C86,""Sell_Cursor"")-COUNTIF(C$4:C86,"""")))+(COUNTIF(C$4:C86,""Grandma"")-COUNTIF(C$4:C86,""Sell_Grandma""))*(1*2^(COUNTIF(C$4:C86,""Grandma_up"")+COUNTIF(C$4:"&amp;"C86,""Super_up"")))+(COUNTIF(C$4:C86,""Farm"")-COUNTIF(C$4:C86,""Sell_Farm""))*(8*2^COUNTIF(C$4:C86,""Farm_up""))*IF(COUNTIF(C$4:C86,""Super_up"")&gt;0,1+0.01*(COUNTIF(C$4:C86,""Grandma"")-COUNTIF(C$4:C86,""Sell_Grandma"")),1)+(COUNTIF(C$4:C86,""Mine"")-COUN"&amp;"TIF(C$4:C86,""Sell_Mine""))*((47*2^COUNTIF(C$4:C86,""Mine_up""))*IF(COUNTIF(C$4:C86,""Super_up"")&gt;1,1+0.005*(COUNTIF(C$4:C86,""Grandma"")-COUNTIF(C$4:C86,""Sell_Grandma"")),1))+(COUNTIF(C$4:C86,""Factory"")-COUNTIF(C$4:C86,""Sell_Factory""))*(260*2^COUNTI"&amp;"F(C$4:C86,""Factory_up""))))"),1345.8000000000002)</f>
        <v>1345.8</v>
      </c>
      <c r="F86" s="73">
        <f>IFERROR(__xludf.DUMMYFUNCTION("IF(COUNTA(C86:C147)=0,"""",IF(REGEXMATCH(INDEX(FILTER(C$4:C86,C$4:C86&lt;&gt;""""),ROWS(FILTER(C$4:C86,C$4:C86&lt;&gt;""""))),""^Sell_""),INDEX(FILTER(F$4:F85,C$4:C85&lt;&gt;""""),ROWS(FILTER(C$4:C85,C$4:C85&lt;&gt;""""))),$AC$5*(2^SWITCH(COUNTIF(C$4:C86,""Cursor_up""),0,0,1,1,2"&amp;",2,3)+SWITCH(COUNTIF(C$4:C86,""Cursor_up""),4,0.1,0)*(ROW(C86)-4-COUNTIF(C$4:C86,""Cursor"")-COUNTIF(C$4:C86,""*""&amp;""_up"")-2*COUNTIF(C$4:C86,""Sell_""&amp;""*"")+COUNTIF(C$4:C86,""Sell_Cursor"")-COUNTIF(C$4:C86,""""))+0.01*E86*COUNTIF(C$4:C86,""Plastic_up"")"&amp;")+E86))"),5637.400000000001)</f>
        <v>5637.4</v>
      </c>
      <c r="G86" s="14">
        <f>IFERROR(__xludf.DUMMYFUNCTION("IF(COUNTA(C86:C147)=0,"""",IF(REGEXMATCH(C86,""_up""),VLOOKUP(C86,Upgrades!$F$3:$J$8,1+COUNTIF(C$4:C86,C86),FALSE),IF(C86="""",0,IF(REGEXMATCH(C86,""^Sell_""),-ROUNDDOWN(ROUNDUP(INDEX(Upgrades!$C$3:$C$8,MATCH(SUBSTITUTE(C86,""Sell_"",""""),Upgrades!$B$3:$"&amp;"B$8,0))*1.15^(COUNTIF(C$4:C85,SUBSTITUTE(C86,""Sell_"",""""))-COUNTIF(C$4:C85,""Sell_""&amp;SUBSTITUTE(C86,""Sell_"",""""))))/4),ROUNDUP(INDEX(Upgrades!$C$3:$C$7,MATCH(C86,Upgrades!$B$3:$B$7,0))*1.15^(COUNTIF(C$4:C85,C86)-COUNTIF(C$4:C85,""Sell_""&amp;C86)))))))"),283.0)</f>
        <v>283</v>
      </c>
      <c r="H86" s="14">
        <f t="shared" si="3"/>
        <v>283</v>
      </c>
      <c r="I86" s="75">
        <f t="shared" si="4"/>
        <v>11950295.9</v>
      </c>
      <c r="J86" s="76">
        <f t="shared" si="5"/>
        <v>151.4452164</v>
      </c>
      <c r="K86" s="71" t="str">
        <f t="shared" si="6"/>
        <v>2m 31s</v>
      </c>
      <c r="L86" s="77">
        <f t="shared" si="7"/>
        <v>396425</v>
      </c>
      <c r="M86" s="51">
        <f t="shared" si="8"/>
        <v>-0.31179</v>
      </c>
      <c r="N86" s="52">
        <f>IFERROR(__xludf.DUMMYFUNCTION("IFS(AND(COUNTA(C86:C147)=0,COUNTA(P86:P147)=0),"""",OR(AND(L86&gt;=1000000,OR(Y86&gt;=1000000,COUNTA(P86:P147)=0)),AND(Y86&gt;=1000000,COUNTA(C86:C147)=0),AND(COUNTA(P86:P147)=0,O$3=TRUE)),
ROUNDDOWN((AB$1-AC$1)*MAX(INDEX(S$4:S147,MATCH(LARGE(FILTER(Y$4:Y147,Y$4:Y"&amp;"147&lt;1000000),1),Y$4:Y147)),INDEX(F$4:F147,MATCH(LARGE(FILTER(L$4:L147,L$4:L147&lt;1000000),1),L$4:L147)))),AND(L86&lt;1000000,COUNTA(C86:C147)&gt;0,O$3=FALSE),
ROUNDDOWN(INDEX(Y$4:Y147,MATCH(LARGE(FILTER(W$4:W147,W$4:W147&lt;=J86),1),W$4:W147))+(J86-LARGE(FILTER(W$4:"&amp;"W147,W$4:W147&lt;=J86),1))*INDEX(S$4:S147,MATCH(LARGE(FILTER(W$4:W147,W$4:W147&lt;=J86),1),W$4:W147))-L86),1,
ROUNDDOWN(Y86-INDEX(L$4:L147,MATCH(LARGE(FILTER(J$4:J147,J$4:J147&lt;=W86),1),J$4:J147))-(W86-LARGE(FILTER(J$4:J147,J$4:J147&lt;=W86),1))*INDEX(F$4:F147,MATC"&amp;"H(LARGE(FILTER(J$4:J147,J$4:J147&lt;=W86),1),J$4:J147))))"),1759.0)</f>
        <v>1759</v>
      </c>
      <c r="O86" s="65">
        <f t="shared" si="9"/>
        <v>22</v>
      </c>
      <c r="P86" s="15" t="s">
        <v>10</v>
      </c>
      <c r="Q86" s="14" t="b">
        <f>IFERROR(__xludf.DUMMYFUNCTION("IF(COUNTA(P86:P147)=0,"""",IFERROR(IF(ISBLANK(P86),FALSE,IF(ISBLANK(T86),1,IF(NOT(COUNTIF($AA$24:$AA$34,SUBSTITUTE(P86,""Sell_"",""""))),1,IF(P86=""Plastic_up"",IF(V86&lt;1000,1),IF(P86=""Super_Up"",IF(OR(COUNTIF(P$4:P86,""Grandma"")-COUNTIF(P$4:P86,""Sell_G"&amp;"randma"")&lt;1,COUNTIF(P$4:P86,VLOOKUP(P86,Upgrades!$F$8:$N$8,7+COUNTIF(P$4:P86,P86)))-COUNTIF(P$4:P86,""Sell_""&amp;VLOOKUP(P86,Upgrades!$F$8:$N$8,7+COUNTIF(P$4:P86,P86)))&lt;15),1),IF(REGEXMATCH(P86,""_up""),IF(COUNTIF(P$4:P86,SUBSTITUTE(P86,""_up"",""""))&lt;IFERRO"&amp;"R(VLOOKUP(P86,Upgrades!$L$3:$P$6,1+COUNTIF(P$4:P86,P86),0),999),1),IF(REGEXMATCH(P86,""Sell_""),IF(COUNTIF(P$4:P86,SUBSTITUTE(P86,""Sell_"",""""))-COUNTIF(P$4:P85,P86)&lt;1,1),FALSE)))))))))"),FALSE)</f>
        <v>0</v>
      </c>
      <c r="R86" s="71">
        <f>IFERROR(__xludf.DUMMYFUNCTION("IF(REGEXMATCH(P86,""^Sell_""),R85, IF(COUNTA(P86:P147)=0,"""",(COUNTIF(P$4:P86,""Cursor"")-COUNTIF(P$4:P86,""Sell_Cursor""))*(0.1*2^SWITCH(COUNTIF(P$4:P86,""Cursor_up""),0,0,1,1,2,2,3)+SWITCH(COUNTIF(P$4:P86,""Cursor_up""),4,0.1,0)*(ROW(P86)-4-COUNTIF(P$4"&amp;":P86,""Cursor"")-COUNTIF(P$4:P86,""*""&amp;""_up"")-2*COUNTIF(P$4:P86,""Sell_""&amp;""*"")+COUNTIF(P$4:P86,""Sell_Cursor"")-COUNTIF(P$4:P86,"""")))+(COUNTIF(P$4:P86,""Grandma"")-COUNTIF(P$4:P86,""Sell_Grandma""))*(1*2^(COUNTIF(P$4:P86,""Grandma_up"")+COUNTIF(P$4:"&amp;"P86,""Super_up"")))+(COUNTIF(P$4:P86,""Farm"")-COUNTIF(P$4:P86,""Sell_Farm""))*(8*2^COUNTIF(P$4:P86,""Farm_up""))*IF(COUNTIF(P$4:P86,""Super_up"")&gt;0,1+0.01*(COUNTIF(P$4:P86,""Grandma"")-COUNTIF(P$4:P86,""Sell_Grandma"")),1)+(COUNTIF(P$4:P86,""Mine"")-COUN"&amp;"TIF(P$4:P86,""Sell_Mine""))*((47*2^COUNTIF(P$4:P86,""Mine_up""))*IF(COUNTIF(P$4:P86,""Super_up"")&gt;1,1+0.005*(COUNTIF(P$4:P86,""Grandma"")-COUNTIF(P$4:P86,""Sell_Grandma"")),1))+(COUNTIF(P$4:P86,""Factory"")-COUNTIF(P$4:P86,""Sell_Factory""))*(260*2^COUNTI"&amp;"F(P$4:P86,""Factory_up""))))"),1345.8000000000002)</f>
        <v>1345.8</v>
      </c>
      <c r="S86" s="73">
        <f>IFERROR(__xludf.DUMMYFUNCTION("IF(COUNTA(P86:P147)=0,"""",IF(REGEXMATCH(INDEX(FILTER(P$4:P86,P$4:P86&lt;&gt;""""),ROWS(FILTER(P$4:P86,P$4:P86&lt;&gt;""""))),""^Sell_""),INDEX(FILTER(S$4:S85,P$4:P85&lt;&gt;""""),ROWS(FILTER(P$4:P85,P$4:P85&lt;&gt;""""))),$AD$5*(2^SWITCH(COUNTIF(P$4:P86,""Cursor_up""),0,0,1,1,2"&amp;",2,3)+SWITCH(COUNTIF(P$4:P86,""Cursor_up""),4,0.1,0)*(ROW(P86)-4-COUNTIF(P$4:P86,""Cursor"")-COUNTIF(P$4:P86,""*""&amp;""_up"")-2*COUNTIF(P$4:P86,""Sell_""&amp;""*"")+COUNTIF(P$4:P86,""Sell_Cursor"")-COUNTIF(P$4:P86,""""))+0.01*R86*COUNTIF(P$4:P86,""Plastic_up"")"&amp;")+R86))"),5637.400000000001)</f>
        <v>5637.4</v>
      </c>
      <c r="T86" s="14">
        <f>IFERROR(__xludf.DUMMYFUNCTION("IF(COUNTA(P86:P147)=0,"""",IF(REGEXMATCH(P86,""_up""),VLOOKUP(P86,Upgrades!$F$3:$J$8,1+COUNTIF(P$4:P86,P86),FALSE),IF(P86="""",0,IF(REGEXMATCH(P86,""^Sell_""),-ROUNDDOWN(ROUNDUP(INDEX(Upgrades!$C$3:$C$8,MATCH(SUBSTITUTE(P86,""Sell_"",""""),Upgrades!$B$3:$"&amp;"B$8,0))*1.15^(COUNTIF(P$4:P85,SUBSTITUTE(P86,""Sell_"",""""))-COUNTIF(P$4:P85,""Sell_""&amp;SUBSTITUTE(P86,""Sell_"",""""))))/4),ROUNDUP(INDEX(Upgrades!$C$3:$C$7,MATCH(P86,Upgrades!$B$3:$B$7,0))*1.15^(COUNTIF(P$4:P85,P86)-COUNTIF(P$4:P85,""Sell_""&amp;P86)))))))"),283.0)</f>
        <v>283</v>
      </c>
      <c r="U86" s="14">
        <f t="shared" si="10"/>
        <v>283</v>
      </c>
      <c r="V86" s="75">
        <f t="shared" si="11"/>
        <v>12758944.69</v>
      </c>
      <c r="W86" s="76">
        <f t="shared" si="12"/>
        <v>151.133425</v>
      </c>
      <c r="X86" s="71" t="str">
        <f t="shared" si="13"/>
        <v>2m 31s</v>
      </c>
      <c r="Y86" s="77">
        <f t="shared" si="14"/>
        <v>396425</v>
      </c>
      <c r="Z86" s="17"/>
      <c r="AA86" s="13"/>
      <c r="AB86" s="13"/>
      <c r="AC86" s="13"/>
      <c r="AD86" s="13"/>
      <c r="AE86" s="13"/>
      <c r="AF86" s="13"/>
      <c r="AG86" s="13"/>
    </row>
    <row r="87">
      <c r="A87" s="12"/>
      <c r="B87" s="65">
        <f t="shared" si="2"/>
        <v>23</v>
      </c>
      <c r="C87" s="66" t="s">
        <v>10</v>
      </c>
      <c r="D87" s="14" t="b">
        <f>IFERROR(__xludf.DUMMYFUNCTION("IF(COUNTA(C87:C147)=0,"""",IFERROR(IF(ISBLANK(C87),FALSE,IF(ISBLANK(G87),1,IF(NOT(COUNTIF($AA$24:$AA$34,SUBSTITUTE(C87,""Sell_"",""""))),1,IF(C87=""Plastic_up"",IF(I87&lt;1000,1),IF(C87=""Super_Up"",IF(OR(COUNTIF(C$4:C87,""Grandma"")-COUNTIF(C$4:C87,""Sell_G"&amp;"randma"")&lt;1,COUNTIF(C$4:C87,VLOOKUP(C87,Upgrades!$F$8:$N$8,7+COUNTIF(C$4:C87,C87)))-COUNTIF(C$4:C87,""Sell_""&amp;VLOOKUP(C87,Upgrades!$F$8:$N$8,7+COUNTIF(C$4:C87,C87)))&lt;15),1),IF(REGEXMATCH(C87,""_up""),IF(COUNTIF(C$4:C87,SUBSTITUTE(C87,""_up"",""""))&lt;IFERRO"&amp;"R(VLOOKUP(C87,Upgrades!$L$3:$P$6,1+COUNTIF(C$4:C87,C87),0),999),1),IF(REGEXMATCH(C87,""Sell_""),IF(COUNTIF(C$4:C87,SUBSTITUTE(C87,""Sell_"",""""))-COUNTIF(C$4:C86,C87)&lt;1,1),FALSE)))))))))"),FALSE)</f>
        <v>0</v>
      </c>
      <c r="E87" s="71">
        <f>IFERROR(__xludf.DUMMYFUNCTION("IF(REGEXMATCH(C87,""^Sell_""),E86, IF(COUNTA(C87:C147)=0,"""",(COUNTIF(C$4:C87,""Cursor"")-COUNTIF(C$4:C87,""Sell_Cursor""))*(0.1*2^SWITCH(COUNTIF(C$4:C87,""Cursor_up""),0,0,1,1,2,2,3)+SWITCH(COUNTIF(C$4:C87,""Cursor_up""),4,0.1,0)*(ROW(C87)-4-COUNTIF(C$4"&amp;":C87,""Cursor"")-COUNTIF(C$4:C87,""*""&amp;""_up"")-2*COUNTIF(C$4:C87,""Sell_""&amp;""*"")+COUNTIF(C$4:C87,""Sell_Cursor"")-COUNTIF(C$4:C87,"""")))+(COUNTIF(C$4:C87,""Grandma"")-COUNTIF(C$4:C87,""Sell_Grandma""))*(1*2^(COUNTIF(C$4:C87,""Grandma_up"")+COUNTIF(C$4:"&amp;"C87,""Super_up"")))+(COUNTIF(C$4:C87,""Farm"")-COUNTIF(C$4:C87,""Sell_Farm""))*(8*2^COUNTIF(C$4:C87,""Farm_up""))*IF(COUNTIF(C$4:C87,""Super_up"")&gt;0,1+0.01*(COUNTIF(C$4:C87,""Grandma"")-COUNTIF(C$4:C87,""Sell_Grandma"")),1)+(COUNTIF(C$4:C87,""Mine"")-COUN"&amp;"TIF(C$4:C87,""Sell_Mine""))*((47*2^COUNTIF(C$4:C87,""Mine_up""))*IF(COUNTIF(C$4:C87,""Super_up"")&gt;1,1+0.005*(COUNTIF(C$4:C87,""Grandma"")-COUNTIF(C$4:C87,""Sell_Grandma"")),1))+(COUNTIF(C$4:C87,""Factory"")-COUNTIF(C$4:C87,""Sell_Factory""))*(260*2^COUNTI"&amp;"F(C$4:C87,""Factory_up""))))"),1346.6)</f>
        <v>1346.6</v>
      </c>
      <c r="F87" s="73">
        <f>IFERROR(__xludf.DUMMYFUNCTION("IF(COUNTA(C87:C147)=0,"""",IF(REGEXMATCH(INDEX(FILTER(C$4:C87,C$4:C87&lt;&gt;""""),ROWS(FILTER(C$4:C87,C$4:C87&lt;&gt;""""))),""^Sell_""),INDEX(FILTER(F$4:F86,C$4:C86&lt;&gt;""""),ROWS(FILTER(C$4:C86,C$4:C86&lt;&gt;""""))),$AC$5*(2^SWITCH(COUNTIF(C$4:C87,""Cursor_up""),0,0,1,1,2"&amp;",2,3)+SWITCH(COUNTIF(C$4:C87,""Cursor_up""),4,0.1,0)*(ROW(C87)-4-COUNTIF(C$4:C87,""Cursor"")-COUNTIF(C$4:C87,""*""&amp;""_up"")-2*COUNTIF(C$4:C87,""Sell_""&amp;""*"")+COUNTIF(C$4:C87,""Sell_Cursor"")-COUNTIF(C$4:C87,""""))+0.01*E87*COUNTIF(C$4:C87,""Plastic_up"")"&amp;")+E87))"),5639.799999999999)</f>
        <v>5639.8</v>
      </c>
      <c r="G87" s="14">
        <f>IFERROR(__xludf.DUMMYFUNCTION("IF(COUNTA(C87:C147)=0,"""",IF(REGEXMATCH(C87,""_up""),VLOOKUP(C87,Upgrades!$F$3:$J$8,1+COUNTIF(C$4:C87,C87),FALSE),IF(C87="""",0,IF(REGEXMATCH(C87,""^Sell_""),-ROUNDDOWN(ROUNDUP(INDEX(Upgrades!$C$3:$C$8,MATCH(SUBSTITUTE(C87,""Sell_"",""""),Upgrades!$B$3:$"&amp;"B$8,0))*1.15^(COUNTIF(C$4:C86,SUBSTITUTE(C87,""Sell_"",""""))-COUNTIF(C$4:C86,""Sell_""&amp;SUBSTITUTE(C87,""Sell_"",""""))))/4),ROUNDUP(INDEX(Upgrades!$C$3:$C$7,MATCH(C87,Upgrades!$B$3:$B$7,0))*1.15^(COUNTIF(C$4:C86,C87)-COUNTIF(C$4:C86,""Sell_""&amp;C87)))))))"),325.0)</f>
        <v>325</v>
      </c>
      <c r="H87" s="14">
        <f t="shared" si="3"/>
        <v>325</v>
      </c>
      <c r="I87" s="75">
        <f t="shared" si="4"/>
        <v>12600485.6</v>
      </c>
      <c r="J87" s="76">
        <f t="shared" si="5"/>
        <v>151.5028671</v>
      </c>
      <c r="K87" s="71" t="str">
        <f t="shared" si="6"/>
        <v>2m 31s</v>
      </c>
      <c r="L87" s="77">
        <f t="shared" si="7"/>
        <v>396750</v>
      </c>
      <c r="M87" s="51">
        <f t="shared" si="8"/>
        <v>-0.31179</v>
      </c>
      <c r="N87" s="52">
        <f>IFERROR(__xludf.DUMMYFUNCTION("IFS(AND(COUNTA(C87:C147)=0,COUNTA(P87:P147)=0),"""",OR(AND(L87&gt;=1000000,OR(Y87&gt;=1000000,COUNTA(P87:P147)=0)),AND(Y87&gt;=1000000,COUNTA(C87:C147)=0),AND(COUNTA(P87:P147)=0,O$3=TRUE)),
ROUNDDOWN((AB$1-AC$1)*MAX(INDEX(S$4:S147,MATCH(LARGE(FILTER(Y$4:Y147,Y$4:Y"&amp;"147&lt;1000000),1),Y$4:Y147)),INDEX(F$4:F147,MATCH(LARGE(FILTER(L$4:L147,L$4:L147&lt;1000000),1),L$4:L147)))),AND(L87&lt;1000000,COUNTA(C87:C147)&gt;0,O$3=FALSE),
ROUNDDOWN(INDEX(Y$4:Y147,MATCH(LARGE(FILTER(W$4:W147,W$4:W147&lt;=J87),1),W$4:W147))+(J87-LARGE(FILTER(W$4:"&amp;"W147,W$4:W147&lt;=J87),1))*INDEX(S$4:S147,MATCH(LARGE(FILTER(W$4:W147,W$4:W147&lt;=J87),1),W$4:W147))-L87),1,
ROUNDDOWN(Y87-INDEX(L$4:L147,MATCH(LARGE(FILTER(J$4:J147,J$4:J147&lt;=W87),1),J$4:J147))-(W87-LARGE(FILTER(J$4:J147,J$4:J147&lt;=W87),1))*INDEX(F$4:F147,MATC"&amp;"H(LARGE(FILTER(J$4:J147,J$4:J147&lt;=W87),1),J$4:J147))))"),1759.0)</f>
        <v>1759</v>
      </c>
      <c r="O87" s="65">
        <f t="shared" si="9"/>
        <v>23</v>
      </c>
      <c r="P87" s="15" t="s">
        <v>10</v>
      </c>
      <c r="Q87" s="14" t="b">
        <f>IFERROR(__xludf.DUMMYFUNCTION("IF(COUNTA(P87:P147)=0,"""",IFERROR(IF(ISBLANK(P87),FALSE,IF(ISBLANK(T87),1,IF(NOT(COUNTIF($AA$24:$AA$34,SUBSTITUTE(P87,""Sell_"",""""))),1,IF(P87=""Plastic_up"",IF(V87&lt;1000,1),IF(P87=""Super_Up"",IF(OR(COUNTIF(P$4:P87,""Grandma"")-COUNTIF(P$4:P87,""Sell_G"&amp;"randma"")&lt;1,COUNTIF(P$4:P87,VLOOKUP(P87,Upgrades!$F$8:$N$8,7+COUNTIF(P$4:P87,P87)))-COUNTIF(P$4:P87,""Sell_""&amp;VLOOKUP(P87,Upgrades!$F$8:$N$8,7+COUNTIF(P$4:P87,P87)))&lt;15),1),IF(REGEXMATCH(P87,""_up""),IF(COUNTIF(P$4:P87,SUBSTITUTE(P87,""_up"",""""))&lt;IFERRO"&amp;"R(VLOOKUP(P87,Upgrades!$L$3:$P$6,1+COUNTIF(P$4:P87,P87),0),999),1),IF(REGEXMATCH(P87,""Sell_""),IF(COUNTIF(P$4:P87,SUBSTITUTE(P87,""Sell_"",""""))-COUNTIF(P$4:P86,P87)&lt;1,1),FALSE)))))))))"),FALSE)</f>
        <v>0</v>
      </c>
      <c r="R87" s="71">
        <f>IFERROR(__xludf.DUMMYFUNCTION("IF(REGEXMATCH(P87,""^Sell_""),R86, IF(COUNTA(P87:P147)=0,"""",(COUNTIF(P$4:P87,""Cursor"")-COUNTIF(P$4:P87,""Sell_Cursor""))*(0.1*2^SWITCH(COUNTIF(P$4:P87,""Cursor_up""),0,0,1,1,2,2,3)+SWITCH(COUNTIF(P$4:P87,""Cursor_up""),4,0.1,0)*(ROW(P87)-4-COUNTIF(P$4"&amp;":P87,""Cursor"")-COUNTIF(P$4:P87,""*""&amp;""_up"")-2*COUNTIF(P$4:P87,""Sell_""&amp;""*"")+COUNTIF(P$4:P87,""Sell_Cursor"")-COUNTIF(P$4:P87,"""")))+(COUNTIF(P$4:P87,""Grandma"")-COUNTIF(P$4:P87,""Sell_Grandma""))*(1*2^(COUNTIF(P$4:P87,""Grandma_up"")+COUNTIF(P$4:"&amp;"P87,""Super_up"")))+(COUNTIF(P$4:P87,""Farm"")-COUNTIF(P$4:P87,""Sell_Farm""))*(8*2^COUNTIF(P$4:P87,""Farm_up""))*IF(COUNTIF(P$4:P87,""Super_up"")&gt;0,1+0.01*(COUNTIF(P$4:P87,""Grandma"")-COUNTIF(P$4:P87,""Sell_Grandma"")),1)+(COUNTIF(P$4:P87,""Mine"")-COUN"&amp;"TIF(P$4:P87,""Sell_Mine""))*((47*2^COUNTIF(P$4:P87,""Mine_up""))*IF(COUNTIF(P$4:P87,""Super_up"")&gt;1,1+0.005*(COUNTIF(P$4:P87,""Grandma"")-COUNTIF(P$4:P87,""Sell_Grandma"")),1))+(COUNTIF(P$4:P87,""Factory"")-COUNTIF(P$4:P87,""Sell_Factory""))*(260*2^COUNTI"&amp;"F(P$4:P87,""Factory_up""))))"),1346.6)</f>
        <v>1346.6</v>
      </c>
      <c r="S87" s="73">
        <f>IFERROR(__xludf.DUMMYFUNCTION("IF(COUNTA(P87:P147)=0,"""",IF(REGEXMATCH(INDEX(FILTER(P$4:P87,P$4:P87&lt;&gt;""""),ROWS(FILTER(P$4:P87,P$4:P87&lt;&gt;""""))),""^Sell_""),INDEX(FILTER(S$4:S86,P$4:P86&lt;&gt;""""),ROWS(FILTER(P$4:P86,P$4:P86&lt;&gt;""""))),$AD$5*(2^SWITCH(COUNTIF(P$4:P87,""Cursor_up""),0,0,1,1,2"&amp;",2,3)+SWITCH(COUNTIF(P$4:P87,""Cursor_up""),4,0.1,0)*(ROW(P87)-4-COUNTIF(P$4:P87,""Cursor"")-COUNTIF(P$4:P87,""*""&amp;""_up"")-2*COUNTIF(P$4:P87,""Sell_""&amp;""*"")+COUNTIF(P$4:P87,""Sell_Cursor"")-COUNTIF(P$4:P87,""""))+0.01*R87*COUNTIF(P$4:P87,""Plastic_up"")"&amp;")+R87))"),5639.799999999999)</f>
        <v>5639.8</v>
      </c>
      <c r="T87" s="14">
        <f>IFERROR(__xludf.DUMMYFUNCTION("IF(COUNTA(P87:P147)=0,"""",IF(REGEXMATCH(P87,""_up""),VLOOKUP(P87,Upgrades!$F$3:$J$8,1+COUNTIF(P$4:P87,P87),FALSE),IF(P87="""",0,IF(REGEXMATCH(P87,""^Sell_""),-ROUNDDOWN(ROUNDUP(INDEX(Upgrades!$C$3:$C$8,MATCH(SUBSTITUTE(P87,""Sell_"",""""),Upgrades!$B$3:$"&amp;"B$8,0))*1.15^(COUNTIF(P$4:P86,SUBSTITUTE(P87,""Sell_"",""""))-COUNTIF(P$4:P86,""Sell_""&amp;SUBSTITUTE(P87,""Sell_"",""""))))/4),ROUNDUP(INDEX(Upgrades!$C$3:$C$7,MATCH(P87,Upgrades!$B$3:$B$7,0))*1.15^(COUNTIF(P$4:P86,P87)-COUNTIF(P$4:P86,""Sell_""&amp;P87)))))))"),325.0)</f>
        <v>325</v>
      </c>
      <c r="U87" s="14">
        <f t="shared" si="10"/>
        <v>325</v>
      </c>
      <c r="V87" s="75">
        <f t="shared" si="11"/>
        <v>13407796.31</v>
      </c>
      <c r="W87" s="76">
        <f t="shared" si="12"/>
        <v>151.1910757</v>
      </c>
      <c r="X87" s="71" t="str">
        <f t="shared" si="13"/>
        <v>2m 31s</v>
      </c>
      <c r="Y87" s="77">
        <f t="shared" si="14"/>
        <v>396750</v>
      </c>
      <c r="Z87" s="17"/>
      <c r="AA87" s="13"/>
      <c r="AB87" s="13"/>
      <c r="AC87" s="13"/>
      <c r="AD87" s="13"/>
      <c r="AE87" s="13"/>
      <c r="AF87" s="13"/>
      <c r="AG87" s="13"/>
    </row>
    <row r="88">
      <c r="A88" s="12"/>
      <c r="B88" s="65">
        <f t="shared" si="2"/>
        <v>24</v>
      </c>
      <c r="C88" s="66" t="s">
        <v>10</v>
      </c>
      <c r="D88" s="14" t="b">
        <f>IFERROR(__xludf.DUMMYFUNCTION("IF(COUNTA(C88:C147)=0,"""",IFERROR(IF(ISBLANK(C88),FALSE,IF(ISBLANK(G88),1,IF(NOT(COUNTIF($AA$24:$AA$34,SUBSTITUTE(C88,""Sell_"",""""))),1,IF(C88=""Plastic_up"",IF(I88&lt;1000,1),IF(C88=""Super_Up"",IF(OR(COUNTIF(C$4:C88,""Grandma"")-COUNTIF(C$4:C88,""Sell_G"&amp;"randma"")&lt;1,COUNTIF(C$4:C88,VLOOKUP(C88,Upgrades!$F$8:$N$8,7+COUNTIF(C$4:C88,C88)))-COUNTIF(C$4:C88,""Sell_""&amp;VLOOKUP(C88,Upgrades!$F$8:$N$8,7+COUNTIF(C$4:C88,C88)))&lt;15),1),IF(REGEXMATCH(C88,""_up""),IF(COUNTIF(C$4:C88,SUBSTITUTE(C88,""_up"",""""))&lt;IFERRO"&amp;"R(VLOOKUP(C88,Upgrades!$L$3:$P$6,1+COUNTIF(C$4:C88,C88),0),999),1),IF(REGEXMATCH(C88,""Sell_""),IF(COUNTIF(C$4:C88,SUBSTITUTE(C88,""Sell_"",""""))-COUNTIF(C$4:C87,C88)&lt;1,1),FALSE)))))))))"),FALSE)</f>
        <v>0</v>
      </c>
      <c r="E88" s="71">
        <f>IFERROR(__xludf.DUMMYFUNCTION("IF(REGEXMATCH(C88,""^Sell_""),E87, IF(COUNTA(C88:C147)=0,"""",(COUNTIF(C$4:C88,""Cursor"")-COUNTIF(C$4:C88,""Sell_Cursor""))*(0.1*2^SWITCH(COUNTIF(C$4:C88,""Cursor_up""),0,0,1,1,2,2,3)+SWITCH(COUNTIF(C$4:C88,""Cursor_up""),4,0.1,0)*(ROW(C88)-4-COUNTIF(C$4"&amp;":C88,""Cursor"")-COUNTIF(C$4:C88,""*""&amp;""_up"")-2*COUNTIF(C$4:C88,""Sell_""&amp;""*"")+COUNTIF(C$4:C88,""Sell_Cursor"")-COUNTIF(C$4:C88,"""")))+(COUNTIF(C$4:C88,""Grandma"")-COUNTIF(C$4:C88,""Sell_Grandma""))*(1*2^(COUNTIF(C$4:C88,""Grandma_up"")+COUNTIF(C$4:"&amp;"C88,""Super_up"")))+(COUNTIF(C$4:C88,""Farm"")-COUNTIF(C$4:C88,""Sell_Farm""))*(8*2^COUNTIF(C$4:C88,""Farm_up""))*IF(COUNTIF(C$4:C88,""Super_up"")&gt;0,1+0.01*(COUNTIF(C$4:C88,""Grandma"")-COUNTIF(C$4:C88,""Sell_Grandma"")),1)+(COUNTIF(C$4:C88,""Mine"")-COUN"&amp;"TIF(C$4:C88,""Sell_Mine""))*((47*2^COUNTIF(C$4:C88,""Mine_up""))*IF(COUNTIF(C$4:C88,""Super_up"")&gt;1,1+0.005*(COUNTIF(C$4:C88,""Grandma"")-COUNTIF(C$4:C88,""Sell_Grandma"")),1))+(COUNTIF(C$4:C88,""Factory"")-COUNTIF(C$4:C88,""Sell_Factory""))*(260*2^COUNTI"&amp;"F(C$4:C88,""Factory_up""))))"),1347.4)</f>
        <v>1347.4</v>
      </c>
      <c r="F88" s="73">
        <f>IFERROR(__xludf.DUMMYFUNCTION("IF(COUNTA(C88:C147)=0,"""",IF(REGEXMATCH(INDEX(FILTER(C$4:C88,C$4:C88&lt;&gt;""""),ROWS(FILTER(C$4:C88,C$4:C88&lt;&gt;""""))),""^Sell_""),INDEX(FILTER(F$4:F87,C$4:C87&lt;&gt;""""),ROWS(FILTER(C$4:C87,C$4:C87&lt;&gt;""""))),$AC$5*(2^SWITCH(COUNTIF(C$4:C88,""Cursor_up""),0,0,1,1,2"&amp;",2,3)+SWITCH(COUNTIF(C$4:C88,""Cursor_up""),4,0.1,0)*(ROW(C88)-4-COUNTIF(C$4:C88,""Cursor"")-COUNTIF(C$4:C88,""*""&amp;""_up"")-2*COUNTIF(C$4:C88,""Sell_""&amp;""*"")+COUNTIF(C$4:C88,""Sell_Cursor"")-COUNTIF(C$4:C88,""""))+0.01*E88*COUNTIF(C$4:C88,""Plastic_up"")"&amp;")+E88))"),5642.200000000001)</f>
        <v>5642.2</v>
      </c>
      <c r="G88" s="14">
        <f>IFERROR(__xludf.DUMMYFUNCTION("IF(COUNTA(C88:C147)=0,"""",IF(REGEXMATCH(C88,""_up""),VLOOKUP(C88,Upgrades!$F$3:$J$8,1+COUNTIF(C$4:C88,C88),FALSE),IF(C88="""",0,IF(REGEXMATCH(C88,""^Sell_""),-ROUNDDOWN(ROUNDUP(INDEX(Upgrades!$C$3:$C$8,MATCH(SUBSTITUTE(C88,""Sell_"",""""),Upgrades!$B$3:$"&amp;"B$8,0))*1.15^(COUNTIF(C$4:C87,SUBSTITUTE(C88,""Sell_"",""""))-COUNTIF(C$4:C87,""Sell_""&amp;SUBSTITUTE(C88,""Sell_"",""""))))/4),ROUNDUP(INDEX(Upgrades!$C$3:$C$7,MATCH(C88,Upgrades!$B$3:$B$7,0))*1.15^(COUNTIF(C$4:C87,C88)-COUNTIF(C$4:C87,""Sell_""&amp;C88)))))))"),374.0)</f>
        <v>374</v>
      </c>
      <c r="H88" s="14">
        <f t="shared" si="3"/>
        <v>374</v>
      </c>
      <c r="I88" s="75">
        <f t="shared" si="4"/>
        <v>13251202.41</v>
      </c>
      <c r="J88" s="76">
        <f t="shared" si="5"/>
        <v>151.5691815</v>
      </c>
      <c r="K88" s="71" t="str">
        <f t="shared" si="6"/>
        <v>2m 31s</v>
      </c>
      <c r="L88" s="77">
        <f t="shared" si="7"/>
        <v>397124</v>
      </c>
      <c r="M88" s="51">
        <f t="shared" si="8"/>
        <v>-0.31179</v>
      </c>
      <c r="N88" s="52">
        <f>IFERROR(__xludf.DUMMYFUNCTION("IFS(AND(COUNTA(C88:C147)=0,COUNTA(P88:P147)=0),"""",OR(AND(L88&gt;=1000000,OR(Y88&gt;=1000000,COUNTA(P88:P147)=0)),AND(Y88&gt;=1000000,COUNTA(C88:C147)=0),AND(COUNTA(P88:P147)=0,O$3=TRUE)),
ROUNDDOWN((AB$1-AC$1)*MAX(INDEX(S$4:S147,MATCH(LARGE(FILTER(Y$4:Y147,Y$4:Y"&amp;"147&lt;1000000),1),Y$4:Y147)),INDEX(F$4:F147,MATCH(LARGE(FILTER(L$4:L147,L$4:L147&lt;1000000),1),L$4:L147)))),AND(L88&lt;1000000,COUNTA(C88:C147)&gt;0,O$3=FALSE),
ROUNDDOWN(INDEX(Y$4:Y147,MATCH(LARGE(FILTER(W$4:W147,W$4:W147&lt;=J88),1),W$4:W147))+(J88-LARGE(FILTER(W$4:"&amp;"W147,W$4:W147&lt;=J88),1))*INDEX(S$4:S147,MATCH(LARGE(FILTER(W$4:W147,W$4:W147&lt;=J88),1),W$4:W147))-L88),1,
ROUNDDOWN(Y88-INDEX(L$4:L147,MATCH(LARGE(FILTER(J$4:J147,J$4:J147&lt;=W88),1),J$4:J147))-(W88-LARGE(FILTER(J$4:J147,J$4:J147&lt;=W88),1))*INDEX(F$4:F147,MATC"&amp;"H(LARGE(FILTER(J$4:J147,J$4:J147&lt;=W88),1),J$4:J147))))"),1759.0)</f>
        <v>1759</v>
      </c>
      <c r="O88" s="65">
        <f t="shared" si="9"/>
        <v>24</v>
      </c>
      <c r="P88" s="15" t="s">
        <v>10</v>
      </c>
      <c r="Q88" s="14" t="b">
        <f>IFERROR(__xludf.DUMMYFUNCTION("IF(COUNTA(P88:P147)=0,"""",IFERROR(IF(ISBLANK(P88),FALSE,IF(ISBLANK(T88),1,IF(NOT(COUNTIF($AA$24:$AA$34,SUBSTITUTE(P88,""Sell_"",""""))),1,IF(P88=""Plastic_up"",IF(V88&lt;1000,1),IF(P88=""Super_Up"",IF(OR(COUNTIF(P$4:P88,""Grandma"")-COUNTIF(P$4:P88,""Sell_G"&amp;"randma"")&lt;1,COUNTIF(P$4:P88,VLOOKUP(P88,Upgrades!$F$8:$N$8,7+COUNTIF(P$4:P88,P88)))-COUNTIF(P$4:P88,""Sell_""&amp;VLOOKUP(P88,Upgrades!$F$8:$N$8,7+COUNTIF(P$4:P88,P88)))&lt;15),1),IF(REGEXMATCH(P88,""_up""),IF(COUNTIF(P$4:P88,SUBSTITUTE(P88,""_up"",""""))&lt;IFERRO"&amp;"R(VLOOKUP(P88,Upgrades!$L$3:$P$6,1+COUNTIF(P$4:P88,P88),0),999),1),IF(REGEXMATCH(P88,""Sell_""),IF(COUNTIF(P$4:P88,SUBSTITUTE(P88,""Sell_"",""""))-COUNTIF(P$4:P87,P88)&lt;1,1),FALSE)))))))))"),FALSE)</f>
        <v>0</v>
      </c>
      <c r="R88" s="71">
        <f>IFERROR(__xludf.DUMMYFUNCTION("IF(REGEXMATCH(P88,""^Sell_""),R87, IF(COUNTA(P88:P147)=0,"""",(COUNTIF(P$4:P88,""Cursor"")-COUNTIF(P$4:P88,""Sell_Cursor""))*(0.1*2^SWITCH(COUNTIF(P$4:P88,""Cursor_up""),0,0,1,1,2,2,3)+SWITCH(COUNTIF(P$4:P88,""Cursor_up""),4,0.1,0)*(ROW(P88)-4-COUNTIF(P$4"&amp;":P88,""Cursor"")-COUNTIF(P$4:P88,""*""&amp;""_up"")-2*COUNTIF(P$4:P88,""Sell_""&amp;""*"")+COUNTIF(P$4:P88,""Sell_Cursor"")-COUNTIF(P$4:P88,"""")))+(COUNTIF(P$4:P88,""Grandma"")-COUNTIF(P$4:P88,""Sell_Grandma""))*(1*2^(COUNTIF(P$4:P88,""Grandma_up"")+COUNTIF(P$4:"&amp;"P88,""Super_up"")))+(COUNTIF(P$4:P88,""Farm"")-COUNTIF(P$4:P88,""Sell_Farm""))*(8*2^COUNTIF(P$4:P88,""Farm_up""))*IF(COUNTIF(P$4:P88,""Super_up"")&gt;0,1+0.01*(COUNTIF(P$4:P88,""Grandma"")-COUNTIF(P$4:P88,""Sell_Grandma"")),1)+(COUNTIF(P$4:P88,""Mine"")-COUN"&amp;"TIF(P$4:P88,""Sell_Mine""))*((47*2^COUNTIF(P$4:P88,""Mine_up""))*IF(COUNTIF(P$4:P88,""Super_up"")&gt;1,1+0.005*(COUNTIF(P$4:P88,""Grandma"")-COUNTIF(P$4:P88,""Sell_Grandma"")),1))+(COUNTIF(P$4:P88,""Factory"")-COUNTIF(P$4:P88,""Sell_Factory""))*(260*2^COUNTI"&amp;"F(P$4:P88,""Factory_up""))))"),1347.4)</f>
        <v>1347.4</v>
      </c>
      <c r="S88" s="73">
        <f>IFERROR(__xludf.DUMMYFUNCTION("IF(COUNTA(P88:P147)=0,"""",IF(REGEXMATCH(INDEX(FILTER(P$4:P88,P$4:P88&lt;&gt;""""),ROWS(FILTER(P$4:P88,P$4:P88&lt;&gt;""""))),""^Sell_""),INDEX(FILTER(S$4:S87,P$4:P87&lt;&gt;""""),ROWS(FILTER(P$4:P87,P$4:P87&lt;&gt;""""))),$AD$5*(2^SWITCH(COUNTIF(P$4:P88,""Cursor_up""),0,0,1,1,2"&amp;",2,3)+SWITCH(COUNTIF(P$4:P88,""Cursor_up""),4,0.1,0)*(ROW(P88)-4-COUNTIF(P$4:P88,""Cursor"")-COUNTIF(P$4:P88,""*""&amp;""_up"")-2*COUNTIF(P$4:P88,""Sell_""&amp;""*"")+COUNTIF(P$4:P88,""Sell_Cursor"")-COUNTIF(P$4:P88,""""))+0.01*R88*COUNTIF(P$4:P88,""Plastic_up"")"&amp;")+R88))"),5642.200000000001)</f>
        <v>5642.2</v>
      </c>
      <c r="T88" s="14">
        <f>IFERROR(__xludf.DUMMYFUNCTION("IF(COUNTA(P88:P147)=0,"""",IF(REGEXMATCH(P88,""_up""),VLOOKUP(P88,Upgrades!$F$3:$J$8,1+COUNTIF(P$4:P88,P88),FALSE),IF(P88="""",0,IF(REGEXMATCH(P88,""^Sell_""),-ROUNDDOWN(ROUNDUP(INDEX(Upgrades!$C$3:$C$8,MATCH(SUBSTITUTE(P88,""Sell_"",""""),Upgrades!$B$3:$"&amp;"B$8,0))*1.15^(COUNTIF(P$4:P87,SUBSTITUTE(P88,""Sell_"",""""))-COUNTIF(P$4:P87,""Sell_""&amp;SUBSTITUTE(P88,""Sell_"",""""))))/4),ROUNDUP(INDEX(Upgrades!$C$3:$C$7,MATCH(P88,Upgrades!$B$3:$B$7,0))*1.15^(COUNTIF(P$4:P87,P88)-COUNTIF(P$4:P87,""Sell_""&amp;P88)))))))"),374.0)</f>
        <v>374</v>
      </c>
      <c r="U88" s="14">
        <f t="shared" si="10"/>
        <v>374</v>
      </c>
      <c r="V88" s="75">
        <f t="shared" si="11"/>
        <v>14057174.54</v>
      </c>
      <c r="W88" s="76">
        <f t="shared" si="12"/>
        <v>151.2573901</v>
      </c>
      <c r="X88" s="71" t="str">
        <f t="shared" si="13"/>
        <v>2m 31s</v>
      </c>
      <c r="Y88" s="77">
        <f t="shared" si="14"/>
        <v>397124</v>
      </c>
      <c r="Z88" s="17"/>
      <c r="AA88" s="13"/>
      <c r="AB88" s="13"/>
      <c r="AC88" s="13"/>
      <c r="AD88" s="13"/>
      <c r="AE88" s="13"/>
      <c r="AF88" s="13"/>
      <c r="AG88" s="13"/>
    </row>
    <row r="89">
      <c r="A89" s="12"/>
      <c r="B89" s="65">
        <f t="shared" si="2"/>
        <v>25</v>
      </c>
      <c r="C89" s="66" t="s">
        <v>10</v>
      </c>
      <c r="D89" s="14" t="b">
        <f>IFERROR(__xludf.DUMMYFUNCTION("IF(COUNTA(C89:C147)=0,"""",IFERROR(IF(ISBLANK(C89),FALSE,IF(ISBLANK(G89),1,IF(NOT(COUNTIF($AA$24:$AA$34,SUBSTITUTE(C89,""Sell_"",""""))),1,IF(C89=""Plastic_up"",IF(I89&lt;1000,1),IF(C89=""Super_Up"",IF(OR(COUNTIF(C$4:C89,""Grandma"")-COUNTIF(C$4:C89,""Sell_G"&amp;"randma"")&lt;1,COUNTIF(C$4:C89,VLOOKUP(C89,Upgrades!$F$8:$N$8,7+COUNTIF(C$4:C89,C89)))-COUNTIF(C$4:C89,""Sell_""&amp;VLOOKUP(C89,Upgrades!$F$8:$N$8,7+COUNTIF(C$4:C89,C89)))&lt;15),1),IF(REGEXMATCH(C89,""_up""),IF(COUNTIF(C$4:C89,SUBSTITUTE(C89,""_up"",""""))&lt;IFERRO"&amp;"R(VLOOKUP(C89,Upgrades!$L$3:$P$6,1+COUNTIF(C$4:C89,C89),0),999),1),IF(REGEXMATCH(C89,""Sell_""),IF(COUNTIF(C$4:C89,SUBSTITUTE(C89,""Sell_"",""""))-COUNTIF(C$4:C88,C89)&lt;1,1),FALSE)))))))))"),FALSE)</f>
        <v>0</v>
      </c>
      <c r="E89" s="71">
        <f>IFERROR(__xludf.DUMMYFUNCTION("IF(REGEXMATCH(C89,""^Sell_""),E88, IF(COUNTA(C89:C147)=0,"""",(COUNTIF(C$4:C89,""Cursor"")-COUNTIF(C$4:C89,""Sell_Cursor""))*(0.1*2^SWITCH(COUNTIF(C$4:C89,""Cursor_up""),0,0,1,1,2,2,3)+SWITCH(COUNTIF(C$4:C89,""Cursor_up""),4,0.1,0)*(ROW(C89)-4-COUNTIF(C$4"&amp;":C89,""Cursor"")-COUNTIF(C$4:C89,""*""&amp;""_up"")-2*COUNTIF(C$4:C89,""Sell_""&amp;""*"")+COUNTIF(C$4:C89,""Sell_Cursor"")-COUNTIF(C$4:C89,"""")))+(COUNTIF(C$4:C89,""Grandma"")-COUNTIF(C$4:C89,""Sell_Grandma""))*(1*2^(COUNTIF(C$4:C89,""Grandma_up"")+COUNTIF(C$4:"&amp;"C89,""Super_up"")))+(COUNTIF(C$4:C89,""Farm"")-COUNTIF(C$4:C89,""Sell_Farm""))*(8*2^COUNTIF(C$4:C89,""Farm_up""))*IF(COUNTIF(C$4:C89,""Super_up"")&gt;0,1+0.01*(COUNTIF(C$4:C89,""Grandma"")-COUNTIF(C$4:C89,""Sell_Grandma"")),1)+(COUNTIF(C$4:C89,""Mine"")-COUN"&amp;"TIF(C$4:C89,""Sell_Mine""))*((47*2^COUNTIF(C$4:C89,""Mine_up""))*IF(COUNTIF(C$4:C89,""Super_up"")&gt;1,1+0.005*(COUNTIF(C$4:C89,""Grandma"")-COUNTIF(C$4:C89,""Sell_Grandma"")),1))+(COUNTIF(C$4:C89,""Factory"")-COUNTIF(C$4:C89,""Sell_Factory""))*(260*2^COUNTI"&amp;"F(C$4:C89,""Factory_up""))))"),1348.2)</f>
        <v>1348.2</v>
      </c>
      <c r="F89" s="73">
        <f>IFERROR(__xludf.DUMMYFUNCTION("IF(COUNTA(C89:C147)=0,"""",IF(REGEXMATCH(INDEX(FILTER(C$4:C89,C$4:C89&lt;&gt;""""),ROWS(FILTER(C$4:C89,C$4:C89&lt;&gt;""""))),""^Sell_""),INDEX(FILTER(F$4:F88,C$4:C88&lt;&gt;""""),ROWS(FILTER(C$4:C88,C$4:C88&lt;&gt;""""))),$AC$5*(2^SWITCH(COUNTIF(C$4:C89,""Cursor_up""),0,0,1,1,2"&amp;",2,3)+SWITCH(COUNTIF(C$4:C89,""Cursor_up""),4,0.1,0)*(ROW(C89)-4-COUNTIF(C$4:C89,""Cursor"")-COUNTIF(C$4:C89,""*""&amp;""_up"")-2*COUNTIF(C$4:C89,""Sell_""&amp;""*"")+COUNTIF(C$4:C89,""Sell_Cursor"")-COUNTIF(C$4:C89,""""))+0.01*E89*COUNTIF(C$4:C89,""Plastic_up"")"&amp;")+E89))"),5644.599999999999)</f>
        <v>5644.6</v>
      </c>
      <c r="G89" s="14">
        <f>IFERROR(__xludf.DUMMYFUNCTION("IF(COUNTA(C89:C147)=0,"""",IF(REGEXMATCH(C89,""_up""),VLOOKUP(C89,Upgrades!$F$3:$J$8,1+COUNTIF(C$4:C89,C89),FALSE),IF(C89="""",0,IF(REGEXMATCH(C89,""^Sell_""),-ROUNDDOWN(ROUNDUP(INDEX(Upgrades!$C$3:$C$8,MATCH(SUBSTITUTE(C89,""Sell_"",""""),Upgrades!$B$3:$"&amp;"B$8,0))*1.15^(COUNTIF(C$4:C88,SUBSTITUTE(C89,""Sell_"",""""))-COUNTIF(C$4:C88,""Sell_""&amp;SUBSTITUTE(C89,""Sell_"",""""))))/4),ROUNDUP(INDEX(Upgrades!$C$3:$C$7,MATCH(C89,Upgrades!$B$3:$B$7,0))*1.15^(COUNTIF(C$4:C88,C89)-COUNTIF(C$4:C88,""Sell_""&amp;C89)))))))"),430.0)</f>
        <v>430</v>
      </c>
      <c r="H89" s="14">
        <f t="shared" si="3"/>
        <v>430</v>
      </c>
      <c r="I89" s="75">
        <f t="shared" si="4"/>
        <v>13902489.05</v>
      </c>
      <c r="J89" s="76">
        <f t="shared" si="5"/>
        <v>151.645393</v>
      </c>
      <c r="K89" s="71" t="str">
        <f t="shared" si="6"/>
        <v>2m 31s</v>
      </c>
      <c r="L89" s="77">
        <f t="shared" si="7"/>
        <v>397554</v>
      </c>
      <c r="M89" s="51">
        <f t="shared" si="8"/>
        <v>-0.31179</v>
      </c>
      <c r="N89" s="52">
        <f>IFERROR(__xludf.DUMMYFUNCTION("IFS(AND(COUNTA(C89:C147)=0,COUNTA(P89:P147)=0),"""",OR(AND(L89&gt;=1000000,OR(Y89&gt;=1000000,COUNTA(P89:P147)=0)),AND(Y89&gt;=1000000,COUNTA(C89:C147)=0),AND(COUNTA(P89:P147)=0,O$3=TRUE)),
ROUNDDOWN((AB$1-AC$1)*MAX(INDEX(S$4:S147,MATCH(LARGE(FILTER(Y$4:Y147,Y$4:Y"&amp;"147&lt;1000000),1),Y$4:Y147)),INDEX(F$4:F147,MATCH(LARGE(FILTER(L$4:L147,L$4:L147&lt;1000000),1),L$4:L147)))),AND(L89&lt;1000000,COUNTA(C89:C147)&gt;0,O$3=FALSE),
ROUNDDOWN(INDEX(Y$4:Y147,MATCH(LARGE(FILTER(W$4:W147,W$4:W147&lt;=J89),1),W$4:W147))+(J89-LARGE(FILTER(W$4:"&amp;"W147,W$4:W147&lt;=J89),1))*INDEX(S$4:S147,MATCH(LARGE(FILTER(W$4:W147,W$4:W147&lt;=J89),1),W$4:W147))-L89),1,
ROUNDDOWN(Y89-INDEX(L$4:L147,MATCH(LARGE(FILTER(J$4:J147,J$4:J147&lt;=W89),1),J$4:J147))-(W89-LARGE(FILTER(J$4:J147,J$4:J147&lt;=W89),1))*INDEX(F$4:F147,MATC"&amp;"H(LARGE(FILTER(J$4:J147,J$4:J147&lt;=W89),1),J$4:J147))))"),1759.0)</f>
        <v>1759</v>
      </c>
      <c r="O89" s="65">
        <f t="shared" si="9"/>
        <v>25</v>
      </c>
      <c r="P89" s="15" t="s">
        <v>10</v>
      </c>
      <c r="Q89" s="14" t="b">
        <f>IFERROR(__xludf.DUMMYFUNCTION("IF(COUNTA(P89:P147)=0,"""",IFERROR(IF(ISBLANK(P89),FALSE,IF(ISBLANK(T89),1,IF(NOT(COUNTIF($AA$24:$AA$34,SUBSTITUTE(P89,""Sell_"",""""))),1,IF(P89=""Plastic_up"",IF(V89&lt;1000,1),IF(P89=""Super_Up"",IF(OR(COUNTIF(P$4:P89,""Grandma"")-COUNTIF(P$4:P89,""Sell_G"&amp;"randma"")&lt;1,COUNTIF(P$4:P89,VLOOKUP(P89,Upgrades!$F$8:$N$8,7+COUNTIF(P$4:P89,P89)))-COUNTIF(P$4:P89,""Sell_""&amp;VLOOKUP(P89,Upgrades!$F$8:$N$8,7+COUNTIF(P$4:P89,P89)))&lt;15),1),IF(REGEXMATCH(P89,""_up""),IF(COUNTIF(P$4:P89,SUBSTITUTE(P89,""_up"",""""))&lt;IFERRO"&amp;"R(VLOOKUP(P89,Upgrades!$L$3:$P$6,1+COUNTIF(P$4:P89,P89),0),999),1),IF(REGEXMATCH(P89,""Sell_""),IF(COUNTIF(P$4:P89,SUBSTITUTE(P89,""Sell_"",""""))-COUNTIF(P$4:P88,P89)&lt;1,1),FALSE)))))))))"),FALSE)</f>
        <v>0</v>
      </c>
      <c r="R89" s="71">
        <f>IFERROR(__xludf.DUMMYFUNCTION("IF(REGEXMATCH(P89,""^Sell_""),R88, IF(COUNTA(P89:P147)=0,"""",(COUNTIF(P$4:P89,""Cursor"")-COUNTIF(P$4:P89,""Sell_Cursor""))*(0.1*2^SWITCH(COUNTIF(P$4:P89,""Cursor_up""),0,0,1,1,2,2,3)+SWITCH(COUNTIF(P$4:P89,""Cursor_up""),4,0.1,0)*(ROW(P89)-4-COUNTIF(P$4"&amp;":P89,""Cursor"")-COUNTIF(P$4:P89,""*""&amp;""_up"")-2*COUNTIF(P$4:P89,""Sell_""&amp;""*"")+COUNTIF(P$4:P89,""Sell_Cursor"")-COUNTIF(P$4:P89,"""")))+(COUNTIF(P$4:P89,""Grandma"")-COUNTIF(P$4:P89,""Sell_Grandma""))*(1*2^(COUNTIF(P$4:P89,""Grandma_up"")+COUNTIF(P$4:"&amp;"P89,""Super_up"")))+(COUNTIF(P$4:P89,""Farm"")-COUNTIF(P$4:P89,""Sell_Farm""))*(8*2^COUNTIF(P$4:P89,""Farm_up""))*IF(COUNTIF(P$4:P89,""Super_up"")&gt;0,1+0.01*(COUNTIF(P$4:P89,""Grandma"")-COUNTIF(P$4:P89,""Sell_Grandma"")),1)+(COUNTIF(P$4:P89,""Mine"")-COUN"&amp;"TIF(P$4:P89,""Sell_Mine""))*((47*2^COUNTIF(P$4:P89,""Mine_up""))*IF(COUNTIF(P$4:P89,""Super_up"")&gt;1,1+0.005*(COUNTIF(P$4:P89,""Grandma"")-COUNTIF(P$4:P89,""Sell_Grandma"")),1))+(COUNTIF(P$4:P89,""Factory"")-COUNTIF(P$4:P89,""Sell_Factory""))*(260*2^COUNTI"&amp;"F(P$4:P89,""Factory_up""))))"),1348.2)</f>
        <v>1348.2</v>
      </c>
      <c r="S89" s="73">
        <f>IFERROR(__xludf.DUMMYFUNCTION("IF(COUNTA(P89:P147)=0,"""",IF(REGEXMATCH(INDEX(FILTER(P$4:P89,P$4:P89&lt;&gt;""""),ROWS(FILTER(P$4:P89,P$4:P89&lt;&gt;""""))),""^Sell_""),INDEX(FILTER(S$4:S88,P$4:P88&lt;&gt;""""),ROWS(FILTER(P$4:P88,P$4:P88&lt;&gt;""""))),$AD$5*(2^SWITCH(COUNTIF(P$4:P89,""Cursor_up""),0,0,1,1,2"&amp;",2,3)+SWITCH(COUNTIF(P$4:P89,""Cursor_up""),4,0.1,0)*(ROW(P89)-4-COUNTIF(P$4:P89,""Cursor"")-COUNTIF(P$4:P89,""*""&amp;""_up"")-2*COUNTIF(P$4:P89,""Sell_""&amp;""*"")+COUNTIF(P$4:P89,""Sell_Cursor"")-COUNTIF(P$4:P89,""""))+0.01*R89*COUNTIF(P$4:P89,""Plastic_up"")"&amp;")+R89))"),5644.599999999999)</f>
        <v>5644.6</v>
      </c>
      <c r="T89" s="14">
        <f>IFERROR(__xludf.DUMMYFUNCTION("IF(COUNTA(P89:P147)=0,"""",IF(REGEXMATCH(P89,""_up""),VLOOKUP(P89,Upgrades!$F$3:$J$8,1+COUNTIF(P$4:P89,P89),FALSE),IF(P89="""",0,IF(REGEXMATCH(P89,""^Sell_""),-ROUNDDOWN(ROUNDUP(INDEX(Upgrades!$C$3:$C$8,MATCH(SUBSTITUTE(P89,""Sell_"",""""),Upgrades!$B$3:$"&amp;"B$8,0))*1.15^(COUNTIF(P$4:P88,SUBSTITUTE(P89,""Sell_"",""""))-COUNTIF(P$4:P88,""Sell_""&amp;SUBSTITUTE(P89,""Sell_"",""""))))/4),ROUNDUP(INDEX(Upgrades!$C$3:$C$7,MATCH(P89,Upgrades!$B$3:$B$7,0))*1.15^(COUNTIF(P$4:P88,P89)-COUNTIF(P$4:P88,""Sell_""&amp;P89)))))))"),430.0)</f>
        <v>430</v>
      </c>
      <c r="U89" s="14">
        <f t="shared" si="10"/>
        <v>430</v>
      </c>
      <c r="V89" s="75">
        <f t="shared" si="11"/>
        <v>14707122.09</v>
      </c>
      <c r="W89" s="76">
        <f t="shared" si="12"/>
        <v>151.3336015</v>
      </c>
      <c r="X89" s="71" t="str">
        <f t="shared" si="13"/>
        <v>2m 31s</v>
      </c>
      <c r="Y89" s="77">
        <f t="shared" si="14"/>
        <v>397554</v>
      </c>
      <c r="Z89" s="17"/>
      <c r="AA89" s="13"/>
      <c r="AB89" s="13"/>
      <c r="AC89" s="13"/>
      <c r="AD89" s="13"/>
      <c r="AE89" s="13"/>
      <c r="AF89" s="13"/>
      <c r="AG89" s="13"/>
    </row>
    <row r="90">
      <c r="A90" s="12"/>
      <c r="B90" s="65">
        <f t="shared" si="2"/>
        <v>26</v>
      </c>
      <c r="C90" s="66" t="s">
        <v>10</v>
      </c>
      <c r="D90" s="14" t="b">
        <f>IFERROR(__xludf.DUMMYFUNCTION("IF(COUNTA(C90:C147)=0,"""",IFERROR(IF(ISBLANK(C90),FALSE,IF(ISBLANK(G90),1,IF(NOT(COUNTIF($AA$24:$AA$34,SUBSTITUTE(C90,""Sell_"",""""))),1,IF(C90=""Plastic_up"",IF(I90&lt;1000,1),IF(C90=""Super_Up"",IF(OR(COUNTIF(C$4:C90,""Grandma"")-COUNTIF(C$4:C90,""Sell_G"&amp;"randma"")&lt;1,COUNTIF(C$4:C90,VLOOKUP(C90,Upgrades!$F$8:$N$8,7+COUNTIF(C$4:C90,C90)))-COUNTIF(C$4:C90,""Sell_""&amp;VLOOKUP(C90,Upgrades!$F$8:$N$8,7+COUNTIF(C$4:C90,C90)))&lt;15),1),IF(REGEXMATCH(C90,""_up""),IF(COUNTIF(C$4:C90,SUBSTITUTE(C90,""_up"",""""))&lt;IFERRO"&amp;"R(VLOOKUP(C90,Upgrades!$L$3:$P$6,1+COUNTIF(C$4:C90,C90),0),999),1),IF(REGEXMATCH(C90,""Sell_""),IF(COUNTIF(C$4:C90,SUBSTITUTE(C90,""Sell_"",""""))-COUNTIF(C$4:C89,C90)&lt;1,1),FALSE)))))))))"),FALSE)</f>
        <v>0</v>
      </c>
      <c r="E90" s="71">
        <f>IFERROR(__xludf.DUMMYFUNCTION("IF(REGEXMATCH(C90,""^Sell_""),E89, IF(COUNTA(C90:C147)=0,"""",(COUNTIF(C$4:C90,""Cursor"")-COUNTIF(C$4:C90,""Sell_Cursor""))*(0.1*2^SWITCH(COUNTIF(C$4:C90,""Cursor_up""),0,0,1,1,2,2,3)+SWITCH(COUNTIF(C$4:C90,""Cursor_up""),4,0.1,0)*(ROW(C90)-4-COUNTIF(C$4"&amp;":C90,""Cursor"")-COUNTIF(C$4:C90,""*""&amp;""_up"")-2*COUNTIF(C$4:C90,""Sell_""&amp;""*"")+COUNTIF(C$4:C90,""Sell_Cursor"")-COUNTIF(C$4:C90,"""")))+(COUNTIF(C$4:C90,""Grandma"")-COUNTIF(C$4:C90,""Sell_Grandma""))*(1*2^(COUNTIF(C$4:C90,""Grandma_up"")+COUNTIF(C$4:"&amp;"C90,""Super_up"")))+(COUNTIF(C$4:C90,""Farm"")-COUNTIF(C$4:C90,""Sell_Farm""))*(8*2^COUNTIF(C$4:C90,""Farm_up""))*IF(COUNTIF(C$4:C90,""Super_up"")&gt;0,1+0.01*(COUNTIF(C$4:C90,""Grandma"")-COUNTIF(C$4:C90,""Sell_Grandma"")),1)+(COUNTIF(C$4:C90,""Mine"")-COUN"&amp;"TIF(C$4:C90,""Sell_Mine""))*((47*2^COUNTIF(C$4:C90,""Mine_up""))*IF(COUNTIF(C$4:C90,""Super_up"")&gt;1,1+0.005*(COUNTIF(C$4:C90,""Grandma"")-COUNTIF(C$4:C90,""Sell_Grandma"")),1))+(COUNTIF(C$4:C90,""Factory"")-COUNTIF(C$4:C90,""Sell_Factory""))*(260*2^COUNTI"&amp;"F(C$4:C90,""Factory_up""))))"),1349.0)</f>
        <v>1349</v>
      </c>
      <c r="F90" s="73">
        <f>IFERROR(__xludf.DUMMYFUNCTION("IF(COUNTA(C90:C147)=0,"""",IF(REGEXMATCH(INDEX(FILTER(C$4:C90,C$4:C90&lt;&gt;""""),ROWS(FILTER(C$4:C90,C$4:C90&lt;&gt;""""))),""^Sell_""),INDEX(FILTER(F$4:F89,C$4:C89&lt;&gt;""""),ROWS(FILTER(C$4:C89,C$4:C89&lt;&gt;""""))),$AC$5*(2^SWITCH(COUNTIF(C$4:C90,""Cursor_up""),0,0,1,1,2"&amp;",2,3)+SWITCH(COUNTIF(C$4:C90,""Cursor_up""),4,0.1,0)*(ROW(C90)-4-COUNTIF(C$4:C90,""Cursor"")-COUNTIF(C$4:C90,""*""&amp;""_up"")-2*COUNTIF(C$4:C90,""Sell_""&amp;""*"")+COUNTIF(C$4:C90,""Sell_Cursor"")-COUNTIF(C$4:C90,""""))+0.01*E90*COUNTIF(C$4:C90,""Plastic_up"")"&amp;")+E90))"),5647.0)</f>
        <v>5647</v>
      </c>
      <c r="G90" s="14">
        <f>IFERROR(__xludf.DUMMYFUNCTION("IF(COUNTA(C90:C147)=0,"""",IF(REGEXMATCH(C90,""_up""),VLOOKUP(C90,Upgrades!$F$3:$J$8,1+COUNTIF(C$4:C90,C90),FALSE),IF(C90="""",0,IF(REGEXMATCH(C90,""^Sell_""),-ROUNDDOWN(ROUNDUP(INDEX(Upgrades!$C$3:$C$8,MATCH(SUBSTITUTE(C90,""Sell_"",""""),Upgrades!$B$3:$"&amp;"B$8,0))*1.15^(COUNTIF(C$4:C89,SUBSTITUTE(C90,""Sell_"",""""))-COUNTIF(C$4:C89,""Sell_""&amp;SUBSTITUTE(C90,""Sell_"",""""))))/4),ROUNDUP(INDEX(Upgrades!$C$3:$C$7,MATCH(C90,Upgrades!$B$3:$B$7,0))*1.15^(COUNTIF(C$4:C89,C90)-COUNTIF(C$4:C89,""Sell_""&amp;C90)))))))"),494.0)</f>
        <v>494</v>
      </c>
      <c r="H90" s="14">
        <f t="shared" si="3"/>
        <v>494</v>
      </c>
      <c r="I90" s="75">
        <f t="shared" si="4"/>
        <v>14554394.32</v>
      </c>
      <c r="J90" s="76">
        <f t="shared" si="5"/>
        <v>151.7329102</v>
      </c>
      <c r="K90" s="71" t="str">
        <f t="shared" si="6"/>
        <v>2m 31s</v>
      </c>
      <c r="L90" s="77">
        <f t="shared" si="7"/>
        <v>398048</v>
      </c>
      <c r="M90" s="51">
        <f t="shared" si="8"/>
        <v>-0.31179</v>
      </c>
      <c r="N90" s="52">
        <f>IFERROR(__xludf.DUMMYFUNCTION("IFS(AND(COUNTA(C90:C147)=0,COUNTA(P90:P147)=0),"""",OR(AND(L90&gt;=1000000,OR(Y90&gt;=1000000,COUNTA(P90:P147)=0)),AND(Y90&gt;=1000000,COUNTA(C90:C147)=0),AND(COUNTA(P90:P147)=0,O$3=TRUE)),
ROUNDDOWN((AB$1-AC$1)*MAX(INDEX(S$4:S147,MATCH(LARGE(FILTER(Y$4:Y147,Y$4:Y"&amp;"147&lt;1000000),1),Y$4:Y147)),INDEX(F$4:F147,MATCH(LARGE(FILTER(L$4:L147,L$4:L147&lt;1000000),1),L$4:L147)))),AND(L90&lt;1000000,COUNTA(C90:C147)&gt;0,O$3=FALSE),
ROUNDDOWN(INDEX(Y$4:Y147,MATCH(LARGE(FILTER(W$4:W147,W$4:W147&lt;=J90),1),W$4:W147))+(J90-LARGE(FILTER(W$4:"&amp;"W147,W$4:W147&lt;=J90),1))*INDEX(S$4:S147,MATCH(LARGE(FILTER(W$4:W147,W$4:W147&lt;=J90),1),W$4:W147))-L90),1,
ROUNDDOWN(Y90-INDEX(L$4:L147,MATCH(LARGE(FILTER(J$4:J147,J$4:J147&lt;=W90),1),J$4:J147))-(W90-LARGE(FILTER(J$4:J147,J$4:J147&lt;=W90),1))*INDEX(F$4:F147,MATC"&amp;"H(LARGE(FILTER(J$4:J147,J$4:J147&lt;=W90),1),J$4:J147))))"),1759.0)</f>
        <v>1759</v>
      </c>
      <c r="O90" s="65">
        <f t="shared" si="9"/>
        <v>4</v>
      </c>
      <c r="P90" s="15" t="s">
        <v>11</v>
      </c>
      <c r="Q90" s="14" t="b">
        <f>IFERROR(__xludf.DUMMYFUNCTION("IF(COUNTA(P90:P147)=0,"""",IFERROR(IF(ISBLANK(P90),FALSE,IF(ISBLANK(T90),1,IF(NOT(COUNTIF($AA$24:$AA$34,SUBSTITUTE(P90,""Sell_"",""""))),1,IF(P90=""Plastic_up"",IF(V90&lt;1000,1),IF(P90=""Super_Up"",IF(OR(COUNTIF(P$4:P90,""Grandma"")-COUNTIF(P$4:P90,""Sell_G"&amp;"randma"")&lt;1,COUNTIF(P$4:P90,VLOOKUP(P90,Upgrades!$F$8:$N$8,7+COUNTIF(P$4:P90,P90)))-COUNTIF(P$4:P90,""Sell_""&amp;VLOOKUP(P90,Upgrades!$F$8:$N$8,7+COUNTIF(P$4:P90,P90)))&lt;15),1),IF(REGEXMATCH(P90,""_up""),IF(COUNTIF(P$4:P90,SUBSTITUTE(P90,""_up"",""""))&lt;IFERRO"&amp;"R(VLOOKUP(P90,Upgrades!$L$3:$P$6,1+COUNTIF(P$4:P90,P90),0),999),1),IF(REGEXMATCH(P90,""Sell_""),IF(COUNTIF(P$4:P90,SUBSTITUTE(P90,""Sell_"",""""))-COUNTIF(P$4:P89,P90)&lt;1,1),FALSE)))))))))"),FALSE)</f>
        <v>0</v>
      </c>
      <c r="R90" s="71">
        <f>IFERROR(__xludf.DUMMYFUNCTION("IF(REGEXMATCH(P90,""^Sell_""),R89, IF(COUNTA(P90:P147)=0,"""",(COUNTIF(P$4:P90,""Cursor"")-COUNTIF(P$4:P90,""Sell_Cursor""))*(0.1*2^SWITCH(COUNTIF(P$4:P90,""Cursor_up""),0,0,1,1,2,2,3)+SWITCH(COUNTIF(P$4:P90,""Cursor_up""),4,0.1,0)*(ROW(P90)-4-COUNTIF(P$4"&amp;":P90,""Cursor"")-COUNTIF(P$4:P90,""*""&amp;""_up"")-2*COUNTIF(P$4:P90,""Sell_""&amp;""*"")+COUNTIF(P$4:P90,""Sell_Cursor"")-COUNTIF(P$4:P90,"""")))+(COUNTIF(P$4:P90,""Grandma"")-COUNTIF(P$4:P90,""Sell_Grandma""))*(1*2^(COUNTIF(P$4:P90,""Grandma_up"")+COUNTIF(P$4:"&amp;"P90,""Super_up"")))+(COUNTIF(P$4:P90,""Farm"")-COUNTIF(P$4:P90,""Sell_Farm""))*(8*2^COUNTIF(P$4:P90,""Farm_up""))*IF(COUNTIF(P$4:P90,""Super_up"")&gt;0,1+0.01*(COUNTIF(P$4:P90,""Grandma"")-COUNTIF(P$4:P90,""Sell_Grandma"")),1)+(COUNTIF(P$4:P90,""Mine"")-COUN"&amp;"TIF(P$4:P90,""Sell_Mine""))*((47*2^COUNTIF(P$4:P90,""Mine_up""))*IF(COUNTIF(P$4:P90,""Super_up"")&gt;1,1+0.005*(COUNTIF(P$4:P90,""Grandma"")-COUNTIF(P$4:P90,""Sell_Grandma"")),1))+(COUNTIF(P$4:P90,""Factory"")-COUNTIF(P$4:P90,""Sell_Factory""))*(260*2^COUNTI"&amp;"F(P$4:P90,""Factory_up""))))"),1473.2)</f>
        <v>1473.2</v>
      </c>
      <c r="S90" s="73">
        <f>IFERROR(__xludf.DUMMYFUNCTION("IF(COUNTA(P90:P147)=0,"""",IF(REGEXMATCH(INDEX(FILTER(P$4:P90,P$4:P90&lt;&gt;""""),ROWS(FILTER(P$4:P90,P$4:P90&lt;&gt;""""))),""^Sell_""),INDEX(FILTER(S$4:S89,P$4:P89&lt;&gt;""""),ROWS(FILTER(P$4:P89,P$4:P89&lt;&gt;""""))),$AD$5*(2^SWITCH(COUNTIF(P$4:P90,""Cursor_up""),0,0,1,1,2"&amp;",2,3)+SWITCH(COUNTIF(P$4:P90,""Cursor_up""),4,0.1,0)*(ROW(P90)-4-COUNTIF(P$4:P90,""Cursor"")-COUNTIF(P$4:P90,""*""&amp;""_up"")-2*COUNTIF(P$4:P90,""Sell_""&amp;""*"")+COUNTIF(P$4:P90,""Sell_Cursor"")-COUNTIF(P$4:P90,""""))+0.01*R90*COUNTIF(P$4:P90,""Plastic_up"")"&amp;")+R90))"),7019.599999999999)</f>
        <v>7019.6</v>
      </c>
      <c r="T90" s="14">
        <f>IFERROR(__xludf.DUMMYFUNCTION("IF(COUNTA(P90:P147)=0,"""",IF(REGEXMATCH(P90,""_up""),VLOOKUP(P90,Upgrades!$F$3:$J$8,1+COUNTIF(P$4:P90,P90),FALSE),IF(P90="""",0,IF(REGEXMATCH(P90,""^Sell_""),-ROUNDDOWN(ROUNDUP(INDEX(Upgrades!$C$3:$C$8,MATCH(SUBSTITUTE(P90,""Sell_"",""""),Upgrades!$B$3:$"&amp;"B$8,0))*1.15^(COUNTIF(P$4:P89,SUBSTITUTE(P90,""Sell_"",""""))-COUNTIF(P$4:P89,""Sell_""&amp;SUBSTITUTE(P90,""Sell_"",""""))))/4),ROUNDUP(INDEX(Upgrades!$C$3:$C$7,MATCH(P90,Upgrades!$B$3:$B$7,0))*1.15^(COUNTIF(P$4:P89,P90)-COUNTIF(P$4:P89,""Sell_""&amp;P90)))))))"),100000.0)</f>
        <v>100000</v>
      </c>
      <c r="U90" s="14">
        <f t="shared" si="10"/>
        <v>100000</v>
      </c>
      <c r="V90" s="75">
        <f t="shared" si="11"/>
        <v>15433427</v>
      </c>
      <c r="W90" s="76">
        <f t="shared" si="12"/>
        <v>169.0496487</v>
      </c>
      <c r="X90" s="71" t="str">
        <f t="shared" si="13"/>
        <v>2m 49s</v>
      </c>
      <c r="Y90" s="77">
        <f t="shared" si="14"/>
        <v>497554</v>
      </c>
      <c r="Z90" s="17"/>
      <c r="AA90" s="13"/>
      <c r="AB90" s="13"/>
      <c r="AC90" s="13"/>
      <c r="AD90" s="13"/>
      <c r="AE90" s="13"/>
      <c r="AF90" s="13"/>
      <c r="AG90" s="13"/>
    </row>
    <row r="91">
      <c r="A91" s="12"/>
      <c r="B91" s="65">
        <f t="shared" si="2"/>
        <v>27</v>
      </c>
      <c r="C91" s="66" t="s">
        <v>10</v>
      </c>
      <c r="D91" s="14" t="b">
        <f>IFERROR(__xludf.DUMMYFUNCTION("IF(COUNTA(C91:C147)=0,"""",IFERROR(IF(ISBLANK(C91),FALSE,IF(ISBLANK(G91),1,IF(NOT(COUNTIF($AA$24:$AA$34,SUBSTITUTE(C91,""Sell_"",""""))),1,IF(C91=""Plastic_up"",IF(I91&lt;1000,1),IF(C91=""Super_Up"",IF(OR(COUNTIF(C$4:C91,""Grandma"")-COUNTIF(C$4:C91,""Sell_G"&amp;"randma"")&lt;1,COUNTIF(C$4:C91,VLOOKUP(C91,Upgrades!$F$8:$N$8,7+COUNTIF(C$4:C91,C91)))-COUNTIF(C$4:C91,""Sell_""&amp;VLOOKUP(C91,Upgrades!$F$8:$N$8,7+COUNTIF(C$4:C91,C91)))&lt;15),1),IF(REGEXMATCH(C91,""_up""),IF(COUNTIF(C$4:C91,SUBSTITUTE(C91,""_up"",""""))&lt;IFERRO"&amp;"R(VLOOKUP(C91,Upgrades!$L$3:$P$6,1+COUNTIF(C$4:C91,C91),0),999),1),IF(REGEXMATCH(C91,""Sell_""),IF(COUNTIF(C$4:C91,SUBSTITUTE(C91,""Sell_"",""""))-COUNTIF(C$4:C90,C91)&lt;1,1),FALSE)))))))))"),FALSE)</f>
        <v>0</v>
      </c>
      <c r="E91" s="71">
        <f>IFERROR(__xludf.DUMMYFUNCTION("IF(REGEXMATCH(C91,""^Sell_""),E90, IF(COUNTA(C91:C147)=0,"""",(COUNTIF(C$4:C91,""Cursor"")-COUNTIF(C$4:C91,""Sell_Cursor""))*(0.1*2^SWITCH(COUNTIF(C$4:C91,""Cursor_up""),0,0,1,1,2,2,3)+SWITCH(COUNTIF(C$4:C91,""Cursor_up""),4,0.1,0)*(ROW(C91)-4-COUNTIF(C$4"&amp;":C91,""Cursor"")-COUNTIF(C$4:C91,""*""&amp;""_up"")-2*COUNTIF(C$4:C91,""Sell_""&amp;""*"")+COUNTIF(C$4:C91,""Sell_Cursor"")-COUNTIF(C$4:C91,"""")))+(COUNTIF(C$4:C91,""Grandma"")-COUNTIF(C$4:C91,""Sell_Grandma""))*(1*2^(COUNTIF(C$4:C91,""Grandma_up"")+COUNTIF(C$4:"&amp;"C91,""Super_up"")))+(COUNTIF(C$4:C91,""Farm"")-COUNTIF(C$4:C91,""Sell_Farm""))*(8*2^COUNTIF(C$4:C91,""Farm_up""))*IF(COUNTIF(C$4:C91,""Super_up"")&gt;0,1+0.01*(COUNTIF(C$4:C91,""Grandma"")-COUNTIF(C$4:C91,""Sell_Grandma"")),1)+(COUNTIF(C$4:C91,""Mine"")-COUN"&amp;"TIF(C$4:C91,""Sell_Mine""))*((47*2^COUNTIF(C$4:C91,""Mine_up""))*IF(COUNTIF(C$4:C91,""Super_up"")&gt;1,1+0.005*(COUNTIF(C$4:C91,""Grandma"")-COUNTIF(C$4:C91,""Sell_Grandma"")),1))+(COUNTIF(C$4:C91,""Factory"")-COUNTIF(C$4:C91,""Sell_Factory""))*(260*2^COUNTI"&amp;"F(C$4:C91,""Factory_up""))))"),1349.8000000000002)</f>
        <v>1349.8</v>
      </c>
      <c r="F91" s="73">
        <f>IFERROR(__xludf.DUMMYFUNCTION("IF(COUNTA(C91:C147)=0,"""",IF(REGEXMATCH(INDEX(FILTER(C$4:C91,C$4:C91&lt;&gt;""""),ROWS(FILTER(C$4:C91,C$4:C91&lt;&gt;""""))),""^Sell_""),INDEX(FILTER(F$4:F90,C$4:C90&lt;&gt;""""),ROWS(FILTER(C$4:C90,C$4:C90&lt;&gt;""""))),$AC$5*(2^SWITCH(COUNTIF(C$4:C91,""Cursor_up""),0,0,1,1,2"&amp;",2,3)+SWITCH(COUNTIF(C$4:C91,""Cursor_up""),4,0.1,0)*(ROW(C91)-4-COUNTIF(C$4:C91,""Cursor"")-COUNTIF(C$4:C91,""*""&amp;""_up"")-2*COUNTIF(C$4:C91,""Sell_""&amp;""*"")+COUNTIF(C$4:C91,""Sell_Cursor"")-COUNTIF(C$4:C91,""""))+0.01*E91*COUNTIF(C$4:C91,""Plastic_up"")"&amp;")+E91))"),5649.4000000000015)</f>
        <v>5649.4</v>
      </c>
      <c r="G91" s="14">
        <f>IFERROR(__xludf.DUMMYFUNCTION("IF(COUNTA(C91:C147)=0,"""",IF(REGEXMATCH(C91,""_up""),VLOOKUP(C91,Upgrades!$F$3:$J$8,1+COUNTIF(C$4:C91,C91),FALSE),IF(C91="""",0,IF(REGEXMATCH(C91,""^Sell_""),-ROUNDDOWN(ROUNDUP(INDEX(Upgrades!$C$3:$C$8,MATCH(SUBSTITUTE(C91,""Sell_"",""""),Upgrades!$B$3:$"&amp;"B$8,0))*1.15^(COUNTIF(C$4:C90,SUBSTITUTE(C91,""Sell_"",""""))-COUNTIF(C$4:C90,""Sell_""&amp;SUBSTITUTE(C91,""Sell_"",""""))))/4),ROUNDUP(INDEX(Upgrades!$C$3:$C$7,MATCH(C91,Upgrades!$B$3:$B$7,0))*1.15^(COUNTIF(C$4:C90,C91)-COUNTIF(C$4:C90,""Sell_""&amp;C91)))))))"),568.0)</f>
        <v>568</v>
      </c>
      <c r="H91" s="14">
        <f t="shared" si="3"/>
        <v>568</v>
      </c>
      <c r="I91" s="75">
        <f t="shared" si="4"/>
        <v>15206974.68</v>
      </c>
      <c r="J91" s="76">
        <f t="shared" si="5"/>
        <v>151.8334946</v>
      </c>
      <c r="K91" s="71" t="str">
        <f t="shared" si="6"/>
        <v>2m 31s</v>
      </c>
      <c r="L91" s="77">
        <f t="shared" si="7"/>
        <v>398616</v>
      </c>
      <c r="M91" s="51">
        <f t="shared" si="8"/>
        <v>-0.31174</v>
      </c>
      <c r="N91" s="52">
        <f>IFERROR(__xludf.DUMMYFUNCTION("IFS(AND(COUNTA(C91:C147)=0,COUNTA(P91:P147)=0),"""",OR(AND(L91&gt;=1000000,OR(Y91&gt;=1000000,COUNTA(P91:P147)=0)),AND(Y91&gt;=1000000,COUNTA(C91:C147)=0),AND(COUNTA(P91:P147)=0,O$3=TRUE)),
ROUNDDOWN((AB$1-AC$1)*MAX(INDEX(S$4:S147,MATCH(LARGE(FILTER(Y$4:Y147,Y$4:Y"&amp;"147&lt;1000000),1),Y$4:Y147)),INDEX(F$4:F147,MATCH(LARGE(FILTER(L$4:L147,L$4:L147&lt;1000000),1),L$4:L147)))),AND(L91&lt;1000000,COUNTA(C91:C147)&gt;0,O$3=FALSE),
ROUNDDOWN(INDEX(Y$4:Y147,MATCH(LARGE(FILTER(W$4:W147,W$4:W147&lt;=J91),1),W$4:W147))+(J91-LARGE(FILTER(W$4:"&amp;"W147,W$4:W147&lt;=J91),1))*INDEX(S$4:S147,MATCH(LARGE(FILTER(W$4:W147,W$4:W147&lt;=J91),1),W$4:W147))-L91),1,
ROUNDDOWN(Y91-INDEX(L$4:L147,MATCH(LARGE(FILTER(J$4:J147,J$4:J147&lt;=W91),1),J$4:J147))-(W91-LARGE(FILTER(J$4:J147,J$4:J147&lt;=W91),1))*INDEX(F$4:F147,MATC"&amp;"H(LARGE(FILTER(J$4:J147,J$4:J147&lt;=W91),1),J$4:J147))))"),1759.0)</f>
        <v>1759</v>
      </c>
      <c r="O91" s="65">
        <f t="shared" si="9"/>
        <v>26</v>
      </c>
      <c r="P91" s="15" t="s">
        <v>10</v>
      </c>
      <c r="Q91" s="14" t="b">
        <f>IFERROR(__xludf.DUMMYFUNCTION("IF(COUNTA(P91:P147)=0,"""",IFERROR(IF(ISBLANK(P91),FALSE,IF(ISBLANK(T91),1,IF(NOT(COUNTIF($AA$24:$AA$34,SUBSTITUTE(P91,""Sell_"",""""))),1,IF(P91=""Plastic_up"",IF(V91&lt;1000,1),IF(P91=""Super_Up"",IF(OR(COUNTIF(P$4:P91,""Grandma"")-COUNTIF(P$4:P91,""Sell_G"&amp;"randma"")&lt;1,COUNTIF(P$4:P91,VLOOKUP(P91,Upgrades!$F$8:$N$8,7+COUNTIF(P$4:P91,P91)))-COUNTIF(P$4:P91,""Sell_""&amp;VLOOKUP(P91,Upgrades!$F$8:$N$8,7+COUNTIF(P$4:P91,P91)))&lt;15),1),IF(REGEXMATCH(P91,""_up""),IF(COUNTIF(P$4:P91,SUBSTITUTE(P91,""_up"",""""))&lt;IFERRO"&amp;"R(VLOOKUP(P91,Upgrades!$L$3:$P$6,1+COUNTIF(P$4:P91,P91),0),999),1),IF(REGEXMATCH(P91,""Sell_""),IF(COUNTIF(P$4:P91,SUBSTITUTE(P91,""Sell_"",""""))-COUNTIF(P$4:P90,P91)&lt;1,1),FALSE)))))))))"),FALSE)</f>
        <v>0</v>
      </c>
      <c r="R91" s="71">
        <f>IFERROR(__xludf.DUMMYFUNCTION("IF(REGEXMATCH(P91,""^Sell_""),R90, IF(COUNTA(P91:P147)=0,"""",(COUNTIF(P$4:P91,""Cursor"")-COUNTIF(P$4:P91,""Sell_Cursor""))*(0.1*2^SWITCH(COUNTIF(P$4:P91,""Cursor_up""),0,0,1,1,2,2,3)+SWITCH(COUNTIF(P$4:P91,""Cursor_up""),4,0.1,0)*(ROW(P91)-4-COUNTIF(P$4"&amp;":P91,""Cursor"")-COUNTIF(P$4:P91,""*""&amp;""_up"")-2*COUNTIF(P$4:P91,""Sell_""&amp;""*"")+COUNTIF(P$4:P91,""Sell_Cursor"")-COUNTIF(P$4:P91,"""")))+(COUNTIF(P$4:P91,""Grandma"")-COUNTIF(P$4:P91,""Sell_Grandma""))*(1*2^(COUNTIF(P$4:P91,""Grandma_up"")+COUNTIF(P$4:"&amp;"P91,""Super_up"")))+(COUNTIF(P$4:P91,""Farm"")-COUNTIF(P$4:P91,""Sell_Farm""))*(8*2^COUNTIF(P$4:P91,""Farm_up""))*IF(COUNTIF(P$4:P91,""Super_up"")&gt;0,1+0.01*(COUNTIF(P$4:P91,""Grandma"")-COUNTIF(P$4:P91,""Sell_Grandma"")),1)+(COUNTIF(P$4:P91,""Mine"")-COUN"&amp;"TIF(P$4:P91,""Sell_Mine""))*((47*2^COUNTIF(P$4:P91,""Mine_up""))*IF(COUNTIF(P$4:P91,""Super_up"")&gt;1,1+0.005*(COUNTIF(P$4:P91,""Grandma"")-COUNTIF(P$4:P91,""Sell_Grandma"")),1))+(COUNTIF(P$4:P91,""Factory"")-COUNTIF(P$4:P91,""Sell_Factory""))*(260*2^COUNTI"&amp;"F(P$4:P91,""Factory_up""))))"),1479.0)</f>
        <v>1479</v>
      </c>
      <c r="S91" s="73">
        <f>IFERROR(__xludf.DUMMYFUNCTION("IF(COUNTA(P91:P147)=0,"""",IF(REGEXMATCH(INDEX(FILTER(P$4:P91,P$4:P91&lt;&gt;""""),ROWS(FILTER(P$4:P91,P$4:P91&lt;&gt;""""))),""^Sell_""),INDEX(FILTER(S$4:S90,P$4:P90&lt;&gt;""""),ROWS(FILTER(P$4:P90,P$4:P90&lt;&gt;""""))),$AD$5*(2^SWITCH(COUNTIF(P$4:P91,""Cursor_up""),0,0,1,1,2"&amp;",2,3)+SWITCH(COUNTIF(P$4:P91,""Cursor_up""),4,0.1,0)*(ROW(P91)-4-COUNTIF(P$4:P91,""Cursor"")-COUNTIF(P$4:P91,""*""&amp;""_up"")-2*COUNTIF(P$4:P91,""Sell_""&amp;""*"")+COUNTIF(P$4:P91,""Sell_Cursor"")-COUNTIF(P$4:P91,""""))+0.01*R91*COUNTIF(P$4:P91,""Plastic_up"")"&amp;")+R91))"),7037.0)</f>
        <v>7037</v>
      </c>
      <c r="T91" s="14">
        <f>IFERROR(__xludf.DUMMYFUNCTION("IF(COUNTA(P91:P147)=0,"""",IF(REGEXMATCH(P91,""_up""),VLOOKUP(P91,Upgrades!$F$3:$J$8,1+COUNTIF(P$4:P91,P91),FALSE),IF(P91="""",0,IF(REGEXMATCH(P91,""^Sell_""),-ROUNDDOWN(ROUNDUP(INDEX(Upgrades!$C$3:$C$8,MATCH(SUBSTITUTE(P91,""Sell_"",""""),Upgrades!$B$3:$"&amp;"B$8,0))*1.15^(COUNTIF(P$4:P90,SUBSTITUTE(P91,""Sell_"",""""))-COUNTIF(P$4:P90,""Sell_""&amp;SUBSTITUTE(P91,""Sell_"",""""))))/4),ROUNDUP(INDEX(Upgrades!$C$3:$C$7,MATCH(P91,Upgrades!$B$3:$B$7,0))*1.15^(COUNTIF(P$4:P90,P91)-COUNTIF(P$4:P90,""Sell_""&amp;P91)))))))"),494.0)</f>
        <v>494</v>
      </c>
      <c r="U91" s="14">
        <f t="shared" si="10"/>
        <v>494</v>
      </c>
      <c r="V91" s="75">
        <f t="shared" si="11"/>
        <v>16371434.3</v>
      </c>
      <c r="W91" s="76">
        <f t="shared" si="12"/>
        <v>169.1200231</v>
      </c>
      <c r="X91" s="71" t="str">
        <f t="shared" si="13"/>
        <v>2m 49s</v>
      </c>
      <c r="Y91" s="77">
        <f t="shared" si="14"/>
        <v>498048</v>
      </c>
      <c r="Z91" s="17"/>
      <c r="AA91" s="13"/>
      <c r="AB91" s="13"/>
      <c r="AC91" s="13"/>
      <c r="AD91" s="13"/>
      <c r="AE91" s="13"/>
      <c r="AF91" s="13"/>
      <c r="AG91" s="13"/>
    </row>
    <row r="92">
      <c r="A92" s="12"/>
      <c r="B92" s="65">
        <f t="shared" si="2"/>
        <v>28</v>
      </c>
      <c r="C92" s="66" t="s">
        <v>10</v>
      </c>
      <c r="D92" s="14" t="b">
        <f>IFERROR(__xludf.DUMMYFUNCTION("IF(COUNTA(C92:C147)=0,"""",IFERROR(IF(ISBLANK(C92),FALSE,IF(ISBLANK(G92),1,IF(NOT(COUNTIF($AA$24:$AA$34,SUBSTITUTE(C92,""Sell_"",""""))),1,IF(C92=""Plastic_up"",IF(I92&lt;1000,1),IF(C92=""Super_Up"",IF(OR(COUNTIF(C$4:C92,""Grandma"")-COUNTIF(C$4:C92,""Sell_G"&amp;"randma"")&lt;1,COUNTIF(C$4:C92,VLOOKUP(C92,Upgrades!$F$8:$N$8,7+COUNTIF(C$4:C92,C92)))-COUNTIF(C$4:C92,""Sell_""&amp;VLOOKUP(C92,Upgrades!$F$8:$N$8,7+COUNTIF(C$4:C92,C92)))&lt;15),1),IF(REGEXMATCH(C92,""_up""),IF(COUNTIF(C$4:C92,SUBSTITUTE(C92,""_up"",""""))&lt;IFERRO"&amp;"R(VLOOKUP(C92,Upgrades!$L$3:$P$6,1+COUNTIF(C$4:C92,C92),0),999),1),IF(REGEXMATCH(C92,""Sell_""),IF(COUNTIF(C$4:C92,SUBSTITUTE(C92,""Sell_"",""""))-COUNTIF(C$4:C91,C92)&lt;1,1),FALSE)))))))))"),FALSE)</f>
        <v>0</v>
      </c>
      <c r="E92" s="71">
        <f>IFERROR(__xludf.DUMMYFUNCTION("IF(REGEXMATCH(C92,""^Sell_""),E91, IF(COUNTA(C92:C147)=0,"""",(COUNTIF(C$4:C92,""Cursor"")-COUNTIF(C$4:C92,""Sell_Cursor""))*(0.1*2^SWITCH(COUNTIF(C$4:C92,""Cursor_up""),0,0,1,1,2,2,3)+SWITCH(COUNTIF(C$4:C92,""Cursor_up""),4,0.1,0)*(ROW(C92)-4-COUNTIF(C$4"&amp;":C92,""Cursor"")-COUNTIF(C$4:C92,""*""&amp;""_up"")-2*COUNTIF(C$4:C92,""Sell_""&amp;""*"")+COUNTIF(C$4:C92,""Sell_Cursor"")-COUNTIF(C$4:C92,"""")))+(COUNTIF(C$4:C92,""Grandma"")-COUNTIF(C$4:C92,""Sell_Grandma""))*(1*2^(COUNTIF(C$4:C92,""Grandma_up"")+COUNTIF(C$4:"&amp;"C92,""Super_up"")))+(COUNTIF(C$4:C92,""Farm"")-COUNTIF(C$4:C92,""Sell_Farm""))*(8*2^COUNTIF(C$4:C92,""Farm_up""))*IF(COUNTIF(C$4:C92,""Super_up"")&gt;0,1+0.01*(COUNTIF(C$4:C92,""Grandma"")-COUNTIF(C$4:C92,""Sell_Grandma"")),1)+(COUNTIF(C$4:C92,""Mine"")-COUN"&amp;"TIF(C$4:C92,""Sell_Mine""))*((47*2^COUNTIF(C$4:C92,""Mine_up""))*IF(COUNTIF(C$4:C92,""Super_up"")&gt;1,1+0.005*(COUNTIF(C$4:C92,""Grandma"")-COUNTIF(C$4:C92,""Sell_Grandma"")),1))+(COUNTIF(C$4:C92,""Factory"")-COUNTIF(C$4:C92,""Sell_Factory""))*(260*2^COUNTI"&amp;"F(C$4:C92,""Factory_up""))))"),1350.6)</f>
        <v>1350.6</v>
      </c>
      <c r="F92" s="73">
        <f>IFERROR(__xludf.DUMMYFUNCTION("IF(COUNTA(C92:C147)=0,"""",IF(REGEXMATCH(INDEX(FILTER(C$4:C92,C$4:C92&lt;&gt;""""),ROWS(FILTER(C$4:C92,C$4:C92&lt;&gt;""""))),""^Sell_""),INDEX(FILTER(F$4:F91,C$4:C91&lt;&gt;""""),ROWS(FILTER(C$4:C91,C$4:C91&lt;&gt;""""))),$AC$5*(2^SWITCH(COUNTIF(C$4:C92,""Cursor_up""),0,0,1,1,2"&amp;",2,3)+SWITCH(COUNTIF(C$4:C92,""Cursor_up""),4,0.1,0)*(ROW(C92)-4-COUNTIF(C$4:C92,""Cursor"")-COUNTIF(C$4:C92,""*""&amp;""_up"")-2*COUNTIF(C$4:C92,""Sell_""&amp;""*"")+COUNTIF(C$4:C92,""Sell_Cursor"")-COUNTIF(C$4:C92,""""))+0.01*E92*COUNTIF(C$4:C92,""Plastic_up"")"&amp;")+E92))"),5651.799999999999)</f>
        <v>5651.8</v>
      </c>
      <c r="G92" s="14">
        <f>IFERROR(__xludf.DUMMYFUNCTION("IF(COUNTA(C92:C147)=0,"""",IF(REGEXMATCH(C92,""_up""),VLOOKUP(C92,Upgrades!$F$3:$J$8,1+COUNTIF(C$4:C92,C92),FALSE),IF(C92="""",0,IF(REGEXMATCH(C92,""^Sell_""),-ROUNDDOWN(ROUNDUP(INDEX(Upgrades!$C$3:$C$8,MATCH(SUBSTITUTE(C92,""Sell_"",""""),Upgrades!$B$3:$"&amp;"B$8,0))*1.15^(COUNTIF(C$4:C91,SUBSTITUTE(C92,""Sell_"",""""))-COUNTIF(C$4:C91,""Sell_""&amp;SUBSTITUTE(C92,""Sell_"",""""))))/4),ROUNDUP(INDEX(Upgrades!$C$3:$C$7,MATCH(C92,Upgrades!$B$3:$B$7,0))*1.15^(COUNTIF(C$4:C91,C92)-COUNTIF(C$4:C91,""Sell_""&amp;C92)))))))"),654.0)</f>
        <v>654</v>
      </c>
      <c r="H92" s="14">
        <f t="shared" si="3"/>
        <v>654</v>
      </c>
      <c r="I92" s="75">
        <f t="shared" si="4"/>
        <v>15860295.72</v>
      </c>
      <c r="J92" s="76">
        <f t="shared" si="5"/>
        <v>151.9492591</v>
      </c>
      <c r="K92" s="71" t="str">
        <f t="shared" si="6"/>
        <v>2m 31s</v>
      </c>
      <c r="L92" s="77">
        <f t="shared" si="7"/>
        <v>399270</v>
      </c>
      <c r="M92" s="51">
        <f t="shared" si="8"/>
        <v>-0.31165</v>
      </c>
      <c r="N92" s="52">
        <f>IFERROR(__xludf.DUMMYFUNCTION("IFS(AND(COUNTA(C92:C147)=0,COUNTA(P92:P147)=0),"""",OR(AND(L92&gt;=1000000,OR(Y92&gt;=1000000,COUNTA(P92:P147)=0)),AND(Y92&gt;=1000000,COUNTA(C92:C147)=0),AND(COUNTA(P92:P147)=0,O$3=TRUE)),
ROUNDDOWN((AB$1-AC$1)*MAX(INDEX(S$4:S147,MATCH(LARGE(FILTER(Y$4:Y147,Y$4:Y"&amp;"147&lt;1000000),1),Y$4:Y147)),INDEX(F$4:F147,MATCH(LARGE(FILTER(L$4:L147,L$4:L147&lt;1000000),1),L$4:L147)))),AND(L92&lt;1000000,COUNTA(C92:C147)&gt;0,O$3=FALSE),
ROUNDDOWN(INDEX(Y$4:Y147,MATCH(LARGE(FILTER(W$4:W147,W$4:W147&lt;=J92),1),W$4:W147))+(J92-LARGE(FILTER(W$4:"&amp;"W147,W$4:W147&lt;=J92),1))*INDEX(S$4:S147,MATCH(LARGE(FILTER(W$4:W147,W$4:W147&lt;=J92),1),W$4:W147))-L92),1,
ROUNDDOWN(Y92-INDEX(L$4:L147,MATCH(LARGE(FILTER(J$4:J147,J$4:J147&lt;=W92),1),J$4:J147))-(W92-LARGE(FILTER(J$4:J147,J$4:J147&lt;=W92),1))*INDEX(F$4:F147,MATC"&amp;"H(LARGE(FILTER(J$4:J147,J$4:J147&lt;=W92),1),J$4:J147))))"),1759.0)</f>
        <v>1759</v>
      </c>
      <c r="O92" s="65">
        <f t="shared" si="9"/>
        <v>27</v>
      </c>
      <c r="P92" s="15" t="s">
        <v>10</v>
      </c>
      <c r="Q92" s="14" t="b">
        <f>IFERROR(__xludf.DUMMYFUNCTION("IF(COUNTA(P92:P147)=0,"""",IFERROR(IF(ISBLANK(P92),FALSE,IF(ISBLANK(T92),1,IF(NOT(COUNTIF($AA$24:$AA$34,SUBSTITUTE(P92,""Sell_"",""""))),1,IF(P92=""Plastic_up"",IF(V92&lt;1000,1),IF(P92=""Super_Up"",IF(OR(COUNTIF(P$4:P92,""Grandma"")-COUNTIF(P$4:P92,""Sell_G"&amp;"randma"")&lt;1,COUNTIF(P$4:P92,VLOOKUP(P92,Upgrades!$F$8:$N$8,7+COUNTIF(P$4:P92,P92)))-COUNTIF(P$4:P92,""Sell_""&amp;VLOOKUP(P92,Upgrades!$F$8:$N$8,7+COUNTIF(P$4:P92,P92)))&lt;15),1),IF(REGEXMATCH(P92,""_up""),IF(COUNTIF(P$4:P92,SUBSTITUTE(P92,""_up"",""""))&lt;IFERRO"&amp;"R(VLOOKUP(P92,Upgrades!$L$3:$P$6,1+COUNTIF(P$4:P92,P92),0),999),1),IF(REGEXMATCH(P92,""Sell_""),IF(COUNTIF(P$4:P92,SUBSTITUTE(P92,""Sell_"",""""))-COUNTIF(P$4:P91,P92)&lt;1,1),FALSE)))))))))"),FALSE)</f>
        <v>0</v>
      </c>
      <c r="R92" s="71">
        <f>IFERROR(__xludf.DUMMYFUNCTION("IF(REGEXMATCH(P92,""^Sell_""),R91, IF(COUNTA(P92:P147)=0,"""",(COUNTIF(P$4:P92,""Cursor"")-COUNTIF(P$4:P92,""Sell_Cursor""))*(0.1*2^SWITCH(COUNTIF(P$4:P92,""Cursor_up""),0,0,1,1,2,2,3)+SWITCH(COUNTIF(P$4:P92,""Cursor_up""),4,0.1,0)*(ROW(P92)-4-COUNTIF(P$4"&amp;":P92,""Cursor"")-COUNTIF(P$4:P92,""*""&amp;""_up"")-2*COUNTIF(P$4:P92,""Sell_""&amp;""*"")+COUNTIF(P$4:P92,""Sell_Cursor"")-COUNTIF(P$4:P92,"""")))+(COUNTIF(P$4:P92,""Grandma"")-COUNTIF(P$4:P92,""Sell_Grandma""))*(1*2^(COUNTIF(P$4:P92,""Grandma_up"")+COUNTIF(P$4:"&amp;"P92,""Super_up"")))+(COUNTIF(P$4:P92,""Farm"")-COUNTIF(P$4:P92,""Sell_Farm""))*(8*2^COUNTIF(P$4:P92,""Farm_up""))*IF(COUNTIF(P$4:P92,""Super_up"")&gt;0,1+0.01*(COUNTIF(P$4:P92,""Grandma"")-COUNTIF(P$4:P92,""Sell_Grandma"")),1)+(COUNTIF(P$4:P92,""Mine"")-COUN"&amp;"TIF(P$4:P92,""Sell_Mine""))*((47*2^COUNTIF(P$4:P92,""Mine_up""))*IF(COUNTIF(P$4:P92,""Super_up"")&gt;1,1+0.005*(COUNTIF(P$4:P92,""Grandma"")-COUNTIF(P$4:P92,""Sell_Grandma"")),1))+(COUNTIF(P$4:P92,""Factory"")-COUNTIF(P$4:P92,""Sell_Factory""))*(260*2^COUNTI"&amp;"F(P$4:P92,""Factory_up""))))"),1484.8000000000002)</f>
        <v>1484.8</v>
      </c>
      <c r="S92" s="73">
        <f>IFERROR(__xludf.DUMMYFUNCTION("IF(COUNTA(P92:P147)=0,"""",IF(REGEXMATCH(INDEX(FILTER(P$4:P92,P$4:P92&lt;&gt;""""),ROWS(FILTER(P$4:P92,P$4:P92&lt;&gt;""""))),""^Sell_""),INDEX(FILTER(S$4:S91,P$4:P91&lt;&gt;""""),ROWS(FILTER(P$4:P91,P$4:P91&lt;&gt;""""))),$AD$5*(2^SWITCH(COUNTIF(P$4:P92,""Cursor_up""),0,0,1,1,2"&amp;",2,3)+SWITCH(COUNTIF(P$4:P92,""Cursor_up""),4,0.1,0)*(ROW(P92)-4-COUNTIF(P$4:P92,""Cursor"")-COUNTIF(P$4:P92,""*""&amp;""_up"")-2*COUNTIF(P$4:P92,""Sell_""&amp;""*"")+COUNTIF(P$4:P92,""Sell_Cursor"")-COUNTIF(P$4:P92,""""))+0.01*R92*COUNTIF(P$4:P92,""Plastic_up"")"&amp;")+R92))"),7054.400000000001)</f>
        <v>7054.4</v>
      </c>
      <c r="T92" s="14">
        <f>IFERROR(__xludf.DUMMYFUNCTION("IF(COUNTA(P92:P147)=0,"""",IF(REGEXMATCH(P92,""_up""),VLOOKUP(P92,Upgrades!$F$3:$J$8,1+COUNTIF(P$4:P92,P92),FALSE),IF(P92="""",0,IF(REGEXMATCH(P92,""^Sell_""),-ROUNDDOWN(ROUNDUP(INDEX(Upgrades!$C$3:$C$8,MATCH(SUBSTITUTE(P92,""Sell_"",""""),Upgrades!$B$3:$"&amp;"B$8,0))*1.15^(COUNTIF(P$4:P91,SUBSTITUTE(P92,""Sell_"",""""))-COUNTIF(P$4:P91,""Sell_""&amp;SUBSTITUTE(P92,""Sell_"",""""))))/4),ROUNDUP(INDEX(Upgrades!$C$3:$C$7,MATCH(P92,Upgrades!$B$3:$B$7,0))*1.15^(COUNTIF(P$4:P91,P92)-COUNTIF(P$4:P91,""Sell_""&amp;P92)))))))"),568.0)</f>
        <v>568</v>
      </c>
      <c r="U92" s="14">
        <f t="shared" si="10"/>
        <v>568</v>
      </c>
      <c r="V92" s="75">
        <f t="shared" si="11"/>
        <v>17311852</v>
      </c>
      <c r="W92" s="76">
        <f t="shared" si="12"/>
        <v>169.2007393</v>
      </c>
      <c r="X92" s="71" t="str">
        <f t="shared" si="13"/>
        <v>2m 49s</v>
      </c>
      <c r="Y92" s="77">
        <f t="shared" si="14"/>
        <v>498616</v>
      </c>
      <c r="Z92" s="17"/>
      <c r="AA92" s="13"/>
      <c r="AB92" s="13"/>
      <c r="AC92" s="13"/>
      <c r="AD92" s="13"/>
      <c r="AE92" s="13"/>
      <c r="AF92" s="13"/>
      <c r="AG92" s="13"/>
    </row>
    <row r="93">
      <c r="A93" s="12"/>
      <c r="B93" s="65">
        <f t="shared" si="2"/>
        <v>29</v>
      </c>
      <c r="C93" s="66" t="s">
        <v>10</v>
      </c>
      <c r="D93" s="14" t="b">
        <f>IFERROR(__xludf.DUMMYFUNCTION("IF(COUNTA(C93:C147)=0,"""",IFERROR(IF(ISBLANK(C93),FALSE,IF(ISBLANK(G93),1,IF(NOT(COUNTIF($AA$24:$AA$34,SUBSTITUTE(C93,""Sell_"",""""))),1,IF(C93=""Plastic_up"",IF(I93&lt;1000,1),IF(C93=""Super_Up"",IF(OR(COUNTIF(C$4:C93,""Grandma"")-COUNTIF(C$4:C93,""Sell_G"&amp;"randma"")&lt;1,COUNTIF(C$4:C93,VLOOKUP(C93,Upgrades!$F$8:$N$8,7+COUNTIF(C$4:C93,C93)))-COUNTIF(C$4:C93,""Sell_""&amp;VLOOKUP(C93,Upgrades!$F$8:$N$8,7+COUNTIF(C$4:C93,C93)))&lt;15),1),IF(REGEXMATCH(C93,""_up""),IF(COUNTIF(C$4:C93,SUBSTITUTE(C93,""_up"",""""))&lt;IFERRO"&amp;"R(VLOOKUP(C93,Upgrades!$L$3:$P$6,1+COUNTIF(C$4:C93,C93),0),999),1),IF(REGEXMATCH(C93,""Sell_""),IF(COUNTIF(C$4:C93,SUBSTITUTE(C93,""Sell_"",""""))-COUNTIF(C$4:C92,C93)&lt;1,1),FALSE)))))))))"),FALSE)</f>
        <v>0</v>
      </c>
      <c r="E93" s="71">
        <f>IFERROR(__xludf.DUMMYFUNCTION("IF(REGEXMATCH(C93,""^Sell_""),E92, IF(COUNTA(C93:C147)=0,"""",(COUNTIF(C$4:C93,""Cursor"")-COUNTIF(C$4:C93,""Sell_Cursor""))*(0.1*2^SWITCH(COUNTIF(C$4:C93,""Cursor_up""),0,0,1,1,2,2,3)+SWITCH(COUNTIF(C$4:C93,""Cursor_up""),4,0.1,0)*(ROW(C93)-4-COUNTIF(C$4"&amp;":C93,""Cursor"")-COUNTIF(C$4:C93,""*""&amp;""_up"")-2*COUNTIF(C$4:C93,""Sell_""&amp;""*"")+COUNTIF(C$4:C93,""Sell_Cursor"")-COUNTIF(C$4:C93,"""")))+(COUNTIF(C$4:C93,""Grandma"")-COUNTIF(C$4:C93,""Sell_Grandma""))*(1*2^(COUNTIF(C$4:C93,""Grandma_up"")+COUNTIF(C$4:"&amp;"C93,""Super_up"")))+(COUNTIF(C$4:C93,""Farm"")-COUNTIF(C$4:C93,""Sell_Farm""))*(8*2^COUNTIF(C$4:C93,""Farm_up""))*IF(COUNTIF(C$4:C93,""Super_up"")&gt;0,1+0.01*(COUNTIF(C$4:C93,""Grandma"")-COUNTIF(C$4:C93,""Sell_Grandma"")),1)+(COUNTIF(C$4:C93,""Mine"")-COUN"&amp;"TIF(C$4:C93,""Sell_Mine""))*((47*2^COUNTIF(C$4:C93,""Mine_up""))*IF(COUNTIF(C$4:C93,""Super_up"")&gt;1,1+0.005*(COUNTIF(C$4:C93,""Grandma"")-COUNTIF(C$4:C93,""Sell_Grandma"")),1))+(COUNTIF(C$4:C93,""Factory"")-COUNTIF(C$4:C93,""Sell_Factory""))*(260*2^COUNTI"&amp;"F(C$4:C93,""Factory_up""))))"),1351.4)</f>
        <v>1351.4</v>
      </c>
      <c r="F93" s="73">
        <f>IFERROR(__xludf.DUMMYFUNCTION("IF(COUNTA(C93:C147)=0,"""",IF(REGEXMATCH(INDEX(FILTER(C$4:C93,C$4:C93&lt;&gt;""""),ROWS(FILTER(C$4:C93,C$4:C93&lt;&gt;""""))),""^Sell_""),INDEX(FILTER(F$4:F92,C$4:C92&lt;&gt;""""),ROWS(FILTER(C$4:C92,C$4:C92&lt;&gt;""""))),$AC$5*(2^SWITCH(COUNTIF(C$4:C93,""Cursor_up""),0,0,1,1,2"&amp;",2,3)+SWITCH(COUNTIF(C$4:C93,""Cursor_up""),4,0.1,0)*(ROW(C93)-4-COUNTIF(C$4:C93,""Cursor"")-COUNTIF(C$4:C93,""*""&amp;""_up"")-2*COUNTIF(C$4:C93,""Sell_""&amp;""*"")+COUNTIF(C$4:C93,""Sell_Cursor"")-COUNTIF(C$4:C93,""""))+0.01*E93*COUNTIF(C$4:C93,""Plastic_up"")"&amp;")+E93))"),5654.200000000001)</f>
        <v>5654.2</v>
      </c>
      <c r="G93" s="14">
        <f>IFERROR(__xludf.DUMMYFUNCTION("IF(COUNTA(C93:C147)=0,"""",IF(REGEXMATCH(C93,""_up""),VLOOKUP(C93,Upgrades!$F$3:$J$8,1+COUNTIF(C$4:C93,C93),FALSE),IF(C93="""",0,IF(REGEXMATCH(C93,""^Sell_""),-ROUNDDOWN(ROUNDUP(INDEX(Upgrades!$C$3:$C$8,MATCH(SUBSTITUTE(C93,""Sell_"",""""),Upgrades!$B$3:$"&amp;"B$8,0))*1.15^(COUNTIF(C$4:C92,SUBSTITUTE(C93,""Sell_"",""""))-COUNTIF(C$4:C92,""Sell_""&amp;SUBSTITUTE(C93,""Sell_"",""""))))/4),ROUNDUP(INDEX(Upgrades!$C$3:$C$7,MATCH(C93,Upgrades!$B$3:$B$7,0))*1.15^(COUNTIF(C$4:C92,C93)-COUNTIF(C$4:C92,""Sell_""&amp;C93)))))))"),751.0)</f>
        <v>751</v>
      </c>
      <c r="H93" s="14">
        <f t="shared" si="3"/>
        <v>751</v>
      </c>
      <c r="I93" s="75">
        <f t="shared" si="4"/>
        <v>16514431.41</v>
      </c>
      <c r="J93" s="76">
        <f t="shared" si="5"/>
        <v>152.0821371</v>
      </c>
      <c r="K93" s="71" t="str">
        <f t="shared" si="6"/>
        <v>2m 32s</v>
      </c>
      <c r="L93" s="77">
        <f t="shared" si="7"/>
        <v>400021</v>
      </c>
      <c r="M93" s="51">
        <f t="shared" si="8"/>
        <v>-0.31148</v>
      </c>
      <c r="N93" s="52">
        <f>IFERROR(__xludf.DUMMYFUNCTION("IFS(AND(COUNTA(C93:C147)=0,COUNTA(P93:P147)=0),"""",OR(AND(L93&gt;=1000000,OR(Y93&gt;=1000000,COUNTA(P93:P147)=0)),AND(Y93&gt;=1000000,COUNTA(C93:C147)=0),AND(COUNTA(P93:P147)=0,O$3=TRUE)),
ROUNDDOWN((AB$1-AC$1)*MAX(INDEX(S$4:S147,MATCH(LARGE(FILTER(Y$4:Y147,Y$4:Y"&amp;"147&lt;1000000),1),Y$4:Y147)),INDEX(F$4:F147,MATCH(LARGE(FILTER(L$4:L147,L$4:L147&lt;1000000),1),L$4:L147)))),AND(L93&lt;1000000,COUNTA(C93:C147)&gt;0,O$3=FALSE),
ROUNDDOWN(INDEX(Y$4:Y147,MATCH(LARGE(FILTER(W$4:W147,W$4:W147&lt;=J93),1),W$4:W147))+(J93-LARGE(FILTER(W$4:"&amp;"W147,W$4:W147&lt;=J93),1))*INDEX(S$4:S147,MATCH(LARGE(FILTER(W$4:W147,W$4:W147&lt;=J93),1),W$4:W147))-L93),1,
ROUNDDOWN(Y93-INDEX(L$4:L147,MATCH(LARGE(FILTER(J$4:J147,J$4:J147&lt;=W93),1),J$4:J147))-(W93-LARGE(FILTER(J$4:J147,J$4:J147&lt;=W93),1))*INDEX(F$4:F147,MATC"&amp;"H(LARGE(FILTER(J$4:J147,J$4:J147&lt;=W93),1),J$4:J147))))"),1758.0)</f>
        <v>1758</v>
      </c>
      <c r="O93" s="65">
        <f t="shared" si="9"/>
        <v>28</v>
      </c>
      <c r="P93" s="15" t="s">
        <v>10</v>
      </c>
      <c r="Q93" s="14" t="b">
        <f>IFERROR(__xludf.DUMMYFUNCTION("IF(COUNTA(P93:P147)=0,"""",IFERROR(IF(ISBLANK(P93),FALSE,IF(ISBLANK(T93),1,IF(NOT(COUNTIF($AA$24:$AA$34,SUBSTITUTE(P93,""Sell_"",""""))),1,IF(P93=""Plastic_up"",IF(V93&lt;1000,1),IF(P93=""Super_Up"",IF(OR(COUNTIF(P$4:P93,""Grandma"")-COUNTIF(P$4:P93,""Sell_G"&amp;"randma"")&lt;1,COUNTIF(P$4:P93,VLOOKUP(P93,Upgrades!$F$8:$N$8,7+COUNTIF(P$4:P93,P93)))-COUNTIF(P$4:P93,""Sell_""&amp;VLOOKUP(P93,Upgrades!$F$8:$N$8,7+COUNTIF(P$4:P93,P93)))&lt;15),1),IF(REGEXMATCH(P93,""_up""),IF(COUNTIF(P$4:P93,SUBSTITUTE(P93,""_up"",""""))&lt;IFERRO"&amp;"R(VLOOKUP(P93,Upgrades!$L$3:$P$6,1+COUNTIF(P$4:P93,P93),0),999),1),IF(REGEXMATCH(P93,""Sell_""),IF(COUNTIF(P$4:P93,SUBSTITUTE(P93,""Sell_"",""""))-COUNTIF(P$4:P92,P93)&lt;1,1),FALSE)))))))))"),FALSE)</f>
        <v>0</v>
      </c>
      <c r="R93" s="71">
        <f>IFERROR(__xludf.DUMMYFUNCTION("IF(REGEXMATCH(P93,""^Sell_""),R92, IF(COUNTA(P93:P147)=0,"""",(COUNTIF(P$4:P93,""Cursor"")-COUNTIF(P$4:P93,""Sell_Cursor""))*(0.1*2^SWITCH(COUNTIF(P$4:P93,""Cursor_up""),0,0,1,1,2,2,3)+SWITCH(COUNTIF(P$4:P93,""Cursor_up""),4,0.1,0)*(ROW(P93)-4-COUNTIF(P$4"&amp;":P93,""Cursor"")-COUNTIF(P$4:P93,""*""&amp;""_up"")-2*COUNTIF(P$4:P93,""Sell_""&amp;""*"")+COUNTIF(P$4:P93,""Sell_Cursor"")-COUNTIF(P$4:P93,"""")))+(COUNTIF(P$4:P93,""Grandma"")-COUNTIF(P$4:P93,""Sell_Grandma""))*(1*2^(COUNTIF(P$4:P93,""Grandma_up"")+COUNTIF(P$4:"&amp;"P93,""Super_up"")))+(COUNTIF(P$4:P93,""Farm"")-COUNTIF(P$4:P93,""Sell_Farm""))*(8*2^COUNTIF(P$4:P93,""Farm_up""))*IF(COUNTIF(P$4:P93,""Super_up"")&gt;0,1+0.01*(COUNTIF(P$4:P93,""Grandma"")-COUNTIF(P$4:P93,""Sell_Grandma"")),1)+(COUNTIF(P$4:P93,""Mine"")-COUN"&amp;"TIF(P$4:P93,""Sell_Mine""))*((47*2^COUNTIF(P$4:P93,""Mine_up""))*IF(COUNTIF(P$4:P93,""Super_up"")&gt;1,1+0.005*(COUNTIF(P$4:P93,""Grandma"")-COUNTIF(P$4:P93,""Sell_Grandma"")),1))+(COUNTIF(P$4:P93,""Factory"")-COUNTIF(P$4:P93,""Sell_Factory""))*(260*2^COUNTI"&amp;"F(P$4:P93,""Factory_up""))))"),1490.6)</f>
        <v>1490.6</v>
      </c>
      <c r="S93" s="73">
        <f>IFERROR(__xludf.DUMMYFUNCTION("IF(COUNTA(P93:P147)=0,"""",IF(REGEXMATCH(INDEX(FILTER(P$4:P93,P$4:P93&lt;&gt;""""),ROWS(FILTER(P$4:P93,P$4:P93&lt;&gt;""""))),""^Sell_""),INDEX(FILTER(S$4:S92,P$4:P92&lt;&gt;""""),ROWS(FILTER(P$4:P92,P$4:P92&lt;&gt;""""))),$AD$5*(2^SWITCH(COUNTIF(P$4:P93,""Cursor_up""),0,0,1,1,2"&amp;",2,3)+SWITCH(COUNTIF(P$4:P93,""Cursor_up""),4,0.1,0)*(ROW(P93)-4-COUNTIF(P$4:P93,""Cursor"")-COUNTIF(P$4:P93,""*""&amp;""_up"")-2*COUNTIF(P$4:P93,""Sell_""&amp;""*"")+COUNTIF(P$4:P93,""Sell_Cursor"")-COUNTIF(P$4:P93,""""))+0.01*R93*COUNTIF(P$4:P93,""Plastic_up"")"&amp;")+R93))"),7071.799999999999)</f>
        <v>7071.8</v>
      </c>
      <c r="T93" s="14">
        <f>IFERROR(__xludf.DUMMYFUNCTION("IF(COUNTA(P93:P147)=0,"""",IF(REGEXMATCH(P93,""_up""),VLOOKUP(P93,Upgrades!$F$3:$J$8,1+COUNTIF(P$4:P93,P93),FALSE),IF(P93="""",0,IF(REGEXMATCH(P93,""^Sell_""),-ROUNDDOWN(ROUNDUP(INDEX(Upgrades!$C$3:$C$8,MATCH(SUBSTITUTE(P93,""Sell_"",""""),Upgrades!$B$3:$"&amp;"B$8,0))*1.15^(COUNTIF(P$4:P92,SUBSTITUTE(P93,""Sell_"",""""))-COUNTIF(P$4:P92,""Sell_""&amp;SUBSTITUTE(P93,""Sell_"",""""))))/4),ROUNDUP(INDEX(Upgrades!$C$3:$C$7,MATCH(P93,Upgrades!$B$3:$B$7,0))*1.15^(COUNTIF(P$4:P92,P93)-COUNTIF(P$4:P92,""Sell_""&amp;P93)))))))"),654.0)</f>
        <v>654</v>
      </c>
      <c r="U93" s="14">
        <f t="shared" si="10"/>
        <v>654</v>
      </c>
      <c r="V93" s="75">
        <f t="shared" si="11"/>
        <v>18254748.79</v>
      </c>
      <c r="W93" s="76">
        <f t="shared" si="12"/>
        <v>169.2934474</v>
      </c>
      <c r="X93" s="71" t="str">
        <f t="shared" si="13"/>
        <v>2m 49s</v>
      </c>
      <c r="Y93" s="77">
        <f t="shared" si="14"/>
        <v>499270</v>
      </c>
      <c r="Z93" s="17"/>
      <c r="AA93" s="13"/>
      <c r="AB93" s="13"/>
      <c r="AC93" s="13"/>
      <c r="AD93" s="13"/>
      <c r="AE93" s="13"/>
      <c r="AF93" s="13"/>
      <c r="AG93" s="13"/>
    </row>
    <row r="94">
      <c r="A94" s="12"/>
      <c r="B94" s="65">
        <f t="shared" si="2"/>
        <v>30</v>
      </c>
      <c r="C94" s="66" t="s">
        <v>10</v>
      </c>
      <c r="D94" s="14" t="b">
        <f>IFERROR(__xludf.DUMMYFUNCTION("IF(COUNTA(C94:C147)=0,"""",IFERROR(IF(ISBLANK(C94),FALSE,IF(ISBLANK(G94),1,IF(NOT(COUNTIF($AA$24:$AA$34,SUBSTITUTE(C94,""Sell_"",""""))),1,IF(C94=""Plastic_up"",IF(I94&lt;1000,1),IF(C94=""Super_Up"",IF(OR(COUNTIF(C$4:C94,""Grandma"")-COUNTIF(C$4:C94,""Sell_G"&amp;"randma"")&lt;1,COUNTIF(C$4:C94,VLOOKUP(C94,Upgrades!$F$8:$N$8,7+COUNTIF(C$4:C94,C94)))-COUNTIF(C$4:C94,""Sell_""&amp;VLOOKUP(C94,Upgrades!$F$8:$N$8,7+COUNTIF(C$4:C94,C94)))&lt;15),1),IF(REGEXMATCH(C94,""_up""),IF(COUNTIF(C$4:C94,SUBSTITUTE(C94,""_up"",""""))&lt;IFERRO"&amp;"R(VLOOKUP(C94,Upgrades!$L$3:$P$6,1+COUNTIF(C$4:C94,C94),0),999),1),IF(REGEXMATCH(C94,""Sell_""),IF(COUNTIF(C$4:C94,SUBSTITUTE(C94,""Sell_"",""""))-COUNTIF(C$4:C93,C94)&lt;1,1),FALSE)))))))))"),FALSE)</f>
        <v>0</v>
      </c>
      <c r="E94" s="71">
        <f>IFERROR(__xludf.DUMMYFUNCTION("IF(REGEXMATCH(C94,""^Sell_""),E93, IF(COUNTA(C94:C147)=0,"""",(COUNTIF(C$4:C94,""Cursor"")-COUNTIF(C$4:C94,""Sell_Cursor""))*(0.1*2^SWITCH(COUNTIF(C$4:C94,""Cursor_up""),0,0,1,1,2,2,3)+SWITCH(COUNTIF(C$4:C94,""Cursor_up""),4,0.1,0)*(ROW(C94)-4-COUNTIF(C$4"&amp;":C94,""Cursor"")-COUNTIF(C$4:C94,""*""&amp;""_up"")-2*COUNTIF(C$4:C94,""Sell_""&amp;""*"")+COUNTIF(C$4:C94,""Sell_Cursor"")-COUNTIF(C$4:C94,"""")))+(COUNTIF(C$4:C94,""Grandma"")-COUNTIF(C$4:C94,""Sell_Grandma""))*(1*2^(COUNTIF(C$4:C94,""Grandma_up"")+COUNTIF(C$4:"&amp;"C94,""Super_up"")))+(COUNTIF(C$4:C94,""Farm"")-COUNTIF(C$4:C94,""Sell_Farm""))*(8*2^COUNTIF(C$4:C94,""Farm_up""))*IF(COUNTIF(C$4:C94,""Super_up"")&gt;0,1+0.01*(COUNTIF(C$4:C94,""Grandma"")-COUNTIF(C$4:C94,""Sell_Grandma"")),1)+(COUNTIF(C$4:C94,""Mine"")-COUN"&amp;"TIF(C$4:C94,""Sell_Mine""))*((47*2^COUNTIF(C$4:C94,""Mine_up""))*IF(COUNTIF(C$4:C94,""Super_up"")&gt;1,1+0.005*(COUNTIF(C$4:C94,""Grandma"")-COUNTIF(C$4:C94,""Sell_Grandma"")),1))+(COUNTIF(C$4:C94,""Factory"")-COUNTIF(C$4:C94,""Sell_Factory""))*(260*2^COUNTI"&amp;"F(C$4:C94,""Factory_up""))))"),1352.2)</f>
        <v>1352.2</v>
      </c>
      <c r="F94" s="73">
        <f>IFERROR(__xludf.DUMMYFUNCTION("IF(COUNTA(C94:C147)=0,"""",IF(REGEXMATCH(INDEX(FILTER(C$4:C94,C$4:C94&lt;&gt;""""),ROWS(FILTER(C$4:C94,C$4:C94&lt;&gt;""""))),""^Sell_""),INDEX(FILTER(F$4:F93,C$4:C93&lt;&gt;""""),ROWS(FILTER(C$4:C93,C$4:C93&lt;&gt;""""))),$AC$5*(2^SWITCH(COUNTIF(C$4:C94,""Cursor_up""),0,0,1,1,2"&amp;",2,3)+SWITCH(COUNTIF(C$4:C94,""Cursor_up""),4,0.1,0)*(ROW(C94)-4-COUNTIF(C$4:C94,""Cursor"")-COUNTIF(C$4:C94,""*""&amp;""_up"")-2*COUNTIF(C$4:C94,""Sell_""&amp;""*"")+COUNTIF(C$4:C94,""Sell_Cursor"")-COUNTIF(C$4:C94,""""))+0.01*E94*COUNTIF(C$4:C94,""Plastic_up"")"&amp;")+E94))"),5656.599999999999)</f>
        <v>5656.6</v>
      </c>
      <c r="G94" s="14">
        <f>IFERROR(__xludf.DUMMYFUNCTION("IF(COUNTA(C94:C147)=0,"""",IF(REGEXMATCH(C94,""_up""),VLOOKUP(C94,Upgrades!$F$3:$J$8,1+COUNTIF(C$4:C94,C94),FALSE),IF(C94="""",0,IF(REGEXMATCH(C94,""^Sell_""),-ROUNDDOWN(ROUNDUP(INDEX(Upgrades!$C$3:$C$8,MATCH(SUBSTITUTE(C94,""Sell_"",""""),Upgrades!$B$3:$"&amp;"B$8,0))*1.15^(COUNTIF(C$4:C93,SUBSTITUTE(C94,""Sell_"",""""))-COUNTIF(C$4:C93,""Sell_""&amp;SUBSTITUTE(C94,""Sell_"",""""))))/4),ROUNDUP(INDEX(Upgrades!$C$3:$C$7,MATCH(C94,Upgrades!$B$3:$B$7,0))*1.15^(COUNTIF(C$4:C93,C94)-COUNTIF(C$4:C93,""Sell_""&amp;C94)))))))"),864.0)</f>
        <v>864</v>
      </c>
      <c r="H94" s="14">
        <f t="shared" si="3"/>
        <v>864</v>
      </c>
      <c r="I94" s="75">
        <f t="shared" si="4"/>
        <v>17169467.92</v>
      </c>
      <c r="J94" s="76">
        <f t="shared" si="5"/>
        <v>152.2349439</v>
      </c>
      <c r="K94" s="71" t="str">
        <f t="shared" si="6"/>
        <v>2m 32s</v>
      </c>
      <c r="L94" s="77">
        <f t="shared" si="7"/>
        <v>400885</v>
      </c>
      <c r="M94" s="51">
        <f t="shared" si="8"/>
        <v>-0.31122</v>
      </c>
      <c r="N94" s="52">
        <f>IFERROR(__xludf.DUMMYFUNCTION("IFS(AND(COUNTA(C94:C147)=0,COUNTA(P94:P147)=0),"""",OR(AND(L94&gt;=1000000,OR(Y94&gt;=1000000,COUNTA(P94:P147)=0)),AND(Y94&gt;=1000000,COUNTA(C94:C147)=0),AND(COUNTA(P94:P147)=0,O$3=TRUE)),
ROUNDDOWN((AB$1-AC$1)*MAX(INDEX(S$4:S147,MATCH(LARGE(FILTER(Y$4:Y147,Y$4:Y"&amp;"147&lt;1000000),1),Y$4:Y147)),INDEX(F$4:F147,MATCH(LARGE(FILTER(L$4:L147,L$4:L147&lt;1000000),1),L$4:L147)))),AND(L94&lt;1000000,COUNTA(C94:C147)&gt;0,O$3=FALSE),
ROUNDDOWN(INDEX(Y$4:Y147,MATCH(LARGE(FILTER(W$4:W147,W$4:W147&lt;=J94),1),W$4:W147))+(J94-LARGE(FILTER(W$4:"&amp;"W147,W$4:W147&lt;=J94),1))*INDEX(S$4:S147,MATCH(LARGE(FILTER(W$4:W147,W$4:W147&lt;=J94),1),W$4:W147))-L94),1,
ROUNDDOWN(Y94-INDEX(L$4:L147,MATCH(LARGE(FILTER(J$4:J147,J$4:J147&lt;=W94),1),J$4:J147))-(W94-LARGE(FILTER(J$4:J147,J$4:J147&lt;=W94),1))*INDEX(F$4:F147,MATC"&amp;"H(LARGE(FILTER(J$4:J147,J$4:J147&lt;=W94),1),J$4:J147))))"),1756.0)</f>
        <v>1756</v>
      </c>
      <c r="O94" s="65">
        <f t="shared" si="9"/>
        <v>29</v>
      </c>
      <c r="P94" s="15" t="s">
        <v>10</v>
      </c>
      <c r="Q94" s="14" t="b">
        <f>IFERROR(__xludf.DUMMYFUNCTION("IF(COUNTA(P94:P147)=0,"""",IFERROR(IF(ISBLANK(P94),FALSE,IF(ISBLANK(T94),1,IF(NOT(COUNTIF($AA$24:$AA$34,SUBSTITUTE(P94,""Sell_"",""""))),1,IF(P94=""Plastic_up"",IF(V94&lt;1000,1),IF(P94=""Super_Up"",IF(OR(COUNTIF(P$4:P94,""Grandma"")-COUNTIF(P$4:P94,""Sell_G"&amp;"randma"")&lt;1,COUNTIF(P$4:P94,VLOOKUP(P94,Upgrades!$F$8:$N$8,7+COUNTIF(P$4:P94,P94)))-COUNTIF(P$4:P94,""Sell_""&amp;VLOOKUP(P94,Upgrades!$F$8:$N$8,7+COUNTIF(P$4:P94,P94)))&lt;15),1),IF(REGEXMATCH(P94,""_up""),IF(COUNTIF(P$4:P94,SUBSTITUTE(P94,""_up"",""""))&lt;IFERRO"&amp;"R(VLOOKUP(P94,Upgrades!$L$3:$P$6,1+COUNTIF(P$4:P94,P94),0),999),1),IF(REGEXMATCH(P94,""Sell_""),IF(COUNTIF(P$4:P94,SUBSTITUTE(P94,""Sell_"",""""))-COUNTIF(P$4:P93,P94)&lt;1,1),FALSE)))))))))"),FALSE)</f>
        <v>0</v>
      </c>
      <c r="R94" s="71">
        <f>IFERROR(__xludf.DUMMYFUNCTION("IF(REGEXMATCH(P94,""^Sell_""),R93, IF(COUNTA(P94:P147)=0,"""",(COUNTIF(P$4:P94,""Cursor"")-COUNTIF(P$4:P94,""Sell_Cursor""))*(0.1*2^SWITCH(COUNTIF(P$4:P94,""Cursor_up""),0,0,1,1,2,2,3)+SWITCH(COUNTIF(P$4:P94,""Cursor_up""),4,0.1,0)*(ROW(P94)-4-COUNTIF(P$4"&amp;":P94,""Cursor"")-COUNTIF(P$4:P94,""*""&amp;""_up"")-2*COUNTIF(P$4:P94,""Sell_""&amp;""*"")+COUNTIF(P$4:P94,""Sell_Cursor"")-COUNTIF(P$4:P94,"""")))+(COUNTIF(P$4:P94,""Grandma"")-COUNTIF(P$4:P94,""Sell_Grandma""))*(1*2^(COUNTIF(P$4:P94,""Grandma_up"")+COUNTIF(P$4:"&amp;"P94,""Super_up"")))+(COUNTIF(P$4:P94,""Farm"")-COUNTIF(P$4:P94,""Sell_Farm""))*(8*2^COUNTIF(P$4:P94,""Farm_up""))*IF(COUNTIF(P$4:P94,""Super_up"")&gt;0,1+0.01*(COUNTIF(P$4:P94,""Grandma"")-COUNTIF(P$4:P94,""Sell_Grandma"")),1)+(COUNTIF(P$4:P94,""Mine"")-COUN"&amp;"TIF(P$4:P94,""Sell_Mine""))*((47*2^COUNTIF(P$4:P94,""Mine_up""))*IF(COUNTIF(P$4:P94,""Super_up"")&gt;1,1+0.005*(COUNTIF(P$4:P94,""Grandma"")-COUNTIF(P$4:P94,""Sell_Grandma"")),1))+(COUNTIF(P$4:P94,""Factory"")-COUNTIF(P$4:P94,""Sell_Factory""))*(260*2^COUNTI"&amp;"F(P$4:P94,""Factory_up""))))"),1496.4)</f>
        <v>1496.4</v>
      </c>
      <c r="S94" s="73">
        <f>IFERROR(__xludf.DUMMYFUNCTION("IF(COUNTA(P94:P147)=0,"""",IF(REGEXMATCH(INDEX(FILTER(P$4:P94,P$4:P94&lt;&gt;""""),ROWS(FILTER(P$4:P94,P$4:P94&lt;&gt;""""))),""^Sell_""),INDEX(FILTER(S$4:S93,P$4:P93&lt;&gt;""""),ROWS(FILTER(P$4:P93,P$4:P93&lt;&gt;""""))),$AD$5*(2^SWITCH(COUNTIF(P$4:P94,""Cursor_up""),0,0,1,1,2"&amp;",2,3)+SWITCH(COUNTIF(P$4:P94,""Cursor_up""),4,0.1,0)*(ROW(P94)-4-COUNTIF(P$4:P94,""Cursor"")-COUNTIF(P$4:P94,""*""&amp;""_up"")-2*COUNTIF(P$4:P94,""Sell_""&amp;""*"")+COUNTIF(P$4:P94,""Sell_Cursor"")-COUNTIF(P$4:P94,""""))+0.01*R94*COUNTIF(P$4:P94,""Plastic_up"")"&amp;")+R94))"),7089.199999999999)</f>
        <v>7089.2</v>
      </c>
      <c r="T94" s="14">
        <f>IFERROR(__xludf.DUMMYFUNCTION("IF(COUNTA(P94:P147)=0,"""",IF(REGEXMATCH(P94,""_up""),VLOOKUP(P94,Upgrades!$F$3:$J$8,1+COUNTIF(P$4:P94,P94),FALSE),IF(P94="""",0,IF(REGEXMATCH(P94,""^Sell_""),-ROUNDDOWN(ROUNDUP(INDEX(Upgrades!$C$3:$C$8,MATCH(SUBSTITUTE(P94,""Sell_"",""""),Upgrades!$B$3:$"&amp;"B$8,0))*1.15^(COUNTIF(P$4:P93,SUBSTITUTE(P94,""Sell_"",""""))-COUNTIF(P$4:P93,""Sell_""&amp;SUBSTITUTE(P94,""Sell_"",""""))))/4),ROUNDUP(INDEX(Upgrades!$C$3:$C$7,MATCH(P94,Upgrades!$B$3:$B$7,0))*1.15^(COUNTIF(P$4:P93,P94)-COUNTIF(P$4:P93,""Sell_""&amp;P94)))))))"),751.0)</f>
        <v>751</v>
      </c>
      <c r="U94" s="14">
        <f t="shared" si="10"/>
        <v>751</v>
      </c>
      <c r="V94" s="75">
        <f t="shared" si="11"/>
        <v>19200202.08</v>
      </c>
      <c r="W94" s="76">
        <f t="shared" si="12"/>
        <v>169.3996438</v>
      </c>
      <c r="X94" s="71" t="str">
        <f t="shared" si="13"/>
        <v>2m 49s</v>
      </c>
      <c r="Y94" s="77">
        <f t="shared" si="14"/>
        <v>500021</v>
      </c>
      <c r="Z94" s="17"/>
      <c r="AA94" s="13"/>
      <c r="AB94" s="13"/>
      <c r="AC94" s="13"/>
      <c r="AD94" s="13"/>
      <c r="AE94" s="13"/>
      <c r="AF94" s="13"/>
      <c r="AG94" s="13"/>
    </row>
    <row r="95">
      <c r="A95" s="12"/>
      <c r="B95" s="65">
        <f t="shared" si="2"/>
        <v>31</v>
      </c>
      <c r="C95" s="66" t="s">
        <v>10</v>
      </c>
      <c r="D95" s="14" t="b">
        <f>IFERROR(__xludf.DUMMYFUNCTION("IF(COUNTA(C95:C147)=0,"""",IFERROR(IF(ISBLANK(C95),FALSE,IF(ISBLANK(G95),1,IF(NOT(COUNTIF($AA$24:$AA$34,SUBSTITUTE(C95,""Sell_"",""""))),1,IF(C95=""Plastic_up"",IF(I95&lt;1000,1),IF(C95=""Super_Up"",IF(OR(COUNTIF(C$4:C95,""Grandma"")-COUNTIF(C$4:C95,""Sell_G"&amp;"randma"")&lt;1,COUNTIF(C$4:C95,VLOOKUP(C95,Upgrades!$F$8:$N$8,7+COUNTIF(C$4:C95,C95)))-COUNTIF(C$4:C95,""Sell_""&amp;VLOOKUP(C95,Upgrades!$F$8:$N$8,7+COUNTIF(C$4:C95,C95)))&lt;15),1),IF(REGEXMATCH(C95,""_up""),IF(COUNTIF(C$4:C95,SUBSTITUTE(C95,""_up"",""""))&lt;IFERRO"&amp;"R(VLOOKUP(C95,Upgrades!$L$3:$P$6,1+COUNTIF(C$4:C95,C95),0),999),1),IF(REGEXMATCH(C95,""Sell_""),IF(COUNTIF(C$4:C95,SUBSTITUTE(C95,""Sell_"",""""))-COUNTIF(C$4:C94,C95)&lt;1,1),FALSE)))))))))"),FALSE)</f>
        <v>0</v>
      </c>
      <c r="E95" s="71">
        <f>IFERROR(__xludf.DUMMYFUNCTION("IF(REGEXMATCH(C95,""^Sell_""),E94, IF(COUNTA(C95:C147)=0,"""",(COUNTIF(C$4:C95,""Cursor"")-COUNTIF(C$4:C95,""Sell_Cursor""))*(0.1*2^SWITCH(COUNTIF(C$4:C95,""Cursor_up""),0,0,1,1,2,2,3)+SWITCH(COUNTIF(C$4:C95,""Cursor_up""),4,0.1,0)*(ROW(C95)-4-COUNTIF(C$4"&amp;":C95,""Cursor"")-COUNTIF(C$4:C95,""*""&amp;""_up"")-2*COUNTIF(C$4:C95,""Sell_""&amp;""*"")+COUNTIF(C$4:C95,""Sell_Cursor"")-COUNTIF(C$4:C95,"""")))+(COUNTIF(C$4:C95,""Grandma"")-COUNTIF(C$4:C95,""Sell_Grandma""))*(1*2^(COUNTIF(C$4:C95,""Grandma_up"")+COUNTIF(C$4:"&amp;"C95,""Super_up"")))+(COUNTIF(C$4:C95,""Farm"")-COUNTIF(C$4:C95,""Sell_Farm""))*(8*2^COUNTIF(C$4:C95,""Farm_up""))*IF(COUNTIF(C$4:C95,""Super_up"")&gt;0,1+0.01*(COUNTIF(C$4:C95,""Grandma"")-COUNTIF(C$4:C95,""Sell_Grandma"")),1)+(COUNTIF(C$4:C95,""Mine"")-COUN"&amp;"TIF(C$4:C95,""Sell_Mine""))*((47*2^COUNTIF(C$4:C95,""Mine_up""))*IF(COUNTIF(C$4:C95,""Super_up"")&gt;1,1+0.005*(COUNTIF(C$4:C95,""Grandma"")-COUNTIF(C$4:C95,""Sell_Grandma"")),1))+(COUNTIF(C$4:C95,""Factory"")-COUNTIF(C$4:C95,""Sell_Factory""))*(260*2^COUNTI"&amp;"F(C$4:C95,""Factory_up""))))"),1353.0)</f>
        <v>1353</v>
      </c>
      <c r="F95" s="73">
        <f>IFERROR(__xludf.DUMMYFUNCTION("IF(COUNTA(C95:C147)=0,"""",IF(REGEXMATCH(INDEX(FILTER(C$4:C95,C$4:C95&lt;&gt;""""),ROWS(FILTER(C$4:C95,C$4:C95&lt;&gt;""""))),""^Sell_""),INDEX(FILTER(F$4:F94,C$4:C94&lt;&gt;""""),ROWS(FILTER(C$4:C94,C$4:C94&lt;&gt;""""))),$AC$5*(2^SWITCH(COUNTIF(C$4:C95,""Cursor_up""),0,0,1,1,2"&amp;",2,3)+SWITCH(COUNTIF(C$4:C95,""Cursor_up""),4,0.1,0)*(ROW(C95)-4-COUNTIF(C$4:C95,""Cursor"")-COUNTIF(C$4:C95,""*""&amp;""_up"")-2*COUNTIF(C$4:C95,""Sell_""&amp;""*"")+COUNTIF(C$4:C95,""Sell_Cursor"")-COUNTIF(C$4:C95,""""))+0.01*E95*COUNTIF(C$4:C95,""Plastic_up"")"&amp;")+E95))"),5659.0)</f>
        <v>5659</v>
      </c>
      <c r="G95" s="14">
        <f>IFERROR(__xludf.DUMMYFUNCTION("IF(COUNTA(C95:C147)=0,"""",IF(REGEXMATCH(C95,""_up""),VLOOKUP(C95,Upgrades!$F$3:$J$8,1+COUNTIF(C$4:C95,C95),FALSE),IF(C95="""",0,IF(REGEXMATCH(C95,""^Sell_""),-ROUNDDOWN(ROUNDUP(INDEX(Upgrades!$C$3:$C$8,MATCH(SUBSTITUTE(C95,""Sell_"",""""),Upgrades!$B$3:$"&amp;"B$8,0))*1.15^(COUNTIF(C$4:C94,SUBSTITUTE(C95,""Sell_"",""""))-COUNTIF(C$4:C94,""Sell_""&amp;SUBSTITUTE(C95,""Sell_"",""""))))/4),ROUNDUP(INDEX(Upgrades!$C$3:$C$7,MATCH(C95,Upgrades!$B$3:$B$7,0))*1.15^(COUNTIF(C$4:C94,C95)-COUNTIF(C$4:C94,""Sell_""&amp;C95)))))))"),994.0)</f>
        <v>994</v>
      </c>
      <c r="H95" s="14">
        <f t="shared" si="3"/>
        <v>994</v>
      </c>
      <c r="I95" s="75">
        <f t="shared" si="4"/>
        <v>17825504.4</v>
      </c>
      <c r="J95" s="76">
        <f t="shared" si="5"/>
        <v>152.4106678</v>
      </c>
      <c r="K95" s="71" t="str">
        <f t="shared" si="6"/>
        <v>2m 32s</v>
      </c>
      <c r="L95" s="77">
        <f t="shared" si="7"/>
        <v>401879</v>
      </c>
      <c r="M95" s="51">
        <f t="shared" si="8"/>
        <v>-0.31084</v>
      </c>
      <c r="N95" s="52">
        <f>IFERROR(__xludf.DUMMYFUNCTION("IFS(AND(COUNTA(C95:C147)=0,COUNTA(P95:P147)=0),"""",OR(AND(L95&gt;=1000000,OR(Y95&gt;=1000000,COUNTA(P95:P147)=0)),AND(Y95&gt;=1000000,COUNTA(C95:C147)=0),AND(COUNTA(P95:P147)=0,O$3=TRUE)),
ROUNDDOWN((AB$1-AC$1)*MAX(INDEX(S$4:S147,MATCH(LARGE(FILTER(Y$4:Y147,Y$4:Y"&amp;"147&lt;1000000),1),Y$4:Y147)),INDEX(F$4:F147,MATCH(LARGE(FILTER(L$4:L147,L$4:L147&lt;1000000),1),L$4:L147)))),AND(L95&lt;1000000,COUNTA(C95:C147)&gt;0,O$3=FALSE),
ROUNDDOWN(INDEX(Y$4:Y147,MATCH(LARGE(FILTER(W$4:W147,W$4:W147&lt;=J95),1),W$4:W147))+(J95-LARGE(FILTER(W$4:"&amp;"W147,W$4:W147&lt;=J95),1))*INDEX(S$4:S147,MATCH(LARGE(FILTER(W$4:W147,W$4:W147&lt;=J95),1),W$4:W147))-L95),1,
ROUNDDOWN(Y95-INDEX(L$4:L147,MATCH(LARGE(FILTER(J$4:J147,J$4:J147&lt;=W95),1),J$4:J147))-(W95-LARGE(FILTER(J$4:J147,J$4:J147&lt;=W95),1))*INDEX(F$4:F147,MATC"&amp;"H(LARGE(FILTER(J$4:J147,J$4:J147&lt;=W95),1),J$4:J147))))"),1754.0)</f>
        <v>1754</v>
      </c>
      <c r="O95" s="65">
        <f t="shared" si="9"/>
        <v>30</v>
      </c>
      <c r="P95" s="15" t="s">
        <v>10</v>
      </c>
      <c r="Q95" s="14" t="b">
        <f>IFERROR(__xludf.DUMMYFUNCTION("IF(COUNTA(P95:P147)=0,"""",IFERROR(IF(ISBLANK(P95),FALSE,IF(ISBLANK(T95),1,IF(NOT(COUNTIF($AA$24:$AA$34,SUBSTITUTE(P95,""Sell_"",""""))),1,IF(P95=""Plastic_up"",IF(V95&lt;1000,1),IF(P95=""Super_Up"",IF(OR(COUNTIF(P$4:P95,""Grandma"")-COUNTIF(P$4:P95,""Sell_G"&amp;"randma"")&lt;1,COUNTIF(P$4:P95,VLOOKUP(P95,Upgrades!$F$8:$N$8,7+COUNTIF(P$4:P95,P95)))-COUNTIF(P$4:P95,""Sell_""&amp;VLOOKUP(P95,Upgrades!$F$8:$N$8,7+COUNTIF(P$4:P95,P95)))&lt;15),1),IF(REGEXMATCH(P95,""_up""),IF(COUNTIF(P$4:P95,SUBSTITUTE(P95,""_up"",""""))&lt;IFERRO"&amp;"R(VLOOKUP(P95,Upgrades!$L$3:$P$6,1+COUNTIF(P$4:P95,P95),0),999),1),IF(REGEXMATCH(P95,""Sell_""),IF(COUNTIF(P$4:P95,SUBSTITUTE(P95,""Sell_"",""""))-COUNTIF(P$4:P94,P95)&lt;1,1),FALSE)))))))))"),FALSE)</f>
        <v>0</v>
      </c>
      <c r="R95" s="71">
        <f>IFERROR(__xludf.DUMMYFUNCTION("IF(REGEXMATCH(P95,""^Sell_""),R94, IF(COUNTA(P95:P147)=0,"""",(COUNTIF(P$4:P95,""Cursor"")-COUNTIF(P$4:P95,""Sell_Cursor""))*(0.1*2^SWITCH(COUNTIF(P$4:P95,""Cursor_up""),0,0,1,1,2,2,3)+SWITCH(COUNTIF(P$4:P95,""Cursor_up""),4,0.1,0)*(ROW(P95)-4-COUNTIF(P$4"&amp;":P95,""Cursor"")-COUNTIF(P$4:P95,""*""&amp;""_up"")-2*COUNTIF(P$4:P95,""Sell_""&amp;""*"")+COUNTIF(P$4:P95,""Sell_Cursor"")-COUNTIF(P$4:P95,"""")))+(COUNTIF(P$4:P95,""Grandma"")-COUNTIF(P$4:P95,""Sell_Grandma""))*(1*2^(COUNTIF(P$4:P95,""Grandma_up"")+COUNTIF(P$4:"&amp;"P95,""Super_up"")))+(COUNTIF(P$4:P95,""Farm"")-COUNTIF(P$4:P95,""Sell_Farm""))*(8*2^COUNTIF(P$4:P95,""Farm_up""))*IF(COUNTIF(P$4:P95,""Super_up"")&gt;0,1+0.01*(COUNTIF(P$4:P95,""Grandma"")-COUNTIF(P$4:P95,""Sell_Grandma"")),1)+(COUNTIF(P$4:P95,""Mine"")-COUN"&amp;"TIF(P$4:P95,""Sell_Mine""))*((47*2^COUNTIF(P$4:P95,""Mine_up""))*IF(COUNTIF(P$4:P95,""Super_up"")&gt;1,1+0.005*(COUNTIF(P$4:P95,""Grandma"")-COUNTIF(P$4:P95,""Sell_Grandma"")),1))+(COUNTIF(P$4:P95,""Factory"")-COUNTIF(P$4:P95,""Sell_Factory""))*(260*2^COUNTI"&amp;"F(P$4:P95,""Factory_up""))))"),1502.2)</f>
        <v>1502.2</v>
      </c>
      <c r="S95" s="73">
        <f>IFERROR(__xludf.DUMMYFUNCTION("IF(COUNTA(P95:P147)=0,"""",IF(REGEXMATCH(INDEX(FILTER(P$4:P95,P$4:P95&lt;&gt;""""),ROWS(FILTER(P$4:P95,P$4:P95&lt;&gt;""""))),""^Sell_""),INDEX(FILTER(S$4:S94,P$4:P94&lt;&gt;""""),ROWS(FILTER(P$4:P94,P$4:P94&lt;&gt;""""))),$AD$5*(2^SWITCH(COUNTIF(P$4:P95,""Cursor_up""),0,0,1,1,2"&amp;",2,3)+SWITCH(COUNTIF(P$4:P95,""Cursor_up""),4,0.1,0)*(ROW(P95)-4-COUNTIF(P$4:P95,""Cursor"")-COUNTIF(P$4:P95,""*""&amp;""_up"")-2*COUNTIF(P$4:P95,""Sell_""&amp;""*"")+COUNTIF(P$4:P95,""Sell_Cursor"")-COUNTIF(P$4:P95,""""))+0.01*R95*COUNTIF(P$4:P95,""Plastic_up"")"&amp;")+R95))"),7106.599999999999)</f>
        <v>7106.6</v>
      </c>
      <c r="T95" s="14">
        <f>IFERROR(__xludf.DUMMYFUNCTION("IF(COUNTA(P95:P147)=0,"""",IF(REGEXMATCH(P95,""_up""),VLOOKUP(P95,Upgrades!$F$3:$J$8,1+COUNTIF(P$4:P95,P95),FALSE),IF(P95="""",0,IF(REGEXMATCH(P95,""^Sell_""),-ROUNDDOWN(ROUNDUP(INDEX(Upgrades!$C$3:$C$8,MATCH(SUBSTITUTE(P95,""Sell_"",""""),Upgrades!$B$3:$"&amp;"B$8,0))*1.15^(COUNTIF(P$4:P94,SUBSTITUTE(P95,""Sell_"",""""))-COUNTIF(P$4:P94,""Sell_""&amp;SUBSTITUTE(P95,""Sell_"",""""))))/4),ROUNDUP(INDEX(Upgrades!$C$3:$C$7,MATCH(P95,Upgrades!$B$3:$B$7,0))*1.15^(COUNTIF(P$4:P94,P95)-COUNTIF(P$4:P94,""Sell_""&amp;P95)))))))"),864.0)</f>
        <v>864</v>
      </c>
      <c r="U95" s="14">
        <f t="shared" si="10"/>
        <v>864</v>
      </c>
      <c r="V95" s="75">
        <f t="shared" si="11"/>
        <v>20148302.03</v>
      </c>
      <c r="W95" s="76">
        <f t="shared" si="12"/>
        <v>169.5215193</v>
      </c>
      <c r="X95" s="71" t="str">
        <f t="shared" si="13"/>
        <v>2m 49s</v>
      </c>
      <c r="Y95" s="77">
        <f t="shared" si="14"/>
        <v>500885</v>
      </c>
      <c r="Z95" s="17"/>
      <c r="AA95" s="13"/>
      <c r="AB95" s="13"/>
      <c r="AC95" s="13"/>
      <c r="AD95" s="13"/>
      <c r="AE95" s="13"/>
      <c r="AF95" s="13"/>
      <c r="AG95" s="13"/>
    </row>
    <row r="96">
      <c r="A96" s="12"/>
      <c r="B96" s="65">
        <f t="shared" si="2"/>
        <v>4</v>
      </c>
      <c r="C96" s="66" t="s">
        <v>11</v>
      </c>
      <c r="D96" s="14" t="b">
        <f>IFERROR(__xludf.DUMMYFUNCTION("IF(COUNTA(C96:C147)=0,"""",IFERROR(IF(ISBLANK(C96),FALSE,IF(ISBLANK(G96),1,IF(NOT(COUNTIF($AA$24:$AA$34,SUBSTITUTE(C96,""Sell_"",""""))),1,IF(C96=""Plastic_up"",IF(I96&lt;1000,1),IF(C96=""Super_Up"",IF(OR(COUNTIF(C$4:C96,""Grandma"")-COUNTIF(C$4:C96,""Sell_G"&amp;"randma"")&lt;1,COUNTIF(C$4:C96,VLOOKUP(C96,Upgrades!$F$8:$N$8,7+COUNTIF(C$4:C96,C96)))-COUNTIF(C$4:C96,""Sell_""&amp;VLOOKUP(C96,Upgrades!$F$8:$N$8,7+COUNTIF(C$4:C96,C96)))&lt;15),1),IF(REGEXMATCH(C96,""_up""),IF(COUNTIF(C$4:C96,SUBSTITUTE(C96,""_up"",""""))&lt;IFERRO"&amp;"R(VLOOKUP(C96,Upgrades!$L$3:$P$6,1+COUNTIF(C$4:C96,C96),0),999),1),IF(REGEXMATCH(C96,""Sell_""),IF(COUNTIF(C$4:C96,SUBSTITUTE(C96,""Sell_"",""""))-COUNTIF(C$4:C95,C96)&lt;1,1),FALSE)))))))))"),FALSE)</f>
        <v>0</v>
      </c>
      <c r="E96" s="71">
        <f>IFERROR(__xludf.DUMMYFUNCTION("IF(REGEXMATCH(C96,""^Sell_""),E95, IF(COUNTA(C96:C147)=0,"""",(COUNTIF(C$4:C96,""Cursor"")-COUNTIF(C$4:C96,""Sell_Cursor""))*(0.1*2^SWITCH(COUNTIF(C$4:C96,""Cursor_up""),0,0,1,1,2,2,3)+SWITCH(COUNTIF(C$4:C96,""Cursor_up""),4,0.1,0)*(ROW(C96)-4-COUNTIF(C$4"&amp;":C96,""Cursor"")-COUNTIF(C$4:C96,""*""&amp;""_up"")-2*COUNTIF(C$4:C96,""Sell_""&amp;""*"")+COUNTIF(C$4:C96,""Sell_Cursor"")-COUNTIF(C$4:C96,"""")))+(COUNTIF(C$4:C96,""Grandma"")-COUNTIF(C$4:C96,""Sell_Grandma""))*(1*2^(COUNTIF(C$4:C96,""Grandma_up"")+COUNTIF(C$4:"&amp;"C96,""Super_up"")))+(COUNTIF(C$4:C96,""Farm"")-COUNTIF(C$4:C96,""Sell_Farm""))*(8*2^COUNTIF(C$4:C96,""Farm_up""))*IF(COUNTIF(C$4:C96,""Super_up"")&gt;0,1+0.01*(COUNTIF(C$4:C96,""Grandma"")-COUNTIF(C$4:C96,""Sell_Grandma"")),1)+(COUNTIF(C$4:C96,""Mine"")-COUN"&amp;"TIF(C$4:C96,""Sell_Mine""))*((47*2^COUNTIF(C$4:C96,""Mine_up""))*IF(COUNTIF(C$4:C96,""Super_up"")&gt;1,1+0.005*(COUNTIF(C$4:C96,""Grandma"")-COUNTIF(C$4:C96,""Sell_Grandma"")),1))+(COUNTIF(C$4:C96,""Factory"")-COUNTIF(C$4:C96,""Sell_Factory""))*(260*2^COUNTI"&amp;"F(C$4:C96,""Factory_up""))))"),1508.0)</f>
        <v>1508</v>
      </c>
      <c r="F96" s="73">
        <f>IFERROR(__xludf.DUMMYFUNCTION("IF(COUNTA(C96:C147)=0,"""",IF(REGEXMATCH(INDEX(FILTER(C$4:C96,C$4:C96&lt;&gt;""""),ROWS(FILTER(C$4:C96,C$4:C96&lt;&gt;""""))),""^Sell_""),INDEX(FILTER(F$4:F95,C$4:C95&lt;&gt;""""),ROWS(FILTER(C$4:C95,C$4:C95&lt;&gt;""""))),$AC$5*(2^SWITCH(COUNTIF(C$4:C96,""Cursor_up""),0,0,1,1,2"&amp;",2,3)+SWITCH(COUNTIF(C$4:C96,""Cursor_up""),4,0.1,0)*(ROW(C96)-4-COUNTIF(C$4:C96,""Cursor"")-COUNTIF(C$4:C96,""*""&amp;""_up"")-2*COUNTIF(C$4:C96,""Sell_""&amp;""*"")+COUNTIF(C$4:C96,""Sell_Cursor"")-COUNTIF(C$4:C96,""""))+0.01*E96*COUNTIF(C$4:C96,""Plastic_up"")"&amp;")+E96))"),7124.0)</f>
        <v>7124</v>
      </c>
      <c r="G96" s="14">
        <f>IFERROR(__xludf.DUMMYFUNCTION("IF(COUNTA(C96:C147)=0,"""",IF(REGEXMATCH(C96,""_up""),VLOOKUP(C96,Upgrades!$F$3:$J$8,1+COUNTIF(C$4:C96,C96),FALSE),IF(C96="""",0,IF(REGEXMATCH(C96,""^Sell_""),-ROUNDDOWN(ROUNDUP(INDEX(Upgrades!$C$3:$C$8,MATCH(SUBSTITUTE(C96,""Sell_"",""""),Upgrades!$B$3:$"&amp;"B$8,0))*1.15^(COUNTIF(C$4:C95,SUBSTITUTE(C96,""Sell_"",""""))-COUNTIF(C$4:C95,""Sell_""&amp;SUBSTITUTE(C96,""Sell_"",""""))))/4),ROUNDUP(INDEX(Upgrades!$C$3:$C$7,MATCH(C96,Upgrades!$B$3:$B$7,0))*1.15^(COUNTIF(C$4:C95,C96)-COUNTIF(C$4:C95,""Sell_""&amp;C96)))))))"),100000.0)</f>
        <v>100000</v>
      </c>
      <c r="H96" s="14">
        <f t="shared" si="3"/>
        <v>100000</v>
      </c>
      <c r="I96" s="75">
        <f t="shared" si="4"/>
        <v>18557875.92</v>
      </c>
      <c r="J96" s="76">
        <f t="shared" si="5"/>
        <v>170.0816344</v>
      </c>
      <c r="K96" s="71" t="str">
        <f t="shared" si="6"/>
        <v>2m 50s</v>
      </c>
      <c r="L96" s="77">
        <f t="shared" si="7"/>
        <v>501879</v>
      </c>
      <c r="M96" s="51">
        <f t="shared" si="8"/>
        <v>-0.42024</v>
      </c>
      <c r="N96" s="52">
        <f>IFERROR(__xludf.DUMMYFUNCTION("IFS(AND(COUNTA(C96:C147)=0,COUNTA(P96:P147)=0),"""",OR(AND(L96&gt;=1000000,OR(Y96&gt;=1000000,COUNTA(P96:P147)=0)),AND(Y96&gt;=1000000,COUNTA(C96:C147)=0),AND(COUNTA(P96:P147)=0,O$3=TRUE)),
ROUNDDOWN((AB$1-AC$1)*MAX(INDEX(S$4:S147,MATCH(LARGE(FILTER(Y$4:Y147,Y$4:Y"&amp;"147&lt;1000000),1),Y$4:Y147)),INDEX(F$4:F147,MATCH(LARGE(FILTER(L$4:L147,L$4:L147&lt;1000000),1),L$4:L147)))),AND(L96&lt;1000000,COUNTA(C96:C147)&gt;0,O$3=FALSE),
ROUNDDOWN(INDEX(Y$4:Y147,MATCH(LARGE(FILTER(W$4:W147,W$4:W147&lt;=J96),1),W$4:W147))+(J96-LARGE(FILTER(W$4:"&amp;"W147,W$4:W147&lt;=J96),1))*INDEX(S$4:S147,MATCH(LARGE(FILTER(W$4:W147,W$4:W147&lt;=J96),1),W$4:W147))-L96),1,
ROUNDDOWN(Y96-INDEX(L$4:L147,MATCH(LARGE(FILTER(J$4:J147,J$4:J147&lt;=W96),1),J$4:J147))-(W96-LARGE(FILTER(J$4:J147,J$4:J147&lt;=W96),1))*INDEX(F$4:F147,MATC"&amp;"H(LARGE(FILTER(J$4:J147,J$4:J147&lt;=W96),1),J$4:J147))))"),2998.0)</f>
        <v>2998</v>
      </c>
      <c r="O96" s="65">
        <f t="shared" si="9"/>
        <v>31</v>
      </c>
      <c r="P96" s="15" t="s">
        <v>10</v>
      </c>
      <c r="Q96" s="14" t="b">
        <f>IFERROR(__xludf.DUMMYFUNCTION("IF(COUNTA(P96:P147)=0,"""",IFERROR(IF(ISBLANK(P96),FALSE,IF(ISBLANK(T96),1,IF(NOT(COUNTIF($AA$24:$AA$34,SUBSTITUTE(P96,""Sell_"",""""))),1,IF(P96=""Plastic_up"",IF(V96&lt;1000,1),IF(P96=""Super_Up"",IF(OR(COUNTIF(P$4:P96,""Grandma"")-COUNTIF(P$4:P96,""Sell_G"&amp;"randma"")&lt;1,COUNTIF(P$4:P96,VLOOKUP(P96,Upgrades!$F$8:$N$8,7+COUNTIF(P$4:P96,P96)))-COUNTIF(P$4:P96,""Sell_""&amp;VLOOKUP(P96,Upgrades!$F$8:$N$8,7+COUNTIF(P$4:P96,P96)))&lt;15),1),IF(REGEXMATCH(P96,""_up""),IF(COUNTIF(P$4:P96,SUBSTITUTE(P96,""_up"",""""))&lt;IFERRO"&amp;"R(VLOOKUP(P96,Upgrades!$L$3:$P$6,1+COUNTIF(P$4:P96,P96),0),999),1),IF(REGEXMATCH(P96,""Sell_""),IF(COUNTIF(P$4:P96,SUBSTITUTE(P96,""Sell_"",""""))-COUNTIF(P$4:P95,P96)&lt;1,1),FALSE)))))))))"),FALSE)</f>
        <v>0</v>
      </c>
      <c r="R96" s="71">
        <f>IFERROR(__xludf.DUMMYFUNCTION("IF(REGEXMATCH(P96,""^Sell_""),R95, IF(COUNTA(P96:P147)=0,"""",(COUNTIF(P$4:P96,""Cursor"")-COUNTIF(P$4:P96,""Sell_Cursor""))*(0.1*2^SWITCH(COUNTIF(P$4:P96,""Cursor_up""),0,0,1,1,2,2,3)+SWITCH(COUNTIF(P$4:P96,""Cursor_up""),4,0.1,0)*(ROW(P96)-4-COUNTIF(P$4"&amp;":P96,""Cursor"")-COUNTIF(P$4:P96,""*""&amp;""_up"")-2*COUNTIF(P$4:P96,""Sell_""&amp;""*"")+COUNTIF(P$4:P96,""Sell_Cursor"")-COUNTIF(P$4:P96,"""")))+(COUNTIF(P$4:P96,""Grandma"")-COUNTIF(P$4:P96,""Sell_Grandma""))*(1*2^(COUNTIF(P$4:P96,""Grandma_up"")+COUNTIF(P$4:"&amp;"P96,""Super_up"")))+(COUNTIF(P$4:P96,""Farm"")-COUNTIF(P$4:P96,""Sell_Farm""))*(8*2^COUNTIF(P$4:P96,""Farm_up""))*IF(COUNTIF(P$4:P96,""Super_up"")&gt;0,1+0.01*(COUNTIF(P$4:P96,""Grandma"")-COUNTIF(P$4:P96,""Sell_Grandma"")),1)+(COUNTIF(P$4:P96,""Mine"")-COUN"&amp;"TIF(P$4:P96,""Sell_Mine""))*((47*2^COUNTIF(P$4:P96,""Mine_up""))*IF(COUNTIF(P$4:P96,""Super_up"")&gt;1,1+0.005*(COUNTIF(P$4:P96,""Grandma"")-COUNTIF(P$4:P96,""Sell_Grandma"")),1))+(COUNTIF(P$4:P96,""Factory"")-COUNTIF(P$4:P96,""Sell_Factory""))*(260*2^COUNTI"&amp;"F(P$4:P96,""Factory_up""))))"),1508.0)</f>
        <v>1508</v>
      </c>
      <c r="S96" s="73">
        <f>IFERROR(__xludf.DUMMYFUNCTION("IF(COUNTA(P96:P147)=0,"""",IF(REGEXMATCH(INDEX(FILTER(P$4:P96,P$4:P96&lt;&gt;""""),ROWS(FILTER(P$4:P96,P$4:P96&lt;&gt;""""))),""^Sell_""),INDEX(FILTER(S$4:S95,P$4:P95&lt;&gt;""""),ROWS(FILTER(P$4:P95,P$4:P95&lt;&gt;""""))),$AD$5*(2^SWITCH(COUNTIF(P$4:P96,""Cursor_up""),0,0,1,1,2"&amp;",2,3)+SWITCH(COUNTIF(P$4:P96,""Cursor_up""),4,0.1,0)*(ROW(P96)-4-COUNTIF(P$4:P96,""Cursor"")-COUNTIF(P$4:P96,""*""&amp;""_up"")-2*COUNTIF(P$4:P96,""Sell_""&amp;""*"")+COUNTIF(P$4:P96,""Sell_Cursor"")-COUNTIF(P$4:P96,""""))+0.01*R96*COUNTIF(P$4:P96,""Plastic_up"")"&amp;")+R96))"),7124.0)</f>
        <v>7124</v>
      </c>
      <c r="T96" s="14">
        <f>IFERROR(__xludf.DUMMYFUNCTION("IF(COUNTA(P96:P147)=0,"""",IF(REGEXMATCH(P96,""_up""),VLOOKUP(P96,Upgrades!$F$3:$J$8,1+COUNTIF(P$4:P96,P96),FALSE),IF(P96="""",0,IF(REGEXMATCH(P96,""^Sell_""),-ROUNDDOWN(ROUNDUP(INDEX(Upgrades!$C$3:$C$8,MATCH(SUBSTITUTE(P96,""Sell_"",""""),Upgrades!$B$3:$"&amp;"B$8,0))*1.15^(COUNTIF(P$4:P95,SUBSTITUTE(P96,""Sell_"",""""))-COUNTIF(P$4:P95,""Sell_""&amp;SUBSTITUTE(P96,""Sell_"",""""))))/4),ROUNDUP(INDEX(Upgrades!$C$3:$C$7,MATCH(P96,Upgrades!$B$3:$B$7,0))*1.15^(COUNTIF(P$4:P95,P96)-COUNTIF(P$4:P95,""Sell_""&amp;P96)))))))"),994.0)</f>
        <v>994</v>
      </c>
      <c r="U96" s="14">
        <f t="shared" si="10"/>
        <v>994</v>
      </c>
      <c r="V96" s="75">
        <f t="shared" si="11"/>
        <v>21099152.32</v>
      </c>
      <c r="W96" s="76">
        <f t="shared" si="12"/>
        <v>169.6613893</v>
      </c>
      <c r="X96" s="71" t="str">
        <f t="shared" si="13"/>
        <v>2m 49s</v>
      </c>
      <c r="Y96" s="77">
        <f t="shared" si="14"/>
        <v>501879</v>
      </c>
      <c r="Z96" s="17"/>
      <c r="AA96" s="13"/>
      <c r="AB96" s="13"/>
      <c r="AC96" s="13"/>
      <c r="AD96" s="13"/>
      <c r="AE96" s="13"/>
      <c r="AF96" s="13"/>
      <c r="AG96" s="13"/>
    </row>
    <row r="97">
      <c r="A97" s="12"/>
      <c r="B97" s="65">
        <f t="shared" si="2"/>
        <v>32</v>
      </c>
      <c r="C97" s="66" t="s">
        <v>10</v>
      </c>
      <c r="D97" s="14" t="b">
        <f>IFERROR(__xludf.DUMMYFUNCTION("IF(COUNTA(C97:C147)=0,"""",IFERROR(IF(ISBLANK(C97),FALSE,IF(ISBLANK(G97),1,IF(NOT(COUNTIF($AA$24:$AA$34,SUBSTITUTE(C97,""Sell_"",""""))),1,IF(C97=""Plastic_up"",IF(I97&lt;1000,1),IF(C97=""Super_Up"",IF(OR(COUNTIF(C$4:C97,""Grandma"")-COUNTIF(C$4:C97,""Sell_G"&amp;"randma"")&lt;1,COUNTIF(C$4:C97,VLOOKUP(C97,Upgrades!$F$8:$N$8,7+COUNTIF(C$4:C97,C97)))-COUNTIF(C$4:C97,""Sell_""&amp;VLOOKUP(C97,Upgrades!$F$8:$N$8,7+COUNTIF(C$4:C97,C97)))&lt;15),1),IF(REGEXMATCH(C97,""_up""),IF(COUNTIF(C$4:C97,SUBSTITUTE(C97,""_up"",""""))&lt;IFERRO"&amp;"R(VLOOKUP(C97,Upgrades!$L$3:$P$6,1+COUNTIF(C$4:C97,C97),0),999),1),IF(REGEXMATCH(C97,""Sell_""),IF(COUNTIF(C$4:C97,SUBSTITUTE(C97,""Sell_"",""""))-COUNTIF(C$4:C96,C97)&lt;1,1),FALSE)))))))))"),FALSE)</f>
        <v>0</v>
      </c>
      <c r="E97" s="71">
        <f>IFERROR(__xludf.DUMMYFUNCTION("IF(REGEXMATCH(C97,""^Sell_""),E96, IF(COUNTA(C97:C147)=0,"""",(COUNTIF(C$4:C97,""Cursor"")-COUNTIF(C$4:C97,""Sell_Cursor""))*(0.1*2^SWITCH(COUNTIF(C$4:C97,""Cursor_up""),0,0,1,1,2,2,3)+SWITCH(COUNTIF(C$4:C97,""Cursor_up""),4,0.1,0)*(ROW(C97)-4-COUNTIF(C$4"&amp;":C97,""Cursor"")-COUNTIF(C$4:C97,""*""&amp;""_up"")-2*COUNTIF(C$4:C97,""Sell_""&amp;""*"")+COUNTIF(C$4:C97,""Sell_Cursor"")-COUNTIF(C$4:C97,"""")))+(COUNTIF(C$4:C97,""Grandma"")-COUNTIF(C$4:C97,""Sell_Grandma""))*(1*2^(COUNTIF(C$4:C97,""Grandma_up"")+COUNTIF(C$4:"&amp;"C97,""Super_up"")))+(COUNTIF(C$4:C97,""Farm"")-COUNTIF(C$4:C97,""Sell_Farm""))*(8*2^COUNTIF(C$4:C97,""Farm_up""))*IF(COUNTIF(C$4:C97,""Super_up"")&gt;0,1+0.01*(COUNTIF(C$4:C97,""Grandma"")-COUNTIF(C$4:C97,""Sell_Grandma"")),1)+(COUNTIF(C$4:C97,""Mine"")-COUN"&amp;"TIF(C$4:C97,""Sell_Mine""))*((47*2^COUNTIF(C$4:C97,""Mine_up""))*IF(COUNTIF(C$4:C97,""Super_up"")&gt;1,1+0.005*(COUNTIF(C$4:C97,""Grandma"")-COUNTIF(C$4:C97,""Sell_Grandma"")),1))+(COUNTIF(C$4:C97,""Factory"")-COUNTIF(C$4:C97,""Sell_Factory""))*(260*2^COUNTI"&amp;"F(C$4:C97,""Factory_up""))))"),1513.8000000000002)</f>
        <v>1513.8</v>
      </c>
      <c r="F97" s="73">
        <f>IFERROR(__xludf.DUMMYFUNCTION("IF(COUNTA(C97:C147)=0,"""",IF(REGEXMATCH(INDEX(FILTER(C$4:C97,C$4:C97&lt;&gt;""""),ROWS(FILTER(C$4:C97,C$4:C97&lt;&gt;""""))),""^Sell_""),INDEX(FILTER(F$4:F96,C$4:C96&lt;&gt;""""),ROWS(FILTER(C$4:C96,C$4:C96&lt;&gt;""""))),$AC$5*(2^SWITCH(COUNTIF(C$4:C97,""Cursor_up""),0,0,1,1,2"&amp;",2,3)+SWITCH(COUNTIF(C$4:C97,""Cursor_up""),4,0.1,0)*(ROW(C97)-4-COUNTIF(C$4:C97,""Cursor"")-COUNTIF(C$4:C97,""*""&amp;""_up"")-2*COUNTIF(C$4:C97,""Sell_""&amp;""*"")+COUNTIF(C$4:C97,""Sell_Cursor"")-COUNTIF(C$4:C97,""""))+0.01*E97*COUNTIF(C$4:C97,""Plastic_up"")"&amp;")+E97))"),7141.400000000001)</f>
        <v>7141.4</v>
      </c>
      <c r="G97" s="14">
        <f>IFERROR(__xludf.DUMMYFUNCTION("IF(COUNTA(C97:C147)=0,"""",IF(REGEXMATCH(C97,""_up""),VLOOKUP(C97,Upgrades!$F$3:$J$8,1+COUNTIF(C$4:C97,C97),FALSE),IF(C97="""",0,IF(REGEXMATCH(C97,""^Sell_""),-ROUNDDOWN(ROUNDUP(INDEX(Upgrades!$C$3:$C$8,MATCH(SUBSTITUTE(C97,""Sell_"",""""),Upgrades!$B$3:$"&amp;"B$8,0))*1.15^(COUNTIF(C$4:C96,SUBSTITUTE(C97,""Sell_"",""""))-COUNTIF(C$4:C96,""Sell_""&amp;SUBSTITUTE(C97,""Sell_"",""""))))/4),ROUNDUP(INDEX(Upgrades!$C$3:$C$7,MATCH(C97,Upgrades!$B$3:$B$7,0))*1.15^(COUNTIF(C$4:C96,C97)-COUNTIF(C$4:C96,""Sell_""&amp;C97)))))))"),1143.0)</f>
        <v>1143</v>
      </c>
      <c r="H97" s="14">
        <f t="shared" si="3"/>
        <v>1143</v>
      </c>
      <c r="I97" s="75">
        <f t="shared" si="4"/>
        <v>19513955.43</v>
      </c>
      <c r="J97" s="76">
        <f t="shared" si="5"/>
        <v>170.242078</v>
      </c>
      <c r="K97" s="71" t="str">
        <f t="shared" si="6"/>
        <v>2m 50s</v>
      </c>
      <c r="L97" s="77">
        <f t="shared" si="7"/>
        <v>503022</v>
      </c>
      <c r="M97" s="51">
        <f t="shared" si="8"/>
        <v>-0.42024</v>
      </c>
      <c r="N97" s="52">
        <f>IFERROR(__xludf.DUMMYFUNCTION("IFS(AND(COUNTA(C97:C147)=0,COUNTA(P97:P147)=0),"""",OR(AND(L97&gt;=1000000,OR(Y97&gt;=1000000,COUNTA(P97:P147)=0)),AND(Y97&gt;=1000000,COUNTA(C97:C147)=0),AND(COUNTA(P97:P147)=0,O$3=TRUE)),
ROUNDDOWN((AB$1-AC$1)*MAX(INDEX(S$4:S147,MATCH(LARGE(FILTER(Y$4:Y147,Y$4:Y"&amp;"147&lt;1000000),1),Y$4:Y147)),INDEX(F$4:F147,MATCH(LARGE(FILTER(L$4:L147,L$4:L147&lt;1000000),1),L$4:L147)))),AND(L97&lt;1000000,COUNTA(C97:C147)&gt;0,O$3=FALSE),
ROUNDDOWN(INDEX(Y$4:Y147,MATCH(LARGE(FILTER(W$4:W147,W$4:W147&lt;=J97),1),W$4:W147))+(J97-LARGE(FILTER(W$4:"&amp;"W147,W$4:W147&lt;=J97),1))*INDEX(S$4:S147,MATCH(LARGE(FILTER(W$4:W147,W$4:W147&lt;=J97),1),W$4:W147))-L97),1,
ROUNDDOWN(Y97-INDEX(L$4:L147,MATCH(LARGE(FILTER(J$4:J147,J$4:J147&lt;=W97),1),J$4:J147))-(W97-LARGE(FILTER(J$4:J147,J$4:J147&lt;=W97),1))*INDEX(F$4:F147,MATC"&amp;"H(LARGE(FILTER(J$4:J147,J$4:J147&lt;=W97),1),J$4:J147))))"),3001.0)</f>
        <v>3001</v>
      </c>
      <c r="O97" s="65">
        <f t="shared" si="9"/>
        <v>32</v>
      </c>
      <c r="P97" s="15" t="s">
        <v>10</v>
      </c>
      <c r="Q97" s="14" t="b">
        <f>IFERROR(__xludf.DUMMYFUNCTION("IF(COUNTA(P97:P147)=0,"""",IFERROR(IF(ISBLANK(P97),FALSE,IF(ISBLANK(T97),1,IF(NOT(COUNTIF($AA$24:$AA$34,SUBSTITUTE(P97,""Sell_"",""""))),1,IF(P97=""Plastic_up"",IF(V97&lt;1000,1),IF(P97=""Super_Up"",IF(OR(COUNTIF(P$4:P97,""Grandma"")-COUNTIF(P$4:P97,""Sell_G"&amp;"randma"")&lt;1,COUNTIF(P$4:P97,VLOOKUP(P97,Upgrades!$F$8:$N$8,7+COUNTIF(P$4:P97,P97)))-COUNTIF(P$4:P97,""Sell_""&amp;VLOOKUP(P97,Upgrades!$F$8:$N$8,7+COUNTIF(P$4:P97,P97)))&lt;15),1),IF(REGEXMATCH(P97,""_up""),IF(COUNTIF(P$4:P97,SUBSTITUTE(P97,""_up"",""""))&lt;IFERRO"&amp;"R(VLOOKUP(P97,Upgrades!$L$3:$P$6,1+COUNTIF(P$4:P97,P97),0),999),1),IF(REGEXMATCH(P97,""Sell_""),IF(COUNTIF(P$4:P97,SUBSTITUTE(P97,""Sell_"",""""))-COUNTIF(P$4:P96,P97)&lt;1,1),FALSE)))))))))"),FALSE)</f>
        <v>0</v>
      </c>
      <c r="R97" s="71">
        <f>IFERROR(__xludf.DUMMYFUNCTION("IF(REGEXMATCH(P97,""^Sell_""),R96, IF(COUNTA(P97:P147)=0,"""",(COUNTIF(P$4:P97,""Cursor"")-COUNTIF(P$4:P97,""Sell_Cursor""))*(0.1*2^SWITCH(COUNTIF(P$4:P97,""Cursor_up""),0,0,1,1,2,2,3)+SWITCH(COUNTIF(P$4:P97,""Cursor_up""),4,0.1,0)*(ROW(P97)-4-COUNTIF(P$4"&amp;":P97,""Cursor"")-COUNTIF(P$4:P97,""*""&amp;""_up"")-2*COUNTIF(P$4:P97,""Sell_""&amp;""*"")+COUNTIF(P$4:P97,""Sell_Cursor"")-COUNTIF(P$4:P97,"""")))+(COUNTIF(P$4:P97,""Grandma"")-COUNTIF(P$4:P97,""Sell_Grandma""))*(1*2^(COUNTIF(P$4:P97,""Grandma_up"")+COUNTIF(P$4:"&amp;"P97,""Super_up"")))+(COUNTIF(P$4:P97,""Farm"")-COUNTIF(P$4:P97,""Sell_Farm""))*(8*2^COUNTIF(P$4:P97,""Farm_up""))*IF(COUNTIF(P$4:P97,""Super_up"")&gt;0,1+0.01*(COUNTIF(P$4:P97,""Grandma"")-COUNTIF(P$4:P97,""Sell_Grandma"")),1)+(COUNTIF(P$4:P97,""Mine"")-COUN"&amp;"TIF(P$4:P97,""Sell_Mine""))*((47*2^COUNTIF(P$4:P97,""Mine_up""))*IF(COUNTIF(P$4:P97,""Super_up"")&gt;1,1+0.005*(COUNTIF(P$4:P97,""Grandma"")-COUNTIF(P$4:P97,""Sell_Grandma"")),1))+(COUNTIF(P$4:P97,""Factory"")-COUNTIF(P$4:P97,""Sell_Factory""))*(260*2^COUNTI"&amp;"F(P$4:P97,""Factory_up""))))"),1513.8000000000002)</f>
        <v>1513.8</v>
      </c>
      <c r="S97" s="73">
        <f>IFERROR(__xludf.DUMMYFUNCTION("IF(COUNTA(P97:P147)=0,"""",IF(REGEXMATCH(INDEX(FILTER(P$4:P97,P$4:P97&lt;&gt;""""),ROWS(FILTER(P$4:P97,P$4:P97&lt;&gt;""""))),""^Sell_""),INDEX(FILTER(S$4:S96,P$4:P96&lt;&gt;""""),ROWS(FILTER(P$4:P96,P$4:P96&lt;&gt;""""))),$AD$5*(2^SWITCH(COUNTIF(P$4:P97,""Cursor_up""),0,0,1,1,2"&amp;",2,3)+SWITCH(COUNTIF(P$4:P97,""Cursor_up""),4,0.1,0)*(ROW(P97)-4-COUNTIF(P$4:P97,""Cursor"")-COUNTIF(P$4:P97,""*""&amp;""_up"")-2*COUNTIF(P$4:P97,""Sell_""&amp;""*"")+COUNTIF(P$4:P97,""Sell_Cursor"")-COUNTIF(P$4:P97,""""))+0.01*R97*COUNTIF(P$4:P97,""Plastic_up"")"&amp;")+R97))"),7141.400000000001)</f>
        <v>7141.4</v>
      </c>
      <c r="T97" s="14">
        <f>IFERROR(__xludf.DUMMYFUNCTION("IF(COUNTA(P97:P147)=0,"""",IF(REGEXMATCH(P97,""_up""),VLOOKUP(P97,Upgrades!$F$3:$J$8,1+COUNTIF(P$4:P97,P97),FALSE),IF(P97="""",0,IF(REGEXMATCH(P97,""^Sell_""),-ROUNDDOWN(ROUNDUP(INDEX(Upgrades!$C$3:$C$8,MATCH(SUBSTITUTE(P97,""Sell_"",""""),Upgrades!$B$3:$"&amp;"B$8,0))*1.15^(COUNTIF(P$4:P96,SUBSTITUTE(P97,""Sell_"",""""))-COUNTIF(P$4:P96,""Sell_""&amp;SUBSTITUTE(P97,""Sell_"",""""))))/4),ROUNDUP(INDEX(Upgrades!$C$3:$C$7,MATCH(P97,Upgrades!$B$3:$B$7,0))*1.15^(COUNTIF(P$4:P96,P97)-COUNTIF(P$4:P96,""Sell_""&amp;P97)))))))"),1143.0)</f>
        <v>1143</v>
      </c>
      <c r="U97" s="14">
        <f t="shared" si="10"/>
        <v>1143</v>
      </c>
      <c r="V97" s="75">
        <f t="shared" si="11"/>
        <v>22052871.74</v>
      </c>
      <c r="W97" s="76">
        <f t="shared" si="12"/>
        <v>169.8218329</v>
      </c>
      <c r="X97" s="71" t="str">
        <f t="shared" si="13"/>
        <v>2m 49s</v>
      </c>
      <c r="Y97" s="77">
        <f t="shared" si="14"/>
        <v>503022</v>
      </c>
      <c r="Z97" s="17"/>
      <c r="AA97" s="13"/>
      <c r="AB97" s="13"/>
      <c r="AC97" s="13"/>
      <c r="AD97" s="13"/>
      <c r="AE97" s="13"/>
      <c r="AF97" s="13"/>
      <c r="AG97" s="13"/>
    </row>
    <row r="98">
      <c r="A98" s="12"/>
      <c r="B98" s="65">
        <f t="shared" si="2"/>
        <v>33</v>
      </c>
      <c r="C98" s="66" t="s">
        <v>10</v>
      </c>
      <c r="D98" s="14" t="b">
        <f>IFERROR(__xludf.DUMMYFUNCTION("IF(COUNTA(C98:C147)=0,"""",IFERROR(IF(ISBLANK(C98),FALSE,IF(ISBLANK(G98),1,IF(NOT(COUNTIF($AA$24:$AA$34,SUBSTITUTE(C98,""Sell_"",""""))),1,IF(C98=""Plastic_up"",IF(I98&lt;1000,1),IF(C98=""Super_Up"",IF(OR(COUNTIF(C$4:C98,""Grandma"")-COUNTIF(C$4:C98,""Sell_G"&amp;"randma"")&lt;1,COUNTIF(C$4:C98,VLOOKUP(C98,Upgrades!$F$8:$N$8,7+COUNTIF(C$4:C98,C98)))-COUNTIF(C$4:C98,""Sell_""&amp;VLOOKUP(C98,Upgrades!$F$8:$N$8,7+COUNTIF(C$4:C98,C98)))&lt;15),1),IF(REGEXMATCH(C98,""_up""),IF(COUNTIF(C$4:C98,SUBSTITUTE(C98,""_up"",""""))&lt;IFERRO"&amp;"R(VLOOKUP(C98,Upgrades!$L$3:$P$6,1+COUNTIF(C$4:C98,C98),0),999),1),IF(REGEXMATCH(C98,""Sell_""),IF(COUNTIF(C$4:C98,SUBSTITUTE(C98,""Sell_"",""""))-COUNTIF(C$4:C97,C98)&lt;1,1),FALSE)))))))))"),FALSE)</f>
        <v>0</v>
      </c>
      <c r="E98" s="71">
        <f>IFERROR(__xludf.DUMMYFUNCTION("IF(REGEXMATCH(C98,""^Sell_""),E97, IF(COUNTA(C98:C147)=0,"""",(COUNTIF(C$4:C98,""Cursor"")-COUNTIF(C$4:C98,""Sell_Cursor""))*(0.1*2^SWITCH(COUNTIF(C$4:C98,""Cursor_up""),0,0,1,1,2,2,3)+SWITCH(COUNTIF(C$4:C98,""Cursor_up""),4,0.1,0)*(ROW(C98)-4-COUNTIF(C$4"&amp;":C98,""Cursor"")-COUNTIF(C$4:C98,""*""&amp;""_up"")-2*COUNTIF(C$4:C98,""Sell_""&amp;""*"")+COUNTIF(C$4:C98,""Sell_Cursor"")-COUNTIF(C$4:C98,"""")))+(COUNTIF(C$4:C98,""Grandma"")-COUNTIF(C$4:C98,""Sell_Grandma""))*(1*2^(COUNTIF(C$4:C98,""Grandma_up"")+COUNTIF(C$4:"&amp;"C98,""Super_up"")))+(COUNTIF(C$4:C98,""Farm"")-COUNTIF(C$4:C98,""Sell_Farm""))*(8*2^COUNTIF(C$4:C98,""Farm_up""))*IF(COUNTIF(C$4:C98,""Super_up"")&gt;0,1+0.01*(COUNTIF(C$4:C98,""Grandma"")-COUNTIF(C$4:C98,""Sell_Grandma"")),1)+(COUNTIF(C$4:C98,""Mine"")-COUN"&amp;"TIF(C$4:C98,""Sell_Mine""))*((47*2^COUNTIF(C$4:C98,""Mine_up""))*IF(COUNTIF(C$4:C98,""Super_up"")&gt;1,1+0.005*(COUNTIF(C$4:C98,""Grandma"")-COUNTIF(C$4:C98,""Sell_Grandma"")),1))+(COUNTIF(C$4:C98,""Factory"")-COUNTIF(C$4:C98,""Sell_Factory""))*(260*2^COUNTI"&amp;"F(C$4:C98,""Factory_up""))))"),1519.6)</f>
        <v>1519.6</v>
      </c>
      <c r="F98" s="73">
        <f>IFERROR(__xludf.DUMMYFUNCTION("IF(COUNTA(C98:C147)=0,"""",IF(REGEXMATCH(INDEX(FILTER(C$4:C98,C$4:C98&lt;&gt;""""),ROWS(FILTER(C$4:C98,C$4:C98&lt;&gt;""""))),""^Sell_""),INDEX(FILTER(F$4:F97,C$4:C97&lt;&gt;""""),ROWS(FILTER(C$4:C97,C$4:C97&lt;&gt;""""))),$AC$5*(2^SWITCH(COUNTIF(C$4:C98,""Cursor_up""),0,0,1,1,2"&amp;",2,3)+SWITCH(COUNTIF(C$4:C98,""Cursor_up""),4,0.1,0)*(ROW(C98)-4-COUNTIF(C$4:C98,""Cursor"")-COUNTIF(C$4:C98,""*""&amp;""_up"")-2*COUNTIF(C$4:C98,""Sell_""&amp;""*"")+COUNTIF(C$4:C98,""Sell_Cursor"")-COUNTIF(C$4:C98,""""))+0.01*E98*COUNTIF(C$4:C98,""Plastic_up"")"&amp;")+E98))"),7158.799999999999)</f>
        <v>7158.8</v>
      </c>
      <c r="G98" s="14">
        <f>IFERROR(__xludf.DUMMYFUNCTION("IF(COUNTA(C98:C147)=0,"""",IF(REGEXMATCH(C98,""_up""),VLOOKUP(C98,Upgrades!$F$3:$J$8,1+COUNTIF(C$4:C98,C98),FALSE),IF(C98="""",0,IF(REGEXMATCH(C98,""^Sell_""),-ROUNDDOWN(ROUNDUP(INDEX(Upgrades!$C$3:$C$8,MATCH(SUBSTITUTE(C98,""Sell_"",""""),Upgrades!$B$3:$"&amp;"B$8,0))*1.15^(COUNTIF(C$4:C97,SUBSTITUTE(C98,""Sell_"",""""))-COUNTIF(C$4:C97,""Sell_""&amp;SUBSTITUTE(C98,""Sell_"",""""))))/4),ROUNDUP(INDEX(Upgrades!$C$3:$C$7,MATCH(C98,Upgrades!$B$3:$B$7,0))*1.15^(COUNTIF(C$4:C97,C98)-COUNTIF(C$4:C97,""Sell_""&amp;C98)))))))"),1314.0)</f>
        <v>1314</v>
      </c>
      <c r="H98" s="14">
        <f t="shared" si="3"/>
        <v>1314</v>
      </c>
      <c r="I98" s="75">
        <f t="shared" si="4"/>
        <v>20473045.21</v>
      </c>
      <c r="J98" s="76">
        <f t="shared" si="5"/>
        <v>170.4260755</v>
      </c>
      <c r="K98" s="71" t="str">
        <f t="shared" si="6"/>
        <v>2m 50s</v>
      </c>
      <c r="L98" s="77">
        <f t="shared" si="7"/>
        <v>504336</v>
      </c>
      <c r="M98" s="51">
        <f t="shared" si="8"/>
        <v>-0.42024</v>
      </c>
      <c r="N98" s="52">
        <f>IFERROR(__xludf.DUMMYFUNCTION("IFS(AND(COUNTA(C98:C147)=0,COUNTA(P98:P147)=0),"""",OR(AND(L98&gt;=1000000,OR(Y98&gt;=1000000,COUNTA(P98:P147)=0)),AND(Y98&gt;=1000000,COUNTA(C98:C147)=0),AND(COUNTA(P98:P147)=0,O$3=TRUE)),
ROUNDDOWN((AB$1-AC$1)*MAX(INDEX(S$4:S147,MATCH(LARGE(FILTER(Y$4:Y147,Y$4:Y"&amp;"147&lt;1000000),1),Y$4:Y147)),INDEX(F$4:F147,MATCH(LARGE(FILTER(L$4:L147,L$4:L147&lt;1000000),1),L$4:L147)))),AND(L98&lt;1000000,COUNTA(C98:C147)&gt;0,O$3=FALSE),
ROUNDDOWN(INDEX(Y$4:Y147,MATCH(LARGE(FILTER(W$4:W147,W$4:W147&lt;=J98),1),W$4:W147))+(J98-LARGE(FILTER(W$4:"&amp;"W147,W$4:W147&lt;=J98),1))*INDEX(S$4:S147,MATCH(LARGE(FILTER(W$4:W147,W$4:W147&lt;=J98),1),W$4:W147))-L98),1,
ROUNDDOWN(Y98-INDEX(L$4:L147,MATCH(LARGE(FILTER(J$4:J147,J$4:J147&lt;=W98),1),J$4:J147))-(W98-LARGE(FILTER(J$4:J147,J$4:J147&lt;=W98),1))*INDEX(F$4:F147,MATC"&amp;"H(LARGE(FILTER(J$4:J147,J$4:J147&lt;=W98),1),J$4:J147))))"),3001.0)</f>
        <v>3001</v>
      </c>
      <c r="O98" s="65">
        <f t="shared" si="9"/>
        <v>31</v>
      </c>
      <c r="P98" s="15" t="s">
        <v>13</v>
      </c>
      <c r="Q98" s="14" t="b">
        <f>IFERROR(__xludf.DUMMYFUNCTION("IF(COUNTA(P98:P147)=0,"""",IFERROR(IF(ISBLANK(P98),FALSE,IF(ISBLANK(T98),1,IF(NOT(COUNTIF($AA$24:$AA$34,SUBSTITUTE(P98,""Sell_"",""""))),1,IF(P98=""Plastic_up"",IF(V98&lt;1000,1),IF(P98=""Super_Up"",IF(OR(COUNTIF(P$4:P98,""Grandma"")-COUNTIF(P$4:P98,""Sell_G"&amp;"randma"")&lt;1,COUNTIF(P$4:P98,VLOOKUP(P98,Upgrades!$F$8:$N$8,7+COUNTIF(P$4:P98,P98)))-COUNTIF(P$4:P98,""Sell_""&amp;VLOOKUP(P98,Upgrades!$F$8:$N$8,7+COUNTIF(P$4:P98,P98)))&lt;15),1),IF(REGEXMATCH(P98,""_up""),IF(COUNTIF(P$4:P98,SUBSTITUTE(P98,""_up"",""""))&lt;IFERRO"&amp;"R(VLOOKUP(P98,Upgrades!$L$3:$P$6,1+COUNTIF(P$4:P98,P98),0),999),1),IF(REGEXMATCH(P98,""Sell_""),IF(COUNTIF(P$4:P98,SUBSTITUTE(P98,""Sell_"",""""))-COUNTIF(P$4:P97,P98)&lt;1,1),FALSE)))))))))"),FALSE)</f>
        <v>0</v>
      </c>
      <c r="R98" s="71">
        <f>IFERROR(__xludf.DUMMYFUNCTION("IF(REGEXMATCH(P98,""^Sell_""),R97, IF(COUNTA(P98:P147)=0,"""",(COUNTIF(P$4:P98,""Cursor"")-COUNTIF(P$4:P98,""Sell_Cursor""))*(0.1*2^SWITCH(COUNTIF(P$4:P98,""Cursor_up""),0,0,1,1,2,2,3)+SWITCH(COUNTIF(P$4:P98,""Cursor_up""),4,0.1,0)*(ROW(P98)-4-COUNTIF(P$4"&amp;":P98,""Cursor"")-COUNTIF(P$4:P98,""*""&amp;""_up"")-2*COUNTIF(P$4:P98,""Sell_""&amp;""*"")+COUNTIF(P$4:P98,""Sell_Cursor"")-COUNTIF(P$4:P98,"""")))+(COUNTIF(P$4:P98,""Grandma"")-COUNTIF(P$4:P98,""Sell_Grandma""))*(1*2^(COUNTIF(P$4:P98,""Grandma_up"")+COUNTIF(P$4:"&amp;"P98,""Super_up"")))+(COUNTIF(P$4:P98,""Farm"")-COUNTIF(P$4:P98,""Sell_Farm""))*(8*2^COUNTIF(P$4:P98,""Farm_up""))*IF(COUNTIF(P$4:P98,""Super_up"")&gt;0,1+0.01*(COUNTIF(P$4:P98,""Grandma"")-COUNTIF(P$4:P98,""Sell_Grandma"")),1)+(COUNTIF(P$4:P98,""Mine"")-COUN"&amp;"TIF(P$4:P98,""Sell_Mine""))*((47*2^COUNTIF(P$4:P98,""Mine_up""))*IF(COUNTIF(P$4:P98,""Super_up"")&gt;1,1+0.005*(COUNTIF(P$4:P98,""Grandma"")-COUNTIF(P$4:P98,""Sell_Grandma"")),1))+(COUNTIF(P$4:P98,""Factory"")-COUNTIF(P$4:P98,""Sell_Factory""))*(260*2^COUNTI"&amp;"F(P$4:P98,""Factory_up""))))"),1538.44)</f>
        <v>1538.44</v>
      </c>
      <c r="S98" s="73">
        <f>IFERROR(__xludf.DUMMYFUNCTION("IF(COUNTA(P98:P147)=0,"""",IF(REGEXMATCH(INDEX(FILTER(P$4:P98,P$4:P98&lt;&gt;""""),ROWS(FILTER(P$4:P98,P$4:P98&lt;&gt;""""))),""^Sell_""),INDEX(FILTER(S$4:S97,P$4:P97&lt;&gt;""""),ROWS(FILTER(P$4:P97,P$4:P97&lt;&gt;""""))),$AD$5*(2^SWITCH(COUNTIF(P$4:P98,""Cursor_up""),0,0,1,1,2"&amp;",2,3)+SWITCH(COUNTIF(P$4:P98,""Cursor_up""),4,0.1,0)*(ROW(P98)-4-COUNTIF(P$4:P98,""Cursor"")-COUNTIF(P$4:P98,""*""&amp;""_up"")-2*COUNTIF(P$4:P98,""Sell_""&amp;""*"")+COUNTIF(P$4:P98,""Sell_Cursor"")-COUNTIF(P$4:P98,""""))+0.01*R98*COUNTIF(P$4:P98,""Plastic_up"")"&amp;")+R98))"),7235.32)</f>
        <v>7235.32</v>
      </c>
      <c r="T98" s="14">
        <f>IFERROR(__xludf.DUMMYFUNCTION("IF(COUNTA(P98:P147)=0,"""",IF(REGEXMATCH(P98,""_up""),VLOOKUP(P98,Upgrades!$F$3:$J$8,1+COUNTIF(P$4:P98,P98),FALSE),IF(P98="""",0,IF(REGEXMATCH(P98,""^Sell_""),-ROUNDDOWN(ROUNDUP(INDEX(Upgrades!$C$3:$C$8,MATCH(SUBSTITUTE(P98,""Sell_"",""""),Upgrades!$B$3:$"&amp;"B$8,0))*1.15^(COUNTIF(P$4:P97,SUBSTITUTE(P98,""Sell_"",""""))-COUNTIF(P$4:P97,""Sell_""&amp;SUBSTITUTE(P98,""Sell_"",""""))))/4),ROUNDUP(INDEX(Upgrades!$C$3:$C$7,MATCH(P98,Upgrades!$B$3:$B$7,0))*1.15^(COUNTIF(P$4:P97,P98)-COUNTIF(P$4:P97,""Sell_""&amp;P98)))))))"),6622.0)</f>
        <v>6622</v>
      </c>
      <c r="U98" s="14">
        <f t="shared" si="10"/>
        <v>6622</v>
      </c>
      <c r="V98" s="75">
        <f t="shared" si="11"/>
        <v>23013779.39</v>
      </c>
      <c r="W98" s="76">
        <f t="shared" si="12"/>
        <v>170.7491021</v>
      </c>
      <c r="X98" s="71" t="str">
        <f t="shared" si="13"/>
        <v>2m 50s</v>
      </c>
      <c r="Y98" s="77">
        <f t="shared" si="14"/>
        <v>509644</v>
      </c>
      <c r="Z98" s="17"/>
      <c r="AA98" s="13"/>
      <c r="AB98" s="13"/>
      <c r="AC98" s="13"/>
      <c r="AD98" s="13"/>
      <c r="AE98" s="13"/>
      <c r="AF98" s="13"/>
      <c r="AG98" s="13"/>
    </row>
    <row r="99">
      <c r="A99" s="12"/>
      <c r="B99" s="65">
        <f t="shared" si="2"/>
        <v>34</v>
      </c>
      <c r="C99" s="66" t="s">
        <v>10</v>
      </c>
      <c r="D99" s="14" t="b">
        <f>IFERROR(__xludf.DUMMYFUNCTION("IF(COUNTA(C99:C147)=0,"""",IFERROR(IF(ISBLANK(C99),FALSE,IF(ISBLANK(G99),1,IF(NOT(COUNTIF($AA$24:$AA$34,SUBSTITUTE(C99,""Sell_"",""""))),1,IF(C99=""Plastic_up"",IF(I99&lt;1000,1),IF(C99=""Super_Up"",IF(OR(COUNTIF(C$4:C99,""Grandma"")-COUNTIF(C$4:C99,""Sell_G"&amp;"randma"")&lt;1,COUNTIF(C$4:C99,VLOOKUP(C99,Upgrades!$F$8:$N$8,7+COUNTIF(C$4:C99,C99)))-COUNTIF(C$4:C99,""Sell_""&amp;VLOOKUP(C99,Upgrades!$F$8:$N$8,7+COUNTIF(C$4:C99,C99)))&lt;15),1),IF(REGEXMATCH(C99,""_up""),IF(COUNTIF(C$4:C99,SUBSTITUTE(C99,""_up"",""""))&lt;IFERRO"&amp;"R(VLOOKUP(C99,Upgrades!$L$3:$P$6,1+COUNTIF(C$4:C99,C99),0),999),1),IF(REGEXMATCH(C99,""Sell_""),IF(COUNTIF(C$4:C99,SUBSTITUTE(C99,""Sell_"",""""))-COUNTIF(C$4:C98,C99)&lt;1,1),FALSE)))))))))"),FALSE)</f>
        <v>0</v>
      </c>
      <c r="E99" s="71">
        <f>IFERROR(__xludf.DUMMYFUNCTION("IF(REGEXMATCH(C99,""^Sell_""),E98, IF(COUNTA(C99:C147)=0,"""",(COUNTIF(C$4:C99,""Cursor"")-COUNTIF(C$4:C99,""Sell_Cursor""))*(0.1*2^SWITCH(COUNTIF(C$4:C99,""Cursor_up""),0,0,1,1,2,2,3)+SWITCH(COUNTIF(C$4:C99,""Cursor_up""),4,0.1,0)*(ROW(C99)-4-COUNTIF(C$4"&amp;":C99,""Cursor"")-COUNTIF(C$4:C99,""*""&amp;""_up"")-2*COUNTIF(C$4:C99,""Sell_""&amp;""*"")+COUNTIF(C$4:C99,""Sell_Cursor"")-COUNTIF(C$4:C99,"""")))+(COUNTIF(C$4:C99,""Grandma"")-COUNTIF(C$4:C99,""Sell_Grandma""))*(1*2^(COUNTIF(C$4:C99,""Grandma_up"")+COUNTIF(C$4:"&amp;"C99,""Super_up"")))+(COUNTIF(C$4:C99,""Farm"")-COUNTIF(C$4:C99,""Sell_Farm""))*(8*2^COUNTIF(C$4:C99,""Farm_up""))*IF(COUNTIF(C$4:C99,""Super_up"")&gt;0,1+0.01*(COUNTIF(C$4:C99,""Grandma"")-COUNTIF(C$4:C99,""Sell_Grandma"")),1)+(COUNTIF(C$4:C99,""Mine"")-COUN"&amp;"TIF(C$4:C99,""Sell_Mine""))*((47*2^COUNTIF(C$4:C99,""Mine_up""))*IF(COUNTIF(C$4:C99,""Super_up"")&gt;1,1+0.005*(COUNTIF(C$4:C99,""Grandma"")-COUNTIF(C$4:C99,""Sell_Grandma"")),1))+(COUNTIF(C$4:C99,""Factory"")-COUNTIF(C$4:C99,""Sell_Factory""))*(260*2^COUNTI"&amp;"F(C$4:C99,""Factory_up""))))"),1525.4)</f>
        <v>1525.4</v>
      </c>
      <c r="F99" s="73">
        <f>IFERROR(__xludf.DUMMYFUNCTION("IF(COUNTA(C99:C147)=0,"""",IF(REGEXMATCH(INDEX(FILTER(C$4:C99,C$4:C99&lt;&gt;""""),ROWS(FILTER(C$4:C99,C$4:C99&lt;&gt;""""))),""^Sell_""),INDEX(FILTER(F$4:F98,C$4:C98&lt;&gt;""""),ROWS(FILTER(C$4:C98,C$4:C98&lt;&gt;""""))),$AC$5*(2^SWITCH(COUNTIF(C$4:C99,""Cursor_up""),0,0,1,1,2"&amp;",2,3)+SWITCH(COUNTIF(C$4:C99,""Cursor_up""),4,0.1,0)*(ROW(C99)-4-COUNTIF(C$4:C99,""Cursor"")-COUNTIF(C$4:C99,""*""&amp;""_up"")-2*COUNTIF(C$4:C99,""Sell_""&amp;""*"")+COUNTIF(C$4:C99,""Sell_Cursor"")-COUNTIF(C$4:C99,""""))+0.01*E99*COUNTIF(C$4:C99,""Plastic_up"")"&amp;")+E99))"),7176.200000000001)</f>
        <v>7176.2</v>
      </c>
      <c r="G99" s="14">
        <f>IFERROR(__xludf.DUMMYFUNCTION("IF(COUNTA(C99:C147)=0,"""",IF(REGEXMATCH(C99,""_up""),VLOOKUP(C99,Upgrades!$F$3:$J$8,1+COUNTIF(C$4:C99,C99),FALSE),IF(C99="""",0,IF(REGEXMATCH(C99,""^Sell_""),-ROUNDDOWN(ROUNDUP(INDEX(Upgrades!$C$3:$C$8,MATCH(SUBSTITUTE(C99,""Sell_"",""""),Upgrades!$B$3:$"&amp;"B$8,0))*1.15^(COUNTIF(C$4:C98,SUBSTITUTE(C99,""Sell_"",""""))-COUNTIF(C$4:C98,""Sell_""&amp;SUBSTITUTE(C99,""Sell_"",""""))))/4),ROUNDUP(INDEX(Upgrades!$C$3:$C$7,MATCH(C99,Upgrades!$B$3:$B$7,0))*1.15^(COUNTIF(C$4:C98,C99)-COUNTIF(C$4:C98,""Sell_""&amp;C99)))))))"),1511.0)</f>
        <v>1511</v>
      </c>
      <c r="H99" s="14">
        <f t="shared" si="3"/>
        <v>1511</v>
      </c>
      <c r="I99" s="75">
        <f t="shared" si="4"/>
        <v>21435302.2</v>
      </c>
      <c r="J99" s="76">
        <f t="shared" si="5"/>
        <v>170.6371444</v>
      </c>
      <c r="K99" s="71" t="str">
        <f t="shared" si="6"/>
        <v>2m 50s</v>
      </c>
      <c r="L99" s="77">
        <f t="shared" si="7"/>
        <v>505847</v>
      </c>
      <c r="M99" s="51">
        <f t="shared" si="8"/>
        <v>-0.41973</v>
      </c>
      <c r="N99" s="52">
        <f>IFERROR(__xludf.DUMMYFUNCTION("IFS(AND(COUNTA(C99:C147)=0,COUNTA(P99:P147)=0),"""",OR(AND(L99&gt;=1000000,OR(Y99&gt;=1000000,COUNTA(P99:P147)=0)),AND(Y99&gt;=1000000,COUNTA(C99:C147)=0),AND(COUNTA(P99:P147)=0,O$3=TRUE)),
ROUNDDOWN((AB$1-AC$1)*MAX(INDEX(S$4:S147,MATCH(LARGE(FILTER(Y$4:Y147,Y$4:Y"&amp;"147&lt;1000000),1),Y$4:Y147)),INDEX(F$4:F147,MATCH(LARGE(FILTER(L$4:L147,L$4:L147&lt;1000000),1),L$4:L147)))),AND(L99&lt;1000000,COUNTA(C99:C147)&gt;0,O$3=FALSE),
ROUNDDOWN(INDEX(Y$4:Y147,MATCH(LARGE(FILTER(W$4:W147,W$4:W147&lt;=J99),1),W$4:W147))+(J99-LARGE(FILTER(W$4:"&amp;"W147,W$4:W147&lt;=J99),1))*INDEX(S$4:S147,MATCH(LARGE(FILTER(W$4:W147,W$4:W147&lt;=J99),1),W$4:W147))-L99),1,
ROUNDDOWN(Y99-INDEX(L$4:L147,MATCH(LARGE(FILTER(J$4:J147,J$4:J147&lt;=W99),1),J$4:J147))-(W99-LARGE(FILTER(J$4:J147,J$4:J147&lt;=W99),1))*INDEX(F$4:F147,MATC"&amp;"H(LARGE(FILTER(J$4:J147,J$4:J147&lt;=W99),1),J$4:J147))))"),2997.0)</f>
        <v>2997</v>
      </c>
      <c r="O99" s="65">
        <f t="shared" si="9"/>
        <v>33</v>
      </c>
      <c r="P99" s="15" t="s">
        <v>10</v>
      </c>
      <c r="Q99" s="14" t="b">
        <f>IFERROR(__xludf.DUMMYFUNCTION("IF(COUNTA(P99:P147)=0,"""",IFERROR(IF(ISBLANK(P99),FALSE,IF(ISBLANK(T99),1,IF(NOT(COUNTIF($AA$24:$AA$34,SUBSTITUTE(P99,""Sell_"",""""))),1,IF(P99=""Plastic_up"",IF(V99&lt;1000,1),IF(P99=""Super_Up"",IF(OR(COUNTIF(P$4:P99,""Grandma"")-COUNTIF(P$4:P99,""Sell_G"&amp;"randma"")&lt;1,COUNTIF(P$4:P99,VLOOKUP(P99,Upgrades!$F$8:$N$8,7+COUNTIF(P$4:P99,P99)))-COUNTIF(P$4:P99,""Sell_""&amp;VLOOKUP(P99,Upgrades!$F$8:$N$8,7+COUNTIF(P$4:P99,P99)))&lt;15),1),IF(REGEXMATCH(P99,""_up""),IF(COUNTIF(P$4:P99,SUBSTITUTE(P99,""_up"",""""))&lt;IFERRO"&amp;"R(VLOOKUP(P99,Upgrades!$L$3:$P$6,1+COUNTIF(P$4:P99,P99),0),999),1),IF(REGEXMATCH(P99,""Sell_""),IF(COUNTIF(P$4:P99,SUBSTITUTE(P99,""Sell_"",""""))-COUNTIF(P$4:P98,P99)&lt;1,1),FALSE)))))))))"),FALSE)</f>
        <v>0</v>
      </c>
      <c r="R99" s="71">
        <f>IFERROR(__xludf.DUMMYFUNCTION("IF(REGEXMATCH(P99,""^Sell_""),R98, IF(COUNTA(P99:P147)=0,"""",(COUNTIF(P$4:P99,""Cursor"")-COUNTIF(P$4:P99,""Sell_Cursor""))*(0.1*2^SWITCH(COUNTIF(P$4:P99,""Cursor_up""),0,0,1,1,2,2,3)+SWITCH(COUNTIF(P$4:P99,""Cursor_up""),4,0.1,0)*(ROW(P99)-4-COUNTIF(P$4"&amp;":P99,""Cursor"")-COUNTIF(P$4:P99,""*""&amp;""_up"")-2*COUNTIF(P$4:P99,""Sell_""&amp;""*"")+COUNTIF(P$4:P99,""Sell_Cursor"")-COUNTIF(P$4:P99,"""")))+(COUNTIF(P$4:P99,""Grandma"")-COUNTIF(P$4:P99,""Sell_Grandma""))*(1*2^(COUNTIF(P$4:P99,""Grandma_up"")+COUNTIF(P$4:"&amp;"P99,""Super_up"")))+(COUNTIF(P$4:P99,""Farm"")-COUNTIF(P$4:P99,""Sell_Farm""))*(8*2^COUNTIF(P$4:P99,""Farm_up""))*IF(COUNTIF(P$4:P99,""Super_up"")&gt;0,1+0.01*(COUNTIF(P$4:P99,""Grandma"")-COUNTIF(P$4:P99,""Sell_Grandma"")),1)+(COUNTIF(P$4:P99,""Mine"")-COUN"&amp;"TIF(P$4:P99,""Sell_Mine""))*((47*2^COUNTIF(P$4:P99,""Mine_up""))*IF(COUNTIF(P$4:P99,""Super_up"")&gt;1,1+0.005*(COUNTIF(P$4:P99,""Grandma"")-COUNTIF(P$4:P99,""Sell_Grandma"")),1))+(COUNTIF(P$4:P99,""Factory"")-COUNTIF(P$4:P99,""Sell_Factory""))*(260*2^COUNTI"&amp;"F(P$4:P99,""Factory_up""))))"),1544.3400000000001)</f>
        <v>1544.34</v>
      </c>
      <c r="S99" s="73">
        <f>IFERROR(__xludf.DUMMYFUNCTION("IF(COUNTA(P99:P147)=0,"""",IF(REGEXMATCH(INDEX(FILTER(P$4:P99,P$4:P99&lt;&gt;""""),ROWS(FILTER(P$4:P99,P$4:P99&lt;&gt;""""))),""^Sell_""),INDEX(FILTER(S$4:S98,P$4:P98&lt;&gt;""""),ROWS(FILTER(P$4:P98,P$4:P98&lt;&gt;""""))),$AD$5*(2^SWITCH(COUNTIF(P$4:P99,""Cursor_up""),0,0,1,1,2"&amp;",2,3)+SWITCH(COUNTIF(P$4:P99,""Cursor_up""),4,0.1,0)*(ROW(P99)-4-COUNTIF(P$4:P99,""Cursor"")-COUNTIF(P$4:P99,""*""&amp;""_up"")-2*COUNTIF(P$4:P99,""Sell_""&amp;""*"")+COUNTIF(P$4:P99,""Sell_Cursor"")-COUNTIF(P$4:P99,""""))+0.01*R99*COUNTIF(P$4:P99,""Plastic_up"")"&amp;")+R99))"),7253.020000000001)</f>
        <v>7253.02</v>
      </c>
      <c r="T99" s="14">
        <f>IFERROR(__xludf.DUMMYFUNCTION("IF(COUNTA(P99:P147)=0,"""",IF(REGEXMATCH(P99,""_up""),VLOOKUP(P99,Upgrades!$F$3:$J$8,1+COUNTIF(P$4:P99,P99),FALSE),IF(P99="""",0,IF(REGEXMATCH(P99,""^Sell_""),-ROUNDDOWN(ROUNDUP(INDEX(Upgrades!$C$3:$C$8,MATCH(SUBSTITUTE(P99,""Sell_"",""""),Upgrades!$B$3:$"&amp;"B$8,0))*1.15^(COUNTIF(P$4:P98,SUBSTITUTE(P99,""Sell_"",""""))-COUNTIF(P$4:P98,""Sell_""&amp;SUBSTITUTE(P99,""Sell_"",""""))))/4),ROUNDUP(INDEX(Upgrades!$C$3:$C$7,MATCH(P99,Upgrades!$B$3:$B$7,0))*1.15^(COUNTIF(P$4:P98,P99)-COUNTIF(P$4:P98,""Sell_""&amp;P99)))))))"),1314.0)</f>
        <v>1314</v>
      </c>
      <c r="U99" s="14">
        <f t="shared" si="10"/>
        <v>1314</v>
      </c>
      <c r="V99" s="75">
        <f t="shared" si="11"/>
        <v>23987551.13</v>
      </c>
      <c r="W99" s="76">
        <f t="shared" si="12"/>
        <v>170.9307112</v>
      </c>
      <c r="X99" s="71" t="str">
        <f t="shared" si="13"/>
        <v>2m 50s</v>
      </c>
      <c r="Y99" s="77">
        <f t="shared" si="14"/>
        <v>510958</v>
      </c>
      <c r="Z99" s="17"/>
      <c r="AA99" s="13"/>
      <c r="AB99" s="13"/>
      <c r="AC99" s="13"/>
      <c r="AD99" s="13"/>
      <c r="AE99" s="13"/>
      <c r="AF99" s="13"/>
      <c r="AG99" s="13"/>
    </row>
    <row r="100">
      <c r="A100" s="12"/>
      <c r="B100" s="65">
        <f t="shared" si="2"/>
        <v>35</v>
      </c>
      <c r="C100" s="66" t="s">
        <v>10</v>
      </c>
      <c r="D100" s="14" t="b">
        <f>IFERROR(__xludf.DUMMYFUNCTION("IF(COUNTA(C100:C147)=0,"""",IFERROR(IF(ISBLANK(C100),FALSE,IF(ISBLANK(G100),1,IF(NOT(COUNTIF($AA$24:$AA$34,SUBSTITUTE(C100,""Sell_"",""""))),1,IF(C100=""Plastic_up"",IF(I100&lt;1000,1),IF(C100=""Super_Up"",IF(OR(COUNTIF(C$4:C100,""Grandma"")-COUNTIF(C$4:C100"&amp;",""Sell_Grandma"")&lt;1,COUNTIF(C$4:C100,VLOOKUP(C100,Upgrades!$F$8:$N$8,7+COUNTIF(C$4:C100,C100)))-COUNTIF(C$4:C100,""Sell_""&amp;VLOOKUP(C100,Upgrades!$F$8:$N$8,7+COUNTIF(C$4:C100,C100)))&lt;15),1),IF(REGEXMATCH(C100,""_up""),IF(COUNTIF(C$4:C100,SUBSTITUTE(C100,"&amp;"""_up"",""""))&lt;IFERROR(VLOOKUP(C100,Upgrades!$L$3:$P$6,1+COUNTIF(C$4:C100,C100),0),999),1),IF(REGEXMATCH(C100,""Sell_""),IF(COUNTIF(C$4:C100,SUBSTITUTE(C100,""Sell_"",""""))-COUNTIF(C$4:C99,C100)&lt;1,1),FALSE)))))))))"),FALSE)</f>
        <v>0</v>
      </c>
      <c r="E100" s="71">
        <f>IFERROR(__xludf.DUMMYFUNCTION("IF(REGEXMATCH(C100,""^Sell_""),E99, IF(COUNTA(C100:C147)=0,"""",(COUNTIF(C$4:C100,""Cursor"")-COUNTIF(C$4:C100,""Sell_Cursor""))*(0.1*2^SWITCH(COUNTIF(C$4:C100,""Cursor_up""),0,0,1,1,2,2,3)+SWITCH(COUNTIF(C$4:C100,""Cursor_up""),4,0.1,0)*(ROW(C100)-4-COUN"&amp;"TIF(C$4:C100,""Cursor"")-COUNTIF(C$4:C100,""*""&amp;""_up"")-2*COUNTIF(C$4:C100,""Sell_""&amp;""*"")+COUNTIF(C$4:C100,""Sell_Cursor"")-COUNTIF(C$4:C100,"""")))+(COUNTIF(C$4:C100,""Grandma"")-COUNTIF(C$4:C100,""Sell_Grandma""))*(1*2^(COUNTIF(C$4:C100,""Grandma_up"&amp;""")+COUNTIF(C$4:C100,""Super_up"")))+(COUNTIF(C$4:C100,""Farm"")-COUNTIF(C$4:C100,""Sell_Farm""))*(8*2^COUNTIF(C$4:C100,""Farm_up""))*IF(COUNTIF(C$4:C100,""Super_up"")&gt;0,1+0.01*(COUNTIF(C$4:C100,""Grandma"")-COUNTIF(C$4:C100,""Sell_Grandma"")),1)+(COUNTIF"&amp;"(C$4:C100,""Mine"")-COUNTIF(C$4:C100,""Sell_Mine""))*((47*2^COUNTIF(C$4:C100,""Mine_up""))*IF(COUNTIF(C$4:C100,""Super_up"")&gt;1,1+0.005*(COUNTIF(C$4:C100,""Grandma"")-COUNTIF(C$4:C100,""Sell_Grandma"")),1))+(COUNTIF(C$4:C100,""Factory"")-COUNTIF(C$4:C100,"&amp;"""Sell_Factory""))*(260*2^COUNTIF(C$4:C100,""Factory_up""))))"),1531.2)</f>
        <v>1531.2</v>
      </c>
      <c r="F100" s="73">
        <f>IFERROR(__xludf.DUMMYFUNCTION("IF(COUNTA(C100:C147)=0,"""",IF(REGEXMATCH(INDEX(FILTER(C$4:C100,C$4:C100&lt;&gt;""""),ROWS(FILTER(C$4:C100,C$4:C100&lt;&gt;""""))),""^Sell_""),INDEX(FILTER(F$4:F99,C$4:C99&lt;&gt;""""),ROWS(FILTER(C$4:C99,C$4:C99&lt;&gt;""""))),$AC$5*(2^SWITCH(COUNTIF(C$4:C100,""Cursor_up""),0,0"&amp;",1,1,2,2,3)+SWITCH(COUNTIF(C$4:C100,""Cursor_up""),4,0.1,0)*(ROW(C100)-4-COUNTIF(C$4:C100,""Cursor"")-COUNTIF(C$4:C100,""*""&amp;""_up"")-2*COUNTIF(C$4:C100,""Sell_""&amp;""*"")+COUNTIF(C$4:C100,""Sell_Cursor"")-COUNTIF(C$4:C100,""""))+0.01*E100*COUNTIF(C$4:C100,"&amp;"""Plastic_up""))+E100))"),7193.6)</f>
        <v>7193.6</v>
      </c>
      <c r="G100" s="14">
        <f>IFERROR(__xludf.DUMMYFUNCTION("IF(COUNTA(C100:C147)=0,"""",IF(REGEXMATCH(C100,""_up""),VLOOKUP(C100,Upgrades!$F$3:$J$8,1+COUNTIF(C$4:C100,C100),FALSE),IF(C100="""",0,IF(REGEXMATCH(C100,""^Sell_""),-ROUNDDOWN(ROUNDUP(INDEX(Upgrades!$C$3:$C$8,MATCH(SUBSTITUTE(C100,""Sell_"",""""),Upgrade"&amp;"s!$B$3:$B$8,0))*1.15^(COUNTIF(C$4:C99,SUBSTITUTE(C100,""Sell_"",""""))-COUNTIF(C$4:C99,""Sell_""&amp;SUBSTITUTE(C100,""Sell_"",""""))))/4),ROUNDUP(INDEX(Upgrades!$C$3:$C$7,MATCH(C100,Upgrades!$B$3:$B$7,0))*1.15^(COUNTIF(C$4:C99,C100)-COUNTIF(C$4:C99,""Sell_"""&amp;"&amp;C100)))))))"),1738.0)</f>
        <v>1738</v>
      </c>
      <c r="H100" s="14">
        <f t="shared" si="3"/>
        <v>1738</v>
      </c>
      <c r="I100" s="75">
        <f t="shared" si="4"/>
        <v>22400907.14</v>
      </c>
      <c r="J100" s="76">
        <f t="shared" si="5"/>
        <v>170.8793339</v>
      </c>
      <c r="K100" s="71" t="str">
        <f t="shared" si="6"/>
        <v>2m 50s</v>
      </c>
      <c r="L100" s="77">
        <f t="shared" si="7"/>
        <v>507585</v>
      </c>
      <c r="M100" s="51">
        <f t="shared" si="8"/>
        <v>-0.41855</v>
      </c>
      <c r="N100" s="52">
        <f>IFERROR(__xludf.DUMMYFUNCTION("IFS(AND(COUNTA(C100:C147)=0,COUNTA(P100:P147)=0),"""",OR(AND(L100&gt;=1000000,OR(Y100&gt;=1000000,COUNTA(P100:P147)=0)),AND(Y100&gt;=1000000,COUNTA(C100:C147)=0),AND(COUNTA(P100:P147)=0,O$3=TRUE)),
ROUNDDOWN((AB$1-AC$1)*MAX(INDEX(S$4:S147,MATCH(LARGE(FILTER(Y$4:Y1"&amp;"47,Y$4:Y147&lt;1000000),1),Y$4:Y147)),INDEX(F$4:F147,MATCH(LARGE(FILTER(L$4:L147,L$4:L147&lt;1000000),1),L$4:L147)))),AND(L100&lt;1000000,COUNTA(C100:C147)&gt;0,O$3=FALSE),
ROUNDDOWN(INDEX(Y$4:Y147,MATCH(LARGE(FILTER(W$4:W147,W$4:W147&lt;=J100),1),W$4:W147))+(J100-LARGE"&amp;"(FILTER(W$4:W147,W$4:W147&lt;=J100),1))*INDEX(S$4:S147,MATCH(LARGE(FILTER(W$4:W147,W$4:W147&lt;=J100),1),W$4:W147))-L100),1,
ROUNDDOWN(Y100-INDEX(L$4:L147,MATCH(LARGE(FILTER(J$4:J147,J$4:J147&lt;=W100),1),J$4:J147))-(W100-LARGE(FILTER(J$4:J147,J$4:J147&lt;=W100),1))*"&amp;"INDEX(F$4:F147,MATCH(LARGE(FILTER(J$4:J147,J$4:J147&lt;=W100),1),J$4:J147))))"),3001.0)</f>
        <v>3001</v>
      </c>
      <c r="O100" s="65">
        <f t="shared" si="9"/>
        <v>18</v>
      </c>
      <c r="P100" s="15" t="s">
        <v>16</v>
      </c>
      <c r="Q100" s="14" t="b">
        <f>IFERROR(__xludf.DUMMYFUNCTION("IF(COUNTA(P100:P147)=0,"""",IFERROR(IF(ISBLANK(P100),FALSE,IF(ISBLANK(T100),1,IF(NOT(COUNTIF($AA$24:$AA$34,SUBSTITUTE(P100,""Sell_"",""""))),1,IF(P100=""Plastic_up"",IF(V100&lt;1000,1),IF(P100=""Super_Up"",IF(OR(COUNTIF(P$4:P100,""Grandma"")-COUNTIF(P$4:P100"&amp;",""Sell_Grandma"")&lt;1,COUNTIF(P$4:P100,VLOOKUP(P100,Upgrades!$F$8:$N$8,7+COUNTIF(P$4:P100,P100)))-COUNTIF(P$4:P100,""Sell_""&amp;VLOOKUP(P100,Upgrades!$F$8:$N$8,7+COUNTIF(P$4:P100,P100)))&lt;15),1),IF(REGEXMATCH(P100,""_up""),IF(COUNTIF(P$4:P100,SUBSTITUTE(P100,"&amp;"""_up"",""""))&lt;IFERROR(VLOOKUP(P100,Upgrades!$L$3:$P$6,1+COUNTIF(P$4:P100,P100),0),999),1),IF(REGEXMATCH(P100,""Sell_""),IF(COUNTIF(P$4:P100,SUBSTITUTE(P100,""Sell_"",""""))-COUNTIF(P$4:P99,P100)&lt;1,1),FALSE)))))))))"),FALSE)</f>
        <v>0</v>
      </c>
      <c r="R100" s="71">
        <f>IFERROR(__xludf.DUMMYFUNCTION("IF(REGEXMATCH(P100,""^Sell_""),R99, IF(COUNTA(P100:P147)=0,"""",(COUNTIF(P$4:P100,""Cursor"")-COUNTIF(P$4:P100,""Sell_Cursor""))*(0.1*2^SWITCH(COUNTIF(P$4:P100,""Cursor_up""),0,0,1,1,2,2,3)+SWITCH(COUNTIF(P$4:P100,""Cursor_up""),4,0.1,0)*(ROW(P100)-4-COUN"&amp;"TIF(P$4:P100,""Cursor"")-COUNTIF(P$4:P100,""*""&amp;""_up"")-2*COUNTIF(P$4:P100,""Sell_""&amp;""*"")+COUNTIF(P$4:P100,""Sell_Cursor"")-COUNTIF(P$4:P100,"""")))+(COUNTIF(P$4:P100,""Grandma"")-COUNTIF(P$4:P100,""Sell_Grandma""))*(1*2^(COUNTIF(P$4:P100,""Grandma_up"&amp;""")+COUNTIF(P$4:P100,""Super_up"")))+(COUNTIF(P$4:P100,""Farm"")-COUNTIF(P$4:P100,""Sell_Farm""))*(8*2^COUNTIF(P$4:P100,""Farm_up""))*IF(COUNTIF(P$4:P100,""Super_up"")&gt;0,1+0.01*(COUNTIF(P$4:P100,""Grandma"")-COUNTIF(P$4:P100,""Sell_Grandma"")),1)+(COUNTIF"&amp;"(P$4:P100,""Mine"")-COUNTIF(P$4:P100,""Sell_Mine""))*((47*2^COUNTIF(P$4:P100,""Mine_up""))*IF(COUNTIF(P$4:P100,""Super_up"")&gt;1,1+0.005*(COUNTIF(P$4:P100,""Grandma"")-COUNTIF(P$4:P100,""Sell_Grandma"")),1))+(COUNTIF(P$4:P100,""Factory"")-COUNTIF(P$4:P100,"&amp;"""Sell_Factory""))*(260*2^COUNTIF(P$4:P100,""Factory_up""))))"),1589.56)</f>
        <v>1589.56</v>
      </c>
      <c r="S100" s="73">
        <f>IFERROR(__xludf.DUMMYFUNCTION("IF(COUNTA(P100:P147)=0,"""",IF(REGEXMATCH(INDEX(FILTER(P$4:P100,P$4:P100&lt;&gt;""""),ROWS(FILTER(P$4:P100,P$4:P100&lt;&gt;""""))),""^Sell_""),INDEX(FILTER(S$4:S99,P$4:P99&lt;&gt;""""),ROWS(FILTER(P$4:P99,P$4:P99&lt;&gt;""""))),$AD$5*(2^SWITCH(COUNTIF(P$4:P100,""Cursor_up""),0,0"&amp;",1,1,2,2,3)+SWITCH(COUNTIF(P$4:P100,""Cursor_up""),4,0.1,0)*(ROW(P100)-4-COUNTIF(P$4:P100,""Cursor"")-COUNTIF(P$4:P100,""*""&amp;""_up"")-2*COUNTIF(P$4:P100,""Sell_""&amp;""*"")+COUNTIF(P$4:P100,""Sell_Cursor"")-COUNTIF(P$4:P100,""""))+0.01*R100*COUNTIF(P$4:P100,"&amp;"""Plastic_up""))+R100))"),7408.68)</f>
        <v>7408.68</v>
      </c>
      <c r="T100" s="14">
        <f>IFERROR(__xludf.DUMMYFUNCTION("IF(COUNTA(P100:P147)=0,"""",IF(REGEXMATCH(P100,""_up""),VLOOKUP(P100,Upgrades!$F$3:$J$8,1+COUNTIF(P$4:P100,P100),FALSE),IF(P100="""",0,IF(REGEXMATCH(P100,""^Sell_""),-ROUNDDOWN(ROUNDUP(INDEX(Upgrades!$C$3:$C$8,MATCH(SUBSTITUTE(P100,""Sell_"",""""),Upgrade"&amp;"s!$B$3:$B$8,0))*1.15^(COUNTIF(P$4:P99,SUBSTITUTE(P100,""Sell_"",""""))-COUNTIF(P$4:P99,""Sell_""&amp;SUBSTITUTE(P100,""Sell_"",""""))))/4),ROUNDUP(INDEX(Upgrades!$C$3:$C$7,MATCH(P100,Upgrades!$B$3:$B$7,0))*1.15^(COUNTIF(P$4:P99,P100)-COUNTIF(P$4:P99,""Sell_"""&amp;"&amp;P100)))))))"),11838.0)</f>
        <v>11838</v>
      </c>
      <c r="U100" s="14">
        <f t="shared" si="10"/>
        <v>11838</v>
      </c>
      <c r="V100" s="75">
        <f t="shared" si="11"/>
        <v>24972657.28</v>
      </c>
      <c r="W100" s="76">
        <f t="shared" si="12"/>
        <v>172.5628589</v>
      </c>
      <c r="X100" s="71" t="str">
        <f t="shared" si="13"/>
        <v>2m 52s</v>
      </c>
      <c r="Y100" s="77">
        <f t="shared" si="14"/>
        <v>522796</v>
      </c>
      <c r="Z100" s="17"/>
      <c r="AA100" s="13"/>
      <c r="AB100" s="13"/>
      <c r="AC100" s="13"/>
      <c r="AD100" s="13"/>
      <c r="AE100" s="13"/>
      <c r="AF100" s="13"/>
      <c r="AG100" s="13"/>
    </row>
    <row r="101">
      <c r="A101" s="12"/>
      <c r="B101" s="65">
        <f t="shared" si="2"/>
        <v>36</v>
      </c>
      <c r="C101" s="66" t="s">
        <v>10</v>
      </c>
      <c r="D101" s="14" t="b">
        <f>IFERROR(__xludf.DUMMYFUNCTION("IF(COUNTA(C101:C147)=0,"""",IFERROR(IF(ISBLANK(C101),FALSE,IF(ISBLANK(G101),1,IF(NOT(COUNTIF($AA$24:$AA$34,SUBSTITUTE(C101,""Sell_"",""""))),1,IF(C101=""Plastic_up"",IF(I101&lt;1000,1),IF(C101=""Super_Up"",IF(OR(COUNTIF(C$4:C101,""Grandma"")-COUNTIF(C$4:C101"&amp;",""Sell_Grandma"")&lt;1,COUNTIF(C$4:C101,VLOOKUP(C101,Upgrades!$F$8:$N$8,7+COUNTIF(C$4:C101,C101)))-COUNTIF(C$4:C101,""Sell_""&amp;VLOOKUP(C101,Upgrades!$F$8:$N$8,7+COUNTIF(C$4:C101,C101)))&lt;15),1),IF(REGEXMATCH(C101,""_up""),IF(COUNTIF(C$4:C101,SUBSTITUTE(C101,"&amp;"""_up"",""""))&lt;IFERROR(VLOOKUP(C101,Upgrades!$L$3:$P$6,1+COUNTIF(C$4:C101,C101),0),999),1),IF(REGEXMATCH(C101,""Sell_""),IF(COUNTIF(C$4:C101,SUBSTITUTE(C101,""Sell_"",""""))-COUNTIF(C$4:C100,C101)&lt;1,1),FALSE)))))))))"),FALSE)</f>
        <v>0</v>
      </c>
      <c r="E101" s="71">
        <f>IFERROR(__xludf.DUMMYFUNCTION("IF(REGEXMATCH(C101,""^Sell_""),E100, IF(COUNTA(C101:C147)=0,"""",(COUNTIF(C$4:C101,""Cursor"")-COUNTIF(C$4:C101,""Sell_Cursor""))*(0.1*2^SWITCH(COUNTIF(C$4:C101,""Cursor_up""),0,0,1,1,2,2,3)+SWITCH(COUNTIF(C$4:C101,""Cursor_up""),4,0.1,0)*(ROW(C101)-4-COU"&amp;"NTIF(C$4:C101,""Cursor"")-COUNTIF(C$4:C101,""*""&amp;""_up"")-2*COUNTIF(C$4:C101,""Sell_""&amp;""*"")+COUNTIF(C$4:C101,""Sell_Cursor"")-COUNTIF(C$4:C101,"""")))+(COUNTIF(C$4:C101,""Grandma"")-COUNTIF(C$4:C101,""Sell_Grandma""))*(1*2^(COUNTIF(C$4:C101,""Grandma_up"&amp;""")+COUNTIF(C$4:C101,""Super_up"")))+(COUNTIF(C$4:C101,""Farm"")-COUNTIF(C$4:C101,""Sell_Farm""))*(8*2^COUNTIF(C$4:C101,""Farm_up""))*IF(COUNTIF(C$4:C101,""Super_up"")&gt;0,1+0.01*(COUNTIF(C$4:C101,""Grandma"")-COUNTIF(C$4:C101,""Sell_Grandma"")),1)+(COUNTIF"&amp;"(C$4:C101,""Mine"")-COUNTIF(C$4:C101,""Sell_Mine""))*((47*2^COUNTIF(C$4:C101,""Mine_up""))*IF(COUNTIF(C$4:C101,""Super_up"")&gt;1,1+0.005*(COUNTIF(C$4:C101,""Grandma"")-COUNTIF(C$4:C101,""Sell_Grandma"")),1))+(COUNTIF(C$4:C101,""Factory"")-COUNTIF(C$4:C101,"&amp;"""Sell_Factory""))*(260*2^COUNTIF(C$4:C101,""Factory_up""))))"),1537.0)</f>
        <v>1537</v>
      </c>
      <c r="F101" s="73">
        <f>IFERROR(__xludf.DUMMYFUNCTION("IF(COUNTA(C101:C147)=0,"""",IF(REGEXMATCH(INDEX(FILTER(C$4:C101,C$4:C101&lt;&gt;""""),ROWS(FILTER(C$4:C101,C$4:C101&lt;&gt;""""))),""^Sell_""),INDEX(FILTER(F$4:F100,C$4:C100&lt;&gt;""""),ROWS(FILTER(C$4:C100,C$4:C100&lt;&gt;""""))),$AC$5*(2^SWITCH(COUNTIF(C$4:C101,""Cursor_up"")"&amp;",0,0,1,1,2,2,3)+SWITCH(COUNTIF(C$4:C101,""Cursor_up""),4,0.1,0)*(ROW(C101)-4-COUNTIF(C$4:C101,""Cursor"")-COUNTIF(C$4:C101,""*""&amp;""_up"")-2*COUNTIF(C$4:C101,""Sell_""&amp;""*"")+COUNTIF(C$4:C101,""Sell_Cursor"")-COUNTIF(C$4:C101,""""))+0.01*E101*COUNTIF(C$4:C"&amp;"101,""Plastic_up""))+E101))"),7211.0)</f>
        <v>7211</v>
      </c>
      <c r="G101" s="14">
        <f>IFERROR(__xludf.DUMMYFUNCTION("IF(COUNTA(C101:C147)=0,"""",IF(REGEXMATCH(C101,""_up""),VLOOKUP(C101,Upgrades!$F$3:$J$8,1+COUNTIF(C$4:C101,C101),FALSE),IF(C101="""",0,IF(REGEXMATCH(C101,""^Sell_""),-ROUNDDOWN(ROUNDUP(INDEX(Upgrades!$C$3:$C$8,MATCH(SUBSTITUTE(C101,""Sell_"",""""),Upgrade"&amp;"s!$B$3:$B$8,0))*1.15^(COUNTIF(C$4:C100,SUBSTITUTE(C101,""Sell_"",""""))-COUNTIF(C$4:C100,""Sell_""&amp;SUBSTITUTE(C101,""Sell_"",""""))))/4),ROUNDUP(INDEX(Upgrades!$C$3:$C$7,MATCH(C101,Upgrades!$B$3:$B$7,0))*1.15^(COUNTIF(C$4:C100,C101)-COUNTIF(C$4:C100,""Sel"&amp;"l_""&amp;C101)))))))"),1998.0)</f>
        <v>1998</v>
      </c>
      <c r="H101" s="14">
        <f t="shared" si="3"/>
        <v>1998</v>
      </c>
      <c r="I101" s="75">
        <f t="shared" si="4"/>
        <v>23370066.99</v>
      </c>
      <c r="J101" s="76">
        <f t="shared" si="5"/>
        <v>171.1570808</v>
      </c>
      <c r="K101" s="71" t="str">
        <f t="shared" si="6"/>
        <v>2m 51s</v>
      </c>
      <c r="L101" s="77">
        <f t="shared" si="7"/>
        <v>509583</v>
      </c>
      <c r="M101" s="51">
        <f t="shared" si="8"/>
        <v>-0.41652</v>
      </c>
      <c r="N101" s="52">
        <f>IFERROR(__xludf.DUMMYFUNCTION("IFS(AND(COUNTA(C101:C147)=0,COUNTA(P101:P147)=0),"""",OR(AND(L101&gt;=1000000,OR(Y101&gt;=1000000,COUNTA(P101:P147)=0)),AND(Y101&gt;=1000000,COUNTA(C101:C147)=0),AND(COUNTA(P101:P147)=0,O$3=TRUE)),
ROUNDDOWN((AB$1-AC$1)*MAX(INDEX(S$4:S147,MATCH(LARGE(FILTER(Y$4:Y1"&amp;"47,Y$4:Y147&lt;1000000),1),Y$4:Y147)),INDEX(F$4:F147,MATCH(LARGE(FILTER(L$4:L147,L$4:L147&lt;1000000),1),L$4:L147)))),AND(L101&lt;1000000,COUNTA(C101:C147)&gt;0,O$3=FALSE),
ROUNDDOWN(INDEX(Y$4:Y147,MATCH(LARGE(FILTER(W$4:W147,W$4:W147&lt;=J101),1),W$4:W147))+(J101-LARGE"&amp;"(FILTER(W$4:W147,W$4:W147&lt;=J101),1))*INDEX(S$4:S147,MATCH(LARGE(FILTER(W$4:W147,W$4:W147&lt;=J101),1),W$4:W147))-L101),1,
ROUNDDOWN(Y101-INDEX(L$4:L147,MATCH(LARGE(FILTER(J$4:J147,J$4:J147&lt;=W101),1),J$4:J147))-(W101-LARGE(FILTER(J$4:J147,J$4:J147&lt;=W101),1))*"&amp;"INDEX(F$4:F147,MATCH(LARGE(FILTER(J$4:J147,J$4:J147&lt;=W101),1),J$4:J147))))"),3016.0)</f>
        <v>3016</v>
      </c>
      <c r="O101" s="65">
        <f t="shared" si="9"/>
        <v>32</v>
      </c>
      <c r="P101" s="15" t="s">
        <v>13</v>
      </c>
      <c r="Q101" s="14" t="b">
        <f>IFERROR(__xludf.DUMMYFUNCTION("IF(COUNTA(P101:P147)=0,"""",IFERROR(IF(ISBLANK(P101),FALSE,IF(ISBLANK(T101),1,IF(NOT(COUNTIF($AA$24:$AA$34,SUBSTITUTE(P101,""Sell_"",""""))),1,IF(P101=""Plastic_up"",IF(V101&lt;1000,1),IF(P101=""Super_Up"",IF(OR(COUNTIF(P$4:P101,""Grandma"")-COUNTIF(P$4:P101"&amp;",""Sell_Grandma"")&lt;1,COUNTIF(P$4:P101,VLOOKUP(P101,Upgrades!$F$8:$N$8,7+COUNTIF(P$4:P101,P101)))-COUNTIF(P$4:P101,""Sell_""&amp;VLOOKUP(P101,Upgrades!$F$8:$N$8,7+COUNTIF(P$4:P101,P101)))&lt;15),1),IF(REGEXMATCH(P101,""_up""),IF(COUNTIF(P$4:P101,SUBSTITUTE(P101,"&amp;"""_up"",""""))&lt;IFERROR(VLOOKUP(P101,Upgrades!$L$3:$P$6,1+COUNTIF(P$4:P101,P101),0),999),1),IF(REGEXMATCH(P101,""Sell_""),IF(COUNTIF(P$4:P101,SUBSTITUTE(P101,""Sell_"",""""))-COUNTIF(P$4:P100,P101)&lt;1,1),FALSE)))))))))"),FALSE)</f>
        <v>0</v>
      </c>
      <c r="R101" s="71">
        <f>IFERROR(__xludf.DUMMYFUNCTION("IF(REGEXMATCH(P101,""^Sell_""),R100, IF(COUNTA(P101:P147)=0,"""",(COUNTIF(P$4:P101,""Cursor"")-COUNTIF(P$4:P101,""Sell_Cursor""))*(0.1*2^SWITCH(COUNTIF(P$4:P101,""Cursor_up""),0,0,1,1,2,2,3)+SWITCH(COUNTIF(P$4:P101,""Cursor_up""),4,0.1,0)*(ROW(P101)-4-COU"&amp;"NTIF(P$4:P101,""Cursor"")-COUNTIF(P$4:P101,""*""&amp;""_up"")-2*COUNTIF(P$4:P101,""Sell_""&amp;""*"")+COUNTIF(P$4:P101,""Sell_Cursor"")-COUNTIF(P$4:P101,"""")))+(COUNTIF(P$4:P101,""Grandma"")-COUNTIF(P$4:P101,""Sell_Grandma""))*(1*2^(COUNTIF(P$4:P101,""Grandma_up"&amp;""")+COUNTIF(P$4:P101,""Super_up"")))+(COUNTIF(P$4:P101,""Farm"")-COUNTIF(P$4:P101,""Sell_Farm""))*(8*2^COUNTIF(P$4:P101,""Farm_up""))*IF(COUNTIF(P$4:P101,""Super_up"")&gt;0,1+0.01*(COUNTIF(P$4:P101,""Grandma"")-COUNTIF(P$4:P101,""Sell_Grandma"")),1)+(COUNTIF"&amp;"(P$4:P101,""Mine"")-COUNTIF(P$4:P101,""Sell_Mine""))*((47*2^COUNTIF(P$4:P101,""Mine_up""))*IF(COUNTIF(P$4:P101,""Super_up"")&gt;1,1+0.005*(COUNTIF(P$4:P101,""Grandma"")-COUNTIF(P$4:P101,""Sell_Grandma"")),1))+(COUNTIF(P$4:P101,""Factory"")-COUNTIF(P$4:P101,"&amp;"""Sell_Factory""))*(260*2^COUNTIF(P$4:P101,""Factory_up""))))"),1614.62)</f>
        <v>1614.62</v>
      </c>
      <c r="S101" s="73">
        <f>IFERROR(__xludf.DUMMYFUNCTION("IF(COUNTA(P101:P147)=0,"""",IF(REGEXMATCH(INDEX(FILTER(P$4:P101,P$4:P101&lt;&gt;""""),ROWS(FILTER(P$4:P101,P$4:P101&lt;&gt;""""))),""^Sell_""),INDEX(FILTER(S$4:S100,P$4:P100&lt;&gt;""""),ROWS(FILTER(P$4:P100,P$4:P100&lt;&gt;""""))),$AD$5*(2^SWITCH(COUNTIF(P$4:P101,""Cursor_up"")"&amp;",0,0,1,1,2,2,3)+SWITCH(COUNTIF(P$4:P101,""Cursor_up""),4,0.1,0)*(ROW(P101)-4-COUNTIF(P$4:P101,""Cursor"")-COUNTIF(P$4:P101,""*""&amp;""_up"")-2*COUNTIF(P$4:P101,""Sell_""&amp;""*"")+COUNTIF(P$4:P101,""Sell_Cursor"")-COUNTIF(P$4:P101,""""))+0.01*R101*COUNTIF(P$4:P"&amp;"101,""Plastic_up""))+R101))"),7503.86)</f>
        <v>7503.86</v>
      </c>
      <c r="T101" s="14">
        <f>IFERROR(__xludf.DUMMYFUNCTION("IF(COUNTA(P101:P147)=0,"""",IF(REGEXMATCH(P101,""_up""),VLOOKUP(P101,Upgrades!$F$3:$J$8,1+COUNTIF(P$4:P101,P101),FALSE),IF(P101="""",0,IF(REGEXMATCH(P101,""^Sell_""),-ROUNDDOWN(ROUNDUP(INDEX(Upgrades!$C$3:$C$8,MATCH(SUBSTITUTE(P101,""Sell_"",""""),Upgrade"&amp;"s!$B$3:$B$8,0))*1.15^(COUNTIF(P$4:P100,SUBSTITUTE(P101,""Sell_"",""""))-COUNTIF(P$4:P100,""Sell_""&amp;SUBSTITUTE(P101,""Sell_"",""""))))/4),ROUNDUP(INDEX(Upgrades!$C$3:$C$7,MATCH(P101,Upgrades!$B$3:$B$7,0))*1.15^(COUNTIF(P$4:P100,P101)-COUNTIF(P$4:P100,""Sel"&amp;"l_""&amp;P101)))))))"),7615.0)</f>
        <v>7615</v>
      </c>
      <c r="U101" s="14">
        <f t="shared" si="10"/>
        <v>7615</v>
      </c>
      <c r="V101" s="75">
        <f t="shared" si="11"/>
        <v>25982802.43</v>
      </c>
      <c r="W101" s="76">
        <f t="shared" si="12"/>
        <v>173.5907073</v>
      </c>
      <c r="X101" s="71" t="str">
        <f t="shared" si="13"/>
        <v>2m 53s</v>
      </c>
      <c r="Y101" s="77">
        <f t="shared" si="14"/>
        <v>530411</v>
      </c>
      <c r="Z101" s="17"/>
      <c r="AA101" s="13"/>
      <c r="AB101" s="13"/>
      <c r="AC101" s="13"/>
      <c r="AD101" s="13"/>
      <c r="AE101" s="13"/>
      <c r="AF101" s="13"/>
      <c r="AG101" s="13"/>
    </row>
    <row r="102">
      <c r="A102" s="12"/>
      <c r="B102" s="65">
        <f t="shared" si="2"/>
        <v>37</v>
      </c>
      <c r="C102" s="66" t="s">
        <v>10</v>
      </c>
      <c r="D102" s="14" t="b">
        <f>IFERROR(__xludf.DUMMYFUNCTION("IF(COUNTA(C102:C147)=0,"""",IFERROR(IF(ISBLANK(C102),FALSE,IF(ISBLANK(G102),1,IF(NOT(COUNTIF($AA$24:$AA$34,SUBSTITUTE(C102,""Sell_"",""""))),1,IF(C102=""Plastic_up"",IF(I102&lt;1000,1),IF(C102=""Super_Up"",IF(OR(COUNTIF(C$4:C102,""Grandma"")-COUNTIF(C$4:C102"&amp;",""Sell_Grandma"")&lt;1,COUNTIF(C$4:C102,VLOOKUP(C102,Upgrades!$F$8:$N$8,7+COUNTIF(C$4:C102,C102)))-COUNTIF(C$4:C102,""Sell_""&amp;VLOOKUP(C102,Upgrades!$F$8:$N$8,7+COUNTIF(C$4:C102,C102)))&lt;15),1),IF(REGEXMATCH(C102,""_up""),IF(COUNTIF(C$4:C102,SUBSTITUTE(C102,"&amp;"""_up"",""""))&lt;IFERROR(VLOOKUP(C102,Upgrades!$L$3:$P$6,1+COUNTIF(C$4:C102,C102),0),999),1),IF(REGEXMATCH(C102,""Sell_""),IF(COUNTIF(C$4:C102,SUBSTITUTE(C102,""Sell_"",""""))-COUNTIF(C$4:C101,C102)&lt;1,1),FALSE)))))))))"),FALSE)</f>
        <v>0</v>
      </c>
      <c r="E102" s="71">
        <f>IFERROR(__xludf.DUMMYFUNCTION("IF(REGEXMATCH(C102,""^Sell_""),E101, IF(COUNTA(C102:C147)=0,"""",(COUNTIF(C$4:C102,""Cursor"")-COUNTIF(C$4:C102,""Sell_Cursor""))*(0.1*2^SWITCH(COUNTIF(C$4:C102,""Cursor_up""),0,0,1,1,2,2,3)+SWITCH(COUNTIF(C$4:C102,""Cursor_up""),4,0.1,0)*(ROW(C102)-4-COU"&amp;"NTIF(C$4:C102,""Cursor"")-COUNTIF(C$4:C102,""*""&amp;""_up"")-2*COUNTIF(C$4:C102,""Sell_""&amp;""*"")+COUNTIF(C$4:C102,""Sell_Cursor"")-COUNTIF(C$4:C102,"""")))+(COUNTIF(C$4:C102,""Grandma"")-COUNTIF(C$4:C102,""Sell_Grandma""))*(1*2^(COUNTIF(C$4:C102,""Grandma_up"&amp;""")+COUNTIF(C$4:C102,""Super_up"")))+(COUNTIF(C$4:C102,""Farm"")-COUNTIF(C$4:C102,""Sell_Farm""))*(8*2^COUNTIF(C$4:C102,""Farm_up""))*IF(COUNTIF(C$4:C102,""Super_up"")&gt;0,1+0.01*(COUNTIF(C$4:C102,""Grandma"")-COUNTIF(C$4:C102,""Sell_Grandma"")),1)+(COUNTIF"&amp;"(C$4:C102,""Mine"")-COUNTIF(C$4:C102,""Sell_Mine""))*((47*2^COUNTIF(C$4:C102,""Mine_up""))*IF(COUNTIF(C$4:C102,""Super_up"")&gt;1,1+0.005*(COUNTIF(C$4:C102,""Grandma"")-COUNTIF(C$4:C102,""Sell_Grandma"")),1))+(COUNTIF(C$4:C102,""Factory"")-COUNTIF(C$4:C102,"&amp;"""Sell_Factory""))*(260*2^COUNTIF(C$4:C102,""Factory_up""))))"),1542.8000000000002)</f>
        <v>1542.8</v>
      </c>
      <c r="F102" s="73">
        <f>IFERROR(__xludf.DUMMYFUNCTION("IF(COUNTA(C102:C147)=0,"""",IF(REGEXMATCH(INDEX(FILTER(C$4:C102,C$4:C102&lt;&gt;""""),ROWS(FILTER(C$4:C102,C$4:C102&lt;&gt;""""))),""^Sell_""),INDEX(FILTER(F$4:F101,C$4:C101&lt;&gt;""""),ROWS(FILTER(C$4:C101,C$4:C101&lt;&gt;""""))),$AC$5*(2^SWITCH(COUNTIF(C$4:C102,""Cursor_up"")"&amp;",0,0,1,1,2,2,3)+SWITCH(COUNTIF(C$4:C102,""Cursor_up""),4,0.1,0)*(ROW(C102)-4-COUNTIF(C$4:C102,""Cursor"")-COUNTIF(C$4:C102,""*""&amp;""_up"")-2*COUNTIF(C$4:C102,""Sell_""&amp;""*"")+COUNTIF(C$4:C102,""Sell_Cursor"")-COUNTIF(C$4:C102,""""))+0.01*E102*COUNTIF(C$4:C"&amp;"102,""Plastic_up""))+E102))"),7228.4000000000015)</f>
        <v>7228.4</v>
      </c>
      <c r="G102" s="14">
        <f>IFERROR(__xludf.DUMMYFUNCTION("IF(COUNTA(C102:C147)=0,"""",IF(REGEXMATCH(C102,""_up""),VLOOKUP(C102,Upgrades!$F$3:$J$8,1+COUNTIF(C$4:C102,C102),FALSE),IF(C102="""",0,IF(REGEXMATCH(C102,""^Sell_""),-ROUNDDOWN(ROUNDUP(INDEX(Upgrades!$C$3:$C$8,MATCH(SUBSTITUTE(C102,""Sell_"",""""),Upgrade"&amp;"s!$B$3:$B$8,0))*1.15^(COUNTIF(C$4:C101,SUBSTITUTE(C102,""Sell_"",""""))-COUNTIF(C$4:C101,""Sell_""&amp;SUBSTITUTE(C102,""Sell_"",""""))))/4),ROUNDUP(INDEX(Upgrades!$C$3:$C$7,MATCH(C102,Upgrades!$B$3:$B$7,0))*1.15^(COUNTIF(C$4:C101,C102)-COUNTIF(C$4:C101,""Sel"&amp;"l_""&amp;C102)))))))"),2298.0)</f>
        <v>2298</v>
      </c>
      <c r="H102" s="14">
        <f t="shared" si="3"/>
        <v>2298</v>
      </c>
      <c r="I102" s="75">
        <f t="shared" si="4"/>
        <v>24343020.46</v>
      </c>
      <c r="J102" s="76">
        <f t="shared" si="5"/>
        <v>171.4757606</v>
      </c>
      <c r="K102" s="71" t="str">
        <f t="shared" si="6"/>
        <v>2m 51s</v>
      </c>
      <c r="L102" s="77">
        <f t="shared" si="7"/>
        <v>511881</v>
      </c>
      <c r="M102" s="51">
        <f t="shared" si="8"/>
        <v>-0.41779</v>
      </c>
      <c r="N102" s="52">
        <f>IFERROR(__xludf.DUMMYFUNCTION("IFS(AND(COUNTA(C102:C147)=0,COUNTA(P102:P147)=0),"""",OR(AND(L102&gt;=1000000,OR(Y102&gt;=1000000,COUNTA(P102:P147)=0)),AND(Y102&gt;=1000000,COUNTA(C102:C147)=0),AND(COUNTA(P102:P147)=0,O$3=TRUE)),
ROUNDDOWN((AB$1-AC$1)*MAX(INDEX(S$4:S147,MATCH(LARGE(FILTER(Y$4:Y1"&amp;"47,Y$4:Y147&lt;1000000),1),Y$4:Y147)),INDEX(F$4:F147,MATCH(LARGE(FILTER(L$4:L147,L$4:L147&lt;1000000),1),L$4:L147)))),AND(L102&lt;1000000,COUNTA(C102:C147)&gt;0,O$3=FALSE),
ROUNDDOWN(INDEX(Y$4:Y147,MATCH(LARGE(FILTER(W$4:W147,W$4:W147&lt;=J102),1),W$4:W147))+(J102-LARGE"&amp;"(FILTER(W$4:W147,W$4:W147&lt;=J102),1))*INDEX(S$4:S147,MATCH(LARGE(FILTER(W$4:W147,W$4:W147&lt;=J102),1),W$4:W147))-L102),1,
ROUNDDOWN(Y102-INDEX(L$4:L147,MATCH(LARGE(FILTER(J$4:J147,J$4:J147&lt;=W102),1),J$4:J147))-(W102-LARGE(FILTER(J$4:J147,J$4:J147&lt;=W102),1))*"&amp;"INDEX(F$4:F147,MATCH(LARGE(FILTER(J$4:J147,J$4:J147&lt;=W102),1),J$4:J147))))"),3030.0)</f>
        <v>3030</v>
      </c>
      <c r="O102" s="65">
        <f t="shared" si="9"/>
        <v>34</v>
      </c>
      <c r="P102" s="15" t="s">
        <v>10</v>
      </c>
      <c r="Q102" s="14" t="b">
        <f>IFERROR(__xludf.DUMMYFUNCTION("IF(COUNTA(P102:P147)=0,"""",IFERROR(IF(ISBLANK(P102),FALSE,IF(ISBLANK(T102),1,IF(NOT(COUNTIF($AA$24:$AA$34,SUBSTITUTE(P102,""Sell_"",""""))),1,IF(P102=""Plastic_up"",IF(V102&lt;1000,1),IF(P102=""Super_Up"",IF(OR(COUNTIF(P$4:P102,""Grandma"")-COUNTIF(P$4:P102"&amp;",""Sell_Grandma"")&lt;1,COUNTIF(P$4:P102,VLOOKUP(P102,Upgrades!$F$8:$N$8,7+COUNTIF(P$4:P102,P102)))-COUNTIF(P$4:P102,""Sell_""&amp;VLOOKUP(P102,Upgrades!$F$8:$N$8,7+COUNTIF(P$4:P102,P102)))&lt;15),1),IF(REGEXMATCH(P102,""_up""),IF(COUNTIF(P$4:P102,SUBSTITUTE(P102,"&amp;"""_up"",""""))&lt;IFERROR(VLOOKUP(P102,Upgrades!$L$3:$P$6,1+COUNTIF(P$4:P102,P102),0),999),1),IF(REGEXMATCH(P102,""Sell_""),IF(COUNTIF(P$4:P102,SUBSTITUTE(P102,""Sell_"",""""))-COUNTIF(P$4:P101,P102)&lt;1,1),FALSE)))))))))"),FALSE)</f>
        <v>0</v>
      </c>
      <c r="R102" s="71">
        <f>IFERROR(__xludf.DUMMYFUNCTION("IF(REGEXMATCH(P102,""^Sell_""),R101, IF(COUNTA(P102:P147)=0,"""",(COUNTIF(P$4:P102,""Cursor"")-COUNTIF(P$4:P102,""Sell_Cursor""))*(0.1*2^SWITCH(COUNTIF(P$4:P102,""Cursor_up""),0,0,1,1,2,2,3)+SWITCH(COUNTIF(P$4:P102,""Cursor_up""),4,0.1,0)*(ROW(P102)-4-COU"&amp;"NTIF(P$4:P102,""Cursor"")-COUNTIF(P$4:P102,""*""&amp;""_up"")-2*COUNTIF(P$4:P102,""Sell_""&amp;""*"")+COUNTIF(P$4:P102,""Sell_Cursor"")-COUNTIF(P$4:P102,"""")))+(COUNTIF(P$4:P102,""Grandma"")-COUNTIF(P$4:P102,""Sell_Grandma""))*(1*2^(COUNTIF(P$4:P102,""Grandma_up"&amp;""")+COUNTIF(P$4:P102,""Super_up"")))+(COUNTIF(P$4:P102,""Farm"")-COUNTIF(P$4:P102,""Sell_Farm""))*(8*2^COUNTIF(P$4:P102,""Farm_up""))*IF(COUNTIF(P$4:P102,""Super_up"")&gt;0,1+0.01*(COUNTIF(P$4:P102,""Grandma"")-COUNTIF(P$4:P102,""Sell_Grandma"")),1)+(COUNTIF"&amp;"(P$4:P102,""Mine"")-COUNTIF(P$4:P102,""Sell_Mine""))*((47*2^COUNTIF(P$4:P102,""Mine_up""))*IF(COUNTIF(P$4:P102,""Super_up"")&gt;1,1+0.005*(COUNTIF(P$4:P102,""Grandma"")-COUNTIF(P$4:P102,""Sell_Grandma"")),1))+(COUNTIF(P$4:P102,""Factory"")-COUNTIF(P$4:P102,"&amp;"""Sell_Factory""))*(260*2^COUNTIF(P$4:P102,""Factory_up""))))"),1620.72)</f>
        <v>1620.72</v>
      </c>
      <c r="S102" s="73">
        <f>IFERROR(__xludf.DUMMYFUNCTION("IF(COUNTA(P102:P147)=0,"""",IF(REGEXMATCH(INDEX(FILTER(P$4:P102,P$4:P102&lt;&gt;""""),ROWS(FILTER(P$4:P102,P$4:P102&lt;&gt;""""))),""^Sell_""),INDEX(FILTER(S$4:S101,P$4:P101&lt;&gt;""""),ROWS(FILTER(P$4:P101,P$4:P101&lt;&gt;""""))),$AD$5*(2^SWITCH(COUNTIF(P$4:P102,""Cursor_up"")"&amp;",0,0,1,1,2,2,3)+SWITCH(COUNTIF(P$4:P102,""Cursor_up""),4,0.1,0)*(ROW(P102)-4-COUNTIF(P$4:P102,""Cursor"")-COUNTIF(P$4:P102,""*""&amp;""_up"")-2*COUNTIF(P$4:P102,""Sell_""&amp;""*"")+COUNTIF(P$4:P102,""Sell_Cursor"")-COUNTIF(P$4:P102,""""))+0.01*R102*COUNTIF(P$4:P"&amp;"102,""Plastic_up""))+R102))"),7522.160000000001)</f>
        <v>7522.16</v>
      </c>
      <c r="T102" s="14">
        <f>IFERROR(__xludf.DUMMYFUNCTION("IF(COUNTA(P102:P147)=0,"""",IF(REGEXMATCH(P102,""_up""),VLOOKUP(P102,Upgrades!$F$3:$J$8,1+COUNTIF(P$4:P102,P102),FALSE),IF(P102="""",0,IF(REGEXMATCH(P102,""^Sell_""),-ROUNDDOWN(ROUNDUP(INDEX(Upgrades!$C$3:$C$8,MATCH(SUBSTITUTE(P102,""Sell_"",""""),Upgrade"&amp;"s!$B$3:$B$8,0))*1.15^(COUNTIF(P$4:P101,SUBSTITUTE(P102,""Sell_"",""""))-COUNTIF(P$4:P101,""Sell_""&amp;SUBSTITUTE(P102,""Sell_"",""""))))/4),ROUNDUP(INDEX(Upgrades!$C$3:$C$7,MATCH(P102,Upgrades!$B$3:$B$7,0))*1.15^(COUNTIF(P$4:P101,P102)-COUNTIF(P$4:P101,""Sel"&amp;"l_""&amp;P102)))))))"),1511.0)</f>
        <v>1511</v>
      </c>
      <c r="U102" s="14">
        <f t="shared" si="10"/>
        <v>1511</v>
      </c>
      <c r="V102" s="75">
        <f t="shared" si="11"/>
        <v>27006305.64</v>
      </c>
      <c r="W102" s="76">
        <f t="shared" si="12"/>
        <v>173.7920703</v>
      </c>
      <c r="X102" s="71" t="str">
        <f t="shared" si="13"/>
        <v>2m 53s</v>
      </c>
      <c r="Y102" s="77">
        <f t="shared" si="14"/>
        <v>531922</v>
      </c>
      <c r="Z102" s="17"/>
      <c r="AA102" s="13"/>
      <c r="AB102" s="13"/>
      <c r="AC102" s="13"/>
      <c r="AD102" s="13"/>
      <c r="AE102" s="13"/>
      <c r="AF102" s="13"/>
      <c r="AG102" s="13"/>
    </row>
    <row r="103">
      <c r="A103" s="12"/>
      <c r="B103" s="65">
        <f t="shared" si="2"/>
        <v>38</v>
      </c>
      <c r="C103" s="66" t="s">
        <v>10</v>
      </c>
      <c r="D103" s="14" t="b">
        <f>IFERROR(__xludf.DUMMYFUNCTION("IF(COUNTA(C103:C147)=0,"""",IFERROR(IF(ISBLANK(C103),FALSE,IF(ISBLANK(G103),1,IF(NOT(COUNTIF($AA$24:$AA$34,SUBSTITUTE(C103,""Sell_"",""""))),1,IF(C103=""Plastic_up"",IF(I103&lt;1000,1),IF(C103=""Super_Up"",IF(OR(COUNTIF(C$4:C103,""Grandma"")-COUNTIF(C$4:C103"&amp;",""Sell_Grandma"")&lt;1,COUNTIF(C$4:C103,VLOOKUP(C103,Upgrades!$F$8:$N$8,7+COUNTIF(C$4:C103,C103)))-COUNTIF(C$4:C103,""Sell_""&amp;VLOOKUP(C103,Upgrades!$F$8:$N$8,7+COUNTIF(C$4:C103,C103)))&lt;15),1),IF(REGEXMATCH(C103,""_up""),IF(COUNTIF(C$4:C103,SUBSTITUTE(C103,"&amp;"""_up"",""""))&lt;IFERROR(VLOOKUP(C103,Upgrades!$L$3:$P$6,1+COUNTIF(C$4:C103,C103),0),999),1),IF(REGEXMATCH(C103,""Sell_""),IF(COUNTIF(C$4:C103,SUBSTITUTE(C103,""Sell_"",""""))-COUNTIF(C$4:C102,C103)&lt;1,1),FALSE)))))))))"),FALSE)</f>
        <v>0</v>
      </c>
      <c r="E103" s="71">
        <f>IFERROR(__xludf.DUMMYFUNCTION("IF(REGEXMATCH(C103,""^Sell_""),E102, IF(COUNTA(C103:C147)=0,"""",(COUNTIF(C$4:C103,""Cursor"")-COUNTIF(C$4:C103,""Sell_Cursor""))*(0.1*2^SWITCH(COUNTIF(C$4:C103,""Cursor_up""),0,0,1,1,2,2,3)+SWITCH(COUNTIF(C$4:C103,""Cursor_up""),4,0.1,0)*(ROW(C103)-4-COU"&amp;"NTIF(C$4:C103,""Cursor"")-COUNTIF(C$4:C103,""*""&amp;""_up"")-2*COUNTIF(C$4:C103,""Sell_""&amp;""*"")+COUNTIF(C$4:C103,""Sell_Cursor"")-COUNTIF(C$4:C103,"""")))+(COUNTIF(C$4:C103,""Grandma"")-COUNTIF(C$4:C103,""Sell_Grandma""))*(1*2^(COUNTIF(C$4:C103,""Grandma_up"&amp;""")+COUNTIF(C$4:C103,""Super_up"")))+(COUNTIF(C$4:C103,""Farm"")-COUNTIF(C$4:C103,""Sell_Farm""))*(8*2^COUNTIF(C$4:C103,""Farm_up""))*IF(COUNTIF(C$4:C103,""Super_up"")&gt;0,1+0.01*(COUNTIF(C$4:C103,""Grandma"")-COUNTIF(C$4:C103,""Sell_Grandma"")),1)+(COUNTIF"&amp;"(C$4:C103,""Mine"")-COUNTIF(C$4:C103,""Sell_Mine""))*((47*2^COUNTIF(C$4:C103,""Mine_up""))*IF(COUNTIF(C$4:C103,""Super_up"")&gt;1,1+0.005*(COUNTIF(C$4:C103,""Grandma"")-COUNTIF(C$4:C103,""Sell_Grandma"")),1))+(COUNTIF(C$4:C103,""Factory"")-COUNTIF(C$4:C103,"&amp;"""Sell_Factory""))*(260*2^COUNTIF(C$4:C103,""Factory_up""))))"),1548.6)</f>
        <v>1548.6</v>
      </c>
      <c r="F103" s="73">
        <f>IFERROR(__xludf.DUMMYFUNCTION("IF(COUNTA(C103:C147)=0,"""",IF(REGEXMATCH(INDEX(FILTER(C$4:C103,C$4:C103&lt;&gt;""""),ROWS(FILTER(C$4:C103,C$4:C103&lt;&gt;""""))),""^Sell_""),INDEX(FILTER(F$4:F102,C$4:C102&lt;&gt;""""),ROWS(FILTER(C$4:C102,C$4:C102&lt;&gt;""""))),$AC$5*(2^SWITCH(COUNTIF(C$4:C103,""Cursor_up"")"&amp;",0,0,1,1,2,2,3)+SWITCH(COUNTIF(C$4:C103,""Cursor_up""),4,0.1,0)*(ROW(C103)-4-COUNTIF(C$4:C103,""Cursor"")-COUNTIF(C$4:C103,""*""&amp;""_up"")-2*COUNTIF(C$4:C103,""Sell_""&amp;""*"")+COUNTIF(C$4:C103,""Sell_Cursor"")-COUNTIF(C$4:C103,""""))+0.01*E103*COUNTIF(C$4:C"&amp;"103,""Plastic_up""))+E103))"),7245.799999999999)</f>
        <v>7245.8</v>
      </c>
      <c r="G103" s="14">
        <f>IFERROR(__xludf.DUMMYFUNCTION("IF(COUNTA(C103:C147)=0,"""",IF(REGEXMATCH(C103,""_up""),VLOOKUP(C103,Upgrades!$F$3:$J$8,1+COUNTIF(C$4:C103,C103),FALSE),IF(C103="""",0,IF(REGEXMATCH(C103,""^Sell_""),-ROUNDDOWN(ROUNDUP(INDEX(Upgrades!$C$3:$C$8,MATCH(SUBSTITUTE(C103,""Sell_"",""""),Upgrade"&amp;"s!$B$3:$B$8,0))*1.15^(COUNTIF(C$4:C102,SUBSTITUTE(C103,""Sell_"",""""))-COUNTIF(C$4:C102,""Sell_""&amp;SUBSTITUTE(C103,""Sell_"",""""))))/4),ROUNDUP(INDEX(Upgrades!$C$3:$C$7,MATCH(C103,Upgrades!$B$3:$B$7,0))*1.15^(COUNTIF(C$4:C102,C103)-COUNTIF(C$4:C102,""Sel"&amp;"l_""&amp;C103)))))))"),2642.0)</f>
        <v>2642</v>
      </c>
      <c r="H103" s="14">
        <f t="shared" si="3"/>
        <v>2642</v>
      </c>
      <c r="I103" s="75">
        <f t="shared" si="4"/>
        <v>25320041.14</v>
      </c>
      <c r="J103" s="76">
        <f t="shared" si="5"/>
        <v>171.8412633</v>
      </c>
      <c r="K103" s="71" t="str">
        <f t="shared" si="6"/>
        <v>2m 51s</v>
      </c>
      <c r="L103" s="77">
        <f t="shared" si="7"/>
        <v>514523</v>
      </c>
      <c r="M103" s="51">
        <f t="shared" si="8"/>
        <v>-0.41903</v>
      </c>
      <c r="N103" s="52">
        <f>IFERROR(__xludf.DUMMYFUNCTION("IFS(AND(COUNTA(C103:C147)=0,COUNTA(P103:P147)=0),"""",OR(AND(L103&gt;=1000000,OR(Y103&gt;=1000000,COUNTA(P103:P147)=0)),AND(Y103&gt;=1000000,COUNTA(C103:C147)=0),AND(COUNTA(P103:P147)=0,O$3=TRUE)),
ROUNDDOWN((AB$1-AC$1)*MAX(INDEX(S$4:S147,MATCH(LARGE(FILTER(Y$4:Y1"&amp;"47,Y$4:Y147&lt;1000000),1),Y$4:Y147)),INDEX(F$4:F147,MATCH(LARGE(FILTER(L$4:L147,L$4:L147&lt;1000000),1),L$4:L147)))),AND(L103&lt;1000000,COUNTA(C103:C147)&gt;0,O$3=FALSE),
ROUNDDOWN(INDEX(Y$4:Y147,MATCH(LARGE(FILTER(W$4:W147,W$4:W147&lt;=J103),1),W$4:W147))+(J103-LARGE"&amp;"(FILTER(W$4:W147,W$4:W147&lt;=J103),1))*INDEX(S$4:S147,MATCH(LARGE(FILTER(W$4:W147,W$4:W147&lt;=J103),1),W$4:W147))-L103),1,
ROUNDDOWN(Y103-INDEX(L$4:L147,MATCH(LARGE(FILTER(J$4:J147,J$4:J147&lt;=W103),1),J$4:J147))-(W103-LARGE(FILTER(J$4:J147,J$4:J147&lt;=W103),1))*"&amp;"INDEX(F$4:F147,MATCH(LARGE(FILTER(J$4:J147,J$4:J147&lt;=W103),1),J$4:J147))))"),3039.0)</f>
        <v>3039</v>
      </c>
      <c r="O103" s="65">
        <f t="shared" si="9"/>
        <v>19</v>
      </c>
      <c r="P103" s="15" t="s">
        <v>16</v>
      </c>
      <c r="Q103" s="14" t="b">
        <f>IFERROR(__xludf.DUMMYFUNCTION("IF(COUNTA(P103:P147)=0,"""",IFERROR(IF(ISBLANK(P103),FALSE,IF(ISBLANK(T103),1,IF(NOT(COUNTIF($AA$24:$AA$34,SUBSTITUTE(P103,""Sell_"",""""))),1,IF(P103=""Plastic_up"",IF(V103&lt;1000,1),IF(P103=""Super_Up"",IF(OR(COUNTIF(P$4:P103,""Grandma"")-COUNTIF(P$4:P103"&amp;",""Sell_Grandma"")&lt;1,COUNTIF(P$4:P103,VLOOKUP(P103,Upgrades!$F$8:$N$8,7+COUNTIF(P$4:P103,P103)))-COUNTIF(P$4:P103,""Sell_""&amp;VLOOKUP(P103,Upgrades!$F$8:$N$8,7+COUNTIF(P$4:P103,P103)))&lt;15),1),IF(REGEXMATCH(P103,""_up""),IF(COUNTIF(P$4:P103,SUBSTITUTE(P103,"&amp;"""_up"",""""))&lt;IFERROR(VLOOKUP(P103,Upgrades!$L$3:$P$6,1+COUNTIF(P$4:P103,P103),0),999),1),IF(REGEXMATCH(P103,""Sell_""),IF(COUNTIF(P$4:P103,SUBSTITUTE(P103,""Sell_"",""""))-COUNTIF(P$4:P102,P103)&lt;1,1),FALSE)))))))))"),FALSE)</f>
        <v>0</v>
      </c>
      <c r="R103" s="71">
        <f>IFERROR(__xludf.DUMMYFUNCTION("IF(REGEXMATCH(P103,""^Sell_""),R102, IF(COUNTA(P103:P147)=0,"""",(COUNTIF(P$4:P103,""Cursor"")-COUNTIF(P$4:P103,""Sell_Cursor""))*(0.1*2^SWITCH(COUNTIF(P$4:P103,""Cursor_up""),0,0,1,1,2,2,3)+SWITCH(COUNTIF(P$4:P103,""Cursor_up""),4,0.1,0)*(ROW(P103)-4-COU"&amp;"NTIF(P$4:P103,""Cursor"")-COUNTIF(P$4:P103,""*""&amp;""_up"")-2*COUNTIF(P$4:P103,""Sell_""&amp;""*"")+COUNTIF(P$4:P103,""Sell_Cursor"")-COUNTIF(P$4:P103,"""")))+(COUNTIF(P$4:P103,""Grandma"")-COUNTIF(P$4:P103,""Sell_Grandma""))*(1*2^(COUNTIF(P$4:P103,""Grandma_up"&amp;""")+COUNTIF(P$4:P103,""Super_up"")))+(COUNTIF(P$4:P103,""Farm"")-COUNTIF(P$4:P103,""Sell_Farm""))*(8*2^COUNTIF(P$4:P103,""Farm_up""))*IF(COUNTIF(P$4:P103,""Super_up"")&gt;0,1+0.01*(COUNTIF(P$4:P103,""Grandma"")-COUNTIF(P$4:P103,""Sell_Grandma"")),1)+(COUNTIF"&amp;"(P$4:P103,""Mine"")-COUNTIF(P$4:P103,""Sell_Mine""))*((47*2^COUNTIF(P$4:P103,""Mine_up""))*IF(COUNTIF(P$4:P103,""Super_up"")&gt;1,1+0.005*(COUNTIF(P$4:P103,""Grandma"")-COUNTIF(P$4:P103,""Sell_Grandma"")),1))+(COUNTIF(P$4:P103,""Factory"")-COUNTIF(P$4:P103,"&amp;"""Sell_Factory""))*(260*2^COUNTIF(P$4:P103,""Factory_up""))))"),1666.3600000000001)</f>
        <v>1666.36</v>
      </c>
      <c r="S103" s="73">
        <f>IFERROR(__xludf.DUMMYFUNCTION("IF(COUNTA(P103:P147)=0,"""",IF(REGEXMATCH(INDEX(FILTER(P$4:P103,P$4:P103&lt;&gt;""""),ROWS(FILTER(P$4:P103,P$4:P103&lt;&gt;""""))),""^Sell_""),INDEX(FILTER(S$4:S102,P$4:P102&lt;&gt;""""),ROWS(FILTER(P$4:P102,P$4:P102&lt;&gt;""""))),$AD$5*(2^SWITCH(COUNTIF(P$4:P103,""Cursor_up"")"&amp;",0,0,1,1,2,2,3)+SWITCH(COUNTIF(P$4:P103,""Cursor_up""),4,0.1,0)*(ROW(P103)-4-COUNTIF(P$4:P103,""Cursor"")-COUNTIF(P$4:P103,""*""&amp;""_up"")-2*COUNTIF(P$4:P103,""Sell_""&amp;""*"")+COUNTIF(P$4:P103,""Sell_Cursor"")-COUNTIF(P$4:P103,""""))+0.01*R103*COUNTIF(P$4:P"&amp;"103,""Plastic_up""))+R103))"),7679.08)</f>
        <v>7679.08</v>
      </c>
      <c r="T103" s="14">
        <f>IFERROR(__xludf.DUMMYFUNCTION("IF(COUNTA(P103:P147)=0,"""",IF(REGEXMATCH(P103,""_up""),VLOOKUP(P103,Upgrades!$F$3:$J$8,1+COUNTIF(P$4:P103,P103),FALSE),IF(P103="""",0,IF(REGEXMATCH(P103,""^Sell_""),-ROUNDDOWN(ROUNDUP(INDEX(Upgrades!$C$3:$C$8,MATCH(SUBSTITUTE(P103,""Sell_"",""""),Upgrade"&amp;"s!$B$3:$B$8,0))*1.15^(COUNTIF(P$4:P102,SUBSTITUTE(P103,""Sell_"",""""))-COUNTIF(P$4:P102,""Sell_""&amp;SUBSTITUTE(P103,""Sell_"",""""))))/4),ROUNDUP(INDEX(Upgrades!$C$3:$C$7,MATCH(P103,Upgrades!$B$3:$B$7,0))*1.15^(COUNTIF(P$4:P102,P103)-COUNTIF(P$4:P102,""Sel"&amp;"l_""&amp;P103)))))))"),13613.0)</f>
        <v>13613</v>
      </c>
      <c r="U103" s="14">
        <f t="shared" si="10"/>
        <v>13613</v>
      </c>
      <c r="V103" s="75">
        <f t="shared" si="11"/>
        <v>28042609.07</v>
      </c>
      <c r="W103" s="76">
        <f t="shared" si="12"/>
        <v>175.6017899</v>
      </c>
      <c r="X103" s="71" t="str">
        <f t="shared" si="13"/>
        <v>2m 55s</v>
      </c>
      <c r="Y103" s="77">
        <f t="shared" si="14"/>
        <v>545535</v>
      </c>
      <c r="Z103" s="17"/>
      <c r="AA103" s="13"/>
      <c r="AB103" s="13"/>
      <c r="AC103" s="13"/>
      <c r="AD103" s="13"/>
      <c r="AE103" s="13"/>
      <c r="AF103" s="13"/>
      <c r="AG103" s="13"/>
    </row>
    <row r="104">
      <c r="A104" s="12"/>
      <c r="B104" s="65">
        <f t="shared" si="2"/>
        <v>39</v>
      </c>
      <c r="C104" s="66" t="s">
        <v>10</v>
      </c>
      <c r="D104" s="14" t="b">
        <f>IFERROR(__xludf.DUMMYFUNCTION("IF(COUNTA(C104:C147)=0,"""",IFERROR(IF(ISBLANK(C104),FALSE,IF(ISBLANK(G104),1,IF(NOT(COUNTIF($AA$24:$AA$34,SUBSTITUTE(C104,""Sell_"",""""))),1,IF(C104=""Plastic_up"",IF(I104&lt;1000,1),IF(C104=""Super_Up"",IF(OR(COUNTIF(C$4:C104,""Grandma"")-COUNTIF(C$4:C104"&amp;",""Sell_Grandma"")&lt;1,COUNTIF(C$4:C104,VLOOKUP(C104,Upgrades!$F$8:$N$8,7+COUNTIF(C$4:C104,C104)))-COUNTIF(C$4:C104,""Sell_""&amp;VLOOKUP(C104,Upgrades!$F$8:$N$8,7+COUNTIF(C$4:C104,C104)))&lt;15),1),IF(REGEXMATCH(C104,""_up""),IF(COUNTIF(C$4:C104,SUBSTITUTE(C104,"&amp;"""_up"",""""))&lt;IFERROR(VLOOKUP(C104,Upgrades!$L$3:$P$6,1+COUNTIF(C$4:C104,C104),0),999),1),IF(REGEXMATCH(C104,""Sell_""),IF(COUNTIF(C$4:C104,SUBSTITUTE(C104,""Sell_"",""""))-COUNTIF(C$4:C103,C104)&lt;1,1),FALSE)))))))))"),FALSE)</f>
        <v>0</v>
      </c>
      <c r="E104" s="71">
        <f>IFERROR(__xludf.DUMMYFUNCTION("IF(REGEXMATCH(C104,""^Sell_""),E103, IF(COUNTA(C104:C147)=0,"""",(COUNTIF(C$4:C104,""Cursor"")-COUNTIF(C$4:C104,""Sell_Cursor""))*(0.1*2^SWITCH(COUNTIF(C$4:C104,""Cursor_up""),0,0,1,1,2,2,3)+SWITCH(COUNTIF(C$4:C104,""Cursor_up""),4,0.1,0)*(ROW(C104)-4-COU"&amp;"NTIF(C$4:C104,""Cursor"")-COUNTIF(C$4:C104,""*""&amp;""_up"")-2*COUNTIF(C$4:C104,""Sell_""&amp;""*"")+COUNTIF(C$4:C104,""Sell_Cursor"")-COUNTIF(C$4:C104,"""")))+(COUNTIF(C$4:C104,""Grandma"")-COUNTIF(C$4:C104,""Sell_Grandma""))*(1*2^(COUNTIF(C$4:C104,""Grandma_up"&amp;""")+COUNTIF(C$4:C104,""Super_up"")))+(COUNTIF(C$4:C104,""Farm"")-COUNTIF(C$4:C104,""Sell_Farm""))*(8*2^COUNTIF(C$4:C104,""Farm_up""))*IF(COUNTIF(C$4:C104,""Super_up"")&gt;0,1+0.01*(COUNTIF(C$4:C104,""Grandma"")-COUNTIF(C$4:C104,""Sell_Grandma"")),1)+(COUNTIF"&amp;"(C$4:C104,""Mine"")-COUNTIF(C$4:C104,""Sell_Mine""))*((47*2^COUNTIF(C$4:C104,""Mine_up""))*IF(COUNTIF(C$4:C104,""Super_up"")&gt;1,1+0.005*(COUNTIF(C$4:C104,""Grandma"")-COUNTIF(C$4:C104,""Sell_Grandma"")),1))+(COUNTIF(C$4:C104,""Factory"")-COUNTIF(C$4:C104,"&amp;"""Sell_Factory""))*(260*2^COUNTIF(C$4:C104,""Factory_up""))))"),1554.4)</f>
        <v>1554.4</v>
      </c>
      <c r="F104" s="73">
        <f>IFERROR(__xludf.DUMMYFUNCTION("IF(COUNTA(C104:C147)=0,"""",IF(REGEXMATCH(INDEX(FILTER(C$4:C104,C$4:C104&lt;&gt;""""),ROWS(FILTER(C$4:C104,C$4:C104&lt;&gt;""""))),""^Sell_""),INDEX(FILTER(F$4:F103,C$4:C103&lt;&gt;""""),ROWS(FILTER(C$4:C103,C$4:C103&lt;&gt;""""))),$AC$5*(2^SWITCH(COUNTIF(C$4:C104,""Cursor_up"")"&amp;",0,0,1,1,2,2,3)+SWITCH(COUNTIF(C$4:C104,""Cursor_up""),4,0.1,0)*(ROW(C104)-4-COUNTIF(C$4:C104,""Cursor"")-COUNTIF(C$4:C104,""*""&amp;""_up"")-2*COUNTIF(C$4:C104,""Sell_""&amp;""*"")+COUNTIF(C$4:C104,""Sell_Cursor"")-COUNTIF(C$4:C104,""""))+0.01*E104*COUNTIF(C$4:C"&amp;"104,""Plastic_up""))+E104))"),7263.200000000001)</f>
        <v>7263.2</v>
      </c>
      <c r="G104" s="14">
        <f>IFERROR(__xludf.DUMMYFUNCTION("IF(COUNTA(C104:C147)=0,"""",IF(REGEXMATCH(C104,""_up""),VLOOKUP(C104,Upgrades!$F$3:$J$8,1+COUNTIF(C$4:C104,C104),FALSE),IF(C104="""",0,IF(REGEXMATCH(C104,""^Sell_""),-ROUNDDOWN(ROUNDUP(INDEX(Upgrades!$C$3:$C$8,MATCH(SUBSTITUTE(C104,""Sell_"",""""),Upgrade"&amp;"s!$B$3:$B$8,0))*1.15^(COUNTIF(C$4:C103,SUBSTITUTE(C104,""Sell_"",""""))-COUNTIF(C$4:C103,""Sell_""&amp;SUBSTITUTE(C104,""Sell_"",""""))))/4),ROUNDUP(INDEX(Upgrades!$C$3:$C$7,MATCH(C104,Upgrades!$B$3:$B$7,0))*1.15^(COUNTIF(C$4:C103,C104)-COUNTIF(C$4:C103,""Sel"&amp;"l_""&amp;C104)))))))"),3039.0)</f>
        <v>3039</v>
      </c>
      <c r="H104" s="14">
        <f t="shared" si="3"/>
        <v>3039</v>
      </c>
      <c r="I104" s="75">
        <f t="shared" si="4"/>
        <v>26301444.68</v>
      </c>
      <c r="J104" s="76">
        <f t="shared" si="5"/>
        <v>172.2606787</v>
      </c>
      <c r="K104" s="71" t="str">
        <f t="shared" si="6"/>
        <v>2m 52s</v>
      </c>
      <c r="L104" s="77">
        <f t="shared" si="7"/>
        <v>517562</v>
      </c>
      <c r="M104" s="51">
        <f t="shared" si="8"/>
        <v>-0.41945</v>
      </c>
      <c r="N104" s="52">
        <f>IFERROR(__xludf.DUMMYFUNCTION("IFS(AND(COUNTA(C104:C147)=0,COUNTA(P104:P147)=0),"""",OR(AND(L104&gt;=1000000,OR(Y104&gt;=1000000,COUNTA(P104:P147)=0)),AND(Y104&gt;=1000000,COUNTA(C104:C147)=0),AND(COUNTA(P104:P147)=0,O$3=TRUE)),
ROUNDDOWN((AB$1-AC$1)*MAX(INDEX(S$4:S147,MATCH(LARGE(FILTER(Y$4:Y1"&amp;"47,Y$4:Y147&lt;1000000),1),Y$4:Y147)),INDEX(F$4:F147,MATCH(LARGE(FILTER(L$4:L147,L$4:L147&lt;1000000),1),L$4:L147)))),AND(L104&lt;1000000,COUNTA(C104:C147)&gt;0,O$3=FALSE),
ROUNDDOWN(INDEX(Y$4:Y147,MATCH(LARGE(FILTER(W$4:W147,W$4:W147&lt;=J104),1),W$4:W147))+(J104-LARGE"&amp;"(FILTER(W$4:W147,W$4:W147&lt;=J104),1))*INDEX(S$4:S147,MATCH(LARGE(FILTER(W$4:W147,W$4:W147&lt;=J104),1),W$4:W147))-L104),1,
ROUNDDOWN(Y104-INDEX(L$4:L147,MATCH(LARGE(FILTER(J$4:J147,J$4:J147&lt;=W104),1),J$4:J147))-(W104-LARGE(FILTER(J$4:J147,J$4:J147&lt;=W104),1))*"&amp;"INDEX(F$4:F147,MATCH(LARGE(FILTER(J$4:J147,J$4:J147&lt;=W104),1),J$4:J147))))"),3042.0)</f>
        <v>3042</v>
      </c>
      <c r="O104" s="65">
        <f t="shared" si="9"/>
        <v>33</v>
      </c>
      <c r="P104" s="15" t="s">
        <v>13</v>
      </c>
      <c r="Q104" s="14" t="b">
        <f>IFERROR(__xludf.DUMMYFUNCTION("IF(COUNTA(P104:P147)=0,"""",IFERROR(IF(ISBLANK(P104),FALSE,IF(ISBLANK(T104),1,IF(NOT(COUNTIF($AA$24:$AA$34,SUBSTITUTE(P104,""Sell_"",""""))),1,IF(P104=""Plastic_up"",IF(V104&lt;1000,1),IF(P104=""Super_Up"",IF(OR(COUNTIF(P$4:P104,""Grandma"")-COUNTIF(P$4:P104"&amp;",""Sell_Grandma"")&lt;1,COUNTIF(P$4:P104,VLOOKUP(P104,Upgrades!$F$8:$N$8,7+COUNTIF(P$4:P104,P104)))-COUNTIF(P$4:P104,""Sell_""&amp;VLOOKUP(P104,Upgrades!$F$8:$N$8,7+COUNTIF(P$4:P104,P104)))&lt;15),1),IF(REGEXMATCH(P104,""_up""),IF(COUNTIF(P$4:P104,SUBSTITUTE(P104,"&amp;"""_up"",""""))&lt;IFERROR(VLOOKUP(P104,Upgrades!$L$3:$P$6,1+COUNTIF(P$4:P104,P104),0),999),1),IF(REGEXMATCH(P104,""Sell_""),IF(COUNTIF(P$4:P104,SUBSTITUTE(P104,""Sell_"",""""))-COUNTIF(P$4:P103,P104)&lt;1,1),FALSE)))))))))"),FALSE)</f>
        <v>0</v>
      </c>
      <c r="R104" s="71">
        <f>IFERROR(__xludf.DUMMYFUNCTION("IF(REGEXMATCH(P104,""^Sell_""),R103, IF(COUNTA(P104:P147)=0,"""",(COUNTIF(P$4:P104,""Cursor"")-COUNTIF(P$4:P104,""Sell_Cursor""))*(0.1*2^SWITCH(COUNTIF(P$4:P104,""Cursor_up""),0,0,1,1,2,2,3)+SWITCH(COUNTIF(P$4:P104,""Cursor_up""),4,0.1,0)*(ROW(P104)-4-COU"&amp;"NTIF(P$4:P104,""Cursor"")-COUNTIF(P$4:P104,""*""&amp;""_up"")-2*COUNTIF(P$4:P104,""Sell_""&amp;""*"")+COUNTIF(P$4:P104,""Sell_Cursor"")-COUNTIF(P$4:P104,"""")))+(COUNTIF(P$4:P104,""Grandma"")-COUNTIF(P$4:P104,""Sell_Grandma""))*(1*2^(COUNTIF(P$4:P104,""Grandma_up"&amp;""")+COUNTIF(P$4:P104,""Super_up"")))+(COUNTIF(P$4:P104,""Farm"")-COUNTIF(P$4:P104,""Sell_Farm""))*(8*2^COUNTIF(P$4:P104,""Farm_up""))*IF(COUNTIF(P$4:P104,""Super_up"")&gt;0,1+0.01*(COUNTIF(P$4:P104,""Grandma"")-COUNTIF(P$4:P104,""Sell_Grandma"")),1)+(COUNTIF"&amp;"(P$4:P104,""Mine"")-COUNTIF(P$4:P104,""Sell_Mine""))*((47*2^COUNTIF(P$4:P104,""Mine_up""))*IF(COUNTIF(P$4:P104,""Super_up"")&gt;1,1+0.005*(COUNTIF(P$4:P104,""Grandma"")-COUNTIF(P$4:P104,""Sell_Grandma"")),1))+(COUNTIF(P$4:P104,""Factory"")-COUNTIF(P$4:P104,"&amp;"""Sell_Factory""))*(260*2^COUNTIF(P$4:P104,""Factory_up""))))"),1691.8400000000001)</f>
        <v>1691.84</v>
      </c>
      <c r="S104" s="73">
        <f>IFERROR(__xludf.DUMMYFUNCTION("IF(COUNTA(P104:P147)=0,"""",IF(REGEXMATCH(INDEX(FILTER(P$4:P104,P$4:P104&lt;&gt;""""),ROWS(FILTER(P$4:P104,P$4:P104&lt;&gt;""""))),""^Sell_""),INDEX(FILTER(S$4:S103,P$4:P103&lt;&gt;""""),ROWS(FILTER(P$4:P103,P$4:P103&lt;&gt;""""))),$AD$5*(2^SWITCH(COUNTIF(P$4:P104,""Cursor_up"")"&amp;",0,0,1,1,2,2,3)+SWITCH(COUNTIF(P$4:P104,""Cursor_up""),4,0.1,0)*(ROW(P104)-4-COUNTIF(P$4:P104,""Cursor"")-COUNTIF(P$4:P104,""*""&amp;""_up"")-2*COUNTIF(P$4:P104,""Sell_""&amp;""*"")+COUNTIF(P$4:P104,""Sell_Cursor"")-COUNTIF(P$4:P104,""""))+0.01*R104*COUNTIF(P$4:P"&amp;"104,""Plastic_up""))+R104))"),7775.52)</f>
        <v>7775.52</v>
      </c>
      <c r="T104" s="14">
        <f>IFERROR(__xludf.DUMMYFUNCTION("IF(COUNTA(P104:P147)=0,"""",IF(REGEXMATCH(P104,""_up""),VLOOKUP(P104,Upgrades!$F$3:$J$8,1+COUNTIF(P$4:P104,P104),FALSE),IF(P104="""",0,IF(REGEXMATCH(P104,""^Sell_""),-ROUNDDOWN(ROUNDUP(INDEX(Upgrades!$C$3:$C$8,MATCH(SUBSTITUTE(P104,""Sell_"",""""),Upgrade"&amp;"s!$B$3:$B$8,0))*1.15^(COUNTIF(P$4:P103,SUBSTITUTE(P104,""Sell_"",""""))-COUNTIF(P$4:P103,""Sell_""&amp;SUBSTITUTE(P104,""Sell_"",""""))))/4),ROUNDUP(INDEX(Upgrades!$C$3:$C$7,MATCH(P104,Upgrades!$B$3:$B$7,0))*1.15^(COUNTIF(P$4:P103,P104)-COUNTIF(P$4:P103,""Sel"&amp;"l_""&amp;P104)))))))"),8757.0)</f>
        <v>8757</v>
      </c>
      <c r="U104" s="14">
        <f t="shared" si="10"/>
        <v>8757</v>
      </c>
      <c r="V104" s="75">
        <f t="shared" si="11"/>
        <v>29105310.2</v>
      </c>
      <c r="W104" s="76">
        <f t="shared" si="12"/>
        <v>176.7421609</v>
      </c>
      <c r="X104" s="71" t="str">
        <f t="shared" si="13"/>
        <v>2m 56s</v>
      </c>
      <c r="Y104" s="77">
        <f t="shared" si="14"/>
        <v>554292</v>
      </c>
      <c r="Z104" s="17"/>
      <c r="AA104" s="13"/>
      <c r="AB104" s="13"/>
      <c r="AC104" s="13"/>
      <c r="AD104" s="13"/>
      <c r="AE104" s="13"/>
      <c r="AF104" s="13"/>
      <c r="AG104" s="13"/>
    </row>
    <row r="105">
      <c r="A105" s="12"/>
      <c r="B105" s="65">
        <f t="shared" si="2"/>
        <v>40</v>
      </c>
      <c r="C105" s="66" t="s">
        <v>10</v>
      </c>
      <c r="D105" s="14" t="b">
        <f>IFERROR(__xludf.DUMMYFUNCTION("IF(COUNTA(C105:C147)=0,"""",IFERROR(IF(ISBLANK(C105),FALSE,IF(ISBLANK(G105),1,IF(NOT(COUNTIF($AA$24:$AA$34,SUBSTITUTE(C105,""Sell_"",""""))),1,IF(C105=""Plastic_up"",IF(I105&lt;1000,1),IF(C105=""Super_Up"",IF(OR(COUNTIF(C$4:C105,""Grandma"")-COUNTIF(C$4:C105"&amp;",""Sell_Grandma"")&lt;1,COUNTIF(C$4:C105,VLOOKUP(C105,Upgrades!$F$8:$N$8,7+COUNTIF(C$4:C105,C105)))-COUNTIF(C$4:C105,""Sell_""&amp;VLOOKUP(C105,Upgrades!$F$8:$N$8,7+COUNTIF(C$4:C105,C105)))&lt;15),1),IF(REGEXMATCH(C105,""_up""),IF(COUNTIF(C$4:C105,SUBSTITUTE(C105,"&amp;"""_up"",""""))&lt;IFERROR(VLOOKUP(C105,Upgrades!$L$3:$P$6,1+COUNTIF(C$4:C105,C105),0),999),1),IF(REGEXMATCH(C105,""Sell_""),IF(COUNTIF(C$4:C105,SUBSTITUTE(C105,""Sell_"",""""))-COUNTIF(C$4:C104,C105)&lt;1,1),FALSE)))))))))"),FALSE)</f>
        <v>0</v>
      </c>
      <c r="E105" s="71">
        <f>IFERROR(__xludf.DUMMYFUNCTION("IF(REGEXMATCH(C105,""^Sell_""),E104, IF(COUNTA(C105:C147)=0,"""",(COUNTIF(C$4:C105,""Cursor"")-COUNTIF(C$4:C105,""Sell_Cursor""))*(0.1*2^SWITCH(COUNTIF(C$4:C105,""Cursor_up""),0,0,1,1,2,2,3)+SWITCH(COUNTIF(C$4:C105,""Cursor_up""),4,0.1,0)*(ROW(C105)-4-COU"&amp;"NTIF(C$4:C105,""Cursor"")-COUNTIF(C$4:C105,""*""&amp;""_up"")-2*COUNTIF(C$4:C105,""Sell_""&amp;""*"")+COUNTIF(C$4:C105,""Sell_Cursor"")-COUNTIF(C$4:C105,"""")))+(COUNTIF(C$4:C105,""Grandma"")-COUNTIF(C$4:C105,""Sell_Grandma""))*(1*2^(COUNTIF(C$4:C105,""Grandma_up"&amp;""")+COUNTIF(C$4:C105,""Super_up"")))+(COUNTIF(C$4:C105,""Farm"")-COUNTIF(C$4:C105,""Sell_Farm""))*(8*2^COUNTIF(C$4:C105,""Farm_up""))*IF(COUNTIF(C$4:C105,""Super_up"")&gt;0,1+0.01*(COUNTIF(C$4:C105,""Grandma"")-COUNTIF(C$4:C105,""Sell_Grandma"")),1)+(COUNTIF"&amp;"(C$4:C105,""Mine"")-COUNTIF(C$4:C105,""Sell_Mine""))*((47*2^COUNTIF(C$4:C105,""Mine_up""))*IF(COUNTIF(C$4:C105,""Super_up"")&gt;1,1+0.005*(COUNTIF(C$4:C105,""Grandma"")-COUNTIF(C$4:C105,""Sell_Grandma"")),1))+(COUNTIF(C$4:C105,""Factory"")-COUNTIF(C$4:C105,"&amp;"""Sell_Factory""))*(260*2^COUNTIF(C$4:C105,""Factory_up""))))"),1560.2)</f>
        <v>1560.2</v>
      </c>
      <c r="F105" s="73">
        <f>IFERROR(__xludf.DUMMYFUNCTION("IF(COUNTA(C105:C147)=0,"""",IF(REGEXMATCH(INDEX(FILTER(C$4:C105,C$4:C105&lt;&gt;""""),ROWS(FILTER(C$4:C105,C$4:C105&lt;&gt;""""))),""^Sell_""),INDEX(FILTER(F$4:F104,C$4:C104&lt;&gt;""""),ROWS(FILTER(C$4:C104,C$4:C104&lt;&gt;""""))),$AC$5*(2^SWITCH(COUNTIF(C$4:C105,""Cursor_up"")"&amp;",0,0,1,1,2,2,3)+SWITCH(COUNTIF(C$4:C105,""Cursor_up""),4,0.1,0)*(ROW(C105)-4-COUNTIF(C$4:C105,""Cursor"")-COUNTIF(C$4:C105,""*""&amp;""_up"")-2*COUNTIF(C$4:C105,""Sell_""&amp;""*"")+COUNTIF(C$4:C105,""Sell_Cursor"")-COUNTIF(C$4:C105,""""))+0.01*E105*COUNTIF(C$4:C"&amp;"105,""Plastic_up""))+E105))"),7280.599999999999)</f>
        <v>7280.6</v>
      </c>
      <c r="G105" s="14">
        <f>IFERROR(__xludf.DUMMYFUNCTION("IF(COUNTA(C105:C147)=0,"""",IF(REGEXMATCH(C105,""_up""),VLOOKUP(C105,Upgrades!$F$3:$J$8,1+COUNTIF(C$4:C105,C105),FALSE),IF(C105="""",0,IF(REGEXMATCH(C105,""^Sell_""),-ROUNDDOWN(ROUNDUP(INDEX(Upgrades!$C$3:$C$8,MATCH(SUBSTITUTE(C105,""Sell_"",""""),Upgrade"&amp;"s!$B$3:$B$8,0))*1.15^(COUNTIF(C$4:C104,SUBSTITUTE(C105,""Sell_"",""""))-COUNTIF(C$4:C104,""Sell_""&amp;SUBSTITUTE(C105,""Sell_"",""""))))/4),ROUNDUP(INDEX(Upgrades!$C$3:$C$7,MATCH(C105,Upgrades!$B$3:$B$7,0))*1.15^(COUNTIF(C$4:C104,C105)-COUNTIF(C$4:C104,""Sel"&amp;"l_""&amp;C105)))))))"),3494.0)</f>
        <v>3494</v>
      </c>
      <c r="H105" s="14">
        <f t="shared" si="3"/>
        <v>3494</v>
      </c>
      <c r="I105" s="75">
        <f t="shared" si="4"/>
        <v>27287592.69</v>
      </c>
      <c r="J105" s="76">
        <f t="shared" si="5"/>
        <v>172.7417339</v>
      </c>
      <c r="K105" s="71" t="str">
        <f t="shared" si="6"/>
        <v>2m 52s</v>
      </c>
      <c r="L105" s="77">
        <f t="shared" si="7"/>
        <v>521056</v>
      </c>
      <c r="M105" s="51">
        <f t="shared" si="8"/>
        <v>-0.41877</v>
      </c>
      <c r="N105" s="52">
        <f>IFERROR(__xludf.DUMMYFUNCTION("IFS(AND(COUNTA(C105:C147)=0,COUNTA(P105:P147)=0),"""",OR(AND(L105&gt;=1000000,OR(Y105&gt;=1000000,COUNTA(P105:P147)=0)),AND(Y105&gt;=1000000,COUNTA(C105:C147)=0),AND(COUNTA(P105:P147)=0,O$3=TRUE)),
ROUNDDOWN((AB$1-AC$1)*MAX(INDEX(S$4:S147,MATCH(LARGE(FILTER(Y$4:Y1"&amp;"47,Y$4:Y147&lt;1000000),1),Y$4:Y147)),INDEX(F$4:F147,MATCH(LARGE(FILTER(L$4:L147,L$4:L147&lt;1000000),1),L$4:L147)))),AND(L105&lt;1000000,COUNTA(C105:C147)&gt;0,O$3=FALSE),
ROUNDDOWN(INDEX(Y$4:Y147,MATCH(LARGE(FILTER(W$4:W147,W$4:W147&lt;=J105),1),W$4:W147))+(J105-LARGE"&amp;"(FILTER(W$4:W147,W$4:W147&lt;=J105),1))*INDEX(S$4:S147,MATCH(LARGE(FILTER(W$4:W147,W$4:W147&lt;=J105),1),W$4:W147))-L105),1,
ROUNDDOWN(Y105-INDEX(L$4:L147,MATCH(LARGE(FILTER(J$4:J147,J$4:J147&lt;=W105),1),J$4:J147))-(W105-LARGE(FILTER(J$4:J147,J$4:J147&lt;=W105),1))*"&amp;"INDEX(F$4:F147,MATCH(LARGE(FILTER(J$4:J147,J$4:J147&lt;=W105),1),J$4:J147))))"),3065.0)</f>
        <v>3065</v>
      </c>
      <c r="O105" s="65">
        <f t="shared" si="9"/>
        <v>35</v>
      </c>
      <c r="P105" s="15" t="s">
        <v>10</v>
      </c>
      <c r="Q105" s="14" t="b">
        <f>IFERROR(__xludf.DUMMYFUNCTION("IF(COUNTA(P105:P147)=0,"""",IFERROR(IF(ISBLANK(P105),FALSE,IF(ISBLANK(T105),1,IF(NOT(COUNTIF($AA$24:$AA$34,SUBSTITUTE(P105,""Sell_"",""""))),1,IF(P105=""Plastic_up"",IF(V105&lt;1000,1),IF(P105=""Super_Up"",IF(OR(COUNTIF(P$4:P105,""Grandma"")-COUNTIF(P$4:P105"&amp;",""Sell_Grandma"")&lt;1,COUNTIF(P$4:P105,VLOOKUP(P105,Upgrades!$F$8:$N$8,7+COUNTIF(P$4:P105,P105)))-COUNTIF(P$4:P105,""Sell_""&amp;VLOOKUP(P105,Upgrades!$F$8:$N$8,7+COUNTIF(P$4:P105,P105)))&lt;15),1),IF(REGEXMATCH(P105,""_up""),IF(COUNTIF(P$4:P105,SUBSTITUTE(P105,"&amp;"""_up"",""""))&lt;IFERROR(VLOOKUP(P105,Upgrades!$L$3:$P$6,1+COUNTIF(P$4:P105,P105),0),999),1),IF(REGEXMATCH(P105,""Sell_""),IF(COUNTIF(P$4:P105,SUBSTITUTE(P105,""Sell_"",""""))-COUNTIF(P$4:P104,P105)&lt;1,1),FALSE)))))))))"),FALSE)</f>
        <v>0</v>
      </c>
      <c r="R105" s="71">
        <f>IFERROR(__xludf.DUMMYFUNCTION("IF(REGEXMATCH(P105,""^Sell_""),R104, IF(COUNTA(P105:P147)=0,"""",(COUNTIF(P$4:P105,""Cursor"")-COUNTIF(P$4:P105,""Sell_Cursor""))*(0.1*2^SWITCH(COUNTIF(P$4:P105,""Cursor_up""),0,0,1,1,2,2,3)+SWITCH(COUNTIF(P$4:P105,""Cursor_up""),4,0.1,0)*(ROW(P105)-4-COU"&amp;"NTIF(P$4:P105,""Cursor"")-COUNTIF(P$4:P105,""*""&amp;""_up"")-2*COUNTIF(P$4:P105,""Sell_""&amp;""*"")+COUNTIF(P$4:P105,""Sell_Cursor"")-COUNTIF(P$4:P105,"""")))+(COUNTIF(P$4:P105,""Grandma"")-COUNTIF(P$4:P105,""Sell_Grandma""))*(1*2^(COUNTIF(P$4:P105,""Grandma_up"&amp;""")+COUNTIF(P$4:P105,""Super_up"")))+(COUNTIF(P$4:P105,""Farm"")-COUNTIF(P$4:P105,""Sell_Farm""))*(8*2^COUNTIF(P$4:P105,""Farm_up""))*IF(COUNTIF(P$4:P105,""Super_up"")&gt;0,1+0.01*(COUNTIF(P$4:P105,""Grandma"")-COUNTIF(P$4:P105,""Sell_Grandma"")),1)+(COUNTIF"&amp;"(P$4:P105,""Mine"")-COUNTIF(P$4:P105,""Sell_Mine""))*((47*2^COUNTIF(P$4:P105,""Mine_up""))*IF(COUNTIF(P$4:P105,""Super_up"")&gt;1,1+0.005*(COUNTIF(P$4:P105,""Grandma"")-COUNTIF(P$4:P105,""Sell_Grandma"")),1))+(COUNTIF(P$4:P105,""Factory"")-COUNTIF(P$4:P105,"&amp;"""Sell_Factory""))*(260*2^COUNTIF(P$4:P105,""Factory_up""))))"),1698.14)</f>
        <v>1698.14</v>
      </c>
      <c r="S105" s="73">
        <f>IFERROR(__xludf.DUMMYFUNCTION("IF(COUNTA(P105:P147)=0,"""",IF(REGEXMATCH(INDEX(FILTER(P$4:P105,P$4:P105&lt;&gt;""""),ROWS(FILTER(P$4:P105,P$4:P105&lt;&gt;""""))),""^Sell_""),INDEX(FILTER(S$4:S104,P$4:P104&lt;&gt;""""),ROWS(FILTER(P$4:P104,P$4:P104&lt;&gt;""""))),$AD$5*(2^SWITCH(COUNTIF(P$4:P105,""Cursor_up"")"&amp;",0,0,1,1,2,2,3)+SWITCH(COUNTIF(P$4:P105,""Cursor_up""),4,0.1,0)*(ROW(P105)-4-COUNTIF(P$4:P105,""Cursor"")-COUNTIF(P$4:P105,""*""&amp;""_up"")-2*COUNTIF(P$4:P105,""Sell_""&amp;""*"")+COUNTIF(P$4:P105,""Sell_Cursor"")-COUNTIF(P$4:P105,""""))+0.01*R105*COUNTIF(P$4:P"&amp;"105,""Plastic_up""))+R105))"),7794.42)</f>
        <v>7794.42</v>
      </c>
      <c r="T105" s="14">
        <f>IFERROR(__xludf.DUMMYFUNCTION("IF(COUNTA(P105:P147)=0,"""",IF(REGEXMATCH(P105,""_up""),VLOOKUP(P105,Upgrades!$F$3:$J$8,1+COUNTIF(P$4:P105,P105),FALSE),IF(P105="""",0,IF(REGEXMATCH(P105,""^Sell_""),-ROUNDDOWN(ROUNDUP(INDEX(Upgrades!$C$3:$C$8,MATCH(SUBSTITUTE(P105,""Sell_"",""""),Upgrade"&amp;"s!$B$3:$B$8,0))*1.15^(COUNTIF(P$4:P104,SUBSTITUTE(P105,""Sell_"",""""))-COUNTIF(P$4:P104,""Sell_""&amp;SUBSTITUTE(P105,""Sell_"",""""))))/4),ROUNDUP(INDEX(Upgrades!$C$3:$C$7,MATCH(P105,Upgrades!$B$3:$B$7,0))*1.15^(COUNTIF(P$4:P104,P105)-COUNTIF(P$4:P104,""Sel"&amp;"l_""&amp;P105)))))))"),1738.0)</f>
        <v>1738</v>
      </c>
      <c r="U105" s="14">
        <f t="shared" si="10"/>
        <v>1738</v>
      </c>
      <c r="V105" s="75">
        <f t="shared" si="11"/>
        <v>30181912.78</v>
      </c>
      <c r="W105" s="76">
        <f t="shared" si="12"/>
        <v>176.9656829</v>
      </c>
      <c r="X105" s="71" t="str">
        <f t="shared" si="13"/>
        <v>2m 56s</v>
      </c>
      <c r="Y105" s="77">
        <f t="shared" si="14"/>
        <v>556030</v>
      </c>
      <c r="Z105" s="17"/>
      <c r="AA105" s="13"/>
      <c r="AB105" s="13"/>
      <c r="AC105" s="13"/>
      <c r="AD105" s="13"/>
      <c r="AE105" s="13"/>
      <c r="AF105" s="13"/>
      <c r="AG105" s="13"/>
    </row>
    <row r="106">
      <c r="A106" s="12"/>
      <c r="B106" s="65">
        <f t="shared" si="2"/>
        <v>41</v>
      </c>
      <c r="C106" s="66" t="s">
        <v>10</v>
      </c>
      <c r="D106" s="14" t="b">
        <f>IFERROR(__xludf.DUMMYFUNCTION("IF(COUNTA(C106:C147)=0,"""",IFERROR(IF(ISBLANK(C106),FALSE,IF(ISBLANK(G106),1,IF(NOT(COUNTIF($AA$24:$AA$34,SUBSTITUTE(C106,""Sell_"",""""))),1,IF(C106=""Plastic_up"",IF(I106&lt;1000,1),IF(C106=""Super_Up"",IF(OR(COUNTIF(C$4:C106,""Grandma"")-COUNTIF(C$4:C106"&amp;",""Sell_Grandma"")&lt;1,COUNTIF(C$4:C106,VLOOKUP(C106,Upgrades!$F$8:$N$8,7+COUNTIF(C$4:C106,C106)))-COUNTIF(C$4:C106,""Sell_""&amp;VLOOKUP(C106,Upgrades!$F$8:$N$8,7+COUNTIF(C$4:C106,C106)))&lt;15),1),IF(REGEXMATCH(C106,""_up""),IF(COUNTIF(C$4:C106,SUBSTITUTE(C106,"&amp;"""_up"",""""))&lt;IFERROR(VLOOKUP(C106,Upgrades!$L$3:$P$6,1+COUNTIF(C$4:C106,C106),0),999),1),IF(REGEXMATCH(C106,""Sell_""),IF(COUNTIF(C$4:C106,SUBSTITUTE(C106,""Sell_"",""""))-COUNTIF(C$4:C105,C106)&lt;1,1),FALSE)))))))))"),FALSE)</f>
        <v>0</v>
      </c>
      <c r="E106" s="71">
        <f>IFERROR(__xludf.DUMMYFUNCTION("IF(REGEXMATCH(C106,""^Sell_""),E105, IF(COUNTA(C106:C147)=0,"""",(COUNTIF(C$4:C106,""Cursor"")-COUNTIF(C$4:C106,""Sell_Cursor""))*(0.1*2^SWITCH(COUNTIF(C$4:C106,""Cursor_up""),0,0,1,1,2,2,3)+SWITCH(COUNTIF(C$4:C106,""Cursor_up""),4,0.1,0)*(ROW(C106)-4-COU"&amp;"NTIF(C$4:C106,""Cursor"")-COUNTIF(C$4:C106,""*""&amp;""_up"")-2*COUNTIF(C$4:C106,""Sell_""&amp;""*"")+COUNTIF(C$4:C106,""Sell_Cursor"")-COUNTIF(C$4:C106,"""")))+(COUNTIF(C$4:C106,""Grandma"")-COUNTIF(C$4:C106,""Sell_Grandma""))*(1*2^(COUNTIF(C$4:C106,""Grandma_up"&amp;""")+COUNTIF(C$4:C106,""Super_up"")))+(COUNTIF(C$4:C106,""Farm"")-COUNTIF(C$4:C106,""Sell_Farm""))*(8*2^COUNTIF(C$4:C106,""Farm_up""))*IF(COUNTIF(C$4:C106,""Super_up"")&gt;0,1+0.01*(COUNTIF(C$4:C106,""Grandma"")-COUNTIF(C$4:C106,""Sell_Grandma"")),1)+(COUNTIF"&amp;"(C$4:C106,""Mine"")-COUNTIF(C$4:C106,""Sell_Mine""))*((47*2^COUNTIF(C$4:C106,""Mine_up""))*IF(COUNTIF(C$4:C106,""Super_up"")&gt;1,1+0.005*(COUNTIF(C$4:C106,""Grandma"")-COUNTIF(C$4:C106,""Sell_Grandma"")),1))+(COUNTIF(C$4:C106,""Factory"")-COUNTIF(C$4:C106,"&amp;"""Sell_Factory""))*(260*2^COUNTIF(C$4:C106,""Factory_up""))))"),1566.0)</f>
        <v>1566</v>
      </c>
      <c r="F106" s="73">
        <f>IFERROR(__xludf.DUMMYFUNCTION("IF(COUNTA(C106:C147)=0,"""",IF(REGEXMATCH(INDEX(FILTER(C$4:C106,C$4:C106&lt;&gt;""""),ROWS(FILTER(C$4:C106,C$4:C106&lt;&gt;""""))),""^Sell_""),INDEX(FILTER(F$4:F105,C$4:C105&lt;&gt;""""),ROWS(FILTER(C$4:C105,C$4:C105&lt;&gt;""""))),$AC$5*(2^SWITCH(COUNTIF(C$4:C106,""Cursor_up"")"&amp;",0,0,1,1,2,2,3)+SWITCH(COUNTIF(C$4:C106,""Cursor_up""),4,0.1,0)*(ROW(C106)-4-COUNTIF(C$4:C106,""Cursor"")-COUNTIF(C$4:C106,""*""&amp;""_up"")-2*COUNTIF(C$4:C106,""Sell_""&amp;""*"")+COUNTIF(C$4:C106,""Sell_Cursor"")-COUNTIF(C$4:C106,""""))+0.01*E106*COUNTIF(C$4:C"&amp;"106,""Plastic_up""))+E106))"),7298.0)</f>
        <v>7298</v>
      </c>
      <c r="G106" s="14">
        <f>IFERROR(__xludf.DUMMYFUNCTION("IF(COUNTA(C106:C147)=0,"""",IF(REGEXMATCH(C106,""_up""),VLOOKUP(C106,Upgrades!$F$3:$J$8,1+COUNTIF(C$4:C106,C106),FALSE),IF(C106="""",0,IF(REGEXMATCH(C106,""^Sell_""),-ROUNDDOWN(ROUNDUP(INDEX(Upgrades!$C$3:$C$8,MATCH(SUBSTITUTE(C106,""Sell_"",""""),Upgrade"&amp;"s!$B$3:$B$8,0))*1.15^(COUNTIF(C$4:C105,SUBSTITUTE(C106,""Sell_"",""""))-COUNTIF(C$4:C105,""Sell_""&amp;SUBSTITUTE(C106,""Sell_"",""""))))/4),ROUNDUP(INDEX(Upgrades!$C$3:$C$7,MATCH(C106,Upgrades!$B$3:$B$7,0))*1.15^(COUNTIF(C$4:C105,C106)-COUNTIF(C$4:C105,""Sel"&amp;"l_""&amp;C106)))))))"),4018.0)</f>
        <v>4018</v>
      </c>
      <c r="H106" s="14">
        <f t="shared" si="3"/>
        <v>4018</v>
      </c>
      <c r="I106" s="75">
        <f t="shared" si="4"/>
        <v>28278901.47</v>
      </c>
      <c r="J106" s="76">
        <f t="shared" si="5"/>
        <v>173.2936115</v>
      </c>
      <c r="K106" s="71" t="str">
        <f t="shared" si="6"/>
        <v>2m 53s</v>
      </c>
      <c r="L106" s="77">
        <f t="shared" si="7"/>
        <v>525074</v>
      </c>
      <c r="M106" s="51">
        <f t="shared" si="8"/>
        <v>-0.42327</v>
      </c>
      <c r="N106" s="52">
        <f>IFERROR(__xludf.DUMMYFUNCTION("IFS(AND(COUNTA(C106:C147)=0,COUNTA(P106:P147)=0),"""",OR(AND(L106&gt;=1000000,OR(Y106&gt;=1000000,COUNTA(P106:P147)=0)),AND(Y106&gt;=1000000,COUNTA(C106:C147)=0),AND(COUNTA(P106:P147)=0,O$3=TRUE)),
ROUNDDOWN((AB$1-AC$1)*MAX(INDEX(S$4:S147,MATCH(LARGE(FILTER(Y$4:Y1"&amp;"47,Y$4:Y147&lt;1000000),1),Y$4:Y147)),INDEX(F$4:F147,MATCH(LARGE(FILTER(L$4:L147,L$4:L147&lt;1000000),1),L$4:L147)))),AND(L106&lt;1000000,COUNTA(C106:C147)&gt;0,O$3=FALSE),
ROUNDDOWN(INDEX(Y$4:Y147,MATCH(LARGE(FILTER(W$4:W147,W$4:W147&lt;=J106),1),W$4:W147))+(J106-LARGE"&amp;"(FILTER(W$4:W147,W$4:W147&lt;=J106),1))*INDEX(S$4:S147,MATCH(LARGE(FILTER(W$4:W147,W$4:W147&lt;=J106),1),W$4:W147))-L106),1,
ROUNDDOWN(Y106-INDEX(L$4:L147,MATCH(LARGE(FILTER(J$4:J147,J$4:J147&lt;=W106),1),J$4:J147))-(W106-LARGE(FILTER(J$4:J147,J$4:J147&lt;=W106),1))*"&amp;"INDEX(F$4:F147,MATCH(LARGE(FILTER(J$4:J147,J$4:J147&lt;=W106),1),J$4:J147))))"),3135.0)</f>
        <v>3135</v>
      </c>
      <c r="O106" s="65">
        <f t="shared" si="9"/>
        <v>20</v>
      </c>
      <c r="P106" s="15" t="s">
        <v>16</v>
      </c>
      <c r="Q106" s="14" t="b">
        <f>IFERROR(__xludf.DUMMYFUNCTION("IF(COUNTA(P106:P147)=0,"""",IFERROR(IF(ISBLANK(P106),FALSE,IF(ISBLANK(T106),1,IF(NOT(COUNTIF($AA$24:$AA$34,SUBSTITUTE(P106,""Sell_"",""""))),1,IF(P106=""Plastic_up"",IF(V106&lt;1000,1),IF(P106=""Super_Up"",IF(OR(COUNTIF(P$4:P106,""Grandma"")-COUNTIF(P$4:P106"&amp;",""Sell_Grandma"")&lt;1,COUNTIF(P$4:P106,VLOOKUP(P106,Upgrades!$F$8:$N$8,7+COUNTIF(P$4:P106,P106)))-COUNTIF(P$4:P106,""Sell_""&amp;VLOOKUP(P106,Upgrades!$F$8:$N$8,7+COUNTIF(P$4:P106,P106)))&lt;15),1),IF(REGEXMATCH(P106,""_up""),IF(COUNTIF(P$4:P106,SUBSTITUTE(P106,"&amp;"""_up"",""""))&lt;IFERROR(VLOOKUP(P106,Upgrades!$L$3:$P$6,1+COUNTIF(P$4:P106,P106),0),999),1),IF(REGEXMATCH(P106,""Sell_""),IF(COUNTIF(P$4:P106,SUBSTITUTE(P106,""Sell_"",""""))-COUNTIF(P$4:P105,P106)&lt;1,1),FALSE)))))))))"),FALSE)</f>
        <v>0</v>
      </c>
      <c r="R106" s="71">
        <f>IFERROR(__xludf.DUMMYFUNCTION("IF(REGEXMATCH(P106,""^Sell_""),R105, IF(COUNTA(P106:P147)=0,"""",(COUNTIF(P$4:P106,""Cursor"")-COUNTIF(P$4:P106,""Sell_Cursor""))*(0.1*2^SWITCH(COUNTIF(P$4:P106,""Cursor_up""),0,0,1,1,2,2,3)+SWITCH(COUNTIF(P$4:P106,""Cursor_up""),4,0.1,0)*(ROW(P106)-4-COU"&amp;"NTIF(P$4:P106,""Cursor"")-COUNTIF(P$4:P106,""*""&amp;""_up"")-2*COUNTIF(P$4:P106,""Sell_""&amp;""*"")+COUNTIF(P$4:P106,""Sell_Cursor"")-COUNTIF(P$4:P106,"""")))+(COUNTIF(P$4:P106,""Grandma"")-COUNTIF(P$4:P106,""Sell_Grandma""))*(1*2^(COUNTIF(P$4:P106,""Grandma_up"&amp;""")+COUNTIF(P$4:P106,""Super_up"")))+(COUNTIF(P$4:P106,""Farm"")-COUNTIF(P$4:P106,""Sell_Farm""))*(8*2^COUNTIF(P$4:P106,""Farm_up""))*IF(COUNTIF(P$4:P106,""Super_up"")&gt;0,1+0.01*(COUNTIF(P$4:P106,""Grandma"")-COUNTIF(P$4:P106,""Sell_Grandma"")),1)+(COUNTIF"&amp;"(P$4:P106,""Mine"")-COUNTIF(P$4:P106,""Sell_Mine""))*((47*2^COUNTIF(P$4:P106,""Mine_up""))*IF(COUNTIF(P$4:P106,""Super_up"")&gt;1,1+0.005*(COUNTIF(P$4:P106,""Grandma"")-COUNTIF(P$4:P106,""Sell_Grandma"")),1))+(COUNTIF(P$4:P106,""Factory"")-COUNTIF(P$4:P106,"&amp;"""Sell_Factory""))*(260*2^COUNTIF(P$4:P106,""Factory_up""))))"),1744.2)</f>
        <v>1744.2</v>
      </c>
      <c r="S106" s="73">
        <f>IFERROR(__xludf.DUMMYFUNCTION("IF(COUNTA(P106:P147)=0,"""",IF(REGEXMATCH(INDEX(FILTER(P$4:P106,P$4:P106&lt;&gt;""""),ROWS(FILTER(P$4:P106,P$4:P106&lt;&gt;""""))),""^Sell_""),INDEX(FILTER(S$4:S105,P$4:P105&lt;&gt;""""),ROWS(FILTER(P$4:P105,P$4:P105&lt;&gt;""""))),$AD$5*(2^SWITCH(COUNTIF(P$4:P106,""Cursor_up"")"&amp;",0,0,1,1,2,2,3)+SWITCH(COUNTIF(P$4:P106,""Cursor_up""),4,0.1,0)*(ROW(P106)-4-COUNTIF(P$4:P106,""Cursor"")-COUNTIF(P$4:P106,""*""&amp;""_up"")-2*COUNTIF(P$4:P106,""Sell_""&amp;""*"")+COUNTIF(P$4:P106,""Sell_Cursor"")-COUNTIF(P$4:P106,""""))+0.01*R106*COUNTIF(P$4:P"&amp;"106,""Plastic_up""))+R106))"),7952.6)</f>
        <v>7952.6</v>
      </c>
      <c r="T106" s="14">
        <f>IFERROR(__xludf.DUMMYFUNCTION("IF(COUNTA(P106:P147)=0,"""",IF(REGEXMATCH(P106,""_up""),VLOOKUP(P106,Upgrades!$F$3:$J$8,1+COUNTIF(P$4:P106,P106),FALSE),IF(P106="""",0,IF(REGEXMATCH(P106,""^Sell_""),-ROUNDDOWN(ROUNDUP(INDEX(Upgrades!$C$3:$C$8,MATCH(SUBSTITUTE(P106,""Sell_"",""""),Upgrade"&amp;"s!$B$3:$B$8,0))*1.15^(COUNTIF(P$4:P105,SUBSTITUTE(P106,""Sell_"",""""))-COUNTIF(P$4:P105,""Sell_""&amp;SUBSTITUTE(P106,""Sell_"",""""))))/4),ROUNDUP(INDEX(Upgrades!$C$3:$C$7,MATCH(P106,Upgrades!$B$3:$B$7,0))*1.15^(COUNTIF(P$4:P105,P106)-COUNTIF(P$4:P105,""Sel"&amp;"l_""&amp;P106)))))))"),15655.0)</f>
        <v>15655</v>
      </c>
      <c r="U106" s="14">
        <f t="shared" si="10"/>
        <v>15655</v>
      </c>
      <c r="V106" s="75">
        <f t="shared" si="11"/>
        <v>31272989.44</v>
      </c>
      <c r="W106" s="76">
        <f t="shared" si="12"/>
        <v>178.974171</v>
      </c>
      <c r="X106" s="71" t="str">
        <f t="shared" si="13"/>
        <v>2m 58s</v>
      </c>
      <c r="Y106" s="77">
        <f t="shared" si="14"/>
        <v>571685</v>
      </c>
      <c r="Z106" s="17"/>
      <c r="AA106" s="13"/>
      <c r="AB106" s="13"/>
      <c r="AC106" s="13"/>
      <c r="AD106" s="13"/>
      <c r="AE106" s="13"/>
      <c r="AF106" s="13"/>
      <c r="AG106" s="13"/>
    </row>
    <row r="107">
      <c r="A107" s="12"/>
      <c r="B107" s="65">
        <f t="shared" si="2"/>
        <v>31</v>
      </c>
      <c r="C107" s="66" t="s">
        <v>13</v>
      </c>
      <c r="D107" s="14" t="b">
        <f>IFERROR(__xludf.DUMMYFUNCTION("IF(COUNTA(C107:C147)=0,"""",IFERROR(IF(ISBLANK(C107),FALSE,IF(ISBLANK(G107),1,IF(NOT(COUNTIF($AA$24:$AA$34,SUBSTITUTE(C107,""Sell_"",""""))),1,IF(C107=""Plastic_up"",IF(I107&lt;1000,1),IF(C107=""Super_Up"",IF(OR(COUNTIF(C$4:C107,""Grandma"")-COUNTIF(C$4:C107"&amp;",""Sell_Grandma"")&lt;1,COUNTIF(C$4:C107,VLOOKUP(C107,Upgrades!$F$8:$N$8,7+COUNTIF(C$4:C107,C107)))-COUNTIF(C$4:C107,""Sell_""&amp;VLOOKUP(C107,Upgrades!$F$8:$N$8,7+COUNTIF(C$4:C107,C107)))&lt;15),1),IF(REGEXMATCH(C107,""_up""),IF(COUNTIF(C$4:C107,SUBSTITUTE(C107,"&amp;"""_up"",""""))&lt;IFERROR(VLOOKUP(C107,Upgrades!$L$3:$P$6,1+COUNTIF(C$4:C107,C107),0),999),1),IF(REGEXMATCH(C107,""Sell_""),IF(COUNTIF(C$4:C107,SUBSTITUTE(C107,""Sell_"",""""))-COUNTIF(C$4:C106,C107)&lt;1,1),FALSE)))))))))"),FALSE)</f>
        <v>0</v>
      </c>
      <c r="E107" s="71">
        <f>IFERROR(__xludf.DUMMYFUNCTION("IF(REGEXMATCH(C107,""^Sell_""),E106, IF(COUNTA(C107:C147)=0,"""",(COUNTIF(C$4:C107,""Cursor"")-COUNTIF(C$4:C107,""Sell_Cursor""))*(0.1*2^SWITCH(COUNTIF(C$4:C107,""Cursor_up""),0,0,1,1,2,2,3)+SWITCH(COUNTIF(C$4:C107,""Cursor_up""),4,0.1,0)*(ROW(C107)-4-COU"&amp;"NTIF(C$4:C107,""Cursor"")-COUNTIF(C$4:C107,""*""&amp;""_up"")-2*COUNTIF(C$4:C107,""Sell_""&amp;""*"")+COUNTIF(C$4:C107,""Sell_Cursor"")-COUNTIF(C$4:C107,"""")))+(COUNTIF(C$4:C107,""Grandma"")-COUNTIF(C$4:C107,""Sell_Grandma""))*(1*2^(COUNTIF(C$4:C107,""Grandma_up"&amp;""")+COUNTIF(C$4:C107,""Super_up"")))+(COUNTIF(C$4:C107,""Farm"")-COUNTIF(C$4:C107,""Sell_Farm""))*(8*2^COUNTIF(C$4:C107,""Farm_up""))*IF(COUNTIF(C$4:C107,""Super_up"")&gt;0,1+0.01*(COUNTIF(C$4:C107,""Grandma"")-COUNTIF(C$4:C107,""Sell_Grandma"")),1)+(COUNTIF"&amp;"(C$4:C107,""Mine"")-COUNTIF(C$4:C107,""Sell_Mine""))*((47*2^COUNTIF(C$4:C107,""Mine_up""))*IF(COUNTIF(C$4:C107,""Super_up"")&gt;1,1+0.005*(COUNTIF(C$4:C107,""Grandma"")-COUNTIF(C$4:C107,""Sell_Grandma"")),1))+(COUNTIF(C$4:C107,""Factory"")-COUNTIF(C$4:C107,"&amp;"""Sell_Factory""))*(260*2^COUNTIF(C$4:C107,""Factory_up""))))"),1591.54)</f>
        <v>1591.54</v>
      </c>
      <c r="F107" s="73">
        <f>IFERROR(__xludf.DUMMYFUNCTION("IF(COUNTA(C107:C147)=0,"""",IF(REGEXMATCH(INDEX(FILTER(C$4:C107,C$4:C107&lt;&gt;""""),ROWS(FILTER(C$4:C107,C$4:C107&lt;&gt;""""))),""^Sell_""),INDEX(FILTER(F$4:F106,C$4:C106&lt;&gt;""""),ROWS(FILTER(C$4:C106,C$4:C106&lt;&gt;""""))),$AC$5*(2^SWITCH(COUNTIF(C$4:C107,""Cursor_up"")"&amp;",0,0,1,1,2,2,3)+SWITCH(COUNTIF(C$4:C107,""Cursor_up""),4,0.1,0)*(ROW(C107)-4-COUNTIF(C$4:C107,""Cursor"")-COUNTIF(C$4:C107,""*""&amp;""_up"")-2*COUNTIF(C$4:C107,""Sell_""&amp;""*"")+COUNTIF(C$4:C107,""Sell_Cursor"")-COUNTIF(C$4:C107,""""))+0.01*E107*COUNTIF(C$4:C"&amp;"107,""Plastic_up""))+E107))"),7394.62)</f>
        <v>7394.62</v>
      </c>
      <c r="G107" s="14">
        <f>IFERROR(__xludf.DUMMYFUNCTION("IF(COUNTA(C107:C147)=0,"""",IF(REGEXMATCH(C107,""_up""),VLOOKUP(C107,Upgrades!$F$3:$J$8,1+COUNTIF(C$4:C107,C107),FALSE),IF(C107="""",0,IF(REGEXMATCH(C107,""^Sell_""),-ROUNDDOWN(ROUNDUP(INDEX(Upgrades!$C$3:$C$8,MATCH(SUBSTITUTE(C107,""Sell_"",""""),Upgrade"&amp;"s!$B$3:$B$8,0))*1.15^(COUNTIF(C$4:C106,SUBSTITUTE(C107,""Sell_"",""""))-COUNTIF(C$4:C106,""Sell_""&amp;SUBSTITUTE(C107,""Sell_"",""""))))/4),ROUNDUP(INDEX(Upgrades!$C$3:$C$7,MATCH(C107,Upgrades!$B$3:$B$7,0))*1.15^(COUNTIF(C$4:C106,C107)-COUNTIF(C$4:C106,""Sel"&amp;"l_""&amp;C107)))))))"),6622.0)</f>
        <v>6622</v>
      </c>
      <c r="H107" s="14">
        <f t="shared" si="3"/>
        <v>6622</v>
      </c>
      <c r="I107" s="75">
        <f t="shared" si="4"/>
        <v>29277421.5</v>
      </c>
      <c r="J107" s="76">
        <f t="shared" si="5"/>
        <v>174.2009834</v>
      </c>
      <c r="K107" s="71" t="str">
        <f t="shared" si="6"/>
        <v>2m 54s</v>
      </c>
      <c r="L107" s="77">
        <f t="shared" si="7"/>
        <v>531696</v>
      </c>
      <c r="M107" s="51">
        <f t="shared" si="8"/>
        <v>-0.43903</v>
      </c>
      <c r="N107" s="52">
        <f>IFERROR(__xludf.DUMMYFUNCTION("IFS(AND(COUNTA(C107:C147)=0,COUNTA(P107:P147)=0),"""",OR(AND(L107&gt;=1000000,OR(Y107&gt;=1000000,COUNTA(P107:P147)=0)),AND(Y107&gt;=1000000,COUNTA(C107:C147)=0),AND(COUNTA(P107:P147)=0,O$3=TRUE)),
ROUNDDOWN((AB$1-AC$1)*MAX(INDEX(S$4:S147,MATCH(LARGE(FILTER(Y$4:Y1"&amp;"47,Y$4:Y147&lt;1000000),1),Y$4:Y147)),INDEX(F$4:F147,MATCH(LARGE(FILTER(L$4:L147,L$4:L147&lt;1000000),1),L$4:L147)))),AND(L107&lt;1000000,COUNTA(C107:C147)&gt;0,O$3=FALSE),
ROUNDDOWN(INDEX(Y$4:Y147,MATCH(LARGE(FILTER(W$4:W147,W$4:W147&lt;=J107),1),W$4:W147))+(J107-LARGE"&amp;"(FILTER(W$4:W147,W$4:W147&lt;=J107),1))*INDEX(S$4:S147,MATCH(LARGE(FILTER(W$4:W147,W$4:W147&lt;=J107),1),W$4:W147))-L107),1,
ROUNDDOWN(Y107-INDEX(L$4:L147,MATCH(LARGE(FILTER(J$4:J147,J$4:J147&lt;=W107),1),J$4:J147))-(W107-LARGE(FILTER(J$4:J147,J$4:J147&lt;=W107),1))*"&amp;"INDEX(F$4:F147,MATCH(LARGE(FILTER(J$4:J147,J$4:J147&lt;=W107),1),J$4:J147))))"),3301.0)</f>
        <v>3301</v>
      </c>
      <c r="O107" s="65">
        <f t="shared" si="9"/>
        <v>36</v>
      </c>
      <c r="P107" s="15" t="s">
        <v>10</v>
      </c>
      <c r="Q107" s="14" t="b">
        <f>IFERROR(__xludf.DUMMYFUNCTION("IF(COUNTA(P107:P147)=0,"""",IFERROR(IF(ISBLANK(P107),FALSE,IF(ISBLANK(T107),1,IF(NOT(COUNTIF($AA$24:$AA$34,SUBSTITUTE(P107,""Sell_"",""""))),1,IF(P107=""Plastic_up"",IF(V107&lt;1000,1),IF(P107=""Super_Up"",IF(OR(COUNTIF(P$4:P107,""Grandma"")-COUNTIF(P$4:P107"&amp;",""Sell_Grandma"")&lt;1,COUNTIF(P$4:P107,VLOOKUP(P107,Upgrades!$F$8:$N$8,7+COUNTIF(P$4:P107,P107)))-COUNTIF(P$4:P107,""Sell_""&amp;VLOOKUP(P107,Upgrades!$F$8:$N$8,7+COUNTIF(P$4:P107,P107)))&lt;15),1),IF(REGEXMATCH(P107,""_up""),IF(COUNTIF(P$4:P107,SUBSTITUTE(P107,"&amp;"""_up"",""""))&lt;IFERROR(VLOOKUP(P107,Upgrades!$L$3:$P$6,1+COUNTIF(P$4:P107,P107),0),999),1),IF(REGEXMATCH(P107,""Sell_""),IF(COUNTIF(P$4:P107,SUBSTITUTE(P107,""Sell_"",""""))-COUNTIF(P$4:P106,P107)&lt;1,1),FALSE)))))))))"),FALSE)</f>
        <v>0</v>
      </c>
      <c r="R107" s="71">
        <f>IFERROR(__xludf.DUMMYFUNCTION("IF(REGEXMATCH(P107,""^Sell_""),R106, IF(COUNTA(P107:P147)=0,"""",(COUNTIF(P$4:P107,""Cursor"")-COUNTIF(P$4:P107,""Sell_Cursor""))*(0.1*2^SWITCH(COUNTIF(P$4:P107,""Cursor_up""),0,0,1,1,2,2,3)+SWITCH(COUNTIF(P$4:P107,""Cursor_up""),4,0.1,0)*(ROW(P107)-4-COU"&amp;"NTIF(P$4:P107,""Cursor"")-COUNTIF(P$4:P107,""*""&amp;""_up"")-2*COUNTIF(P$4:P107,""Sell_""&amp;""*"")+COUNTIF(P$4:P107,""Sell_Cursor"")-COUNTIF(P$4:P107,"""")))+(COUNTIF(P$4:P107,""Grandma"")-COUNTIF(P$4:P107,""Sell_Grandma""))*(1*2^(COUNTIF(P$4:P107,""Grandma_up"&amp;""")+COUNTIF(P$4:P107,""Super_up"")))+(COUNTIF(P$4:P107,""Farm"")-COUNTIF(P$4:P107,""Sell_Farm""))*(8*2^COUNTIF(P$4:P107,""Farm_up""))*IF(COUNTIF(P$4:P107,""Super_up"")&gt;0,1+0.01*(COUNTIF(P$4:P107,""Grandma"")-COUNTIF(P$4:P107,""Sell_Grandma"")),1)+(COUNTIF"&amp;"(P$4:P107,""Mine"")-COUNTIF(P$4:P107,""Sell_Mine""))*((47*2^COUNTIF(P$4:P107,""Mine_up""))*IF(COUNTIF(P$4:P107,""Super_up"")&gt;1,1+0.005*(COUNTIF(P$4:P107,""Grandma"")-COUNTIF(P$4:P107,""Sell_Grandma"")),1))+(COUNTIF(P$4:P107,""Factory"")-COUNTIF(P$4:P107,"&amp;"""Sell_Factory""))*(260*2^COUNTIF(P$4:P107,""Factory_up""))))"),1750.6)</f>
        <v>1750.6</v>
      </c>
      <c r="S107" s="73">
        <f>IFERROR(__xludf.DUMMYFUNCTION("IF(COUNTA(P107:P147)=0,"""",IF(REGEXMATCH(INDEX(FILTER(P$4:P107,P$4:P107&lt;&gt;""""),ROWS(FILTER(P$4:P107,P$4:P107&lt;&gt;""""))),""^Sell_""),INDEX(FILTER(S$4:S106,P$4:P106&lt;&gt;""""),ROWS(FILTER(P$4:P106,P$4:P106&lt;&gt;""""))),$AD$5*(2^SWITCH(COUNTIF(P$4:P107,""Cursor_up"")"&amp;",0,0,1,1,2,2,3)+SWITCH(COUNTIF(P$4:P107,""Cursor_up""),4,0.1,0)*(ROW(P107)-4-COUNTIF(P$4:P107,""Cursor"")-COUNTIF(P$4:P107,""*""&amp;""_up"")-2*COUNTIF(P$4:P107,""Sell_""&amp;""*"")+COUNTIF(P$4:P107,""Sell_Cursor"")-COUNTIF(P$4:P107,""""))+0.01*R107*COUNTIF(P$4:P"&amp;"107,""Plastic_up""))+R107))"),7971.800000000001)</f>
        <v>7971.8</v>
      </c>
      <c r="T107" s="14">
        <f>IFERROR(__xludf.DUMMYFUNCTION("IF(COUNTA(P107:P147)=0,"""",IF(REGEXMATCH(P107,""_up""),VLOOKUP(P107,Upgrades!$F$3:$J$8,1+COUNTIF(P$4:P107,P107),FALSE),IF(P107="""",0,IF(REGEXMATCH(P107,""^Sell_""),-ROUNDDOWN(ROUNDUP(INDEX(Upgrades!$C$3:$C$8,MATCH(SUBSTITUTE(P107,""Sell_"",""""),Upgrade"&amp;"s!$B$3:$B$8,0))*1.15^(COUNTIF(P$4:P106,SUBSTITUTE(P107,""Sell_"",""""))-COUNTIF(P$4:P106,""Sell_""&amp;SUBSTITUTE(P107,""Sell_"",""""))))/4),ROUNDUP(INDEX(Upgrades!$C$3:$C$7,MATCH(P107,Upgrades!$B$3:$B$7,0))*1.15^(COUNTIF(P$4:P106,P107)-COUNTIF(P$4:P106,""Sel"&amp;"l_""&amp;P107)))))))"),1998.0)</f>
        <v>1998</v>
      </c>
      <c r="U107" s="14">
        <f t="shared" si="10"/>
        <v>1998</v>
      </c>
      <c r="V107" s="75">
        <f t="shared" si="11"/>
        <v>32385692.47</v>
      </c>
      <c r="W107" s="76">
        <f t="shared" si="12"/>
        <v>179.2254096</v>
      </c>
      <c r="X107" s="71" t="str">
        <f t="shared" si="13"/>
        <v>2m 59s</v>
      </c>
      <c r="Y107" s="77">
        <f t="shared" si="14"/>
        <v>573683</v>
      </c>
      <c r="Z107" s="17"/>
      <c r="AA107" s="13"/>
      <c r="AB107" s="13"/>
      <c r="AC107" s="13"/>
      <c r="AD107" s="13"/>
      <c r="AE107" s="13"/>
      <c r="AF107" s="13"/>
      <c r="AG107" s="13"/>
    </row>
    <row r="108">
      <c r="A108" s="12"/>
      <c r="B108" s="65">
        <f t="shared" si="2"/>
        <v>32</v>
      </c>
      <c r="C108" s="66" t="s">
        <v>13</v>
      </c>
      <c r="D108" s="14" t="b">
        <f>IFERROR(__xludf.DUMMYFUNCTION("IF(COUNTA(C108:C147)=0,"""",IFERROR(IF(ISBLANK(C108),FALSE,IF(ISBLANK(G108),1,IF(NOT(COUNTIF($AA$24:$AA$34,SUBSTITUTE(C108,""Sell_"",""""))),1,IF(C108=""Plastic_up"",IF(I108&lt;1000,1),IF(C108=""Super_Up"",IF(OR(COUNTIF(C$4:C108,""Grandma"")-COUNTIF(C$4:C108"&amp;",""Sell_Grandma"")&lt;1,COUNTIF(C$4:C108,VLOOKUP(C108,Upgrades!$F$8:$N$8,7+COUNTIF(C$4:C108,C108)))-COUNTIF(C$4:C108,""Sell_""&amp;VLOOKUP(C108,Upgrades!$F$8:$N$8,7+COUNTIF(C$4:C108,C108)))&lt;15),1),IF(REGEXMATCH(C108,""_up""),IF(COUNTIF(C$4:C108,SUBSTITUTE(C108,"&amp;"""_up"",""""))&lt;IFERROR(VLOOKUP(C108,Upgrades!$L$3:$P$6,1+COUNTIF(C$4:C108,C108),0),999),1),IF(REGEXMATCH(C108,""Sell_""),IF(COUNTIF(C$4:C108,SUBSTITUTE(C108,""Sell_"",""""))-COUNTIF(C$4:C107,C108)&lt;1,1),FALSE)))))))))"),FALSE)</f>
        <v>0</v>
      </c>
      <c r="E108" s="71">
        <f>IFERROR(__xludf.DUMMYFUNCTION("IF(REGEXMATCH(C108,""^Sell_""),E107, IF(COUNTA(C108:C147)=0,"""",(COUNTIF(C$4:C108,""Cursor"")-COUNTIF(C$4:C108,""Sell_Cursor""))*(0.1*2^SWITCH(COUNTIF(C$4:C108,""Cursor_up""),0,0,1,1,2,2,3)+SWITCH(COUNTIF(C$4:C108,""Cursor_up""),4,0.1,0)*(ROW(C108)-4-COU"&amp;"NTIF(C$4:C108,""Cursor"")-COUNTIF(C$4:C108,""*""&amp;""_up"")-2*COUNTIF(C$4:C108,""Sell_""&amp;""*"")+COUNTIF(C$4:C108,""Sell_Cursor"")-COUNTIF(C$4:C108,"""")))+(COUNTIF(C$4:C108,""Grandma"")-COUNTIF(C$4:C108,""Sell_Grandma""))*(1*2^(COUNTIF(C$4:C108,""Grandma_up"&amp;""")+COUNTIF(C$4:C108,""Super_up"")))+(COUNTIF(C$4:C108,""Farm"")-COUNTIF(C$4:C108,""Sell_Farm""))*(8*2^COUNTIF(C$4:C108,""Farm_up""))*IF(COUNTIF(C$4:C108,""Super_up"")&gt;0,1+0.01*(COUNTIF(C$4:C108,""Grandma"")-COUNTIF(C$4:C108,""Sell_Grandma"")),1)+(COUNTIF"&amp;"(C$4:C108,""Mine"")-COUNTIF(C$4:C108,""Sell_Mine""))*((47*2^COUNTIF(C$4:C108,""Mine_up""))*IF(COUNTIF(C$4:C108,""Super_up"")&gt;1,1+0.005*(COUNTIF(C$4:C108,""Grandma"")-COUNTIF(C$4:C108,""Sell_Grandma"")),1))+(COUNTIF(C$4:C108,""Factory"")-COUNTIF(C$4:C108,"&amp;"""Sell_Factory""))*(260*2^COUNTIF(C$4:C108,""Factory_up""))))"),1617.08)</f>
        <v>1617.08</v>
      </c>
      <c r="F108" s="73">
        <f>IFERROR(__xludf.DUMMYFUNCTION("IF(COUNTA(C108:C147)=0,"""",IF(REGEXMATCH(INDEX(FILTER(C$4:C108,C$4:C108&lt;&gt;""""),ROWS(FILTER(C$4:C108,C$4:C108&lt;&gt;""""))),""^Sell_""),INDEX(FILTER(F$4:F107,C$4:C107&lt;&gt;""""),ROWS(FILTER(C$4:C107,C$4:C107&lt;&gt;""""))),$AC$5*(2^SWITCH(COUNTIF(C$4:C108,""Cursor_up"")"&amp;",0,0,1,1,2,2,3)+SWITCH(COUNTIF(C$4:C108,""Cursor_up""),4,0.1,0)*(ROW(C108)-4-COUNTIF(C$4:C108,""Cursor"")-COUNTIF(C$4:C108,""*""&amp;""_up"")-2*COUNTIF(C$4:C108,""Sell_""&amp;""*"")+COUNTIF(C$4:C108,""Sell_Cursor"")-COUNTIF(C$4:C108,""""))+0.01*E108*COUNTIF(C$4:C"&amp;"108,""Plastic_up""))+E108))"),7491.24)</f>
        <v>7491.24</v>
      </c>
      <c r="G108" s="14">
        <f>IFERROR(__xludf.DUMMYFUNCTION("IF(COUNTA(C108:C147)=0,"""",IF(REGEXMATCH(C108,""_up""),VLOOKUP(C108,Upgrades!$F$3:$J$8,1+COUNTIF(C$4:C108,C108),FALSE),IF(C108="""",0,IF(REGEXMATCH(C108,""^Sell_""),-ROUNDDOWN(ROUNDUP(INDEX(Upgrades!$C$3:$C$8,MATCH(SUBSTITUTE(C108,""Sell_"",""""),Upgrade"&amp;"s!$B$3:$B$8,0))*1.15^(COUNTIF(C$4:C107,SUBSTITUTE(C108,""Sell_"",""""))-COUNTIF(C$4:C107,""Sell_""&amp;SUBSTITUTE(C108,""Sell_"",""""))))/4),ROUNDUP(INDEX(Upgrades!$C$3:$C$7,MATCH(C108,Upgrades!$B$3:$B$7,0))*1.15^(COUNTIF(C$4:C107,C108)-COUNTIF(C$4:C107,""Sel"&amp;"l_""&amp;C108)))))))"),7615.0)</f>
        <v>7615</v>
      </c>
      <c r="H108" s="14">
        <f t="shared" si="3"/>
        <v>7615</v>
      </c>
      <c r="I108" s="75">
        <f t="shared" si="4"/>
        <v>30294299.77</v>
      </c>
      <c r="J108" s="76">
        <f t="shared" si="5"/>
        <v>175.2307861</v>
      </c>
      <c r="K108" s="71" t="str">
        <f t="shared" si="6"/>
        <v>2m 55s</v>
      </c>
      <c r="L108" s="77">
        <f t="shared" si="7"/>
        <v>539311</v>
      </c>
      <c r="M108" s="51">
        <f t="shared" si="8"/>
        <v>-0.45641</v>
      </c>
      <c r="N108" s="52">
        <f>IFERROR(__xludf.DUMMYFUNCTION("IFS(AND(COUNTA(C108:C147)=0,COUNTA(P108:P147)=0),"""",OR(AND(L108&gt;=1000000,OR(Y108&gt;=1000000,COUNTA(P108:P147)=0)),AND(Y108&gt;=1000000,COUNTA(C108:C147)=0),AND(COUNTA(P108:P147)=0,O$3=TRUE)),
ROUNDDOWN((AB$1-AC$1)*MAX(INDEX(S$4:S147,MATCH(LARGE(FILTER(Y$4:Y1"&amp;"47,Y$4:Y147&lt;1000000),1),Y$4:Y147)),INDEX(F$4:F147,MATCH(LARGE(FILTER(L$4:L147,L$4:L147&lt;1000000),1),L$4:L147)))),AND(L108&lt;1000000,COUNTA(C108:C147)&gt;0,O$3=FALSE),
ROUNDDOWN(INDEX(Y$4:Y147,MATCH(LARGE(FILTER(W$4:W147,W$4:W147&lt;=J108),1),W$4:W147))+(J108-LARGE"&amp;"(FILTER(W$4:W147,W$4:W147&lt;=J108),1))*INDEX(S$4:S147,MATCH(LARGE(FILTER(W$4:W147,W$4:W147&lt;=J108),1),W$4:W147))-L108),1,
ROUNDDOWN(Y108-INDEX(L$4:L147,MATCH(LARGE(FILTER(J$4:J147,J$4:J147&lt;=W108),1),J$4:J147))-(W108-LARGE(FILTER(J$4:J147,J$4:J147&lt;=W108),1))*"&amp;"INDEX(F$4:F147,MATCH(LARGE(FILTER(J$4:J147,J$4:J147&lt;=W108),1),J$4:J147))))"),3433.0)</f>
        <v>3433</v>
      </c>
      <c r="O108" s="65">
        <f t="shared" si="9"/>
        <v>34</v>
      </c>
      <c r="P108" s="15" t="s">
        <v>13</v>
      </c>
      <c r="Q108" s="14" t="b">
        <f>IFERROR(__xludf.DUMMYFUNCTION("IF(COUNTA(P108:P147)=0,"""",IFERROR(IF(ISBLANK(P108),FALSE,IF(ISBLANK(T108),1,IF(NOT(COUNTIF($AA$24:$AA$34,SUBSTITUTE(P108,""Sell_"",""""))),1,IF(P108=""Plastic_up"",IF(V108&lt;1000,1),IF(P108=""Super_Up"",IF(OR(COUNTIF(P$4:P108,""Grandma"")-COUNTIF(P$4:P108"&amp;",""Sell_Grandma"")&lt;1,COUNTIF(P$4:P108,VLOOKUP(P108,Upgrades!$F$8:$N$8,7+COUNTIF(P$4:P108,P108)))-COUNTIF(P$4:P108,""Sell_""&amp;VLOOKUP(P108,Upgrades!$F$8:$N$8,7+COUNTIF(P$4:P108,P108)))&lt;15),1),IF(REGEXMATCH(P108,""_up""),IF(COUNTIF(P$4:P108,SUBSTITUTE(P108,"&amp;"""_up"",""""))&lt;IFERROR(VLOOKUP(P108,Upgrades!$L$3:$P$6,1+COUNTIF(P$4:P108,P108),0),999),1),IF(REGEXMATCH(P108,""Sell_""),IF(COUNTIF(P$4:P108,SUBSTITUTE(P108,""Sell_"",""""))-COUNTIF(P$4:P107,P108)&lt;1,1),FALSE)))))))))"),FALSE)</f>
        <v>0</v>
      </c>
      <c r="R108" s="71">
        <f>IFERROR(__xludf.DUMMYFUNCTION("IF(REGEXMATCH(P108,""^Sell_""),R107, IF(COUNTA(P108:P147)=0,"""",(COUNTIF(P$4:P108,""Cursor"")-COUNTIF(P$4:P108,""Sell_Cursor""))*(0.1*2^SWITCH(COUNTIF(P$4:P108,""Cursor_up""),0,0,1,1,2,2,3)+SWITCH(COUNTIF(P$4:P108,""Cursor_up""),4,0.1,0)*(ROW(P108)-4-COU"&amp;"NTIF(P$4:P108,""Cursor"")-COUNTIF(P$4:P108,""*""&amp;""_up"")-2*COUNTIF(P$4:P108,""Sell_""&amp;""*"")+COUNTIF(P$4:P108,""Sell_Cursor"")-COUNTIF(P$4:P108,"""")))+(COUNTIF(P$4:P108,""Grandma"")-COUNTIF(P$4:P108,""Sell_Grandma""))*(1*2^(COUNTIF(P$4:P108,""Grandma_up"&amp;""")+COUNTIF(P$4:P108,""Super_up"")))+(COUNTIF(P$4:P108,""Farm"")-COUNTIF(P$4:P108,""Sell_Farm""))*(8*2^COUNTIF(P$4:P108,""Farm_up""))*IF(COUNTIF(P$4:P108,""Super_up"")&gt;0,1+0.01*(COUNTIF(P$4:P108,""Grandma"")-COUNTIF(P$4:P108,""Sell_Grandma"")),1)+(COUNTIF"&amp;"(P$4:P108,""Mine"")-COUNTIF(P$4:P108,""Sell_Mine""))*((47*2^COUNTIF(P$4:P108,""Mine_up""))*IF(COUNTIF(P$4:P108,""Super_up"")&gt;1,1+0.005*(COUNTIF(P$4:P108,""Grandma"")-COUNTIF(P$4:P108,""Sell_Grandma"")),1))+(COUNTIF(P$4:P108,""Factory"")-COUNTIF(P$4:P108,"&amp;"""Sell_Factory""))*(260*2^COUNTIF(P$4:P108,""Factory_up""))))"),1776.6)</f>
        <v>1776.6</v>
      </c>
      <c r="S108" s="73">
        <f>IFERROR(__xludf.DUMMYFUNCTION("IF(COUNTA(P108:P147)=0,"""",IF(REGEXMATCH(INDEX(FILTER(P$4:P108,P$4:P108&lt;&gt;""""),ROWS(FILTER(P$4:P108,P$4:P108&lt;&gt;""""))),""^Sell_""),INDEX(FILTER(S$4:S107,P$4:P107&lt;&gt;""""),ROWS(FILTER(P$4:P107,P$4:P107&lt;&gt;""""))),$AD$5*(2^SWITCH(COUNTIF(P$4:P108,""Cursor_up"")"&amp;",0,0,1,1,2,2,3)+SWITCH(COUNTIF(P$4:P108,""Cursor_up""),4,0.1,0)*(ROW(P108)-4-COUNTIF(P$4:P108,""Cursor"")-COUNTIF(P$4:P108,""*""&amp;""_up"")-2*COUNTIF(P$4:P108,""Sell_""&amp;""*"")+COUNTIF(P$4:P108,""Sell_Cursor"")-COUNTIF(P$4:P108,""""))+0.01*R108*COUNTIF(P$4:P"&amp;"108,""Plastic_up""))+R108))"),8069.799999999999)</f>
        <v>8069.8</v>
      </c>
      <c r="T108" s="14">
        <f>IFERROR(__xludf.DUMMYFUNCTION("IF(COUNTA(P108:P147)=0,"""",IF(REGEXMATCH(P108,""_up""),VLOOKUP(P108,Upgrades!$F$3:$J$8,1+COUNTIF(P$4:P108,P108),FALSE),IF(P108="""",0,IF(REGEXMATCH(P108,""^Sell_""),-ROUNDDOWN(ROUNDUP(INDEX(Upgrades!$C$3:$C$8,MATCH(SUBSTITUTE(P108,""Sell_"",""""),Upgrade"&amp;"s!$B$3:$B$8,0))*1.15^(COUNTIF(P$4:P107,SUBSTITUTE(P108,""Sell_"",""""))-COUNTIF(P$4:P107,""Sell_""&amp;SUBSTITUTE(P108,""Sell_"",""""))))/4),ROUNDUP(INDEX(Upgrades!$C$3:$C$7,MATCH(P108,Upgrades!$B$3:$B$7,0))*1.15^(COUNTIF(P$4:P107,P108)-COUNTIF(P$4:P107,""Sel"&amp;"l_""&amp;P108)))))))"),10070.0)</f>
        <v>10070</v>
      </c>
      <c r="U108" s="14">
        <f t="shared" si="10"/>
        <v>10070</v>
      </c>
      <c r="V108" s="75">
        <f t="shared" si="11"/>
        <v>33508548.23</v>
      </c>
      <c r="W108" s="76">
        <f t="shared" si="12"/>
        <v>180.4886124</v>
      </c>
      <c r="X108" s="71" t="str">
        <f t="shared" si="13"/>
        <v>3m 00s</v>
      </c>
      <c r="Y108" s="77">
        <f t="shared" si="14"/>
        <v>583753</v>
      </c>
      <c r="Z108" s="17"/>
      <c r="AA108" s="13"/>
      <c r="AB108" s="13"/>
      <c r="AC108" s="13"/>
      <c r="AD108" s="13"/>
      <c r="AE108" s="13"/>
      <c r="AF108" s="13"/>
      <c r="AG108" s="13"/>
    </row>
    <row r="109">
      <c r="A109" s="12"/>
      <c r="B109" s="65">
        <f t="shared" si="2"/>
        <v>33</v>
      </c>
      <c r="C109" s="66" t="s">
        <v>13</v>
      </c>
      <c r="D109" s="14" t="b">
        <f>IFERROR(__xludf.DUMMYFUNCTION("IF(COUNTA(C109:C147)=0,"""",IFERROR(IF(ISBLANK(C109),FALSE,IF(ISBLANK(G109),1,IF(NOT(COUNTIF($AA$24:$AA$34,SUBSTITUTE(C109,""Sell_"",""""))),1,IF(C109=""Plastic_up"",IF(I109&lt;1000,1),IF(C109=""Super_Up"",IF(OR(COUNTIF(C$4:C109,""Grandma"")-COUNTIF(C$4:C109"&amp;",""Sell_Grandma"")&lt;1,COUNTIF(C$4:C109,VLOOKUP(C109,Upgrades!$F$8:$N$8,7+COUNTIF(C$4:C109,C109)))-COUNTIF(C$4:C109,""Sell_""&amp;VLOOKUP(C109,Upgrades!$F$8:$N$8,7+COUNTIF(C$4:C109,C109)))&lt;15),1),IF(REGEXMATCH(C109,""_up""),IF(COUNTIF(C$4:C109,SUBSTITUTE(C109,"&amp;"""_up"",""""))&lt;IFERROR(VLOOKUP(C109,Upgrades!$L$3:$P$6,1+COUNTIF(C$4:C109,C109),0),999),1),IF(REGEXMATCH(C109,""Sell_""),IF(COUNTIF(C$4:C109,SUBSTITUTE(C109,""Sell_"",""""))-COUNTIF(C$4:C108,C109)&lt;1,1),FALSE)))))))))"),FALSE)</f>
        <v>0</v>
      </c>
      <c r="E109" s="71">
        <f>IFERROR(__xludf.DUMMYFUNCTION("IF(REGEXMATCH(C109,""^Sell_""),E108, IF(COUNTA(C109:C147)=0,"""",(COUNTIF(C$4:C109,""Cursor"")-COUNTIF(C$4:C109,""Sell_Cursor""))*(0.1*2^SWITCH(COUNTIF(C$4:C109,""Cursor_up""),0,0,1,1,2,2,3)+SWITCH(COUNTIF(C$4:C109,""Cursor_up""),4,0.1,0)*(ROW(C109)-4-COU"&amp;"NTIF(C$4:C109,""Cursor"")-COUNTIF(C$4:C109,""*""&amp;""_up"")-2*COUNTIF(C$4:C109,""Sell_""&amp;""*"")+COUNTIF(C$4:C109,""Sell_Cursor"")-COUNTIF(C$4:C109,"""")))+(COUNTIF(C$4:C109,""Grandma"")-COUNTIF(C$4:C109,""Sell_Grandma""))*(1*2^(COUNTIF(C$4:C109,""Grandma_up"&amp;""")+COUNTIF(C$4:C109,""Super_up"")))+(COUNTIF(C$4:C109,""Farm"")-COUNTIF(C$4:C109,""Sell_Farm""))*(8*2^COUNTIF(C$4:C109,""Farm_up""))*IF(COUNTIF(C$4:C109,""Super_up"")&gt;0,1+0.01*(COUNTIF(C$4:C109,""Grandma"")-COUNTIF(C$4:C109,""Sell_Grandma"")),1)+(COUNTIF"&amp;"(C$4:C109,""Mine"")-COUNTIF(C$4:C109,""Sell_Mine""))*((47*2^COUNTIF(C$4:C109,""Mine_up""))*IF(COUNTIF(C$4:C109,""Super_up"")&gt;1,1+0.005*(COUNTIF(C$4:C109,""Grandma"")-COUNTIF(C$4:C109,""Sell_Grandma"")),1))+(COUNTIF(C$4:C109,""Factory"")-COUNTIF(C$4:C109,"&amp;"""Sell_Factory""))*(260*2^COUNTIF(C$4:C109,""Factory_up""))))"),1642.62)</f>
        <v>1642.62</v>
      </c>
      <c r="F109" s="73">
        <f>IFERROR(__xludf.DUMMYFUNCTION("IF(COUNTA(C109:C147)=0,"""",IF(REGEXMATCH(INDEX(FILTER(C$4:C109,C$4:C109&lt;&gt;""""),ROWS(FILTER(C$4:C109,C$4:C109&lt;&gt;""""))),""^Sell_""),INDEX(FILTER(F$4:F108,C$4:C108&lt;&gt;""""),ROWS(FILTER(C$4:C108,C$4:C108&lt;&gt;""""))),$AC$5*(2^SWITCH(COUNTIF(C$4:C109,""Cursor_up"")"&amp;",0,0,1,1,2,2,3)+SWITCH(COUNTIF(C$4:C109,""Cursor_up""),4,0.1,0)*(ROW(C109)-4-COUNTIF(C$4:C109,""Cursor"")-COUNTIF(C$4:C109,""*""&amp;""_up"")-2*COUNTIF(C$4:C109,""Sell_""&amp;""*"")+COUNTIF(C$4:C109,""Sell_Cursor"")-COUNTIF(C$4:C109,""""))+0.01*E109*COUNTIF(C$4:C"&amp;"109,""Plastic_up""))+E109))"),7587.86)</f>
        <v>7587.86</v>
      </c>
      <c r="G109" s="14">
        <f>IFERROR(__xludf.DUMMYFUNCTION("IF(COUNTA(C109:C147)=0,"""",IF(REGEXMATCH(C109,""_up""),VLOOKUP(C109,Upgrades!$F$3:$J$8,1+COUNTIF(C$4:C109,C109),FALSE),IF(C109="""",0,IF(REGEXMATCH(C109,""^Sell_""),-ROUNDDOWN(ROUNDUP(INDEX(Upgrades!$C$3:$C$8,MATCH(SUBSTITUTE(C109,""Sell_"",""""),Upgrade"&amp;"s!$B$3:$B$8,0))*1.15^(COUNTIF(C$4:C108,SUBSTITUTE(C109,""Sell_"",""""))-COUNTIF(C$4:C108,""Sell_""&amp;SUBSTITUTE(C109,""Sell_"",""""))))/4),ROUNDUP(INDEX(Upgrades!$C$3:$C$7,MATCH(C109,Upgrades!$B$3:$B$7,0))*1.15^(COUNTIF(C$4:C108,C109)-COUNTIF(C$4:C108,""Sel"&amp;"l_""&amp;C109)))))))"),8757.0)</f>
        <v>8757</v>
      </c>
      <c r="H109" s="14">
        <f t="shared" si="3"/>
        <v>8757</v>
      </c>
      <c r="I109" s="75">
        <f t="shared" si="4"/>
        <v>31330500.14</v>
      </c>
      <c r="J109" s="76">
        <f t="shared" si="5"/>
        <v>176.3997515</v>
      </c>
      <c r="K109" s="71" t="str">
        <f t="shared" si="6"/>
        <v>2m 56s</v>
      </c>
      <c r="L109" s="77">
        <f t="shared" si="7"/>
        <v>548068</v>
      </c>
      <c r="M109" s="51">
        <f t="shared" si="8"/>
        <v>-0.4681</v>
      </c>
      <c r="N109" s="52">
        <f>IFERROR(__xludf.DUMMYFUNCTION("IFS(AND(COUNTA(C109:C147)=0,COUNTA(P109:P147)=0),"""",OR(AND(L109&gt;=1000000,OR(Y109&gt;=1000000,COUNTA(P109:P147)=0)),AND(Y109&gt;=1000000,COUNTA(C109:C147)=0),AND(COUNTA(P109:P147)=0,O$3=TRUE)),
ROUNDDOWN((AB$1-AC$1)*MAX(INDEX(S$4:S147,MATCH(LARGE(FILTER(Y$4:Y1"&amp;"47,Y$4:Y147&lt;1000000),1),Y$4:Y147)),INDEX(F$4:F147,MATCH(LARGE(FILTER(L$4:L147,L$4:L147&lt;1000000),1),L$4:L147)))),AND(L109&lt;1000000,COUNTA(C109:C147)&gt;0,O$3=FALSE),
ROUNDDOWN(INDEX(Y$4:Y147,MATCH(LARGE(FILTER(W$4:W147,W$4:W147&lt;=J109),1),W$4:W147))+(J109-LARGE"&amp;"(FILTER(W$4:W147,W$4:W147&lt;=J109),1))*INDEX(S$4:S147,MATCH(LARGE(FILTER(W$4:W147,W$4:W147&lt;=J109),1),W$4:W147))-L109),1,
ROUNDDOWN(Y109-INDEX(L$4:L147,MATCH(LARGE(FILTER(J$4:J147,J$4:J147&lt;=W109),1),J$4:J147))-(W109-LARGE(FILTER(J$4:J147,J$4:J147&lt;=W109),1))*"&amp;"INDEX(F$4:F147,MATCH(LARGE(FILTER(J$4:J147,J$4:J147&lt;=W109),1),J$4:J147))))"),3594.0)</f>
        <v>3594</v>
      </c>
      <c r="O109" s="65">
        <f t="shared" si="9"/>
        <v>4</v>
      </c>
      <c r="P109" s="15" t="s">
        <v>18</v>
      </c>
      <c r="Q109" s="14" t="b">
        <f>IFERROR(__xludf.DUMMYFUNCTION("IF(COUNTA(P109:P147)=0,"""",IFERROR(IF(ISBLANK(P109),FALSE,IF(ISBLANK(T109),1,IF(NOT(COUNTIF($AA$24:$AA$34,SUBSTITUTE(P109,""Sell_"",""""))),1,IF(P109=""Plastic_up"",IF(V109&lt;1000,1),IF(P109=""Super_Up"",IF(OR(COUNTIF(P$4:P109,""Grandma"")-COUNTIF(P$4:P109"&amp;",""Sell_Grandma"")&lt;1,COUNTIF(P$4:P109,VLOOKUP(P109,Upgrades!$F$8:$N$8,7+COUNTIF(P$4:P109,P109)))-COUNTIF(P$4:P109,""Sell_""&amp;VLOOKUP(P109,Upgrades!$F$8:$N$8,7+COUNTIF(P$4:P109,P109)))&lt;15),1),IF(REGEXMATCH(P109,""_up""),IF(COUNTIF(P$4:P109,SUBSTITUTE(P109,"&amp;"""_up"",""""))&lt;IFERROR(VLOOKUP(P109,Upgrades!$L$3:$P$6,1+COUNTIF(P$4:P109,P109),0),999),1),IF(REGEXMATCH(P109,""Sell_""),IF(COUNTIF(P$4:P109,SUBSTITUTE(P109,""Sell_"",""""))-COUNTIF(P$4:P108,P109)&lt;1,1),FALSE)))))))))"),FALSE)</f>
        <v>0</v>
      </c>
      <c r="R109" s="71">
        <f>IFERROR(__xludf.DUMMYFUNCTION("IF(REGEXMATCH(P109,""^Sell_""),R108, IF(COUNTA(P109:P147)=0,"""",(COUNTIF(P$4:P109,""Cursor"")-COUNTIF(P$4:P109,""Sell_Cursor""))*(0.1*2^SWITCH(COUNTIF(P$4:P109,""Cursor_up""),0,0,1,1,2,2,3)+SWITCH(COUNTIF(P$4:P109,""Cursor_up""),4,0.1,0)*(ROW(P109)-4-COU"&amp;"NTIF(P$4:P109,""Cursor"")-COUNTIF(P$4:P109,""*""&amp;""_up"")-2*COUNTIF(P$4:P109,""Sell_""&amp;""*"")+COUNTIF(P$4:P109,""Sell_Cursor"")-COUNTIF(P$4:P109,"""")))+(COUNTIF(P$4:P109,""Grandma"")-COUNTIF(P$4:P109,""Sell_Grandma""))*(1*2^(COUNTIF(P$4:P109,""Grandma_up"&amp;""")+COUNTIF(P$4:P109,""Super_up"")))+(COUNTIF(P$4:P109,""Farm"")-COUNTIF(P$4:P109,""Sell_Farm""))*(8*2^COUNTIF(P$4:P109,""Farm_up""))*IF(COUNTIF(P$4:P109,""Super_up"")&gt;0,1+0.01*(COUNTIF(P$4:P109,""Grandma"")-COUNTIF(P$4:P109,""Sell_Grandma"")),1)+(COUNTIF"&amp;"(P$4:P109,""Mine"")-COUNTIF(P$4:P109,""Sell_Mine""))*((47*2^COUNTIF(P$4:P109,""Mine_up""))*IF(COUNTIF(P$4:P109,""Super_up"")&gt;1,1+0.005*(COUNTIF(P$4:P109,""Grandma"")-COUNTIF(P$4:P109,""Sell_Grandma"")),1))+(COUNTIF(P$4:P109,""Factory"")-COUNTIF(P$4:P109,"&amp;"""Sell_Factory""))*(260*2^COUNTIF(P$4:P109,""Factory_up""))))"),1827.2)</f>
        <v>1827.2</v>
      </c>
      <c r="S109" s="73">
        <f>IFERROR(__xludf.DUMMYFUNCTION("IF(COUNTA(P109:P147)=0,"""",IF(REGEXMATCH(INDEX(FILTER(P$4:P109,P$4:P109&lt;&gt;""""),ROWS(FILTER(P$4:P109,P$4:P109&lt;&gt;""""))),""^Sell_""),INDEX(FILTER(S$4:S108,P$4:P108&lt;&gt;""""),ROWS(FILTER(P$4:P108,P$4:P108&lt;&gt;""""))),$AD$5*(2^SWITCH(COUNTIF(P$4:P109,""Cursor_up"")"&amp;",0,0,1,1,2,2,3)+SWITCH(COUNTIF(P$4:P109,""Cursor_up""),4,0.1,0)*(ROW(P109)-4-COUNTIF(P$4:P109,""Cursor"")-COUNTIF(P$4:P109,""*""&amp;""_up"")-2*COUNTIF(P$4:P109,""Sell_""&amp;""*"")+COUNTIF(P$4:P109,""Sell_Cursor"")-COUNTIF(P$4:P109,""""))+0.01*R109*COUNTIF(P$4:P"&amp;"109,""Plastic_up""))+R109))"),8241.6)</f>
        <v>8241.6</v>
      </c>
      <c r="T109" s="14">
        <f>IFERROR(__xludf.DUMMYFUNCTION("IF(COUNTA(P109:P147)=0,"""",IF(REGEXMATCH(P109,""_up""),VLOOKUP(P109,Upgrades!$F$3:$J$8,1+COUNTIF(P$4:P109,P109),FALSE),IF(P109="""",0,IF(REGEXMATCH(P109,""^Sell_""),-ROUNDDOWN(ROUNDUP(INDEX(Upgrades!$C$3:$C$8,MATCH(SUBSTITUTE(P109,""Sell_"",""""),Upgrade"&amp;"s!$B$3:$B$8,0))*1.15^(COUNTIF(P$4:P108,SUBSTITUTE(P109,""Sell_"",""""))-COUNTIF(P$4:P108,""Sell_""&amp;SUBSTITUTE(P109,""Sell_"",""""))))/4),ROUNDUP(INDEX(Upgrades!$C$3:$C$7,MATCH(P109,Upgrades!$B$3:$B$7,0))*1.15^(COUNTIF(P$4:P108,P109)-COUNTIF(P$4:P108,""Sel"&amp;"l_""&amp;P109)))))))"),18251.0)</f>
        <v>18251</v>
      </c>
      <c r="U109" s="14">
        <f t="shared" si="10"/>
        <v>18251</v>
      </c>
      <c r="V109" s="75">
        <f t="shared" si="11"/>
        <v>34658632.13</v>
      </c>
      <c r="W109" s="76">
        <f t="shared" si="12"/>
        <v>182.7502546</v>
      </c>
      <c r="X109" s="71" t="str">
        <f t="shared" si="13"/>
        <v>3m 02s</v>
      </c>
      <c r="Y109" s="77">
        <f t="shared" si="14"/>
        <v>602004</v>
      </c>
      <c r="Z109" s="17"/>
      <c r="AA109" s="13"/>
      <c r="AB109" s="13"/>
      <c r="AC109" s="13"/>
      <c r="AD109" s="13"/>
      <c r="AE109" s="13"/>
      <c r="AF109" s="13"/>
      <c r="AG109" s="13"/>
    </row>
    <row r="110">
      <c r="A110" s="12"/>
      <c r="B110" s="65">
        <f t="shared" si="2"/>
        <v>34</v>
      </c>
      <c r="C110" s="66" t="s">
        <v>13</v>
      </c>
      <c r="D110" s="14" t="b">
        <f>IFERROR(__xludf.DUMMYFUNCTION("IF(COUNTA(C110:C147)=0,"""",IFERROR(IF(ISBLANK(C110),FALSE,IF(ISBLANK(G110),1,IF(NOT(COUNTIF($AA$24:$AA$34,SUBSTITUTE(C110,""Sell_"",""""))),1,IF(C110=""Plastic_up"",IF(I110&lt;1000,1),IF(C110=""Super_Up"",IF(OR(COUNTIF(C$4:C110,""Grandma"")-COUNTIF(C$4:C110"&amp;",""Sell_Grandma"")&lt;1,COUNTIF(C$4:C110,VLOOKUP(C110,Upgrades!$F$8:$N$8,7+COUNTIF(C$4:C110,C110)))-COUNTIF(C$4:C110,""Sell_""&amp;VLOOKUP(C110,Upgrades!$F$8:$N$8,7+COUNTIF(C$4:C110,C110)))&lt;15),1),IF(REGEXMATCH(C110,""_up""),IF(COUNTIF(C$4:C110,SUBSTITUTE(C110,"&amp;"""_up"",""""))&lt;IFERROR(VLOOKUP(C110,Upgrades!$L$3:$P$6,1+COUNTIF(C$4:C110,C110),0),999),1),IF(REGEXMATCH(C110,""Sell_""),IF(COUNTIF(C$4:C110,SUBSTITUTE(C110,""Sell_"",""""))-COUNTIF(C$4:C109,C110)&lt;1,1),FALSE)))))))))"),FALSE)</f>
        <v>0</v>
      </c>
      <c r="E110" s="71">
        <f>IFERROR(__xludf.DUMMYFUNCTION("IF(REGEXMATCH(C110,""^Sell_""),E109, IF(COUNTA(C110:C147)=0,"""",(COUNTIF(C$4:C110,""Cursor"")-COUNTIF(C$4:C110,""Sell_Cursor""))*(0.1*2^SWITCH(COUNTIF(C$4:C110,""Cursor_up""),0,0,1,1,2,2,3)+SWITCH(COUNTIF(C$4:C110,""Cursor_up""),4,0.1,0)*(ROW(C110)-4-COU"&amp;"NTIF(C$4:C110,""Cursor"")-COUNTIF(C$4:C110,""*""&amp;""_up"")-2*COUNTIF(C$4:C110,""Sell_""&amp;""*"")+COUNTIF(C$4:C110,""Sell_Cursor"")-COUNTIF(C$4:C110,"""")))+(COUNTIF(C$4:C110,""Grandma"")-COUNTIF(C$4:C110,""Sell_Grandma""))*(1*2^(COUNTIF(C$4:C110,""Grandma_up"&amp;""")+COUNTIF(C$4:C110,""Super_up"")))+(COUNTIF(C$4:C110,""Farm"")-COUNTIF(C$4:C110,""Sell_Farm""))*(8*2^COUNTIF(C$4:C110,""Farm_up""))*IF(COUNTIF(C$4:C110,""Super_up"")&gt;0,1+0.01*(COUNTIF(C$4:C110,""Grandma"")-COUNTIF(C$4:C110,""Sell_Grandma"")),1)+(COUNTIF"&amp;"(C$4:C110,""Mine"")-COUNTIF(C$4:C110,""Sell_Mine""))*((47*2^COUNTIF(C$4:C110,""Mine_up""))*IF(COUNTIF(C$4:C110,""Super_up"")&gt;1,1+0.005*(COUNTIF(C$4:C110,""Grandma"")-COUNTIF(C$4:C110,""Sell_Grandma"")),1))+(COUNTIF(C$4:C110,""Factory"")-COUNTIF(C$4:C110,"&amp;"""Sell_Factory""))*(260*2^COUNTIF(C$4:C110,""Factory_up""))))"),1668.16)</f>
        <v>1668.16</v>
      </c>
      <c r="F110" s="73">
        <f>IFERROR(__xludf.DUMMYFUNCTION("IF(COUNTA(C110:C147)=0,"""",IF(REGEXMATCH(INDEX(FILTER(C$4:C110,C$4:C110&lt;&gt;""""),ROWS(FILTER(C$4:C110,C$4:C110&lt;&gt;""""))),""^Sell_""),INDEX(FILTER(F$4:F109,C$4:C109&lt;&gt;""""),ROWS(FILTER(C$4:C109,C$4:C109&lt;&gt;""""))),$AC$5*(2^SWITCH(COUNTIF(C$4:C110,""Cursor_up"")"&amp;",0,0,1,1,2,2,3)+SWITCH(COUNTIF(C$4:C110,""Cursor_up""),4,0.1,0)*(ROW(C110)-4-COUNTIF(C$4:C110,""Cursor"")-COUNTIF(C$4:C110,""*""&amp;""_up"")-2*COUNTIF(C$4:C110,""Sell_""&amp;""*"")+COUNTIF(C$4:C110,""Sell_Cursor"")-COUNTIF(C$4:C110,""""))+0.01*E110*COUNTIF(C$4:C"&amp;"110,""Plastic_up""))+E110))"),7684.4800000000005)</f>
        <v>7684.48</v>
      </c>
      <c r="G110" s="14">
        <f>IFERROR(__xludf.DUMMYFUNCTION("IF(COUNTA(C110:C147)=0,"""",IF(REGEXMATCH(C110,""_up""),VLOOKUP(C110,Upgrades!$F$3:$J$8,1+COUNTIF(C$4:C110,C110),FALSE),IF(C110="""",0,IF(REGEXMATCH(C110,""^Sell_""),-ROUNDDOWN(ROUNDUP(INDEX(Upgrades!$C$3:$C$8,MATCH(SUBSTITUTE(C110,""Sell_"",""""),Upgrade"&amp;"s!$B$3:$B$8,0))*1.15^(COUNTIF(C$4:C109,SUBSTITUTE(C110,""Sell_"",""""))-COUNTIF(C$4:C109,""Sell_""&amp;SUBSTITUTE(C110,""Sell_"",""""))))/4),ROUNDUP(INDEX(Upgrades!$C$3:$C$7,MATCH(C110,Upgrades!$B$3:$B$7,0))*1.15^(COUNTIF(C$4:C109,C110)-COUNTIF(C$4:C109,""Sel"&amp;"l_""&amp;C110)))))))"),10070.0)</f>
        <v>10070</v>
      </c>
      <c r="H110" s="14">
        <f t="shared" si="3"/>
        <v>10070</v>
      </c>
      <c r="I110" s="75">
        <f t="shared" si="4"/>
        <v>32387129.04</v>
      </c>
      <c r="J110" s="76">
        <f t="shared" si="5"/>
        <v>177.7268714</v>
      </c>
      <c r="K110" s="71" t="str">
        <f t="shared" si="6"/>
        <v>2m 57s</v>
      </c>
      <c r="L110" s="77">
        <f t="shared" si="7"/>
        <v>558138</v>
      </c>
      <c r="M110" s="51">
        <f t="shared" si="8"/>
        <v>-0.49073</v>
      </c>
      <c r="N110" s="52">
        <f>IFERROR(__xludf.DUMMYFUNCTION("IFS(AND(COUNTA(C110:C147)=0,COUNTA(P110:P147)=0),"""",OR(AND(L110&gt;=1000000,OR(Y110&gt;=1000000,COUNTA(P110:P147)=0)),AND(Y110&gt;=1000000,COUNTA(C110:C147)=0),AND(COUNTA(P110:P147)=0,O$3=TRUE)),
ROUNDDOWN((AB$1-AC$1)*MAX(INDEX(S$4:S147,MATCH(LARGE(FILTER(Y$4:Y1"&amp;"47,Y$4:Y147&lt;1000000),1),Y$4:Y147)),INDEX(F$4:F147,MATCH(LARGE(FILTER(L$4:L147,L$4:L147&lt;1000000),1),L$4:L147)))),AND(L110&lt;1000000,COUNTA(C110:C147)&gt;0,O$3=FALSE),
ROUNDDOWN(INDEX(Y$4:Y147,MATCH(LARGE(FILTER(W$4:W147,W$4:W147&lt;=J110),1),W$4:W147))+(J110-LARGE"&amp;"(FILTER(W$4:W147,W$4:W147&lt;=J110),1))*INDEX(S$4:S147,MATCH(LARGE(FILTER(W$4:W147,W$4:W147&lt;=J110),1),W$4:W147))-L110),1,
ROUNDDOWN(Y110-INDEX(L$4:L147,MATCH(LARGE(FILTER(J$4:J147,J$4:J147&lt;=W110),1),J$4:J147))-(W110-LARGE(FILTER(J$4:J147,J$4:J147&lt;=W110),1))*"&amp;"INDEX(F$4:F147,MATCH(LARGE(FILTER(J$4:J147,J$4:J147&lt;=W110),1),J$4:J147))))"),3825.0)</f>
        <v>3825</v>
      </c>
      <c r="O110" s="65">
        <f t="shared" si="9"/>
        <v>21</v>
      </c>
      <c r="P110" s="15" t="s">
        <v>16</v>
      </c>
      <c r="Q110" s="14" t="b">
        <f>IFERROR(__xludf.DUMMYFUNCTION("IF(COUNTA(P110:P147)=0,"""",IFERROR(IF(ISBLANK(P110),FALSE,IF(ISBLANK(T110),1,IF(NOT(COUNTIF($AA$24:$AA$34,SUBSTITUTE(P110,""Sell_"",""""))),1,IF(P110=""Plastic_up"",IF(V110&lt;1000,1),IF(P110=""Super_Up"",IF(OR(COUNTIF(P$4:P110,""Grandma"")-COUNTIF(P$4:P110"&amp;",""Sell_Grandma"")&lt;1,COUNTIF(P$4:P110,VLOOKUP(P110,Upgrades!$F$8:$N$8,7+COUNTIF(P$4:P110,P110)))-COUNTIF(P$4:P110,""Sell_""&amp;VLOOKUP(P110,Upgrades!$F$8:$N$8,7+COUNTIF(P$4:P110,P110)))&lt;15),1),IF(REGEXMATCH(P110,""_up""),IF(COUNTIF(P$4:P110,SUBSTITUTE(P110,"&amp;"""_up"",""""))&lt;IFERROR(VLOOKUP(P110,Upgrades!$L$3:$P$6,1+COUNTIF(P$4:P110,P110),0),999),1),IF(REGEXMATCH(P110,""Sell_""),IF(COUNTIF(P$4:P110,SUBSTITUTE(P110,""Sell_"",""""))-COUNTIF(P$4:P109,P110)&lt;1,1),FALSE)))))))))"),FALSE)</f>
        <v>0</v>
      </c>
      <c r="R110" s="71">
        <f>IFERROR(__xludf.DUMMYFUNCTION("IF(REGEXMATCH(P110,""^Sell_""),R109, IF(COUNTA(P110:P147)=0,"""",(COUNTIF(P$4:P110,""Cursor"")-COUNTIF(P$4:P110,""Sell_Cursor""))*(0.1*2^SWITCH(COUNTIF(P$4:P110,""Cursor_up""),0,0,1,1,2,2,3)+SWITCH(COUNTIF(P$4:P110,""Cursor_up""),4,0.1,0)*(ROW(P110)-4-COU"&amp;"NTIF(P$4:P110,""Cursor"")-COUNTIF(P$4:P110,""*""&amp;""_up"")-2*COUNTIF(P$4:P110,""Sell_""&amp;""*"")+COUNTIF(P$4:P110,""Sell_Cursor"")-COUNTIF(P$4:P110,"""")))+(COUNTIF(P$4:P110,""Grandma"")-COUNTIF(P$4:P110,""Sell_Grandma""))*(1*2^(COUNTIF(P$4:P110,""Grandma_up"&amp;""")+COUNTIF(P$4:P110,""Super_up"")))+(COUNTIF(P$4:P110,""Farm"")-COUNTIF(P$4:P110,""Sell_Farm""))*(8*2^COUNTIF(P$4:P110,""Farm_up""))*IF(COUNTIF(P$4:P110,""Super_up"")&gt;0,1+0.01*(COUNTIF(P$4:P110,""Grandma"")-COUNTIF(P$4:P110,""Sell_Grandma"")),1)+(COUNTIF"&amp;"(P$4:P110,""Mine"")-COUNTIF(P$4:P110,""Sell_Mine""))*((47*2^COUNTIF(P$4:P110,""Mine_up""))*IF(COUNTIF(P$4:P110,""Super_up"")&gt;1,1+0.005*(COUNTIF(P$4:P110,""Grandma"")-COUNTIF(P$4:P110,""Sell_Grandma"")),1))+(COUNTIF(P$4:P110,""Factory"")-COUNTIF(P$4:P110,"&amp;"""Sell_Factory""))*(260*2^COUNTIF(P$4:P110,""Factory_up""))))"),1873.68)</f>
        <v>1873.68</v>
      </c>
      <c r="S110" s="73">
        <f>IFERROR(__xludf.DUMMYFUNCTION("IF(COUNTA(P110:P147)=0,"""",IF(REGEXMATCH(INDEX(FILTER(P$4:P110,P$4:P110&lt;&gt;""""),ROWS(FILTER(P$4:P110,P$4:P110&lt;&gt;""""))),""^Sell_""),INDEX(FILTER(S$4:S109,P$4:P109&lt;&gt;""""),ROWS(FILTER(P$4:P109,P$4:P109&lt;&gt;""""))),$AD$5*(2^SWITCH(COUNTIF(P$4:P110,""Cursor_up"")"&amp;",0,0,1,1,2,2,3)+SWITCH(COUNTIF(P$4:P110,""Cursor_up""),4,0.1,0)*(ROW(P110)-4-COUNTIF(P$4:P110,""Cursor"")-COUNTIF(P$4:P110,""*""&amp;""_up"")-2*COUNTIF(P$4:P110,""Sell_""&amp;""*"")+COUNTIF(P$4:P110,""Sell_Cursor"")-COUNTIF(P$4:P110,""""))+0.01*R110*COUNTIF(P$4:P"&amp;"110,""Plastic_up""))+R110))"),8401.04)</f>
        <v>8401.04</v>
      </c>
      <c r="T110" s="14">
        <f>IFERROR(__xludf.DUMMYFUNCTION("IF(COUNTA(P110:P147)=0,"""",IF(REGEXMATCH(P110,""_up""),VLOOKUP(P110,Upgrades!$F$3:$J$8,1+COUNTIF(P$4:P110,P110),FALSE),IF(P110="""",0,IF(REGEXMATCH(P110,""^Sell_""),-ROUNDDOWN(ROUNDUP(INDEX(Upgrades!$C$3:$C$8,MATCH(SUBSTITUTE(P110,""Sell_"",""""),Upgrade"&amp;"s!$B$3:$B$8,0))*1.15^(COUNTIF(P$4:P109,SUBSTITUTE(P110,""Sell_"",""""))-COUNTIF(P$4:P109,""Sell_""&amp;SUBSTITUTE(P110,""Sell_"",""""))))/4),ROUNDUP(INDEX(Upgrades!$C$3:$C$7,MATCH(P110,Upgrades!$B$3:$B$7,0))*1.15^(COUNTIF(P$4:P109,P110)-COUNTIF(P$4:P109,""Sel"&amp;"l_""&amp;P110)))))))"),18004.0)</f>
        <v>18004</v>
      </c>
      <c r="U110" s="14">
        <f t="shared" si="10"/>
        <v>18004</v>
      </c>
      <c r="V110" s="75">
        <f t="shared" si="11"/>
        <v>35844877.8</v>
      </c>
      <c r="W110" s="76">
        <f t="shared" si="12"/>
        <v>184.9347818</v>
      </c>
      <c r="X110" s="71" t="str">
        <f t="shared" si="13"/>
        <v>3m 04s</v>
      </c>
      <c r="Y110" s="77">
        <f t="shared" si="14"/>
        <v>620008</v>
      </c>
      <c r="Z110" s="17"/>
      <c r="AA110" s="13"/>
      <c r="AB110" s="13"/>
      <c r="AC110" s="13"/>
      <c r="AD110" s="13"/>
      <c r="AE110" s="13"/>
      <c r="AF110" s="13"/>
      <c r="AG110" s="13"/>
    </row>
    <row r="111">
      <c r="A111" s="12"/>
      <c r="B111" s="65">
        <f t="shared" si="2"/>
        <v>35</v>
      </c>
      <c r="C111" s="66" t="s">
        <v>13</v>
      </c>
      <c r="D111" s="14" t="b">
        <f>IFERROR(__xludf.DUMMYFUNCTION("IF(COUNTA(C111:C147)=0,"""",IFERROR(IF(ISBLANK(C111),FALSE,IF(ISBLANK(G111),1,IF(NOT(COUNTIF($AA$24:$AA$34,SUBSTITUTE(C111,""Sell_"",""""))),1,IF(C111=""Plastic_up"",IF(I111&lt;1000,1),IF(C111=""Super_Up"",IF(OR(COUNTIF(C$4:C111,""Grandma"")-COUNTIF(C$4:C111"&amp;",""Sell_Grandma"")&lt;1,COUNTIF(C$4:C111,VLOOKUP(C111,Upgrades!$F$8:$N$8,7+COUNTIF(C$4:C111,C111)))-COUNTIF(C$4:C111,""Sell_""&amp;VLOOKUP(C111,Upgrades!$F$8:$N$8,7+COUNTIF(C$4:C111,C111)))&lt;15),1),IF(REGEXMATCH(C111,""_up""),IF(COUNTIF(C$4:C111,SUBSTITUTE(C111,"&amp;"""_up"",""""))&lt;IFERROR(VLOOKUP(C111,Upgrades!$L$3:$P$6,1+COUNTIF(C$4:C111,C111),0),999),1),IF(REGEXMATCH(C111,""Sell_""),IF(COUNTIF(C$4:C111,SUBSTITUTE(C111,""Sell_"",""""))-COUNTIF(C$4:C110,C111)&lt;1,1),FALSE)))))))))"),FALSE)</f>
        <v>0</v>
      </c>
      <c r="E111" s="71">
        <f>IFERROR(__xludf.DUMMYFUNCTION("IF(REGEXMATCH(C111,""^Sell_""),E110, IF(COUNTA(C111:C147)=0,"""",(COUNTIF(C$4:C111,""Cursor"")-COUNTIF(C$4:C111,""Sell_Cursor""))*(0.1*2^SWITCH(COUNTIF(C$4:C111,""Cursor_up""),0,0,1,1,2,2,3)+SWITCH(COUNTIF(C$4:C111,""Cursor_up""),4,0.1,0)*(ROW(C111)-4-COU"&amp;"NTIF(C$4:C111,""Cursor"")-COUNTIF(C$4:C111,""*""&amp;""_up"")-2*COUNTIF(C$4:C111,""Sell_""&amp;""*"")+COUNTIF(C$4:C111,""Sell_Cursor"")-COUNTIF(C$4:C111,"""")))+(COUNTIF(C$4:C111,""Grandma"")-COUNTIF(C$4:C111,""Sell_Grandma""))*(1*2^(COUNTIF(C$4:C111,""Grandma_up"&amp;""")+COUNTIF(C$4:C111,""Super_up"")))+(COUNTIF(C$4:C111,""Farm"")-COUNTIF(C$4:C111,""Sell_Farm""))*(8*2^COUNTIF(C$4:C111,""Farm_up""))*IF(COUNTIF(C$4:C111,""Super_up"")&gt;0,1+0.01*(COUNTIF(C$4:C111,""Grandma"")-COUNTIF(C$4:C111,""Sell_Grandma"")),1)+(COUNTIF"&amp;"(C$4:C111,""Mine"")-COUNTIF(C$4:C111,""Sell_Mine""))*((47*2^COUNTIF(C$4:C111,""Mine_up""))*IF(COUNTIF(C$4:C111,""Super_up"")&gt;1,1+0.005*(COUNTIF(C$4:C111,""Grandma"")-COUNTIF(C$4:C111,""Sell_Grandma"")),1))+(COUNTIF(C$4:C111,""Factory"")-COUNTIF(C$4:C111,"&amp;"""Sell_Factory""))*(260*2^COUNTIF(C$4:C111,""Factory_up""))))"),1693.7)</f>
        <v>1693.7</v>
      </c>
      <c r="F111" s="73">
        <f>IFERROR(__xludf.DUMMYFUNCTION("IF(COUNTA(C111:C147)=0,"""",IF(REGEXMATCH(INDEX(FILTER(C$4:C111,C$4:C111&lt;&gt;""""),ROWS(FILTER(C$4:C111,C$4:C111&lt;&gt;""""))),""^Sell_""),INDEX(FILTER(F$4:F110,C$4:C110&lt;&gt;""""),ROWS(FILTER(C$4:C110,C$4:C110&lt;&gt;""""))),$AC$5*(2^SWITCH(COUNTIF(C$4:C111,""Cursor_up"")"&amp;",0,0,1,1,2,2,3)+SWITCH(COUNTIF(C$4:C111,""Cursor_up""),4,0.1,0)*(ROW(C111)-4-COUNTIF(C$4:C111,""Cursor"")-COUNTIF(C$4:C111,""*""&amp;""_up"")-2*COUNTIF(C$4:C111,""Sell_""&amp;""*"")+COUNTIF(C$4:C111,""Sell_Cursor"")-COUNTIF(C$4:C111,""""))+0.01*E111*COUNTIF(C$4:C"&amp;"111,""Plastic_up""))+E111))"),7781.1)</f>
        <v>7781.1</v>
      </c>
      <c r="G111" s="14">
        <f>IFERROR(__xludf.DUMMYFUNCTION("IF(COUNTA(C111:C147)=0,"""",IF(REGEXMATCH(C111,""_up""),VLOOKUP(C111,Upgrades!$F$3:$J$8,1+COUNTIF(C$4:C111,C111),FALSE),IF(C111="""",0,IF(REGEXMATCH(C111,""^Sell_""),-ROUNDDOWN(ROUNDUP(INDEX(Upgrades!$C$3:$C$8,MATCH(SUBSTITUTE(C111,""Sell_"",""""),Upgrade"&amp;"s!$B$3:$B$8,0))*1.15^(COUNTIF(C$4:C110,SUBSTITUTE(C111,""Sell_"",""""))-COUNTIF(C$4:C110,""Sell_""&amp;SUBSTITUTE(C111,""Sell_"",""""))))/4),ROUNDUP(INDEX(Upgrades!$C$3:$C$7,MATCH(C111,Upgrades!$B$3:$B$7,0))*1.15^(COUNTIF(C$4:C110,C111)-COUNTIF(C$4:C110,""Sel"&amp;"l_""&amp;C111)))))))"),11581.0)</f>
        <v>11581</v>
      </c>
      <c r="H111" s="14">
        <f t="shared" si="3"/>
        <v>11581</v>
      </c>
      <c r="I111" s="75">
        <f t="shared" si="4"/>
        <v>33465457.75</v>
      </c>
      <c r="J111" s="76">
        <f t="shared" si="5"/>
        <v>179.2339349</v>
      </c>
      <c r="K111" s="71" t="str">
        <f t="shared" si="6"/>
        <v>2m 59s</v>
      </c>
      <c r="L111" s="77">
        <f t="shared" si="7"/>
        <v>569719</v>
      </c>
      <c r="M111" s="51">
        <f t="shared" si="8"/>
        <v>-0.51199</v>
      </c>
      <c r="N111" s="52">
        <f>IFERROR(__xludf.DUMMYFUNCTION("IFS(AND(COUNTA(C111:C147)=0,COUNTA(P111:P147)=0),"""",OR(AND(L111&gt;=1000000,OR(Y111&gt;=1000000,COUNTA(P111:P147)=0)),AND(Y111&gt;=1000000,COUNTA(C111:C147)=0),AND(COUNTA(P111:P147)=0,O$3=TRUE)),
ROUNDDOWN((AB$1-AC$1)*MAX(INDEX(S$4:S147,MATCH(LARGE(FILTER(Y$4:Y1"&amp;"47,Y$4:Y147&lt;1000000),1),Y$4:Y147)),INDEX(F$4:F147,MATCH(LARGE(FILTER(L$4:L147,L$4:L147&lt;1000000),1),L$4:L147)))),AND(L111&lt;1000000,COUNTA(C111:C147)&gt;0,O$3=FALSE),
ROUNDDOWN(INDEX(Y$4:Y147,MATCH(LARGE(FILTER(W$4:W147,W$4:W147&lt;=J111),1),W$4:W147))+(J111-LARGE"&amp;"(FILTER(W$4:W147,W$4:W147&lt;=J111),1))*INDEX(S$4:S147,MATCH(LARGE(FILTER(W$4:W147,W$4:W147&lt;=J111),1),W$4:W147))-L111),1,
ROUNDDOWN(Y111-INDEX(L$4:L147,MATCH(LARGE(FILTER(J$4:J147,J$4:J147&lt;=W111),1),J$4:J147))-(W111-LARGE(FILTER(J$4:J147,J$4:J147&lt;=W111),1))*"&amp;"INDEX(F$4:F147,MATCH(LARGE(FILTER(J$4:J147,J$4:J147&lt;=W111),1),J$4:J147))))"),4031.0)</f>
        <v>4031</v>
      </c>
      <c r="O111" s="65">
        <f t="shared" si="9"/>
        <v>37</v>
      </c>
      <c r="P111" s="15" t="s">
        <v>10</v>
      </c>
      <c r="Q111" s="14" t="b">
        <f>IFERROR(__xludf.DUMMYFUNCTION("IF(COUNTA(P111:P147)=0,"""",IFERROR(IF(ISBLANK(P111),FALSE,IF(ISBLANK(T111),1,IF(NOT(COUNTIF($AA$24:$AA$34,SUBSTITUTE(P111,""Sell_"",""""))),1,IF(P111=""Plastic_up"",IF(V111&lt;1000,1),IF(P111=""Super_Up"",IF(OR(COUNTIF(P$4:P111,""Grandma"")-COUNTIF(P$4:P111"&amp;",""Sell_Grandma"")&lt;1,COUNTIF(P$4:P111,VLOOKUP(P111,Upgrades!$F$8:$N$8,7+COUNTIF(P$4:P111,P111)))-COUNTIF(P$4:P111,""Sell_""&amp;VLOOKUP(P111,Upgrades!$F$8:$N$8,7+COUNTIF(P$4:P111,P111)))&lt;15),1),IF(REGEXMATCH(P111,""_up""),IF(COUNTIF(P$4:P111,SUBSTITUTE(P111,"&amp;"""_up"",""""))&lt;IFERROR(VLOOKUP(P111,Upgrades!$L$3:$P$6,1+COUNTIF(P$4:P111,P111),0),999),1),IF(REGEXMATCH(P111,""Sell_""),IF(COUNTIF(P$4:P111,SUBSTITUTE(P111,""Sell_"",""""))-COUNTIF(P$4:P110,P111)&lt;1,1),FALSE)))))))))"),FALSE)</f>
        <v>0</v>
      </c>
      <c r="R111" s="71">
        <f>IFERROR(__xludf.DUMMYFUNCTION("IF(REGEXMATCH(P111,""^Sell_""),R110, IF(COUNTA(P111:P147)=0,"""",(COUNTIF(P$4:P111,""Cursor"")-COUNTIF(P$4:P111,""Sell_Cursor""))*(0.1*2^SWITCH(COUNTIF(P$4:P111,""Cursor_up""),0,0,1,1,2,2,3)+SWITCH(COUNTIF(P$4:P111,""Cursor_up""),4,0.1,0)*(ROW(P111)-4-COU"&amp;"NTIF(P$4:P111,""Cursor"")-COUNTIF(P$4:P111,""*""&amp;""_up"")-2*COUNTIF(P$4:P111,""Sell_""&amp;""*"")+COUNTIF(P$4:P111,""Sell_Cursor"")-COUNTIF(P$4:P111,"""")))+(COUNTIF(P$4:P111,""Grandma"")-COUNTIF(P$4:P111,""Sell_Grandma""))*(1*2^(COUNTIF(P$4:P111,""Grandma_up"&amp;""")+COUNTIF(P$4:P111,""Super_up"")))+(COUNTIF(P$4:P111,""Farm"")-COUNTIF(P$4:P111,""Sell_Farm""))*(8*2^COUNTIF(P$4:P111,""Farm_up""))*IF(COUNTIF(P$4:P111,""Super_up"")&gt;0,1+0.01*(COUNTIF(P$4:P111,""Grandma"")-COUNTIF(P$4:P111,""Sell_Grandma"")),1)+(COUNTIF"&amp;"(P$4:P111,""Mine"")-COUNTIF(P$4:P111,""Sell_Mine""))*((47*2^COUNTIF(P$4:P111,""Mine_up""))*IF(COUNTIF(P$4:P111,""Super_up"")&gt;1,1+0.005*(COUNTIF(P$4:P111,""Grandma"")-COUNTIF(P$4:P111,""Sell_Grandma"")),1))+(COUNTIF(P$4:P111,""Factory"")-COUNTIF(P$4:P111,"&amp;"""Sell_Factory""))*(260*2^COUNTIF(P$4:P111,""Factory_up""))))"),1880.38)</f>
        <v>1880.38</v>
      </c>
      <c r="S111" s="73">
        <f>IFERROR(__xludf.DUMMYFUNCTION("IF(COUNTA(P111:P147)=0,"""",IF(REGEXMATCH(INDEX(FILTER(P$4:P111,P$4:P111&lt;&gt;""""),ROWS(FILTER(P$4:P111,P$4:P111&lt;&gt;""""))),""^Sell_""),INDEX(FILTER(S$4:S110,P$4:P110&lt;&gt;""""),ROWS(FILTER(P$4:P110,P$4:P110&lt;&gt;""""))),$AD$5*(2^SWITCH(COUNTIF(P$4:P111,""Cursor_up"")"&amp;",0,0,1,1,2,2,3)+SWITCH(COUNTIF(P$4:P111,""Cursor_up""),4,0.1,0)*(ROW(P111)-4-COUNTIF(P$4:P111,""Cursor"")-COUNTIF(P$4:P111,""*""&amp;""_up"")-2*COUNTIF(P$4:P111,""Sell_""&amp;""*"")+COUNTIF(P$4:P111,""Sell_Cursor"")-COUNTIF(P$4:P111,""""))+0.01*R111*COUNTIF(P$4:P"&amp;"111,""Plastic_up""))+R111))"),8421.14)</f>
        <v>8421.14</v>
      </c>
      <c r="T111" s="14">
        <f>IFERROR(__xludf.DUMMYFUNCTION("IF(COUNTA(P111:P147)=0,"""",IF(REGEXMATCH(P111,""_up""),VLOOKUP(P111,Upgrades!$F$3:$J$8,1+COUNTIF(P$4:P111,P111),FALSE),IF(P111="""",0,IF(REGEXMATCH(P111,""^Sell_""),-ROUNDDOWN(ROUNDUP(INDEX(Upgrades!$C$3:$C$8,MATCH(SUBSTITUTE(P111,""Sell_"",""""),Upgrade"&amp;"s!$B$3:$B$8,0))*1.15^(COUNTIF(P$4:P110,SUBSTITUTE(P111,""Sell_"",""""))-COUNTIF(P$4:P110,""Sell_""&amp;SUBSTITUTE(P111,""Sell_"",""""))))/4),ROUNDUP(INDEX(Upgrades!$C$3:$C$7,MATCH(P111,Upgrades!$B$3:$B$7,0))*1.15^(COUNTIF(P$4:P110,P111)-COUNTIF(P$4:P110,""Sel"&amp;"l_""&amp;P111)))))))"),2298.0)</f>
        <v>2298</v>
      </c>
      <c r="U111" s="14">
        <f t="shared" si="10"/>
        <v>2298</v>
      </c>
      <c r="V111" s="75">
        <f t="shared" si="11"/>
        <v>37053799.17</v>
      </c>
      <c r="W111" s="76">
        <f t="shared" si="12"/>
        <v>185.2083194</v>
      </c>
      <c r="X111" s="71" t="str">
        <f t="shared" si="13"/>
        <v>3m 05s</v>
      </c>
      <c r="Y111" s="77">
        <f t="shared" si="14"/>
        <v>622306</v>
      </c>
      <c r="Z111" s="17"/>
      <c r="AA111" s="13"/>
      <c r="AB111" s="13"/>
      <c r="AC111" s="13"/>
      <c r="AD111" s="13"/>
      <c r="AE111" s="13"/>
      <c r="AF111" s="13"/>
      <c r="AG111" s="13"/>
    </row>
    <row r="112">
      <c r="A112" s="12"/>
      <c r="B112" s="65">
        <f t="shared" si="2"/>
        <v>36</v>
      </c>
      <c r="C112" s="66" t="s">
        <v>13</v>
      </c>
      <c r="D112" s="14" t="b">
        <f>IFERROR(__xludf.DUMMYFUNCTION("IF(COUNTA(C112:C147)=0,"""",IFERROR(IF(ISBLANK(C112),FALSE,IF(ISBLANK(G112),1,IF(NOT(COUNTIF($AA$24:$AA$34,SUBSTITUTE(C112,""Sell_"",""""))),1,IF(C112=""Plastic_up"",IF(I112&lt;1000,1),IF(C112=""Super_Up"",IF(OR(COUNTIF(C$4:C112,""Grandma"")-COUNTIF(C$4:C112"&amp;",""Sell_Grandma"")&lt;1,COUNTIF(C$4:C112,VLOOKUP(C112,Upgrades!$F$8:$N$8,7+COUNTIF(C$4:C112,C112)))-COUNTIF(C$4:C112,""Sell_""&amp;VLOOKUP(C112,Upgrades!$F$8:$N$8,7+COUNTIF(C$4:C112,C112)))&lt;15),1),IF(REGEXMATCH(C112,""_up""),IF(COUNTIF(C$4:C112,SUBSTITUTE(C112,"&amp;"""_up"",""""))&lt;IFERROR(VLOOKUP(C112,Upgrades!$L$3:$P$6,1+COUNTIF(C$4:C112,C112),0),999),1),IF(REGEXMATCH(C112,""Sell_""),IF(COUNTIF(C$4:C112,SUBSTITUTE(C112,""Sell_"",""""))-COUNTIF(C$4:C111,C112)&lt;1,1),FALSE)))))))))"),FALSE)</f>
        <v>0</v>
      </c>
      <c r="E112" s="71">
        <f>IFERROR(__xludf.DUMMYFUNCTION("IF(REGEXMATCH(C112,""^Sell_""),E111, IF(COUNTA(C112:C147)=0,"""",(COUNTIF(C$4:C112,""Cursor"")-COUNTIF(C$4:C112,""Sell_Cursor""))*(0.1*2^SWITCH(COUNTIF(C$4:C112,""Cursor_up""),0,0,1,1,2,2,3)+SWITCH(COUNTIF(C$4:C112,""Cursor_up""),4,0.1,0)*(ROW(C112)-4-COU"&amp;"NTIF(C$4:C112,""Cursor"")-COUNTIF(C$4:C112,""*""&amp;""_up"")-2*COUNTIF(C$4:C112,""Sell_""&amp;""*"")+COUNTIF(C$4:C112,""Sell_Cursor"")-COUNTIF(C$4:C112,"""")))+(COUNTIF(C$4:C112,""Grandma"")-COUNTIF(C$4:C112,""Sell_Grandma""))*(1*2^(COUNTIF(C$4:C112,""Grandma_up"&amp;""")+COUNTIF(C$4:C112,""Super_up"")))+(COUNTIF(C$4:C112,""Farm"")-COUNTIF(C$4:C112,""Sell_Farm""))*(8*2^COUNTIF(C$4:C112,""Farm_up""))*IF(COUNTIF(C$4:C112,""Super_up"")&gt;0,1+0.01*(COUNTIF(C$4:C112,""Grandma"")-COUNTIF(C$4:C112,""Sell_Grandma"")),1)+(COUNTIF"&amp;"(C$4:C112,""Mine"")-COUNTIF(C$4:C112,""Sell_Mine""))*((47*2^COUNTIF(C$4:C112,""Mine_up""))*IF(COUNTIF(C$4:C112,""Super_up"")&gt;1,1+0.005*(COUNTIF(C$4:C112,""Grandma"")-COUNTIF(C$4:C112,""Sell_Grandma"")),1))+(COUNTIF(C$4:C112,""Factory"")-COUNTIF(C$4:C112,"&amp;"""Sell_Factory""))*(260*2^COUNTIF(C$4:C112,""Factory_up""))))"),1719.24)</f>
        <v>1719.24</v>
      </c>
      <c r="F112" s="73">
        <f>IFERROR(__xludf.DUMMYFUNCTION("IF(COUNTA(C112:C147)=0,"""",IF(REGEXMATCH(INDEX(FILTER(C$4:C112,C$4:C112&lt;&gt;""""),ROWS(FILTER(C$4:C112,C$4:C112&lt;&gt;""""))),""^Sell_""),INDEX(FILTER(F$4:F111,C$4:C111&lt;&gt;""""),ROWS(FILTER(C$4:C111,C$4:C111&lt;&gt;""""))),$AC$5*(2^SWITCH(COUNTIF(C$4:C112,""Cursor_up"")"&amp;",0,0,1,1,2,2,3)+SWITCH(COUNTIF(C$4:C112,""Cursor_up""),4,0.1,0)*(ROW(C112)-4-COUNTIF(C$4:C112,""Cursor"")-COUNTIF(C$4:C112,""*""&amp;""_up"")-2*COUNTIF(C$4:C112,""Sell_""&amp;""*"")+COUNTIF(C$4:C112,""Sell_Cursor"")-COUNTIF(C$4:C112,""""))+0.01*E112*COUNTIF(C$4:C"&amp;"112,""Plastic_up""))+E112))"),7877.72)</f>
        <v>7877.72</v>
      </c>
      <c r="G112" s="14">
        <f>IFERROR(__xludf.DUMMYFUNCTION("IF(COUNTA(C112:C147)=0,"""",IF(REGEXMATCH(C112,""_up""),VLOOKUP(C112,Upgrades!$F$3:$J$8,1+COUNTIF(C$4:C112,C112),FALSE),IF(C112="""",0,IF(REGEXMATCH(C112,""^Sell_""),-ROUNDDOWN(ROUNDUP(INDEX(Upgrades!$C$3:$C$8,MATCH(SUBSTITUTE(C112,""Sell_"",""""),Upgrade"&amp;"s!$B$3:$B$8,0))*1.15^(COUNTIF(C$4:C111,SUBSTITUTE(C112,""Sell_"",""""))-COUNTIF(C$4:C111,""Sell_""&amp;SUBSTITUTE(C112,""Sell_"",""""))))/4),ROUNDUP(INDEX(Upgrades!$C$3:$C$7,MATCH(C112,Upgrades!$B$3:$B$7,0))*1.15^(COUNTIF(C$4:C111,C112)-COUNTIF(C$4:C111,""Sel"&amp;"l_""&amp;C112)))))))"),13318.0)</f>
        <v>13318</v>
      </c>
      <c r="H112" s="14">
        <f t="shared" si="3"/>
        <v>13318</v>
      </c>
      <c r="I112" s="75">
        <f t="shared" si="4"/>
        <v>34566945.5</v>
      </c>
      <c r="J112" s="76">
        <f t="shared" si="5"/>
        <v>180.9455181</v>
      </c>
      <c r="K112" s="71" t="str">
        <f t="shared" si="6"/>
        <v>3m 00s</v>
      </c>
      <c r="L112" s="77">
        <f t="shared" si="7"/>
        <v>583037</v>
      </c>
      <c r="M112" s="51">
        <f t="shared" si="8"/>
        <v>-0.54672</v>
      </c>
      <c r="N112" s="52">
        <f>IFERROR(__xludf.DUMMYFUNCTION("IFS(AND(COUNTA(C112:C147)=0,COUNTA(P112:P147)=0),"""",OR(AND(L112&gt;=1000000,OR(Y112&gt;=1000000,COUNTA(P112:P147)=0)),AND(Y112&gt;=1000000,COUNTA(C112:C147)=0),AND(COUNTA(P112:P147)=0,O$3=TRUE)),
ROUNDDOWN((AB$1-AC$1)*MAX(INDEX(S$4:S147,MATCH(LARGE(FILTER(Y$4:Y1"&amp;"47,Y$4:Y147&lt;1000000),1),Y$4:Y147)),INDEX(F$4:F147,MATCH(LARGE(FILTER(L$4:L147,L$4:L147&lt;1000000),1),L$4:L147)))),AND(L112&lt;1000000,COUNTA(C112:C147)&gt;0,O$3=FALSE),
ROUNDDOWN(INDEX(Y$4:Y147,MATCH(LARGE(FILTER(W$4:W147,W$4:W147&lt;=J112),1),W$4:W147))+(J112-LARGE"&amp;"(FILTER(W$4:W147,W$4:W147&lt;=J112),1))*INDEX(S$4:S147,MATCH(LARGE(FILTER(W$4:W147,W$4:W147&lt;=J112),1),W$4:W147))-L112),1,
ROUNDDOWN(Y112-INDEX(L$4:L147,MATCH(LARGE(FILTER(J$4:J147,J$4:J147&lt;=W112),1),J$4:J147))-(W112-LARGE(FILTER(J$4:J147,J$4:J147&lt;=W112),1))*"&amp;"INDEX(F$4:F147,MATCH(LARGE(FILTER(J$4:J147,J$4:J147&lt;=W112),1),J$4:J147))))"),4403.0)</f>
        <v>4403</v>
      </c>
      <c r="O112" s="65">
        <f t="shared" si="9"/>
        <v>35</v>
      </c>
      <c r="P112" s="15" t="s">
        <v>13</v>
      </c>
      <c r="Q112" s="14" t="b">
        <f>IFERROR(__xludf.DUMMYFUNCTION("IF(COUNTA(P112:P147)=0,"""",IFERROR(IF(ISBLANK(P112),FALSE,IF(ISBLANK(T112),1,IF(NOT(COUNTIF($AA$24:$AA$34,SUBSTITUTE(P112,""Sell_"",""""))),1,IF(P112=""Plastic_up"",IF(V112&lt;1000,1),IF(P112=""Super_Up"",IF(OR(COUNTIF(P$4:P112,""Grandma"")-COUNTIF(P$4:P112"&amp;",""Sell_Grandma"")&lt;1,COUNTIF(P$4:P112,VLOOKUP(P112,Upgrades!$F$8:$N$8,7+COUNTIF(P$4:P112,P112)))-COUNTIF(P$4:P112,""Sell_""&amp;VLOOKUP(P112,Upgrades!$F$8:$N$8,7+COUNTIF(P$4:P112,P112)))&lt;15),1),IF(REGEXMATCH(P112,""_up""),IF(COUNTIF(P$4:P112,SUBSTITUTE(P112,"&amp;"""_up"",""""))&lt;IFERROR(VLOOKUP(P112,Upgrades!$L$3:$P$6,1+COUNTIF(P$4:P112,P112),0),999),1),IF(REGEXMATCH(P112,""Sell_""),IF(COUNTIF(P$4:P112,SUBSTITUTE(P112,""Sell_"",""""))-COUNTIF(P$4:P111,P112)&lt;1,1),FALSE)))))))))"),FALSE)</f>
        <v>0</v>
      </c>
      <c r="R112" s="71">
        <f>IFERROR(__xludf.DUMMYFUNCTION("IF(REGEXMATCH(P112,""^Sell_""),R111, IF(COUNTA(P112:P147)=0,"""",(COUNTIF(P$4:P112,""Cursor"")-COUNTIF(P$4:P112,""Sell_Cursor""))*(0.1*2^SWITCH(COUNTIF(P$4:P112,""Cursor_up""),0,0,1,1,2,2,3)+SWITCH(COUNTIF(P$4:P112,""Cursor_up""),4,0.1,0)*(ROW(P112)-4-COU"&amp;"NTIF(P$4:P112,""Cursor"")-COUNTIF(P$4:P112,""*""&amp;""_up"")-2*COUNTIF(P$4:P112,""Sell_""&amp;""*"")+COUNTIF(P$4:P112,""Sell_Cursor"")-COUNTIF(P$4:P112,"""")))+(COUNTIF(P$4:P112,""Grandma"")-COUNTIF(P$4:P112,""Sell_Grandma""))*(1*2^(COUNTIF(P$4:P112,""Grandma_up"&amp;""")+COUNTIF(P$4:P112,""Super_up"")))+(COUNTIF(P$4:P112,""Farm"")-COUNTIF(P$4:P112,""Sell_Farm""))*(8*2^COUNTIF(P$4:P112,""Farm_up""))*IF(COUNTIF(P$4:P112,""Super_up"")&gt;0,1+0.01*(COUNTIF(P$4:P112,""Grandma"")-COUNTIF(P$4:P112,""Sell_Grandma"")),1)+(COUNTIF"&amp;"(P$4:P112,""Mine"")-COUNTIF(P$4:P112,""Sell_Mine""))*((47*2^COUNTIF(P$4:P112,""Mine_up""))*IF(COUNTIF(P$4:P112,""Super_up"")&gt;1,1+0.005*(COUNTIF(P$4:P112,""Grandma"")-COUNTIF(P$4:P112,""Sell_Grandma"")),1))+(COUNTIF(P$4:P112,""Factory"")-COUNTIF(P$4:P112,"&amp;"""Sell_Factory""))*(260*2^COUNTIF(P$4:P112,""Factory_up""))))"),1906.8000000000002)</f>
        <v>1906.8</v>
      </c>
      <c r="S112" s="73">
        <f>IFERROR(__xludf.DUMMYFUNCTION("IF(COUNTA(P112:P147)=0,"""",IF(REGEXMATCH(INDEX(FILTER(P$4:P112,P$4:P112&lt;&gt;""""),ROWS(FILTER(P$4:P112,P$4:P112&lt;&gt;""""))),""^Sell_""),INDEX(FILTER(S$4:S111,P$4:P111&lt;&gt;""""),ROWS(FILTER(P$4:P111,P$4:P111&lt;&gt;""""))),$AD$5*(2^SWITCH(COUNTIF(P$4:P112,""Cursor_up"")"&amp;",0,0,1,1,2,2,3)+SWITCH(COUNTIF(P$4:P112,""Cursor_up""),4,0.1,0)*(ROW(P112)-4-COUNTIF(P$4:P112,""Cursor"")-COUNTIF(P$4:P112,""*""&amp;""_up"")-2*COUNTIF(P$4:P112,""Sell_""&amp;""*"")+COUNTIF(P$4:P112,""Sell_Cursor"")-COUNTIF(P$4:P112,""""))+0.01*R112*COUNTIF(P$4:P"&amp;"112,""Plastic_up""))+R112))"),8520.4)</f>
        <v>8520.4</v>
      </c>
      <c r="T112" s="14">
        <f>IFERROR(__xludf.DUMMYFUNCTION("IF(COUNTA(P112:P147)=0,"""",IF(REGEXMATCH(P112,""_up""),VLOOKUP(P112,Upgrades!$F$3:$J$8,1+COUNTIF(P$4:P112,P112),FALSE),IF(P112="""",0,IF(REGEXMATCH(P112,""^Sell_""),-ROUNDDOWN(ROUNDUP(INDEX(Upgrades!$C$3:$C$8,MATCH(SUBSTITUTE(P112,""Sell_"",""""),Upgrade"&amp;"s!$B$3:$B$8,0))*1.15^(COUNTIF(P$4:P111,SUBSTITUTE(P112,""Sell_"",""""))-COUNTIF(P$4:P111,""Sell_""&amp;SUBSTITUTE(P112,""Sell_"",""""))))/4),ROUNDUP(INDEX(Upgrades!$C$3:$C$7,MATCH(P112,Upgrades!$B$3:$B$7,0))*1.15^(COUNTIF(P$4:P111,P112)-COUNTIF(P$4:P111,""Sel"&amp;"l_""&amp;P112)))))))"),11581.0)</f>
        <v>11581</v>
      </c>
      <c r="U112" s="14">
        <f t="shared" si="10"/>
        <v>11581</v>
      </c>
      <c r="V112" s="75">
        <f t="shared" si="11"/>
        <v>38274197.39</v>
      </c>
      <c r="W112" s="76">
        <f t="shared" si="12"/>
        <v>186.5835489</v>
      </c>
      <c r="X112" s="71" t="str">
        <f t="shared" si="13"/>
        <v>3m 06s</v>
      </c>
      <c r="Y112" s="77">
        <f t="shared" si="14"/>
        <v>633887</v>
      </c>
      <c r="Z112" s="17"/>
      <c r="AA112" s="13"/>
      <c r="AB112" s="13"/>
      <c r="AC112" s="13"/>
      <c r="AD112" s="13"/>
      <c r="AE112" s="13"/>
      <c r="AF112" s="13"/>
      <c r="AG112" s="13"/>
    </row>
    <row r="113">
      <c r="A113" s="12"/>
      <c r="B113" s="65">
        <f t="shared" si="2"/>
        <v>37</v>
      </c>
      <c r="C113" s="66" t="s">
        <v>13</v>
      </c>
      <c r="D113" s="14" t="b">
        <f>IFERROR(__xludf.DUMMYFUNCTION("IF(COUNTA(C113:C147)=0,"""",IFERROR(IF(ISBLANK(C113),FALSE,IF(ISBLANK(G113),1,IF(NOT(COUNTIF($AA$24:$AA$34,SUBSTITUTE(C113,""Sell_"",""""))),1,IF(C113=""Plastic_up"",IF(I113&lt;1000,1),IF(C113=""Super_Up"",IF(OR(COUNTIF(C$4:C113,""Grandma"")-COUNTIF(C$4:C113"&amp;",""Sell_Grandma"")&lt;1,COUNTIF(C$4:C113,VLOOKUP(C113,Upgrades!$F$8:$N$8,7+COUNTIF(C$4:C113,C113)))-COUNTIF(C$4:C113,""Sell_""&amp;VLOOKUP(C113,Upgrades!$F$8:$N$8,7+COUNTIF(C$4:C113,C113)))&lt;15),1),IF(REGEXMATCH(C113,""_up""),IF(COUNTIF(C$4:C113,SUBSTITUTE(C113,"&amp;"""_up"",""""))&lt;IFERROR(VLOOKUP(C113,Upgrades!$L$3:$P$6,1+COUNTIF(C$4:C113,C113),0),999),1),IF(REGEXMATCH(C113,""Sell_""),IF(COUNTIF(C$4:C113,SUBSTITUTE(C113,""Sell_"",""""))-COUNTIF(C$4:C112,C113)&lt;1,1),FALSE)))))))))"),FALSE)</f>
        <v>0</v>
      </c>
      <c r="E113" s="71">
        <f>IFERROR(__xludf.DUMMYFUNCTION("IF(REGEXMATCH(C113,""^Sell_""),E112, IF(COUNTA(C113:C147)=0,"""",(COUNTIF(C$4:C113,""Cursor"")-COUNTIF(C$4:C113,""Sell_Cursor""))*(0.1*2^SWITCH(COUNTIF(C$4:C113,""Cursor_up""),0,0,1,1,2,2,3)+SWITCH(COUNTIF(C$4:C113,""Cursor_up""),4,0.1,0)*(ROW(C113)-4-COU"&amp;"NTIF(C$4:C113,""Cursor"")-COUNTIF(C$4:C113,""*""&amp;""_up"")-2*COUNTIF(C$4:C113,""Sell_""&amp;""*"")+COUNTIF(C$4:C113,""Sell_Cursor"")-COUNTIF(C$4:C113,"""")))+(COUNTIF(C$4:C113,""Grandma"")-COUNTIF(C$4:C113,""Sell_Grandma""))*(1*2^(COUNTIF(C$4:C113,""Grandma_up"&amp;""")+COUNTIF(C$4:C113,""Super_up"")))+(COUNTIF(C$4:C113,""Farm"")-COUNTIF(C$4:C113,""Sell_Farm""))*(8*2^COUNTIF(C$4:C113,""Farm_up""))*IF(COUNTIF(C$4:C113,""Super_up"")&gt;0,1+0.01*(COUNTIF(C$4:C113,""Grandma"")-COUNTIF(C$4:C113,""Sell_Grandma"")),1)+(COUNTIF"&amp;"(C$4:C113,""Mine"")-COUNTIF(C$4:C113,""Sell_Mine""))*((47*2^COUNTIF(C$4:C113,""Mine_up""))*IF(COUNTIF(C$4:C113,""Super_up"")&gt;1,1+0.005*(COUNTIF(C$4:C113,""Grandma"")-COUNTIF(C$4:C113,""Sell_Grandma"")),1))+(COUNTIF(C$4:C113,""Factory"")-COUNTIF(C$4:C113,"&amp;"""Sell_Factory""))*(260*2^COUNTIF(C$4:C113,""Factory_up""))))"),1744.7800000000002)</f>
        <v>1744.78</v>
      </c>
      <c r="F113" s="73">
        <f>IFERROR(__xludf.DUMMYFUNCTION("IF(COUNTA(C113:C147)=0,"""",IF(REGEXMATCH(INDEX(FILTER(C$4:C113,C$4:C113&lt;&gt;""""),ROWS(FILTER(C$4:C113,C$4:C113&lt;&gt;""""))),""^Sell_""),INDEX(FILTER(F$4:F112,C$4:C112&lt;&gt;""""),ROWS(FILTER(C$4:C112,C$4:C112&lt;&gt;""""))),$AC$5*(2^SWITCH(COUNTIF(C$4:C113,""Cursor_up"")"&amp;",0,0,1,1,2,2,3)+SWITCH(COUNTIF(C$4:C113,""Cursor_up""),4,0.1,0)*(ROW(C113)-4-COUNTIF(C$4:C113,""Cursor"")-COUNTIF(C$4:C113,""*""&amp;""_up"")-2*COUNTIF(C$4:C113,""Sell_""&amp;""*"")+COUNTIF(C$4:C113,""Sell_Cursor"")-COUNTIF(C$4:C113,""""))+0.01*E113*COUNTIF(C$4:C"&amp;"113,""Plastic_up""))+E113))"),7974.34)</f>
        <v>7974.34</v>
      </c>
      <c r="G113" s="14">
        <f>IFERROR(__xludf.DUMMYFUNCTION("IF(COUNTA(C113:C147)=0,"""",IF(REGEXMATCH(C113,""_up""),VLOOKUP(C113,Upgrades!$F$3:$J$8,1+COUNTIF(C$4:C113,C113),FALSE),IF(C113="""",0,IF(REGEXMATCH(C113,""^Sell_""),-ROUNDDOWN(ROUNDUP(INDEX(Upgrades!$C$3:$C$8,MATCH(SUBSTITUTE(C113,""Sell_"",""""),Upgrade"&amp;"s!$B$3:$B$8,0))*1.15^(COUNTIF(C$4:C112,SUBSTITUTE(C113,""Sell_"",""""))-COUNTIF(C$4:C112,""Sell_""&amp;SUBSTITUTE(C113,""Sell_"",""""))))/4),ROUNDUP(INDEX(Upgrades!$C$3:$C$7,MATCH(C113,Upgrades!$B$3:$B$7,0))*1.15^(COUNTIF(C$4:C112,C113)-COUNTIF(C$4:C112,""Sel"&amp;"l_""&amp;C113)))))))"),15316.0)</f>
        <v>15316</v>
      </c>
      <c r="H113" s="14">
        <f t="shared" si="3"/>
        <v>15316</v>
      </c>
      <c r="I113" s="75">
        <f t="shared" si="4"/>
        <v>35693268.28</v>
      </c>
      <c r="J113" s="76">
        <f t="shared" si="5"/>
        <v>182.8897355</v>
      </c>
      <c r="K113" s="71" t="str">
        <f t="shared" si="6"/>
        <v>3m 02s</v>
      </c>
      <c r="L113" s="77">
        <f t="shared" si="7"/>
        <v>598353</v>
      </c>
      <c r="M113" s="51">
        <f t="shared" si="8"/>
        <v>-0.5919</v>
      </c>
      <c r="N113" s="52">
        <f>IFERROR(__xludf.DUMMYFUNCTION("IFS(AND(COUNTA(C113:C147)=0,COUNTA(P113:P147)=0),"""",OR(AND(L113&gt;=1000000,OR(Y113&gt;=1000000,COUNTA(P113:P147)=0)),AND(Y113&gt;=1000000,COUNTA(C113:C147)=0),AND(COUNTA(P113:P147)=0,O$3=TRUE)),
ROUNDDOWN((AB$1-AC$1)*MAX(INDEX(S$4:S147,MATCH(LARGE(FILTER(Y$4:Y1"&amp;"47,Y$4:Y147&lt;1000000),1),Y$4:Y147)),INDEX(F$4:F147,MATCH(LARGE(FILTER(L$4:L147,L$4:L147&lt;1000000),1),L$4:L147)))),AND(L113&lt;1000000,COUNTA(C113:C147)&gt;0,O$3=FALSE),
ROUNDDOWN(INDEX(Y$4:Y147,MATCH(LARGE(FILTER(W$4:W147,W$4:W147&lt;=J113),1),W$4:W147))+(J113-LARGE"&amp;"(FILTER(W$4:W147,W$4:W147&lt;=J113),1))*INDEX(S$4:S147,MATCH(LARGE(FILTER(W$4:W147,W$4:W147&lt;=J113),1),W$4:W147))-L113),1,
ROUNDDOWN(Y113-INDEX(L$4:L147,MATCH(LARGE(FILTER(J$4:J147,J$4:J147&lt;=W113),1),J$4:J147))-(W113-LARGE(FILTER(J$4:J147,J$4:J147&lt;=W113),1))*"&amp;"INDEX(F$4:F147,MATCH(LARGE(FILTER(J$4:J147,J$4:J147&lt;=W113),1),J$4:J147))))"),4800.0)</f>
        <v>4800</v>
      </c>
      <c r="O113" s="65">
        <f t="shared" si="9"/>
        <v>5</v>
      </c>
      <c r="P113" s="15" t="s">
        <v>18</v>
      </c>
      <c r="Q113" s="14" t="b">
        <f>IFERROR(__xludf.DUMMYFUNCTION("IF(COUNTA(P113:P147)=0,"""",IFERROR(IF(ISBLANK(P113),FALSE,IF(ISBLANK(T113),1,IF(NOT(COUNTIF($AA$24:$AA$34,SUBSTITUTE(P113,""Sell_"",""""))),1,IF(P113=""Plastic_up"",IF(V113&lt;1000,1),IF(P113=""Super_Up"",IF(OR(COUNTIF(P$4:P113,""Grandma"")-COUNTIF(P$4:P113"&amp;",""Sell_Grandma"")&lt;1,COUNTIF(P$4:P113,VLOOKUP(P113,Upgrades!$F$8:$N$8,7+COUNTIF(P$4:P113,P113)))-COUNTIF(P$4:P113,""Sell_""&amp;VLOOKUP(P113,Upgrades!$F$8:$N$8,7+COUNTIF(P$4:P113,P113)))&lt;15),1),IF(REGEXMATCH(P113,""_up""),IF(COUNTIF(P$4:P113,SUBSTITUTE(P113,"&amp;"""_up"",""""))&lt;IFERROR(VLOOKUP(P113,Upgrades!$L$3:$P$6,1+COUNTIF(P$4:P113,P113),0),999),1),IF(REGEXMATCH(P113,""Sell_""),IF(COUNTIF(P$4:P113,SUBSTITUTE(P113,""Sell_"",""""))-COUNTIF(P$4:P112,P113)&lt;1,1),FALSE)))))))))"),FALSE)</f>
        <v>0</v>
      </c>
      <c r="R113" s="71">
        <f>IFERROR(__xludf.DUMMYFUNCTION("IF(REGEXMATCH(P113,""^Sell_""),R112, IF(COUNTA(P113:P147)=0,"""",(COUNTIF(P$4:P113,""Cursor"")-COUNTIF(P$4:P113,""Sell_Cursor""))*(0.1*2^SWITCH(COUNTIF(P$4:P113,""Cursor_up""),0,0,1,1,2,2,3)+SWITCH(COUNTIF(P$4:P113,""Cursor_up""),4,0.1,0)*(ROW(P113)-4-COU"&amp;"NTIF(P$4:P113,""Cursor"")-COUNTIF(P$4:P113,""*""&amp;""_up"")-2*COUNTIF(P$4:P113,""Sell_""&amp;""*"")+COUNTIF(P$4:P113,""Sell_Cursor"")-COUNTIF(P$4:P113,"""")))+(COUNTIF(P$4:P113,""Grandma"")-COUNTIF(P$4:P113,""Sell_Grandma""))*(1*2^(COUNTIF(P$4:P113,""Grandma_up"&amp;""")+COUNTIF(P$4:P113,""Super_up"")))+(COUNTIF(P$4:P113,""Farm"")-COUNTIF(P$4:P113,""Sell_Farm""))*(8*2^COUNTIF(P$4:P113,""Farm_up""))*IF(COUNTIF(P$4:P113,""Super_up"")&gt;0,1+0.01*(COUNTIF(P$4:P113,""Grandma"")-COUNTIF(P$4:P113,""Sell_Grandma"")),1)+(COUNTIF"&amp;"(P$4:P113,""Mine"")-COUNTIF(P$4:P113,""Sell_Mine""))*((47*2^COUNTIF(P$4:P113,""Mine_up""))*IF(COUNTIF(P$4:P113,""Super_up"")&gt;1,1+0.005*(COUNTIF(P$4:P113,""Grandma"")-COUNTIF(P$4:P113,""Sell_Grandma"")),1))+(COUNTIF(P$4:P113,""Factory"")-COUNTIF(P$4:P113,"&amp;"""Sell_Factory""))*(260*2^COUNTIF(P$4:P113,""Factory_up""))))"),1957.5)</f>
        <v>1957.5</v>
      </c>
      <c r="S113" s="73">
        <f>IFERROR(__xludf.DUMMYFUNCTION("IF(COUNTA(P113:P147)=0,"""",IF(REGEXMATCH(INDEX(FILTER(P$4:P113,P$4:P113&lt;&gt;""""),ROWS(FILTER(P$4:P113,P$4:P113&lt;&gt;""""))),""^Sell_""),INDEX(FILTER(S$4:S112,P$4:P112&lt;&gt;""""),ROWS(FILTER(P$4:P112,P$4:P112&lt;&gt;""""))),$AD$5*(2^SWITCH(COUNTIF(P$4:P113,""Cursor_up"")"&amp;",0,0,1,1,2,2,3)+SWITCH(COUNTIF(P$4:P113,""Cursor_up""),4,0.1,0)*(ROW(P113)-4-COUNTIF(P$4:P113,""Cursor"")-COUNTIF(P$4:P113,""*""&amp;""_up"")-2*COUNTIF(P$4:P113,""Sell_""&amp;""*"")+COUNTIF(P$4:P113,""Sell_Cursor"")-COUNTIF(P$4:P113,""""))+0.01*R113*COUNTIF(P$4:P"&amp;"113,""Plastic_up""))+R113))"),8692.5)</f>
        <v>8692.5</v>
      </c>
      <c r="T113" s="14">
        <f>IFERROR(__xludf.DUMMYFUNCTION("IF(COUNTA(P113:P147)=0,"""",IF(REGEXMATCH(P113,""_up""),VLOOKUP(P113,Upgrades!$F$3:$J$8,1+COUNTIF(P$4:P113,P113),FALSE),IF(P113="""",0,IF(REGEXMATCH(P113,""^Sell_""),-ROUNDDOWN(ROUNDUP(INDEX(Upgrades!$C$3:$C$8,MATCH(SUBSTITUTE(P113,""Sell_"",""""),Upgrade"&amp;"s!$B$3:$B$8,0))*1.15^(COUNTIF(P$4:P112,SUBSTITUTE(P113,""Sell_"",""""))-COUNTIF(P$4:P112,""Sell_""&amp;SUBSTITUTE(P113,""Sell_"",""""))))/4),ROUNDUP(INDEX(Upgrades!$C$3:$C$7,MATCH(P113,Upgrades!$B$3:$B$7,0))*1.15^(COUNTIF(P$4:P112,P113)-COUNTIF(P$4:P112,""Sel"&amp;"l_""&amp;P113)))))))"),20989.0)</f>
        <v>20989</v>
      </c>
      <c r="U113" s="14">
        <f t="shared" si="10"/>
        <v>20989</v>
      </c>
      <c r="V113" s="75">
        <f t="shared" si="11"/>
        <v>39524478.17</v>
      </c>
      <c r="W113" s="76">
        <f t="shared" si="12"/>
        <v>189.0469309</v>
      </c>
      <c r="X113" s="71" t="str">
        <f t="shared" si="13"/>
        <v>3m 09s</v>
      </c>
      <c r="Y113" s="77">
        <f t="shared" si="14"/>
        <v>654876</v>
      </c>
      <c r="Z113" s="17"/>
      <c r="AA113" s="13"/>
      <c r="AB113" s="13"/>
      <c r="AC113" s="13"/>
      <c r="AD113" s="13"/>
      <c r="AE113" s="13"/>
      <c r="AF113" s="13"/>
      <c r="AG113" s="13"/>
    </row>
    <row r="114">
      <c r="A114" s="12"/>
      <c r="B114" s="65">
        <f t="shared" si="2"/>
        <v>38</v>
      </c>
      <c r="C114" s="66" t="s">
        <v>13</v>
      </c>
      <c r="D114" s="14" t="b">
        <f>IFERROR(__xludf.DUMMYFUNCTION("IF(COUNTA(C114:C147)=0,"""",IFERROR(IF(ISBLANK(C114),FALSE,IF(ISBLANK(G114),1,IF(NOT(COUNTIF($AA$24:$AA$34,SUBSTITUTE(C114,""Sell_"",""""))),1,IF(C114=""Plastic_up"",IF(I114&lt;1000,1),IF(C114=""Super_Up"",IF(OR(COUNTIF(C$4:C114,""Grandma"")-COUNTIF(C$4:C114"&amp;",""Sell_Grandma"")&lt;1,COUNTIF(C$4:C114,VLOOKUP(C114,Upgrades!$F$8:$N$8,7+COUNTIF(C$4:C114,C114)))-COUNTIF(C$4:C114,""Sell_""&amp;VLOOKUP(C114,Upgrades!$F$8:$N$8,7+COUNTIF(C$4:C114,C114)))&lt;15),1),IF(REGEXMATCH(C114,""_up""),IF(COUNTIF(C$4:C114,SUBSTITUTE(C114,"&amp;"""_up"",""""))&lt;IFERROR(VLOOKUP(C114,Upgrades!$L$3:$P$6,1+COUNTIF(C$4:C114,C114),0),999),1),IF(REGEXMATCH(C114,""Sell_""),IF(COUNTIF(C$4:C114,SUBSTITUTE(C114,""Sell_"",""""))-COUNTIF(C$4:C113,C114)&lt;1,1),FALSE)))))))))"),FALSE)</f>
        <v>0</v>
      </c>
      <c r="E114" s="71">
        <f>IFERROR(__xludf.DUMMYFUNCTION("IF(REGEXMATCH(C114,""^Sell_""),E113, IF(COUNTA(C114:C147)=0,"""",(COUNTIF(C$4:C114,""Cursor"")-COUNTIF(C$4:C114,""Sell_Cursor""))*(0.1*2^SWITCH(COUNTIF(C$4:C114,""Cursor_up""),0,0,1,1,2,2,3)+SWITCH(COUNTIF(C$4:C114,""Cursor_up""),4,0.1,0)*(ROW(C114)-4-COU"&amp;"NTIF(C$4:C114,""Cursor"")-COUNTIF(C$4:C114,""*""&amp;""_up"")-2*COUNTIF(C$4:C114,""Sell_""&amp;""*"")+COUNTIF(C$4:C114,""Sell_Cursor"")-COUNTIF(C$4:C114,"""")))+(COUNTIF(C$4:C114,""Grandma"")-COUNTIF(C$4:C114,""Sell_Grandma""))*(1*2^(COUNTIF(C$4:C114,""Grandma_up"&amp;""")+COUNTIF(C$4:C114,""Super_up"")))+(COUNTIF(C$4:C114,""Farm"")-COUNTIF(C$4:C114,""Sell_Farm""))*(8*2^COUNTIF(C$4:C114,""Farm_up""))*IF(COUNTIF(C$4:C114,""Super_up"")&gt;0,1+0.01*(COUNTIF(C$4:C114,""Grandma"")-COUNTIF(C$4:C114,""Sell_Grandma"")),1)+(COUNTIF"&amp;"(C$4:C114,""Mine"")-COUNTIF(C$4:C114,""Sell_Mine""))*((47*2^COUNTIF(C$4:C114,""Mine_up""))*IF(COUNTIF(C$4:C114,""Super_up"")&gt;1,1+0.005*(COUNTIF(C$4:C114,""Grandma"")-COUNTIF(C$4:C114,""Sell_Grandma"")),1))+(COUNTIF(C$4:C114,""Factory"")-COUNTIF(C$4:C114,"&amp;"""Sell_Factory""))*(260*2^COUNTIF(C$4:C114,""Factory_up""))))"),1770.32)</f>
        <v>1770.32</v>
      </c>
      <c r="F114" s="73">
        <f>IFERROR(__xludf.DUMMYFUNCTION("IF(COUNTA(C114:C147)=0,"""",IF(REGEXMATCH(INDEX(FILTER(C$4:C114,C$4:C114&lt;&gt;""""),ROWS(FILTER(C$4:C114,C$4:C114&lt;&gt;""""))),""^Sell_""),INDEX(FILTER(F$4:F113,C$4:C113&lt;&gt;""""),ROWS(FILTER(C$4:C113,C$4:C113&lt;&gt;""""))),$AC$5*(2^SWITCH(COUNTIF(C$4:C114,""Cursor_up"")"&amp;",0,0,1,1,2,2,3)+SWITCH(COUNTIF(C$4:C114,""Cursor_up""),4,0.1,0)*(ROW(C114)-4-COUNTIF(C$4:C114,""Cursor"")-COUNTIF(C$4:C114,""*""&amp;""_up"")-2*COUNTIF(C$4:C114,""Sell_""&amp;""*"")+COUNTIF(C$4:C114,""Sell_Cursor"")-COUNTIF(C$4:C114,""""))+0.01*E114*COUNTIF(C$4:C"&amp;"114,""Plastic_up""))+E114))"),8070.96)</f>
        <v>8070.96</v>
      </c>
      <c r="G114" s="14">
        <f>IFERROR(__xludf.DUMMYFUNCTION("IF(COUNTA(C114:C147)=0,"""",IF(REGEXMATCH(C114,""_up""),VLOOKUP(C114,Upgrades!$F$3:$J$8,1+COUNTIF(C$4:C114,C114),FALSE),IF(C114="""",0,IF(REGEXMATCH(C114,""^Sell_""),-ROUNDDOWN(ROUNDUP(INDEX(Upgrades!$C$3:$C$8,MATCH(SUBSTITUTE(C114,""Sell_"",""""),Upgrade"&amp;"s!$B$3:$B$8,0))*1.15^(COUNTIF(C$4:C113,SUBSTITUTE(C114,""Sell_"",""""))-COUNTIF(C$4:C113,""Sell_""&amp;SUBSTITUTE(C114,""Sell_"",""""))))/4),ROUNDUP(INDEX(Upgrades!$C$3:$C$7,MATCH(C114,Upgrades!$B$3:$B$7,0))*1.15^(COUNTIF(C$4:C113,C114)-COUNTIF(C$4:C113,""Sel"&amp;"l_""&amp;C114)))))))"),17613.0)</f>
        <v>17613</v>
      </c>
      <c r="H114" s="14">
        <f t="shared" si="3"/>
        <v>17613</v>
      </c>
      <c r="I114" s="75">
        <f t="shared" si="4"/>
        <v>36846350.14</v>
      </c>
      <c r="J114" s="76">
        <f t="shared" si="5"/>
        <v>185.0984449</v>
      </c>
      <c r="K114" s="71" t="str">
        <f t="shared" si="6"/>
        <v>3m 05s</v>
      </c>
      <c r="L114" s="77">
        <f t="shared" si="7"/>
        <v>615966</v>
      </c>
      <c r="M114" s="51">
        <f t="shared" si="8"/>
        <v>-0.6541</v>
      </c>
      <c r="N114" s="52">
        <f>IFERROR(__xludf.DUMMYFUNCTION("IFS(AND(COUNTA(C114:C147)=0,COUNTA(P114:P147)=0),"""",OR(AND(L114&gt;=1000000,OR(Y114&gt;=1000000,COUNTA(P114:P147)=0)),AND(Y114&gt;=1000000,COUNTA(C114:C147)=0),AND(COUNTA(P114:P147)=0,O$3=TRUE)),
ROUNDDOWN((AB$1-AC$1)*MAX(INDEX(S$4:S147,MATCH(LARGE(FILTER(Y$4:Y1"&amp;"47,Y$4:Y147&lt;1000000),1),Y$4:Y147)),INDEX(F$4:F147,MATCH(LARGE(FILTER(L$4:L147,L$4:L147&lt;1000000),1),L$4:L147)))),AND(L114&lt;1000000,COUNTA(C114:C147)&gt;0,O$3=FALSE),
ROUNDDOWN(INDEX(Y$4:Y147,MATCH(LARGE(FILTER(W$4:W147,W$4:W147&lt;=J114),1),W$4:W147))+(J114-LARGE"&amp;"(FILTER(W$4:W147,W$4:W147&lt;=J114),1))*INDEX(S$4:S147,MATCH(LARGE(FILTER(W$4:W147,W$4:W147&lt;=J114),1),W$4:W147))-L114),1,
ROUNDDOWN(Y114-INDEX(L$4:L147,MATCH(LARGE(FILTER(J$4:J147,J$4:J147&lt;=W114),1),J$4:J147))-(W114-LARGE(FILTER(J$4:J147,J$4:J147&lt;=W114),1))*"&amp;"INDEX(F$4:F147,MATCH(LARGE(FILTER(J$4:J147,J$4:J147&lt;=W114),1),J$4:J147))))"),5416.0)</f>
        <v>5416</v>
      </c>
      <c r="O114" s="65">
        <f t="shared" si="9"/>
        <v>38</v>
      </c>
      <c r="P114" s="15" t="s">
        <v>10</v>
      </c>
      <c r="Q114" s="14" t="b">
        <f>IFERROR(__xludf.DUMMYFUNCTION("IF(COUNTA(P114:P147)=0,"""",IFERROR(IF(ISBLANK(P114),FALSE,IF(ISBLANK(T114),1,IF(NOT(COUNTIF($AA$24:$AA$34,SUBSTITUTE(P114,""Sell_"",""""))),1,IF(P114=""Plastic_up"",IF(V114&lt;1000,1),IF(P114=""Super_Up"",IF(OR(COUNTIF(P$4:P114,""Grandma"")-COUNTIF(P$4:P114"&amp;",""Sell_Grandma"")&lt;1,COUNTIF(P$4:P114,VLOOKUP(P114,Upgrades!$F$8:$N$8,7+COUNTIF(P$4:P114,P114)))-COUNTIF(P$4:P114,""Sell_""&amp;VLOOKUP(P114,Upgrades!$F$8:$N$8,7+COUNTIF(P$4:P114,P114)))&lt;15),1),IF(REGEXMATCH(P114,""_up""),IF(COUNTIF(P$4:P114,SUBSTITUTE(P114,"&amp;"""_up"",""""))&lt;IFERROR(VLOOKUP(P114,Upgrades!$L$3:$P$6,1+COUNTIF(P$4:P114,P114),0),999),1),IF(REGEXMATCH(P114,""Sell_""),IF(COUNTIF(P$4:P114,SUBSTITUTE(P114,""Sell_"",""""))-COUNTIF(P$4:P113,P114)&lt;1,1),FALSE)))))))))"),FALSE)</f>
        <v>0</v>
      </c>
      <c r="R114" s="71">
        <f>IFERROR(__xludf.DUMMYFUNCTION("IF(REGEXMATCH(P114,""^Sell_""),R113, IF(COUNTA(P114:P147)=0,"""",(COUNTIF(P$4:P114,""Cursor"")-COUNTIF(P$4:P114,""Sell_Cursor""))*(0.1*2^SWITCH(COUNTIF(P$4:P114,""Cursor_up""),0,0,1,1,2,2,3)+SWITCH(COUNTIF(P$4:P114,""Cursor_up""),4,0.1,0)*(ROW(P114)-4-COU"&amp;"NTIF(P$4:P114,""Cursor"")-COUNTIF(P$4:P114,""*""&amp;""_up"")-2*COUNTIF(P$4:P114,""Sell_""&amp;""*"")+COUNTIF(P$4:P114,""Sell_Cursor"")-COUNTIF(P$4:P114,"""")))+(COUNTIF(P$4:P114,""Grandma"")-COUNTIF(P$4:P114,""Sell_Grandma""))*(1*2^(COUNTIF(P$4:P114,""Grandma_up"&amp;""")+COUNTIF(P$4:P114,""Super_up"")))+(COUNTIF(P$4:P114,""Farm"")-COUNTIF(P$4:P114,""Sell_Farm""))*(8*2^COUNTIF(P$4:P114,""Farm_up""))*IF(COUNTIF(P$4:P114,""Super_up"")&gt;0,1+0.01*(COUNTIF(P$4:P114,""Grandma"")-COUNTIF(P$4:P114,""Sell_Grandma"")),1)+(COUNTIF"&amp;"(P$4:P114,""Mine"")-COUNTIF(P$4:P114,""Sell_Mine""))*((47*2^COUNTIF(P$4:P114,""Mine_up""))*IF(COUNTIF(P$4:P114,""Super_up"")&gt;1,1+0.005*(COUNTIF(P$4:P114,""Grandma"")-COUNTIF(P$4:P114,""Sell_Grandma"")),1))+(COUNTIF(P$4:P114,""Factory"")-COUNTIF(P$4:P114,"&amp;"""Sell_Factory""))*(260*2^COUNTIF(P$4:P114,""Factory_up""))))"),1964.4)</f>
        <v>1964.4</v>
      </c>
      <c r="S114" s="73">
        <f>IFERROR(__xludf.DUMMYFUNCTION("IF(COUNTA(P114:P147)=0,"""",IF(REGEXMATCH(INDEX(FILTER(P$4:P114,P$4:P114&lt;&gt;""""),ROWS(FILTER(P$4:P114,P$4:P114&lt;&gt;""""))),""^Sell_""),INDEX(FILTER(S$4:S113,P$4:P113&lt;&gt;""""),ROWS(FILTER(P$4:P113,P$4:P113&lt;&gt;""""))),$AD$5*(2^SWITCH(COUNTIF(P$4:P114,""Cursor_up"")"&amp;",0,0,1,1,2,2,3)+SWITCH(COUNTIF(P$4:P114,""Cursor_up""),4,0.1,0)*(ROW(P114)-4-COUNTIF(P$4:P114,""Cursor"")-COUNTIF(P$4:P114,""*""&amp;""_up"")-2*COUNTIF(P$4:P114,""Sell_""&amp;""*"")+COUNTIF(P$4:P114,""Sell_Cursor"")-COUNTIF(P$4:P114,""""))+0.01*R114*COUNTIF(P$4:P"&amp;"114,""Plastic_up""))+R114))"),8713.2)</f>
        <v>8713.2</v>
      </c>
      <c r="T114" s="14">
        <f>IFERROR(__xludf.DUMMYFUNCTION("IF(COUNTA(P114:P147)=0,"""",IF(REGEXMATCH(P114,""_up""),VLOOKUP(P114,Upgrades!$F$3:$J$8,1+COUNTIF(P$4:P114,P114),FALSE),IF(P114="""",0,IF(REGEXMATCH(P114,""^Sell_""),-ROUNDDOWN(ROUNDUP(INDEX(Upgrades!$C$3:$C$8,MATCH(SUBSTITUTE(P114,""Sell_"",""""),Upgrade"&amp;"s!$B$3:$B$8,0))*1.15^(COUNTIF(P$4:P113,SUBSTITUTE(P114,""Sell_"",""""))-COUNTIF(P$4:P113,""Sell_""&amp;SUBSTITUTE(P114,""Sell_"",""""))))/4),ROUNDUP(INDEX(Upgrades!$C$3:$C$7,MATCH(P114,Upgrades!$B$3:$B$7,0))*1.15^(COUNTIF(P$4:P113,P114)-COUNTIF(P$4:P113,""Sel"&amp;"l_""&amp;P114)))))))"),2642.0)</f>
        <v>2642</v>
      </c>
      <c r="U114" s="14">
        <f t="shared" si="10"/>
        <v>2642</v>
      </c>
      <c r="V114" s="75">
        <f t="shared" si="11"/>
        <v>40799756.28</v>
      </c>
      <c r="W114" s="76">
        <f t="shared" si="12"/>
        <v>189.3508711</v>
      </c>
      <c r="X114" s="71" t="str">
        <f t="shared" si="13"/>
        <v>3m 09s</v>
      </c>
      <c r="Y114" s="77">
        <f t="shared" si="14"/>
        <v>657518</v>
      </c>
      <c r="Z114" s="17"/>
      <c r="AA114" s="13"/>
      <c r="AB114" s="13"/>
      <c r="AC114" s="13"/>
      <c r="AD114" s="13"/>
      <c r="AE114" s="13"/>
      <c r="AF114" s="13"/>
      <c r="AG114" s="13"/>
    </row>
    <row r="115">
      <c r="A115" s="12"/>
      <c r="B115" s="65">
        <f t="shared" si="2"/>
        <v>18</v>
      </c>
      <c r="C115" s="66" t="s">
        <v>16</v>
      </c>
      <c r="D115" s="14" t="b">
        <f>IFERROR(__xludf.DUMMYFUNCTION("IF(COUNTA(C115:C147)=0,"""",IFERROR(IF(ISBLANK(C115),FALSE,IF(ISBLANK(G115),1,IF(NOT(COUNTIF($AA$24:$AA$34,SUBSTITUTE(C115,""Sell_"",""""))),1,IF(C115=""Plastic_up"",IF(I115&lt;1000,1),IF(C115=""Super_Up"",IF(OR(COUNTIF(C$4:C115,""Grandma"")-COUNTIF(C$4:C115"&amp;",""Sell_Grandma"")&lt;1,COUNTIF(C$4:C115,VLOOKUP(C115,Upgrades!$F$8:$N$8,7+COUNTIF(C$4:C115,C115)))-COUNTIF(C$4:C115,""Sell_""&amp;VLOOKUP(C115,Upgrades!$F$8:$N$8,7+COUNTIF(C$4:C115,C115)))&lt;15),1),IF(REGEXMATCH(C115,""_up""),IF(COUNTIF(C$4:C115,SUBSTITUTE(C115,"&amp;"""_up"",""""))&lt;IFERROR(VLOOKUP(C115,Upgrades!$L$3:$P$6,1+COUNTIF(C$4:C115,C115),0),999),1),IF(REGEXMATCH(C115,""Sell_""),IF(COUNTIF(C$4:C115,SUBSTITUTE(C115,""Sell_"",""""))-COUNTIF(C$4:C114,C115)&lt;1,1),FALSE)))))))))"),FALSE)</f>
        <v>0</v>
      </c>
      <c r="E115" s="71">
        <f>IFERROR(__xludf.DUMMYFUNCTION("IF(REGEXMATCH(C115,""^Sell_""),E114, IF(COUNTA(C115:C147)=0,"""",(COUNTIF(C$4:C115,""Cursor"")-COUNTIF(C$4:C115,""Sell_Cursor""))*(0.1*2^SWITCH(COUNTIF(C$4:C115,""Cursor_up""),0,0,1,1,2,2,3)+SWITCH(COUNTIF(C$4:C115,""Cursor_up""),4,0.1,0)*(ROW(C115)-4-COU"&amp;"NTIF(C$4:C115,""Cursor"")-COUNTIF(C$4:C115,""*""&amp;""_up"")-2*COUNTIF(C$4:C115,""Sell_""&amp;""*"")+COUNTIF(C$4:C115,""Sell_Cursor"")-COUNTIF(C$4:C115,"""")))+(COUNTIF(C$4:C115,""Grandma"")-COUNTIF(C$4:C115,""Sell_Grandma""))*(1*2^(COUNTIF(C$4:C115,""Grandma_up"&amp;""")+COUNTIF(C$4:C115,""Super_up"")))+(COUNTIF(C$4:C115,""Farm"")-COUNTIF(C$4:C115,""Sell_Farm""))*(8*2^COUNTIF(C$4:C115,""Farm_up""))*IF(COUNTIF(C$4:C115,""Super_up"")&gt;0,1+0.01*(COUNTIF(C$4:C115,""Grandma"")-COUNTIF(C$4:C115,""Sell_Grandma"")),1)+(COUNTIF"&amp;"(C$4:C115,""Mine"")-COUNTIF(C$4:C115,""Sell_Mine""))*((47*2^COUNTIF(C$4:C115,""Mine_up""))*IF(COUNTIF(C$4:C115,""Super_up"")&gt;1,1+0.005*(COUNTIF(C$4:C115,""Grandma"")-COUNTIF(C$4:C115,""Sell_Grandma"")),1))+(COUNTIF(C$4:C115,""Factory"")-COUNTIF(C$4:C115,"&amp;"""Sell_Factory""))*(260*2^COUNTIF(C$4:C115,""Factory_up""))))"),1818.58)</f>
        <v>1818.58</v>
      </c>
      <c r="F115" s="73">
        <f>IFERROR(__xludf.DUMMYFUNCTION("IF(COUNTA(C115:C147)=0,"""",IF(REGEXMATCH(INDEX(FILTER(C$4:C115,C$4:C115&lt;&gt;""""),ROWS(FILTER(C$4:C115,C$4:C115&lt;&gt;""""))),""^Sell_""),INDEX(FILTER(F$4:F114,C$4:C114&lt;&gt;""""),ROWS(FILTER(C$4:C114,C$4:C114&lt;&gt;""""))),$AC$5*(2^SWITCH(COUNTIF(C$4:C115,""Cursor_up"")"&amp;",0,0,1,1,2,2,3)+SWITCH(COUNTIF(C$4:C115,""Cursor_up""),4,0.1,0)*(ROW(C115)-4-COUNTIF(C$4:C115,""Cursor"")-COUNTIF(C$4:C115,""*""&amp;""_up"")-2*COUNTIF(C$4:C115,""Sell_""&amp;""*"")+COUNTIF(C$4:C115,""Sell_Cursor"")-COUNTIF(C$4:C115,""""))+0.01*E115*COUNTIF(C$4:C"&amp;"115,""Plastic_up""))+E115))"),8235.74)</f>
        <v>8235.74</v>
      </c>
      <c r="G115" s="14">
        <f>IFERROR(__xludf.DUMMYFUNCTION("IF(COUNTA(C115:C147)=0,"""",IF(REGEXMATCH(C115,""_up""),VLOOKUP(C115,Upgrades!$F$3:$J$8,1+COUNTIF(C$4:C115,C115),FALSE),IF(C115="""",0,IF(REGEXMATCH(C115,""^Sell_""),-ROUNDDOWN(ROUNDUP(INDEX(Upgrades!$C$3:$C$8,MATCH(SUBSTITUTE(C115,""Sell_"",""""),Upgrade"&amp;"s!$B$3:$B$8,0))*1.15^(COUNTIF(C$4:C114,SUBSTITUTE(C115,""Sell_"",""""))-COUNTIF(C$4:C114,""Sell_""&amp;SUBSTITUTE(C115,""Sell_"",""""))))/4),ROUNDUP(INDEX(Upgrades!$C$3:$C$7,MATCH(C115,Upgrades!$B$3:$B$7,0))*1.15^(COUNTIF(C$4:C114,C115)-COUNTIF(C$4:C114,""Sel"&amp;"l_""&amp;C115)))))))"),11838.0)</f>
        <v>11838</v>
      </c>
      <c r="H115" s="14">
        <f t="shared" si="3"/>
        <v>11838</v>
      </c>
      <c r="I115" s="75">
        <f t="shared" si="4"/>
        <v>38021830.21</v>
      </c>
      <c r="J115" s="76">
        <f t="shared" si="5"/>
        <v>186.565185</v>
      </c>
      <c r="K115" s="71" t="str">
        <f t="shared" si="6"/>
        <v>3m 06s</v>
      </c>
      <c r="L115" s="77">
        <f t="shared" si="7"/>
        <v>627804</v>
      </c>
      <c r="M115" s="51">
        <f t="shared" si="8"/>
        <v>-0.70398</v>
      </c>
      <c r="N115" s="52">
        <f>IFERROR(__xludf.DUMMYFUNCTION("IFS(AND(COUNTA(C115:C147)=0,COUNTA(P115:P147)=0),"""",OR(AND(L115&gt;=1000000,OR(Y115&gt;=1000000,COUNTA(P115:P147)=0)),AND(Y115&gt;=1000000,COUNTA(C115:C147)=0),AND(COUNTA(P115:P147)=0,O$3=TRUE)),
ROUNDDOWN((AB$1-AC$1)*MAX(INDEX(S$4:S147,MATCH(LARGE(FILTER(Y$4:Y1"&amp;"47,Y$4:Y147&lt;1000000),1),Y$4:Y147)),INDEX(F$4:F147,MATCH(LARGE(FILTER(L$4:L147,L$4:L147&lt;1000000),1),L$4:L147)))),AND(L115&lt;1000000,COUNTA(C115:C147)&gt;0,O$3=FALSE),
ROUNDDOWN(INDEX(Y$4:Y147,MATCH(LARGE(FILTER(W$4:W147,W$4:W147&lt;=J115),1),W$4:W147))+(J115-LARGE"&amp;"(FILTER(W$4:W147,W$4:W147&lt;=J115),1))*INDEX(S$4:S147,MATCH(LARGE(FILTER(W$4:W147,W$4:W147&lt;=J115),1),W$4:W147))-L115),1,
ROUNDDOWN(Y115-INDEX(L$4:L147,MATCH(LARGE(FILTER(J$4:J147,J$4:J147&lt;=W115),1),J$4:J147))-(W115-LARGE(FILTER(J$4:J147,J$4:J147&lt;=W115),1))*"&amp;"INDEX(F$4:F147,MATCH(LARGE(FILTER(J$4:J147,J$4:J147&lt;=W115),1),J$4:J147))))"),5928.0)</f>
        <v>5928</v>
      </c>
      <c r="O115" s="65">
        <f t="shared" si="9"/>
        <v>22</v>
      </c>
      <c r="P115" s="15" t="s">
        <v>16</v>
      </c>
      <c r="Q115" s="14" t="b">
        <f>IFERROR(__xludf.DUMMYFUNCTION("IF(COUNTA(P115:P147)=0,"""",IFERROR(IF(ISBLANK(P115),FALSE,IF(ISBLANK(T115),1,IF(NOT(COUNTIF($AA$24:$AA$34,SUBSTITUTE(P115,""Sell_"",""""))),1,IF(P115=""Plastic_up"",IF(V115&lt;1000,1),IF(P115=""Super_Up"",IF(OR(COUNTIF(P$4:P115,""Grandma"")-COUNTIF(P$4:P115"&amp;",""Sell_Grandma"")&lt;1,COUNTIF(P$4:P115,VLOOKUP(P115,Upgrades!$F$8:$N$8,7+COUNTIF(P$4:P115,P115)))-COUNTIF(P$4:P115,""Sell_""&amp;VLOOKUP(P115,Upgrades!$F$8:$N$8,7+COUNTIF(P$4:P115,P115)))&lt;15),1),IF(REGEXMATCH(P115,""_up""),IF(COUNTIF(P$4:P115,SUBSTITUTE(P115,"&amp;"""_up"",""""))&lt;IFERROR(VLOOKUP(P115,Upgrades!$L$3:$P$6,1+COUNTIF(P$4:P115,P115),0),999),1),IF(REGEXMATCH(P115,""Sell_""),IF(COUNTIF(P$4:P115,SUBSTITUTE(P115,""Sell_"",""""))-COUNTIF(P$4:P114,P115)&lt;1,1),FALSE)))))))))"),FALSE)</f>
        <v>0</v>
      </c>
      <c r="R115" s="71">
        <f>IFERROR(__xludf.DUMMYFUNCTION("IF(REGEXMATCH(P115,""^Sell_""),R114, IF(COUNTA(P115:P147)=0,"""",(COUNTIF(P$4:P115,""Cursor"")-COUNTIF(P$4:P115,""Sell_Cursor""))*(0.1*2^SWITCH(COUNTIF(P$4:P115,""Cursor_up""),0,0,1,1,2,2,3)+SWITCH(COUNTIF(P$4:P115,""Cursor_up""),4,0.1,0)*(ROW(P115)-4-COU"&amp;"NTIF(P$4:P115,""Cursor"")-COUNTIF(P$4:P115,""*""&amp;""_up"")-2*COUNTIF(P$4:P115,""Sell_""&amp;""*"")+COUNTIF(P$4:P115,""Sell_Cursor"")-COUNTIF(P$4:P115,"""")))+(COUNTIF(P$4:P115,""Grandma"")-COUNTIF(P$4:P115,""Sell_Grandma""))*(1*2^(COUNTIF(P$4:P115,""Grandma_up"&amp;""")+COUNTIF(P$4:P115,""Super_up"")))+(COUNTIF(P$4:P115,""Farm"")-COUNTIF(P$4:P115,""Sell_Farm""))*(8*2^COUNTIF(P$4:P115,""Farm_up""))*IF(COUNTIF(P$4:P115,""Super_up"")&gt;0,1+0.01*(COUNTIF(P$4:P115,""Grandma"")-COUNTIF(P$4:P115,""Sell_Grandma"")),1)+(COUNTIF"&amp;"(P$4:P115,""Mine"")-COUNTIF(P$4:P115,""Sell_Mine""))*((47*2^COUNTIF(P$4:P115,""Mine_up""))*IF(COUNTIF(P$4:P115,""Super_up"")&gt;1,1+0.005*(COUNTIF(P$4:P115,""Grandma"")-COUNTIF(P$4:P115,""Sell_Grandma"")),1))+(COUNTIF(P$4:P115,""Factory"")-COUNTIF(P$4:P115,"&amp;"""Sell_Factory""))*(260*2^COUNTIF(P$4:P115,""Factory_up""))))"),2011.4)</f>
        <v>2011.4</v>
      </c>
      <c r="S115" s="73">
        <f>IFERROR(__xludf.DUMMYFUNCTION("IF(COUNTA(P115:P147)=0,"""",IF(REGEXMATCH(INDEX(FILTER(P$4:P115,P$4:P115&lt;&gt;""""),ROWS(FILTER(P$4:P115,P$4:P115&lt;&gt;""""))),""^Sell_""),INDEX(FILTER(S$4:S114,P$4:P114&lt;&gt;""""),ROWS(FILTER(P$4:P114,P$4:P114&lt;&gt;""""))),$AD$5*(2^SWITCH(COUNTIF(P$4:P115,""Cursor_up"")"&amp;",0,0,1,1,2,2,3)+SWITCH(COUNTIF(P$4:P115,""Cursor_up""),4,0.1,0)*(ROW(P115)-4-COUNTIF(P$4:P115,""Cursor"")-COUNTIF(P$4:P115,""*""&amp;""_up"")-2*COUNTIF(P$4:P115,""Sell_""&amp;""*"")+COUNTIF(P$4:P115,""Sell_Cursor"")-COUNTIF(P$4:P115,""""))+0.01*R115*COUNTIF(P$4:P"&amp;"115,""Plastic_up""))+R115))"),8874.2)</f>
        <v>8874.2</v>
      </c>
      <c r="T115" s="14">
        <f>IFERROR(__xludf.DUMMYFUNCTION("IF(COUNTA(P115:P147)=0,"""",IF(REGEXMATCH(P115,""_up""),VLOOKUP(P115,Upgrades!$F$3:$J$8,1+COUNTIF(P$4:P115,P115),FALSE),IF(P115="""",0,IF(REGEXMATCH(P115,""^Sell_""),-ROUNDDOWN(ROUNDUP(INDEX(Upgrades!$C$3:$C$8,MATCH(SUBSTITUTE(P115,""Sell_"",""""),Upgrade"&amp;"s!$B$3:$B$8,0))*1.15^(COUNTIF(P$4:P114,SUBSTITUTE(P115,""Sell_"",""""))-COUNTIF(P$4:P114,""Sell_""&amp;SUBSTITUTE(P115,""Sell_"",""""))))/4),ROUNDUP(INDEX(Upgrades!$C$3:$C$7,MATCH(P115,Upgrades!$B$3:$B$7,0))*1.15^(COUNTIF(P$4:P114,P115)-COUNTIF(P$4:P114,""Sel"&amp;"l_""&amp;P115)))))))"),20704.0)</f>
        <v>20704</v>
      </c>
      <c r="U115" s="14">
        <f t="shared" si="10"/>
        <v>20704</v>
      </c>
      <c r="V115" s="75">
        <f t="shared" si="11"/>
        <v>42093683.7</v>
      </c>
      <c r="W115" s="76">
        <f t="shared" si="12"/>
        <v>191.727036</v>
      </c>
      <c r="X115" s="71" t="str">
        <f t="shared" si="13"/>
        <v>3m 11s</v>
      </c>
      <c r="Y115" s="77">
        <f t="shared" si="14"/>
        <v>678222</v>
      </c>
      <c r="Z115" s="17"/>
      <c r="AA115" s="13"/>
      <c r="AB115" s="13"/>
      <c r="AC115" s="13"/>
      <c r="AD115" s="13"/>
      <c r="AE115" s="13"/>
      <c r="AF115" s="13"/>
      <c r="AG115" s="13"/>
    </row>
    <row r="116">
      <c r="A116" s="12"/>
      <c r="B116" s="65">
        <f t="shared" si="2"/>
        <v>19</v>
      </c>
      <c r="C116" s="66" t="s">
        <v>16</v>
      </c>
      <c r="D116" s="14" t="b">
        <f>IFERROR(__xludf.DUMMYFUNCTION("IF(COUNTA(C116:C147)=0,"""",IFERROR(IF(ISBLANK(C116),FALSE,IF(ISBLANK(G116),1,IF(NOT(COUNTIF($AA$24:$AA$34,SUBSTITUTE(C116,""Sell_"",""""))),1,IF(C116=""Plastic_up"",IF(I116&lt;1000,1),IF(C116=""Super_Up"",IF(OR(COUNTIF(C$4:C116,""Grandma"")-COUNTIF(C$4:C116"&amp;",""Sell_Grandma"")&lt;1,COUNTIF(C$4:C116,VLOOKUP(C116,Upgrades!$F$8:$N$8,7+COUNTIF(C$4:C116,C116)))-COUNTIF(C$4:C116,""Sell_""&amp;VLOOKUP(C116,Upgrades!$F$8:$N$8,7+COUNTIF(C$4:C116,C116)))&lt;15),1),IF(REGEXMATCH(C116,""_up""),IF(COUNTIF(C$4:C116,SUBSTITUTE(C116,"&amp;"""_up"",""""))&lt;IFERROR(VLOOKUP(C116,Upgrades!$L$3:$P$6,1+COUNTIF(C$4:C116,C116),0),999),1),IF(REGEXMATCH(C116,""Sell_""),IF(COUNTIF(C$4:C116,SUBSTITUTE(C116,""Sell_"",""""))-COUNTIF(C$4:C115,C116)&lt;1,1),FALSE)))))))))"),FALSE)</f>
        <v>0</v>
      </c>
      <c r="E116" s="71">
        <f>IFERROR(__xludf.DUMMYFUNCTION("IF(REGEXMATCH(C116,""^Sell_""),E115, IF(COUNTA(C116:C147)=0,"""",(COUNTIF(C$4:C116,""Cursor"")-COUNTIF(C$4:C116,""Sell_Cursor""))*(0.1*2^SWITCH(COUNTIF(C$4:C116,""Cursor_up""),0,0,1,1,2,2,3)+SWITCH(COUNTIF(C$4:C116,""Cursor_up""),4,0.1,0)*(ROW(C116)-4-COU"&amp;"NTIF(C$4:C116,""Cursor"")-COUNTIF(C$4:C116,""*""&amp;""_up"")-2*COUNTIF(C$4:C116,""Sell_""&amp;""*"")+COUNTIF(C$4:C116,""Sell_Cursor"")-COUNTIF(C$4:C116,"""")))+(COUNTIF(C$4:C116,""Grandma"")-COUNTIF(C$4:C116,""Sell_Grandma""))*(1*2^(COUNTIF(C$4:C116,""Grandma_up"&amp;""")+COUNTIF(C$4:C116,""Super_up"")))+(COUNTIF(C$4:C116,""Farm"")-COUNTIF(C$4:C116,""Sell_Farm""))*(8*2^COUNTIF(C$4:C116,""Farm_up""))*IF(COUNTIF(C$4:C116,""Super_up"")&gt;0,1+0.01*(COUNTIF(C$4:C116,""Grandma"")-COUNTIF(C$4:C116,""Sell_Grandma"")),1)+(COUNTIF"&amp;"(C$4:C116,""Mine"")-COUNTIF(C$4:C116,""Sell_Mine""))*((47*2^COUNTIF(C$4:C116,""Mine_up""))*IF(COUNTIF(C$4:C116,""Super_up"")&gt;1,1+0.005*(COUNTIF(C$4:C116,""Grandma"")-COUNTIF(C$4:C116,""Sell_Grandma"")),1))+(COUNTIF(C$4:C116,""Factory"")-COUNTIF(C$4:C116,"&amp;"""Sell_Factory""))*(260*2^COUNTIF(C$4:C116,""Factory_up""))))"),1866.84)</f>
        <v>1866.84</v>
      </c>
      <c r="F116" s="73">
        <f>IFERROR(__xludf.DUMMYFUNCTION("IF(COUNTA(C116:C147)=0,"""",IF(REGEXMATCH(INDEX(FILTER(C$4:C116,C$4:C116&lt;&gt;""""),ROWS(FILTER(C$4:C116,C$4:C116&lt;&gt;""""))),""^Sell_""),INDEX(FILTER(F$4:F115,C$4:C115&lt;&gt;""""),ROWS(FILTER(C$4:C115,C$4:C115&lt;&gt;""""))),$AC$5*(2^SWITCH(COUNTIF(C$4:C116,""Cursor_up"")"&amp;",0,0,1,1,2,2,3)+SWITCH(COUNTIF(C$4:C116,""Cursor_up""),4,0.1,0)*(ROW(C116)-4-COUNTIF(C$4:C116,""Cursor"")-COUNTIF(C$4:C116,""*""&amp;""_up"")-2*COUNTIF(C$4:C116,""Sell_""&amp;""*"")+COUNTIF(C$4:C116,""Sell_Cursor"")-COUNTIF(C$4:C116,""""))+0.01*E116*COUNTIF(C$4:C"&amp;"116,""Plastic_up""))+E116))"),8400.519999999999)</f>
        <v>8400.52</v>
      </c>
      <c r="G116" s="14">
        <f>IFERROR(__xludf.DUMMYFUNCTION("IF(COUNTA(C116:C147)=0,"""",IF(REGEXMATCH(C116,""_up""),VLOOKUP(C116,Upgrades!$F$3:$J$8,1+COUNTIF(C$4:C116,C116),FALSE),IF(C116="""",0,IF(REGEXMATCH(C116,""^Sell_""),-ROUNDDOWN(ROUNDUP(INDEX(Upgrades!$C$3:$C$8,MATCH(SUBSTITUTE(C116,""Sell_"",""""),Upgrade"&amp;"s!$B$3:$B$8,0))*1.15^(COUNTIF(C$4:C115,SUBSTITUTE(C116,""Sell_"",""""))-COUNTIF(C$4:C115,""Sell_""&amp;SUBSTITUTE(C116,""Sell_"",""""))))/4),ROUNDUP(INDEX(Upgrades!$C$3:$C$7,MATCH(C116,Upgrades!$B$3:$B$7,0))*1.15^(COUNTIF(C$4:C115,C116)-COUNTIF(C$4:C115,""Sel"&amp;"l_""&amp;C116)))))))"),13613.0)</f>
        <v>13613</v>
      </c>
      <c r="H116" s="14">
        <f t="shared" si="3"/>
        <v>13613</v>
      </c>
      <c r="I116" s="75">
        <f t="shared" si="4"/>
        <v>39229655.89</v>
      </c>
      <c r="J116" s="76">
        <f t="shared" si="5"/>
        <v>188.2181026</v>
      </c>
      <c r="K116" s="71" t="str">
        <f t="shared" si="6"/>
        <v>3m 08s</v>
      </c>
      <c r="L116" s="77">
        <f t="shared" si="7"/>
        <v>641417</v>
      </c>
      <c r="M116" s="51">
        <f t="shared" si="8"/>
        <v>-0.75079</v>
      </c>
      <c r="N116" s="52">
        <f>IFERROR(__xludf.DUMMYFUNCTION("IFS(AND(COUNTA(C116:C147)=0,COUNTA(P116:P147)=0),"""",OR(AND(L116&gt;=1000000,OR(Y116&gt;=1000000,COUNTA(P116:P147)=0)),AND(Y116&gt;=1000000,COUNTA(C116:C147)=0),AND(COUNTA(P116:P147)=0,O$3=TRUE)),
ROUNDDOWN((AB$1-AC$1)*MAX(INDEX(S$4:S147,MATCH(LARGE(FILTER(Y$4:Y1"&amp;"47,Y$4:Y147&lt;1000000),1),Y$4:Y147)),INDEX(F$4:F147,MATCH(LARGE(FILTER(L$4:L147,L$4:L147&lt;1000000),1),L$4:L147)))),AND(L116&lt;1000000,COUNTA(C116:C147)&gt;0,O$3=FALSE),
ROUNDDOWN(INDEX(Y$4:Y147,MATCH(LARGE(FILTER(W$4:W147,W$4:W147&lt;=J116),1),W$4:W147))+(J116-LARGE"&amp;"(FILTER(W$4:W147,W$4:W147&lt;=J116),1))*INDEX(S$4:S147,MATCH(LARGE(FILTER(W$4:W147,W$4:W147&lt;=J116),1),W$4:W147))-L116),1,
ROUNDDOWN(Y116-INDEX(L$4:L147,MATCH(LARGE(FILTER(J$4:J147,J$4:J147&lt;=W116),1),J$4:J147))-(W116-LARGE(FILTER(J$4:J147,J$4:J147&lt;=W116),1))*"&amp;"INDEX(F$4:F147,MATCH(LARGE(FILTER(J$4:J147,J$4:J147&lt;=W116),1),J$4:J147))))"),6397.0)</f>
        <v>6397</v>
      </c>
      <c r="O116" s="65">
        <f t="shared" si="9"/>
        <v>36</v>
      </c>
      <c r="P116" s="15" t="s">
        <v>13</v>
      </c>
      <c r="Q116" s="14" t="b">
        <f>IFERROR(__xludf.DUMMYFUNCTION("IF(COUNTA(P116:P147)=0,"""",IFERROR(IF(ISBLANK(P116),FALSE,IF(ISBLANK(T116),1,IF(NOT(COUNTIF($AA$24:$AA$34,SUBSTITUTE(P116,""Sell_"",""""))),1,IF(P116=""Plastic_up"",IF(V116&lt;1000,1),IF(P116=""Super_Up"",IF(OR(COUNTIF(P$4:P116,""Grandma"")-COUNTIF(P$4:P116"&amp;",""Sell_Grandma"")&lt;1,COUNTIF(P$4:P116,VLOOKUP(P116,Upgrades!$F$8:$N$8,7+COUNTIF(P$4:P116,P116)))-COUNTIF(P$4:P116,""Sell_""&amp;VLOOKUP(P116,Upgrades!$F$8:$N$8,7+COUNTIF(P$4:P116,P116)))&lt;15),1),IF(REGEXMATCH(P116,""_up""),IF(COUNTIF(P$4:P116,SUBSTITUTE(P116,"&amp;"""_up"",""""))&lt;IFERROR(VLOOKUP(P116,Upgrades!$L$3:$P$6,1+COUNTIF(P$4:P116,P116),0),999),1),IF(REGEXMATCH(P116,""Sell_""),IF(COUNTIF(P$4:P116,SUBSTITUTE(P116,""Sell_"",""""))-COUNTIF(P$4:P115,P116)&lt;1,1),FALSE)))))))))"),FALSE)</f>
        <v>0</v>
      </c>
      <c r="R116" s="71">
        <f>IFERROR(__xludf.DUMMYFUNCTION("IF(REGEXMATCH(P116,""^Sell_""),R115, IF(COUNTA(P116:P147)=0,"""",(COUNTIF(P$4:P116,""Cursor"")-COUNTIF(P$4:P116,""Sell_Cursor""))*(0.1*2^SWITCH(COUNTIF(P$4:P116,""Cursor_up""),0,0,1,1,2,2,3)+SWITCH(COUNTIF(P$4:P116,""Cursor_up""),4,0.1,0)*(ROW(P116)-4-COU"&amp;"NTIF(P$4:P116,""Cursor"")-COUNTIF(P$4:P116,""*""&amp;""_up"")-2*COUNTIF(P$4:P116,""Sell_""&amp;""*"")+COUNTIF(P$4:P116,""Sell_Cursor"")-COUNTIF(P$4:P116,"""")))+(COUNTIF(P$4:P116,""Grandma"")-COUNTIF(P$4:P116,""Sell_Grandma""))*(1*2^(COUNTIF(P$4:P116,""Grandma_up"&amp;""")+COUNTIF(P$4:P116,""Super_up"")))+(COUNTIF(P$4:P116,""Farm"")-COUNTIF(P$4:P116,""Sell_Farm""))*(8*2^COUNTIF(P$4:P116,""Farm_up""))*IF(COUNTIF(P$4:P116,""Super_up"")&gt;0,1+0.01*(COUNTIF(P$4:P116,""Grandma"")-COUNTIF(P$4:P116,""Sell_Grandma"")),1)+(COUNTIF"&amp;"(P$4:P116,""Mine"")-COUNTIF(P$4:P116,""Sell_Mine""))*((47*2^COUNTIF(P$4:P116,""Mine_up""))*IF(COUNTIF(P$4:P116,""Super_up"")&gt;1,1+0.005*(COUNTIF(P$4:P116,""Grandma"")-COUNTIF(P$4:P116,""Sell_Grandma"")),1))+(COUNTIF(P$4:P116,""Factory"")-COUNTIF(P$4:P116,"&amp;"""Sell_Factory""))*(260*2^COUNTIF(P$4:P116,""Factory_up""))))"),2038.2399999999998)</f>
        <v>2038.24</v>
      </c>
      <c r="S116" s="73">
        <f>IFERROR(__xludf.DUMMYFUNCTION("IF(COUNTA(P116:P147)=0,"""",IF(REGEXMATCH(INDEX(FILTER(P$4:P116,P$4:P116&lt;&gt;""""),ROWS(FILTER(P$4:P116,P$4:P116&lt;&gt;""""))),""^Sell_""),INDEX(FILTER(S$4:S115,P$4:P115&lt;&gt;""""),ROWS(FILTER(P$4:P115,P$4:P115&lt;&gt;""""))),$AD$5*(2^SWITCH(COUNTIF(P$4:P116,""Cursor_up"")"&amp;",0,0,1,1,2,2,3)+SWITCH(COUNTIF(P$4:P116,""Cursor_up""),4,0.1,0)*(ROW(P116)-4-COUNTIF(P$4:P116,""Cursor"")-COUNTIF(P$4:P116,""*""&amp;""_up"")-2*COUNTIF(P$4:P116,""Sell_""&amp;""*"")+COUNTIF(P$4:P116,""Sell_Cursor"")-COUNTIF(P$4:P116,""""))+0.01*R116*COUNTIF(P$4:P"&amp;"116,""Plastic_up""))+R116))"),8974.720000000001)</f>
        <v>8974.72</v>
      </c>
      <c r="T116" s="14">
        <f>IFERROR(__xludf.DUMMYFUNCTION("IF(COUNTA(P116:P147)=0,"""",IF(REGEXMATCH(P116,""_up""),VLOOKUP(P116,Upgrades!$F$3:$J$8,1+COUNTIF(P$4:P116,P116),FALSE),IF(P116="""",0,IF(REGEXMATCH(P116,""^Sell_""),-ROUNDDOWN(ROUNDUP(INDEX(Upgrades!$C$3:$C$8,MATCH(SUBSTITUTE(P116,""Sell_"",""""),Upgrade"&amp;"s!$B$3:$B$8,0))*1.15^(COUNTIF(P$4:P115,SUBSTITUTE(P116,""Sell_"",""""))-COUNTIF(P$4:P115,""Sell_""&amp;SUBSTITUTE(P116,""Sell_"",""""))))/4),ROUNDUP(INDEX(Upgrades!$C$3:$C$7,MATCH(P116,Upgrades!$B$3:$B$7,0))*1.15^(COUNTIF(P$4:P115,P116)-COUNTIF(P$4:P115,""Sel"&amp;"l_""&amp;P116)))))))"),13318.0)</f>
        <v>13318</v>
      </c>
      <c r="U116" s="14">
        <f t="shared" si="10"/>
        <v>13318</v>
      </c>
      <c r="V116" s="75">
        <f t="shared" si="11"/>
        <v>43419767.39</v>
      </c>
      <c r="W116" s="76">
        <f t="shared" si="12"/>
        <v>193.227791</v>
      </c>
      <c r="X116" s="71" t="str">
        <f t="shared" si="13"/>
        <v>3m 13s</v>
      </c>
      <c r="Y116" s="77">
        <f t="shared" si="14"/>
        <v>691540</v>
      </c>
      <c r="Z116" s="17"/>
      <c r="AA116" s="13"/>
      <c r="AB116" s="13"/>
      <c r="AC116" s="13"/>
      <c r="AD116" s="13"/>
      <c r="AE116" s="13"/>
      <c r="AF116" s="13"/>
      <c r="AG116" s="13"/>
    </row>
    <row r="117">
      <c r="A117" s="12"/>
      <c r="B117" s="65">
        <f t="shared" si="2"/>
        <v>20</v>
      </c>
      <c r="C117" s="66" t="s">
        <v>16</v>
      </c>
      <c r="D117" s="14" t="b">
        <f>IFERROR(__xludf.DUMMYFUNCTION("IF(COUNTA(C117:C147)=0,"""",IFERROR(IF(ISBLANK(C117),FALSE,IF(ISBLANK(G117),1,IF(NOT(COUNTIF($AA$24:$AA$34,SUBSTITUTE(C117,""Sell_"",""""))),1,IF(C117=""Plastic_up"",IF(I117&lt;1000,1),IF(C117=""Super_Up"",IF(OR(COUNTIF(C$4:C117,""Grandma"")-COUNTIF(C$4:C117"&amp;",""Sell_Grandma"")&lt;1,COUNTIF(C$4:C117,VLOOKUP(C117,Upgrades!$F$8:$N$8,7+COUNTIF(C$4:C117,C117)))-COUNTIF(C$4:C117,""Sell_""&amp;VLOOKUP(C117,Upgrades!$F$8:$N$8,7+COUNTIF(C$4:C117,C117)))&lt;15),1),IF(REGEXMATCH(C117,""_up""),IF(COUNTIF(C$4:C117,SUBSTITUTE(C117,"&amp;"""_up"",""""))&lt;IFERROR(VLOOKUP(C117,Upgrades!$L$3:$P$6,1+COUNTIF(C$4:C117,C117),0),999),1),IF(REGEXMATCH(C117,""Sell_""),IF(COUNTIF(C$4:C117,SUBSTITUTE(C117,""Sell_"",""""))-COUNTIF(C$4:C116,C117)&lt;1,1),FALSE)))))))))"),FALSE)</f>
        <v>0</v>
      </c>
      <c r="E117" s="71">
        <f>IFERROR(__xludf.DUMMYFUNCTION("IF(REGEXMATCH(C117,""^Sell_""),E116, IF(COUNTA(C117:C147)=0,"""",(COUNTIF(C$4:C117,""Cursor"")-COUNTIF(C$4:C117,""Sell_Cursor""))*(0.1*2^SWITCH(COUNTIF(C$4:C117,""Cursor_up""),0,0,1,1,2,2,3)+SWITCH(COUNTIF(C$4:C117,""Cursor_up""),4,0.1,0)*(ROW(C117)-4-COU"&amp;"NTIF(C$4:C117,""Cursor"")-COUNTIF(C$4:C117,""*""&amp;""_up"")-2*COUNTIF(C$4:C117,""Sell_""&amp;""*"")+COUNTIF(C$4:C117,""Sell_Cursor"")-COUNTIF(C$4:C117,"""")))+(COUNTIF(C$4:C117,""Grandma"")-COUNTIF(C$4:C117,""Sell_Grandma""))*(1*2^(COUNTIF(C$4:C117,""Grandma_up"&amp;""")+COUNTIF(C$4:C117,""Super_up"")))+(COUNTIF(C$4:C117,""Farm"")-COUNTIF(C$4:C117,""Sell_Farm""))*(8*2^COUNTIF(C$4:C117,""Farm_up""))*IF(COUNTIF(C$4:C117,""Super_up"")&gt;0,1+0.01*(COUNTIF(C$4:C117,""Grandma"")-COUNTIF(C$4:C117,""Sell_Grandma"")),1)+(COUNTIF"&amp;"(C$4:C117,""Mine"")-COUNTIF(C$4:C117,""Sell_Mine""))*((47*2^COUNTIF(C$4:C117,""Mine_up""))*IF(COUNTIF(C$4:C117,""Super_up"")&gt;1,1+0.005*(COUNTIF(C$4:C117,""Grandma"")-COUNTIF(C$4:C117,""Sell_Grandma"")),1))+(COUNTIF(C$4:C117,""Factory"")-COUNTIF(C$4:C117,"&amp;"""Sell_Factory""))*(260*2^COUNTIF(C$4:C117,""Factory_up""))))"),1915.1)</f>
        <v>1915.1</v>
      </c>
      <c r="F117" s="73">
        <f>IFERROR(__xludf.DUMMYFUNCTION("IF(COUNTA(C117:C147)=0,"""",IF(REGEXMATCH(INDEX(FILTER(C$4:C117,C$4:C117&lt;&gt;""""),ROWS(FILTER(C$4:C117,C$4:C117&lt;&gt;""""))),""^Sell_""),INDEX(FILTER(F$4:F116,C$4:C116&lt;&gt;""""),ROWS(FILTER(C$4:C116,C$4:C116&lt;&gt;""""))),$AC$5*(2^SWITCH(COUNTIF(C$4:C117,""Cursor_up"")"&amp;",0,0,1,1,2,2,3)+SWITCH(COUNTIF(C$4:C117,""Cursor_up""),4,0.1,0)*(ROW(C117)-4-COUNTIF(C$4:C117,""Cursor"")-COUNTIF(C$4:C117,""*""&amp;""_up"")-2*COUNTIF(C$4:C117,""Sell_""&amp;""*"")+COUNTIF(C$4:C117,""Sell_Cursor"")-COUNTIF(C$4:C117,""""))+0.01*E117*COUNTIF(C$4:C"&amp;"117,""Plastic_up""))+E117))"),8565.300000000001)</f>
        <v>8565.3</v>
      </c>
      <c r="G117" s="14">
        <f>IFERROR(__xludf.DUMMYFUNCTION("IF(COUNTA(C117:C147)=0,"""",IF(REGEXMATCH(C117,""_up""),VLOOKUP(C117,Upgrades!$F$3:$J$8,1+COUNTIF(C$4:C117,C117),FALSE),IF(C117="""",0,IF(REGEXMATCH(C117,""^Sell_""),-ROUNDDOWN(ROUNDUP(INDEX(Upgrades!$C$3:$C$8,MATCH(SUBSTITUTE(C117,""Sell_"",""""),Upgrade"&amp;"s!$B$3:$B$8,0))*1.15^(COUNTIF(C$4:C116,SUBSTITUTE(C117,""Sell_"",""""))-COUNTIF(C$4:C116,""Sell_""&amp;SUBSTITUTE(C117,""Sell_"",""""))))/4),ROUNDUP(INDEX(Upgrades!$C$3:$C$7,MATCH(C117,Upgrades!$B$3:$B$7,0))*1.15^(COUNTIF(C$4:C116,C117)-COUNTIF(C$4:C116,""Sel"&amp;"l_""&amp;C117)))))))"),15655.0)</f>
        <v>15655</v>
      </c>
      <c r="H117" s="14">
        <f t="shared" si="3"/>
        <v>15655</v>
      </c>
      <c r="I117" s="75">
        <f t="shared" si="4"/>
        <v>40471588.75</v>
      </c>
      <c r="J117" s="76">
        <f t="shared" si="5"/>
        <v>190.0816777</v>
      </c>
      <c r="K117" s="71" t="str">
        <f t="shared" si="6"/>
        <v>3m 10s</v>
      </c>
      <c r="L117" s="77">
        <f t="shared" si="7"/>
        <v>657072</v>
      </c>
      <c r="M117" s="51">
        <f t="shared" si="8"/>
        <v>-0.78211</v>
      </c>
      <c r="N117" s="52">
        <f>IFERROR(__xludf.DUMMYFUNCTION("IFS(AND(COUNTA(C117:C147)=0,COUNTA(P117:P147)=0),"""",OR(AND(L117&gt;=1000000,OR(Y117&gt;=1000000,COUNTA(P117:P147)=0)),AND(Y117&gt;=1000000,COUNTA(C117:C147)=0),AND(COUNTA(P117:P147)=0,O$3=TRUE)),
ROUNDDOWN((AB$1-AC$1)*MAX(INDEX(S$4:S147,MATCH(LARGE(FILTER(Y$4:Y1"&amp;"47,Y$4:Y147&lt;1000000),1),Y$4:Y147)),INDEX(F$4:F147,MATCH(LARGE(FILTER(L$4:L147,L$4:L147&lt;1000000),1),L$4:L147)))),AND(L117&lt;1000000,COUNTA(C117:C147)&gt;0,O$3=FALSE),
ROUNDDOWN(INDEX(Y$4:Y147,MATCH(LARGE(FILTER(W$4:W147,W$4:W147&lt;=J117),1),W$4:W147))+(J117-LARGE"&amp;"(FILTER(W$4:W147,W$4:W147&lt;=J117),1))*INDEX(S$4:S147,MATCH(LARGE(FILTER(W$4:W147,W$4:W147&lt;=J117),1),W$4:W147))-L117),1,
ROUNDDOWN(Y117-INDEX(L$4:L147,MATCH(LARGE(FILTER(J$4:J147,J$4:J147&lt;=W117),1),J$4:J147))-(W117-LARGE(FILTER(J$4:J147,J$4:J147&lt;=W117),1))*"&amp;"INDEX(F$4:F147,MATCH(LARGE(FILTER(J$4:J147,J$4:J147&lt;=W117),1),J$4:J147))))"),6813.0)</f>
        <v>6813</v>
      </c>
      <c r="O117" s="65">
        <f t="shared" si="9"/>
        <v>6</v>
      </c>
      <c r="P117" s="15" t="s">
        <v>18</v>
      </c>
      <c r="Q117" s="14" t="b">
        <f>IFERROR(__xludf.DUMMYFUNCTION("IF(COUNTA(P117:P147)=0,"""",IFERROR(IF(ISBLANK(P117),FALSE,IF(ISBLANK(T117),1,IF(NOT(COUNTIF($AA$24:$AA$34,SUBSTITUTE(P117,""Sell_"",""""))),1,IF(P117=""Plastic_up"",IF(V117&lt;1000,1),IF(P117=""Super_Up"",IF(OR(COUNTIF(P$4:P117,""Grandma"")-COUNTIF(P$4:P117"&amp;",""Sell_Grandma"")&lt;1,COUNTIF(P$4:P117,VLOOKUP(P117,Upgrades!$F$8:$N$8,7+COUNTIF(P$4:P117,P117)))-COUNTIF(P$4:P117,""Sell_""&amp;VLOOKUP(P117,Upgrades!$F$8:$N$8,7+COUNTIF(P$4:P117,P117)))&lt;15),1),IF(REGEXMATCH(P117,""_up""),IF(COUNTIF(P$4:P117,SUBSTITUTE(P117,"&amp;"""_up"",""""))&lt;IFERROR(VLOOKUP(P117,Upgrades!$L$3:$P$6,1+COUNTIF(P$4:P117,P117),0),999),1),IF(REGEXMATCH(P117,""Sell_""),IF(COUNTIF(P$4:P117,SUBSTITUTE(P117,""Sell_"",""""))-COUNTIF(P$4:P116,P117)&lt;1,1),FALSE)))))))))"),FALSE)</f>
        <v>0</v>
      </c>
      <c r="R117" s="71">
        <f>IFERROR(__xludf.DUMMYFUNCTION("IF(REGEXMATCH(P117,""^Sell_""),R116, IF(COUNTA(P117:P147)=0,"""",(COUNTIF(P$4:P117,""Cursor"")-COUNTIF(P$4:P117,""Sell_Cursor""))*(0.1*2^SWITCH(COUNTIF(P$4:P117,""Cursor_up""),0,0,1,1,2,2,3)+SWITCH(COUNTIF(P$4:P117,""Cursor_up""),4,0.1,0)*(ROW(P117)-4-COU"&amp;"NTIF(P$4:P117,""Cursor"")-COUNTIF(P$4:P117,""*""&amp;""_up"")-2*COUNTIF(P$4:P117,""Sell_""&amp;""*"")+COUNTIF(P$4:P117,""Sell_Cursor"")-COUNTIF(P$4:P117,"""")))+(COUNTIF(P$4:P117,""Grandma"")-COUNTIF(P$4:P117,""Sell_Grandma""))*(1*2^(COUNTIF(P$4:P117,""Grandma_up"&amp;""")+COUNTIF(P$4:P117,""Super_up"")))+(COUNTIF(P$4:P117,""Farm"")-COUNTIF(P$4:P117,""Sell_Farm""))*(8*2^COUNTIF(P$4:P117,""Farm_up""))*IF(COUNTIF(P$4:P117,""Super_up"")&gt;0,1+0.01*(COUNTIF(P$4:P117,""Grandma"")-COUNTIF(P$4:P117,""Sell_Grandma"")),1)+(COUNTIF"&amp;"(P$4:P117,""Mine"")-COUNTIF(P$4:P117,""Sell_Mine""))*((47*2^COUNTIF(P$4:P117,""Mine_up""))*IF(COUNTIF(P$4:P117,""Super_up"")&gt;1,1+0.005*(COUNTIF(P$4:P117,""Grandma"")-COUNTIF(P$4:P117,""Sell_Grandma"")),1))+(COUNTIF(P$4:P117,""Factory"")-COUNTIF(P$4:P117,"&amp;"""Sell_Factory""))*(260*2^COUNTIF(P$4:P117,""Factory_up""))))"),2089.04)</f>
        <v>2089.04</v>
      </c>
      <c r="S117" s="73">
        <f>IFERROR(__xludf.DUMMYFUNCTION("IF(COUNTA(P117:P147)=0,"""",IF(REGEXMATCH(INDEX(FILTER(P$4:P117,P$4:P117&lt;&gt;""""),ROWS(FILTER(P$4:P117,P$4:P117&lt;&gt;""""))),""^Sell_""),INDEX(FILTER(S$4:S116,P$4:P116&lt;&gt;""""),ROWS(FILTER(P$4:P116,P$4:P116&lt;&gt;""""))),$AD$5*(2^SWITCH(COUNTIF(P$4:P117,""Cursor_up"")"&amp;",0,0,1,1,2,2,3)+SWITCH(COUNTIF(P$4:P117,""Cursor_up""),4,0.1,0)*(ROW(P117)-4-COUNTIF(P$4:P117,""Cursor"")-COUNTIF(P$4:P117,""*""&amp;""_up"")-2*COUNTIF(P$4:P117,""Sell_""&amp;""*"")+COUNTIF(P$4:P117,""Sell_Cursor"")-COUNTIF(P$4:P117,""""))+0.01*R117*COUNTIF(P$4:P"&amp;"117,""Plastic_up""))+R117))"),9147.119999999999)</f>
        <v>9147.12</v>
      </c>
      <c r="T117" s="14">
        <f>IFERROR(__xludf.DUMMYFUNCTION("IF(COUNTA(P117:P147)=0,"""",IF(REGEXMATCH(P117,""_up""),VLOOKUP(P117,Upgrades!$F$3:$J$8,1+COUNTIF(P$4:P117,P117),FALSE),IF(P117="""",0,IF(REGEXMATCH(P117,""^Sell_""),-ROUNDDOWN(ROUNDUP(INDEX(Upgrades!$C$3:$C$8,MATCH(SUBSTITUTE(P117,""Sell_"",""""),Upgrade"&amp;"s!$B$3:$B$8,0))*1.15^(COUNTIF(P$4:P116,SUBSTITUTE(P117,""Sell_"",""""))-COUNTIF(P$4:P116,""Sell_""&amp;SUBSTITUTE(P117,""Sell_"",""""))))/4),ROUNDUP(INDEX(Upgrades!$C$3:$C$7,MATCH(P117,Upgrades!$B$3:$B$7,0))*1.15^(COUNTIF(P$4:P116,P117)-COUNTIF(P$4:P116,""Sel"&amp;"l_""&amp;P117)))))))"),24137.0)</f>
        <v>24137</v>
      </c>
      <c r="U117" s="14">
        <f t="shared" si="10"/>
        <v>24137</v>
      </c>
      <c r="V117" s="75">
        <f t="shared" si="11"/>
        <v>44778743.36</v>
      </c>
      <c r="W117" s="76">
        <f t="shared" si="12"/>
        <v>195.9172342</v>
      </c>
      <c r="X117" s="71" t="str">
        <f t="shared" si="13"/>
        <v>3m 15s</v>
      </c>
      <c r="Y117" s="77">
        <f t="shared" si="14"/>
        <v>715677</v>
      </c>
      <c r="Z117" s="17"/>
      <c r="AA117" s="119"/>
      <c r="AB117" s="13"/>
      <c r="AC117" s="13"/>
      <c r="AD117" s="13"/>
      <c r="AE117" s="13"/>
      <c r="AF117" s="13"/>
      <c r="AG117" s="13"/>
    </row>
    <row r="118">
      <c r="A118" s="12"/>
      <c r="B118" s="65">
        <f t="shared" si="2"/>
        <v>4</v>
      </c>
      <c r="C118" s="66" t="s">
        <v>18</v>
      </c>
      <c r="D118" s="14" t="b">
        <f>IFERROR(__xludf.DUMMYFUNCTION("IF(COUNTA(C118:C147)=0,"""",IFERROR(IF(ISBLANK(C118),FALSE,IF(ISBLANK(G118),1,IF(NOT(COUNTIF($AA$24:$AA$34,SUBSTITUTE(C118,""Sell_"",""""))),1,IF(C118=""Plastic_up"",IF(I118&lt;1000,1),IF(C118=""Super_Up"",IF(OR(COUNTIF(C$4:C118,""Grandma"")-COUNTIF(C$4:C118"&amp;",""Sell_Grandma"")&lt;1,COUNTIF(C$4:C118,VLOOKUP(C118,Upgrades!$F$8:$N$8,7+COUNTIF(C$4:C118,C118)))-COUNTIF(C$4:C118,""Sell_""&amp;VLOOKUP(C118,Upgrades!$F$8:$N$8,7+COUNTIF(C$4:C118,C118)))&lt;15),1),IF(REGEXMATCH(C118,""_up""),IF(COUNTIF(C$4:C118,SUBSTITUTE(C118,"&amp;"""_up"",""""))&lt;IFERROR(VLOOKUP(C118,Upgrades!$L$3:$P$6,1+COUNTIF(C$4:C118,C118),0),999),1),IF(REGEXMATCH(C118,""Sell_""),IF(COUNTIF(C$4:C118,SUBSTITUTE(C118,""Sell_"",""""))-COUNTIF(C$4:C117,C118)&lt;1,1),FALSE)))))))))"),FALSE)</f>
        <v>0</v>
      </c>
      <c r="E118" s="71">
        <f>IFERROR(__xludf.DUMMYFUNCTION("IF(REGEXMATCH(C118,""^Sell_""),E117, IF(COUNTA(C118:C147)=0,"""",(COUNTIF(C$4:C118,""Cursor"")-COUNTIF(C$4:C118,""Sell_Cursor""))*(0.1*2^SWITCH(COUNTIF(C$4:C118,""Cursor_up""),0,0,1,1,2,2,3)+SWITCH(COUNTIF(C$4:C118,""Cursor_up""),4,0.1,0)*(ROW(C118)-4-COU"&amp;"NTIF(C$4:C118,""Cursor"")-COUNTIF(C$4:C118,""*""&amp;""_up"")-2*COUNTIF(C$4:C118,""Sell_""&amp;""*"")+COUNTIF(C$4:C118,""Sell_Cursor"")-COUNTIF(C$4:C118,"""")))+(COUNTIF(C$4:C118,""Grandma"")-COUNTIF(C$4:C118,""Sell_Grandma""))*(1*2^(COUNTIF(C$4:C118,""Grandma_up"&amp;""")+COUNTIF(C$4:C118,""Super_up"")))+(COUNTIF(C$4:C118,""Farm"")-COUNTIF(C$4:C118,""Sell_Farm""))*(8*2^COUNTIF(C$4:C118,""Farm_up""))*IF(COUNTIF(C$4:C118,""Super_up"")&gt;0,1+0.01*(COUNTIF(C$4:C118,""Grandma"")-COUNTIF(C$4:C118,""Sell_Grandma"")),1)+(COUNTIF"&amp;"(C$4:C118,""Mine"")-COUNTIF(C$4:C118,""Sell_Mine""))*((47*2^COUNTIF(C$4:C118,""Mine_up""))*IF(COUNTIF(C$4:C118,""Super_up"")&gt;1,1+0.005*(COUNTIF(C$4:C118,""Grandma"")-COUNTIF(C$4:C118,""Sell_Grandma"")),1))+(COUNTIF(C$4:C118,""Factory"")-COUNTIF(C$4:C118,"&amp;"""Sell_Factory""))*(260*2^COUNTIF(C$4:C118,""Factory_up""))))"),1966.1999999999998)</f>
        <v>1966.2</v>
      </c>
      <c r="F118" s="73">
        <f>IFERROR(__xludf.DUMMYFUNCTION("IF(COUNTA(C118:C147)=0,"""",IF(REGEXMATCH(INDEX(FILTER(C$4:C118,C$4:C118&lt;&gt;""""),ROWS(FILTER(C$4:C118,C$4:C118&lt;&gt;""""))),""^Sell_""),INDEX(FILTER(F$4:F117,C$4:C117&lt;&gt;""""),ROWS(FILTER(C$4:C117,C$4:C117&lt;&gt;""""))),$AC$5*(2^SWITCH(COUNTIF(C$4:C118,""Cursor_up"")"&amp;",0,0,1,1,2,2,3)+SWITCH(COUNTIF(C$4:C118,""Cursor_up""),4,0.1,0)*(ROW(C118)-4-COUNTIF(C$4:C118,""Cursor"")-COUNTIF(C$4:C118,""*""&amp;""_up"")-2*COUNTIF(C$4:C118,""Sell_""&amp;""*"")+COUNTIF(C$4:C118,""Sell_Cursor"")-COUNTIF(C$4:C118,""""))+0.01*E118*COUNTIF(C$4:C"&amp;"118,""Plastic_up""))+E118))"),8738.599999999999)</f>
        <v>8738.6</v>
      </c>
      <c r="G118" s="14">
        <f>IFERROR(__xludf.DUMMYFUNCTION("IF(COUNTA(C118:C147)=0,"""",IF(REGEXMATCH(C118,""_up""),VLOOKUP(C118,Upgrades!$F$3:$J$8,1+COUNTIF(C$4:C118,C118),FALSE),IF(C118="""",0,IF(REGEXMATCH(C118,""^Sell_""),-ROUNDDOWN(ROUNDUP(INDEX(Upgrades!$C$3:$C$8,MATCH(SUBSTITUTE(C118,""Sell_"",""""),Upgrade"&amp;"s!$B$3:$B$8,0))*1.15^(COUNTIF(C$4:C117,SUBSTITUTE(C118,""Sell_"",""""))-COUNTIF(C$4:C117,""Sell_""&amp;SUBSTITUTE(C118,""Sell_"",""""))))/4),ROUNDUP(INDEX(Upgrades!$C$3:$C$7,MATCH(C118,Upgrades!$B$3:$B$7,0))*1.15^(COUNTIF(C$4:C117,C118)-COUNTIF(C$4:C117,""Sel"&amp;"l_""&amp;C118)))))))"),18251.0)</f>
        <v>18251</v>
      </c>
      <c r="H118" s="14">
        <f t="shared" si="3"/>
        <v>18251</v>
      </c>
      <c r="I118" s="75">
        <f t="shared" si="4"/>
        <v>41749840.21</v>
      </c>
      <c r="J118" s="76">
        <f t="shared" si="5"/>
        <v>192.2124846</v>
      </c>
      <c r="K118" s="71" t="str">
        <f t="shared" si="6"/>
        <v>3m 12s</v>
      </c>
      <c r="L118" s="77">
        <f t="shared" si="7"/>
        <v>675323</v>
      </c>
      <c r="M118" s="51">
        <f t="shared" si="8"/>
        <v>-0.81816</v>
      </c>
      <c r="N118" s="52">
        <f>IFERROR(__xludf.DUMMYFUNCTION("IFS(AND(COUNTA(C118:C147)=0,COUNTA(P118:P147)=0),"""",OR(AND(L118&gt;=1000000,OR(Y118&gt;=1000000,COUNTA(P118:P147)=0)),AND(Y118&gt;=1000000,COUNTA(C118:C147)=0),AND(COUNTA(P118:P147)=0,O$3=TRUE)),
ROUNDDOWN((AB$1-AC$1)*MAX(INDEX(S$4:S147,MATCH(LARGE(FILTER(Y$4:Y1"&amp;"47,Y$4:Y147&lt;1000000),1),Y$4:Y147)),INDEX(F$4:F147,MATCH(LARGE(FILTER(L$4:L147,L$4:L147&lt;1000000),1),L$4:L147)))),AND(L118&lt;1000000,COUNTA(C118:C147)&gt;0,O$3=FALSE),
ROUNDDOWN(INDEX(Y$4:Y147,MATCH(LARGE(FILTER(W$4:W147,W$4:W147&lt;=J118),1),W$4:W147))+(J118-LARGE"&amp;"(FILTER(W$4:W147,W$4:W147&lt;=J118),1))*INDEX(S$4:S147,MATCH(LARGE(FILTER(W$4:W147,W$4:W147&lt;=J118),1),W$4:W147))-L118),1,
ROUNDDOWN(Y118-INDEX(L$4:L147,MATCH(LARGE(FILTER(J$4:J147,J$4:J147&lt;=W118),1),J$4:J147))-(W118-LARGE(FILTER(J$4:J147,J$4:J147&lt;=W118),1))*"&amp;"INDEX(F$4:F147,MATCH(LARGE(FILTER(J$4:J147,J$4:J147&lt;=W118),1),J$4:J147))))"),7206.0)</f>
        <v>7206</v>
      </c>
      <c r="O118" s="65">
        <f t="shared" si="9"/>
        <v>39</v>
      </c>
      <c r="P118" s="15" t="s">
        <v>10</v>
      </c>
      <c r="Q118" s="14" t="b">
        <f>IFERROR(__xludf.DUMMYFUNCTION("IF(COUNTA(P118:P147)=0,"""",IFERROR(IF(ISBLANK(P118),FALSE,IF(ISBLANK(T118),1,IF(NOT(COUNTIF($AA$24:$AA$34,SUBSTITUTE(P118,""Sell_"",""""))),1,IF(P118=""Plastic_up"",IF(V118&lt;1000,1),IF(P118=""Super_Up"",IF(OR(COUNTIF(P$4:P118,""Grandma"")-COUNTIF(P$4:P118"&amp;",""Sell_Grandma"")&lt;1,COUNTIF(P$4:P118,VLOOKUP(P118,Upgrades!$F$8:$N$8,7+COUNTIF(P$4:P118,P118)))-COUNTIF(P$4:P118,""Sell_""&amp;VLOOKUP(P118,Upgrades!$F$8:$N$8,7+COUNTIF(P$4:P118,P118)))&lt;15),1),IF(REGEXMATCH(P118,""_up""),IF(COUNTIF(P$4:P118,SUBSTITUTE(P118,"&amp;"""_up"",""""))&lt;IFERROR(VLOOKUP(P118,Upgrades!$L$3:$P$6,1+COUNTIF(P$4:P118,P118),0),999),1),IF(REGEXMATCH(P118,""Sell_""),IF(COUNTIF(P$4:P118,SUBSTITUTE(P118,""Sell_"",""""))-COUNTIF(P$4:P117,P118)&lt;1,1),FALSE)))))))))"),FALSE)</f>
        <v>0</v>
      </c>
      <c r="R118" s="71">
        <f>IFERROR(__xludf.DUMMYFUNCTION("IF(REGEXMATCH(P118,""^Sell_""),R117, IF(COUNTA(P118:P147)=0,"""",(COUNTIF(P$4:P118,""Cursor"")-COUNTIF(P$4:P118,""Sell_Cursor""))*(0.1*2^SWITCH(COUNTIF(P$4:P118,""Cursor_up""),0,0,1,1,2,2,3)+SWITCH(COUNTIF(P$4:P118,""Cursor_up""),4,0.1,0)*(ROW(P118)-4-COU"&amp;"NTIF(P$4:P118,""Cursor"")-COUNTIF(P$4:P118,""*""&amp;""_up"")-2*COUNTIF(P$4:P118,""Sell_""&amp;""*"")+COUNTIF(P$4:P118,""Sell_Cursor"")-COUNTIF(P$4:P118,"""")))+(COUNTIF(P$4:P118,""Grandma"")-COUNTIF(P$4:P118,""Sell_Grandma""))*(1*2^(COUNTIF(P$4:P118,""Grandma_up"&amp;""")+COUNTIF(P$4:P118,""Super_up"")))+(COUNTIF(P$4:P118,""Farm"")-COUNTIF(P$4:P118,""Sell_Farm""))*(8*2^COUNTIF(P$4:P118,""Farm_up""))*IF(COUNTIF(P$4:P118,""Super_up"")&gt;0,1+0.01*(COUNTIF(P$4:P118,""Grandma"")-COUNTIF(P$4:P118,""Sell_Grandma"")),1)+(COUNTIF"&amp;"(P$4:P118,""Mine"")-COUNTIF(P$4:P118,""Sell_Mine""))*((47*2^COUNTIF(P$4:P118,""Mine_up""))*IF(COUNTIF(P$4:P118,""Super_up"")&gt;1,1+0.005*(COUNTIF(P$4:P118,""Grandma"")-COUNTIF(P$4:P118,""Sell_Grandma"")),1))+(COUNTIF(P$4:P118,""Factory"")-COUNTIF(P$4:P118,"&amp;"""Sell_Factory""))*(260*2^COUNTIF(P$4:P118,""Factory_up""))))"),2096.24)</f>
        <v>2096.24</v>
      </c>
      <c r="S118" s="73">
        <f>IFERROR(__xludf.DUMMYFUNCTION("IF(COUNTA(P118:P147)=0,"""",IF(REGEXMATCH(INDEX(FILTER(P$4:P118,P$4:P118&lt;&gt;""""),ROWS(FILTER(P$4:P118,P$4:P118&lt;&gt;""""))),""^Sell_""),INDEX(FILTER(S$4:S117,P$4:P117&lt;&gt;""""),ROWS(FILTER(P$4:P117,P$4:P117&lt;&gt;""""))),$AD$5*(2^SWITCH(COUNTIF(P$4:P118,""Cursor_up"")"&amp;",0,0,1,1,2,2,3)+SWITCH(COUNTIF(P$4:P118,""Cursor_up""),4,0.1,0)*(ROW(P118)-4-COUNTIF(P$4:P118,""Cursor"")-COUNTIF(P$4:P118,""*""&amp;""_up"")-2*COUNTIF(P$4:P118,""Sell_""&amp;""*"")+COUNTIF(P$4:P118,""Sell_Cursor"")-COUNTIF(P$4:P118,""""))+0.01*R118*COUNTIF(P$4:P"&amp;"118,""Plastic_up""))+R118))"),9168.720000000001)</f>
        <v>9168.72</v>
      </c>
      <c r="T118" s="14">
        <f>IFERROR(__xludf.DUMMYFUNCTION("IF(COUNTA(P118:P147)=0,"""",IF(REGEXMATCH(P118,""_up""),VLOOKUP(P118,Upgrades!$F$3:$J$8,1+COUNTIF(P$4:P118,P118),FALSE),IF(P118="""",0,IF(REGEXMATCH(P118,""^Sell_""),-ROUNDDOWN(ROUNDUP(INDEX(Upgrades!$C$3:$C$8,MATCH(SUBSTITUTE(P118,""Sell_"",""""),Upgrade"&amp;"s!$B$3:$B$8,0))*1.15^(COUNTIF(P$4:P117,SUBSTITUTE(P118,""Sell_"",""""))-COUNTIF(P$4:P117,""Sell_""&amp;SUBSTITUTE(P118,""Sell_"",""""))))/4),ROUNDUP(INDEX(Upgrades!$C$3:$C$7,MATCH(P118,Upgrades!$B$3:$B$7,0))*1.15^(COUNTIF(P$4:P117,P118)-COUNTIF(P$4:P117,""Sel"&amp;"l_""&amp;P118)))))))"),3039.0)</f>
        <v>3039</v>
      </c>
      <c r="U118" s="14">
        <f t="shared" si="10"/>
        <v>3039</v>
      </c>
      <c r="V118" s="75">
        <f t="shared" si="11"/>
        <v>46163887.82</v>
      </c>
      <c r="W118" s="76">
        <f t="shared" si="12"/>
        <v>196.2494699</v>
      </c>
      <c r="X118" s="71" t="str">
        <f t="shared" si="13"/>
        <v>3m 16s</v>
      </c>
      <c r="Y118" s="77">
        <f t="shared" si="14"/>
        <v>718716</v>
      </c>
      <c r="Z118" s="17"/>
      <c r="AA118" s="13"/>
      <c r="AB118" s="13"/>
      <c r="AC118" s="13"/>
      <c r="AD118" s="13"/>
      <c r="AE118" s="13"/>
      <c r="AF118" s="13"/>
      <c r="AG118" s="13"/>
    </row>
    <row r="119">
      <c r="A119" s="12"/>
      <c r="B119" s="65">
        <f t="shared" si="2"/>
        <v>21</v>
      </c>
      <c r="C119" s="66" t="s">
        <v>16</v>
      </c>
      <c r="D119" s="14" t="b">
        <f>IFERROR(__xludf.DUMMYFUNCTION("IF(COUNTA(C119:C147)=0,"""",IFERROR(IF(ISBLANK(C119),FALSE,IF(ISBLANK(G119),1,IF(NOT(COUNTIF($AA$24:$AA$34,SUBSTITUTE(C119,""Sell_"",""""))),1,IF(C119=""Plastic_up"",IF(I119&lt;1000,1),IF(C119=""Super_Up"",IF(OR(COUNTIF(C$4:C119,""Grandma"")-COUNTIF(C$4:C119"&amp;",""Sell_Grandma"")&lt;1,COUNTIF(C$4:C119,VLOOKUP(C119,Upgrades!$F$8:$N$8,7+COUNTIF(C$4:C119,C119)))-COUNTIF(C$4:C119,""Sell_""&amp;VLOOKUP(C119,Upgrades!$F$8:$N$8,7+COUNTIF(C$4:C119,C119)))&lt;15),1),IF(REGEXMATCH(C119,""_up""),IF(COUNTIF(C$4:C119,SUBSTITUTE(C119,"&amp;"""_up"",""""))&lt;IFERROR(VLOOKUP(C119,Upgrades!$L$3:$P$6,1+COUNTIF(C$4:C119,C119),0),999),1),IF(REGEXMATCH(C119,""Sell_""),IF(COUNTIF(C$4:C119,SUBSTITUTE(C119,""Sell_"",""""))-COUNTIF(C$4:C118,C119)&lt;1,1),FALSE)))))))))"),FALSE)</f>
        <v>0</v>
      </c>
      <c r="E119" s="71">
        <f>IFERROR(__xludf.DUMMYFUNCTION("IF(REGEXMATCH(C119,""^Sell_""),E118, IF(COUNTA(C119:C147)=0,"""",(COUNTIF(C$4:C119,""Cursor"")-COUNTIF(C$4:C119,""Sell_Cursor""))*(0.1*2^SWITCH(COUNTIF(C$4:C119,""Cursor_up""),0,0,1,1,2,2,3)+SWITCH(COUNTIF(C$4:C119,""Cursor_up""),4,0.1,0)*(ROW(C119)-4-COU"&amp;"NTIF(C$4:C119,""Cursor"")-COUNTIF(C$4:C119,""*""&amp;""_up"")-2*COUNTIF(C$4:C119,""Sell_""&amp;""*"")+COUNTIF(C$4:C119,""Sell_Cursor"")-COUNTIF(C$4:C119,"""")))+(COUNTIF(C$4:C119,""Grandma"")-COUNTIF(C$4:C119,""Sell_Grandma""))*(1*2^(COUNTIF(C$4:C119,""Grandma_up"&amp;""")+COUNTIF(C$4:C119,""Super_up"")))+(COUNTIF(C$4:C119,""Farm"")-COUNTIF(C$4:C119,""Sell_Farm""))*(8*2^COUNTIF(C$4:C119,""Farm_up""))*IF(COUNTIF(C$4:C119,""Super_up"")&gt;0,1+0.01*(COUNTIF(C$4:C119,""Grandma"")-COUNTIF(C$4:C119,""Sell_Grandma"")),1)+(COUNTIF"&amp;"(C$4:C119,""Mine"")-COUNTIF(C$4:C119,""Sell_Mine""))*((47*2^COUNTIF(C$4:C119,""Mine_up""))*IF(COUNTIF(C$4:C119,""Super_up"")&gt;1,1+0.005*(COUNTIF(C$4:C119,""Grandma"")-COUNTIF(C$4:C119,""Sell_Grandma"")),1))+(COUNTIF(C$4:C119,""Factory"")-COUNTIF(C$4:C119,"&amp;"""Sell_Factory""))*(260*2^COUNTIF(C$4:C119,""Factory_up""))))"),2014.46)</f>
        <v>2014.46</v>
      </c>
      <c r="F119" s="73">
        <f>IFERROR(__xludf.DUMMYFUNCTION("IF(COUNTA(C119:C147)=0,"""",IF(REGEXMATCH(INDEX(FILTER(C$4:C119,C$4:C119&lt;&gt;""""),ROWS(FILTER(C$4:C119,C$4:C119&lt;&gt;""""))),""^Sell_""),INDEX(FILTER(F$4:F118,C$4:C118&lt;&gt;""""),ROWS(FILTER(C$4:C118,C$4:C118&lt;&gt;""""))),$AC$5*(2^SWITCH(COUNTIF(C$4:C119,""Cursor_up"")"&amp;",0,0,1,1,2,2,3)+SWITCH(COUNTIF(C$4:C119,""Cursor_up""),4,0.1,0)*(ROW(C119)-4-COUNTIF(C$4:C119,""Cursor"")-COUNTIF(C$4:C119,""*""&amp;""_up"")-2*COUNTIF(C$4:C119,""Sell_""&amp;""*"")+COUNTIF(C$4:C119,""Sell_Cursor"")-COUNTIF(C$4:C119,""""))+0.01*E119*COUNTIF(C$4:C"&amp;"119,""Plastic_up""))+E119))"),8903.380000000001)</f>
        <v>8903.38</v>
      </c>
      <c r="G119" s="14">
        <f>IFERROR(__xludf.DUMMYFUNCTION("IF(COUNTA(C119:C147)=0,"""",IF(REGEXMATCH(C119,""_up""),VLOOKUP(C119,Upgrades!$F$3:$J$8,1+COUNTIF(C$4:C119,C119),FALSE),IF(C119="""",0,IF(REGEXMATCH(C119,""^Sell_""),-ROUNDDOWN(ROUNDUP(INDEX(Upgrades!$C$3:$C$8,MATCH(SUBSTITUTE(C119,""Sell_"",""""),Upgrade"&amp;"s!$B$3:$B$8,0))*1.15^(COUNTIF(C$4:C118,SUBSTITUTE(C119,""Sell_"",""""))-COUNTIF(C$4:C118,""Sell_""&amp;SUBSTITUTE(C119,""Sell_"",""""))))/4),ROUNDUP(INDEX(Upgrades!$C$3:$C$7,MATCH(C119,Upgrades!$B$3:$B$7,0))*1.15^(COUNTIF(C$4:C118,C119)-COUNTIF(C$4:C118,""Sel"&amp;"l_""&amp;C119)))))))"),18004.0)</f>
        <v>18004</v>
      </c>
      <c r="H119" s="14">
        <f t="shared" si="3"/>
        <v>18004</v>
      </c>
      <c r="I119" s="75">
        <f t="shared" si="4"/>
        <v>43065533.11</v>
      </c>
      <c r="J119" s="76">
        <f t="shared" si="5"/>
        <v>194.2727688</v>
      </c>
      <c r="K119" s="71" t="str">
        <f t="shared" si="6"/>
        <v>3m 14s</v>
      </c>
      <c r="L119" s="77">
        <f t="shared" si="7"/>
        <v>693327</v>
      </c>
      <c r="M119" s="51">
        <f t="shared" si="8"/>
        <v>-0.84586</v>
      </c>
      <c r="N119" s="52">
        <f>IFERROR(__xludf.DUMMYFUNCTION("IFS(AND(COUNTA(C119:C147)=0,COUNTA(P119:P147)=0),"""",OR(AND(L119&gt;=1000000,OR(Y119&gt;=1000000,COUNTA(P119:P147)=0)),AND(Y119&gt;=1000000,COUNTA(C119:C147)=0),AND(COUNTA(P119:P147)=0,O$3=TRUE)),
ROUNDDOWN((AB$1-AC$1)*MAX(INDEX(S$4:S147,MATCH(LARGE(FILTER(Y$4:Y1"&amp;"47,Y$4:Y147&lt;1000000),1),Y$4:Y147)),INDEX(F$4:F147,MATCH(LARGE(FILTER(L$4:L147,L$4:L147&lt;1000000),1),L$4:L147)))),AND(L119&lt;1000000,COUNTA(C119:C147)&gt;0,O$3=FALSE),
ROUNDDOWN(INDEX(Y$4:Y147,MATCH(LARGE(FILTER(W$4:W147,W$4:W147&lt;=J119),1),W$4:W147))+(J119-LARGE"&amp;"(FILTER(W$4:W147,W$4:W147&lt;=J119),1))*INDEX(S$4:S147,MATCH(LARGE(FILTER(W$4:W147,W$4:W147&lt;=J119),1),W$4:W147))-L119),1,
ROUNDDOWN(Y119-INDEX(L$4:L147,MATCH(LARGE(FILTER(J$4:J147,J$4:J147&lt;=W119),1),J$4:J147))-(W119-LARGE(FILTER(J$4:J147,J$4:J147&lt;=W119),1))*"&amp;"INDEX(F$4:F147,MATCH(LARGE(FILTER(J$4:J147,J$4:J147&lt;=W119),1),J$4:J147))))"),7591.0)</f>
        <v>7591</v>
      </c>
      <c r="O119" s="65">
        <f t="shared" si="9"/>
        <v>23</v>
      </c>
      <c r="P119" s="15" t="s">
        <v>16</v>
      </c>
      <c r="Q119" s="14" t="b">
        <f>IFERROR(__xludf.DUMMYFUNCTION("IF(COUNTA(P119:P147)=0,"""",IFERROR(IF(ISBLANK(P119),FALSE,IF(ISBLANK(T119),1,IF(NOT(COUNTIF($AA$24:$AA$34,SUBSTITUTE(P119,""Sell_"",""""))),1,IF(P119=""Plastic_up"",IF(V119&lt;1000,1),IF(P119=""Super_Up"",IF(OR(COUNTIF(P$4:P119,""Grandma"")-COUNTIF(P$4:P119"&amp;",""Sell_Grandma"")&lt;1,COUNTIF(P$4:P119,VLOOKUP(P119,Upgrades!$F$8:$N$8,7+COUNTIF(P$4:P119,P119)))-COUNTIF(P$4:P119,""Sell_""&amp;VLOOKUP(P119,Upgrades!$F$8:$N$8,7+COUNTIF(P$4:P119,P119)))&lt;15),1),IF(REGEXMATCH(P119,""_up""),IF(COUNTIF(P$4:P119,SUBSTITUTE(P119,"&amp;"""_up"",""""))&lt;IFERROR(VLOOKUP(P119,Upgrades!$L$3:$P$6,1+COUNTIF(P$4:P119,P119),0),999),1),IF(REGEXMATCH(P119,""Sell_""),IF(COUNTIF(P$4:P119,SUBSTITUTE(P119,""Sell_"",""""))-COUNTIF(P$4:P118,P119)&lt;1,1),FALSE)))))))))"),FALSE)</f>
        <v>0</v>
      </c>
      <c r="R119" s="71">
        <f>IFERROR(__xludf.DUMMYFUNCTION("IF(REGEXMATCH(P119,""^Sell_""),R118, IF(COUNTA(P119:P147)=0,"""",(COUNTIF(P$4:P119,""Cursor"")-COUNTIF(P$4:P119,""Sell_Cursor""))*(0.1*2^SWITCH(COUNTIF(P$4:P119,""Cursor_up""),0,0,1,1,2,2,3)+SWITCH(COUNTIF(P$4:P119,""Cursor_up""),4,0.1,0)*(ROW(P119)-4-COU"&amp;"NTIF(P$4:P119,""Cursor"")-COUNTIF(P$4:P119,""*""&amp;""_up"")-2*COUNTIF(P$4:P119,""Sell_""&amp;""*"")+COUNTIF(P$4:P119,""Sell_Cursor"")-COUNTIF(P$4:P119,"""")))+(COUNTIF(P$4:P119,""Grandma"")-COUNTIF(P$4:P119,""Sell_Grandma""))*(1*2^(COUNTIF(P$4:P119,""Grandma_up"&amp;""")+COUNTIF(P$4:P119,""Super_up"")))+(COUNTIF(P$4:P119,""Farm"")-COUNTIF(P$4:P119,""Sell_Farm""))*(8*2^COUNTIF(P$4:P119,""Farm_up""))*IF(COUNTIF(P$4:P119,""Super_up"")&gt;0,1+0.01*(COUNTIF(P$4:P119,""Grandma"")-COUNTIF(P$4:P119,""Sell_Grandma"")),1)+(COUNTIF"&amp;"(P$4:P119,""Mine"")-COUNTIF(P$4:P119,""Sell_Mine""))*((47*2^COUNTIF(P$4:P119,""Mine_up""))*IF(COUNTIF(P$4:P119,""Super_up"")&gt;1,1+0.005*(COUNTIF(P$4:P119,""Grandma"")-COUNTIF(P$4:P119,""Sell_Grandma"")),1))+(COUNTIF(P$4:P119,""Factory"")-COUNTIF(P$4:P119,"&amp;"""Sell_Factory""))*(260*2^COUNTIF(P$4:P119,""Factory_up""))))"),2143.66)</f>
        <v>2143.66</v>
      </c>
      <c r="S119" s="73">
        <f>IFERROR(__xludf.DUMMYFUNCTION("IF(COUNTA(P119:P147)=0,"""",IF(REGEXMATCH(INDEX(FILTER(P$4:P119,P$4:P119&lt;&gt;""""),ROWS(FILTER(P$4:P119,P$4:P119&lt;&gt;""""))),""^Sell_""),INDEX(FILTER(S$4:S118,P$4:P118&lt;&gt;""""),ROWS(FILTER(P$4:P118,P$4:P118&lt;&gt;""""))),$AD$5*(2^SWITCH(COUNTIF(P$4:P119,""Cursor_up"")"&amp;",0,0,1,1,2,2,3)+SWITCH(COUNTIF(P$4:P119,""Cursor_up""),4,0.1,0)*(ROW(P119)-4-COUNTIF(P$4:P119,""Cursor"")-COUNTIF(P$4:P119,""*""&amp;""_up"")-2*COUNTIF(P$4:P119,""Sell_""&amp;""*"")+COUNTIF(P$4:P119,""Sell_Cursor"")-COUNTIF(P$4:P119,""""))+0.01*R119*COUNTIF(P$4:P"&amp;"119,""Plastic_up""))+R119))"),9330.98)</f>
        <v>9330.98</v>
      </c>
      <c r="T119" s="14">
        <f>IFERROR(__xludf.DUMMYFUNCTION("IF(COUNTA(P119:P147)=0,"""",IF(REGEXMATCH(P119,""_up""),VLOOKUP(P119,Upgrades!$F$3:$J$8,1+COUNTIF(P$4:P119,P119),FALSE),IF(P119="""",0,IF(REGEXMATCH(P119,""^Sell_""),-ROUNDDOWN(ROUNDUP(INDEX(Upgrades!$C$3:$C$8,MATCH(SUBSTITUTE(P119,""Sell_"",""""),Upgrade"&amp;"s!$B$3:$B$8,0))*1.15^(COUNTIF(P$4:P118,SUBSTITUTE(P119,""Sell_"",""""))-COUNTIF(P$4:P118,""Sell_""&amp;SUBSTITUTE(P119,""Sell_"",""""))))/4),ROUNDUP(INDEX(Upgrades!$C$3:$C$7,MATCH(P119,Upgrades!$B$3:$B$7,0))*1.15^(COUNTIF(P$4:P118,P119)-COUNTIF(P$4:P118,""Sel"&amp;"l_""&amp;P119)))))))"),23810.0)</f>
        <v>23810</v>
      </c>
      <c r="U119" s="14">
        <f t="shared" si="10"/>
        <v>23810</v>
      </c>
      <c r="V119" s="75">
        <f t="shared" si="11"/>
        <v>47570224.61</v>
      </c>
      <c r="W119" s="76">
        <f t="shared" si="12"/>
        <v>198.8463428</v>
      </c>
      <c r="X119" s="71" t="str">
        <f t="shared" si="13"/>
        <v>3m 18s</v>
      </c>
      <c r="Y119" s="77">
        <f t="shared" si="14"/>
        <v>742526</v>
      </c>
      <c r="Z119" s="17"/>
      <c r="AA119" s="13"/>
      <c r="AB119" s="13"/>
      <c r="AC119" s="13"/>
      <c r="AD119" s="13"/>
      <c r="AE119" s="13"/>
      <c r="AF119" s="13"/>
      <c r="AG119" s="13"/>
    </row>
    <row r="120">
      <c r="A120" s="12"/>
      <c r="B120" s="65">
        <f t="shared" si="2"/>
        <v>5</v>
      </c>
      <c r="C120" s="66" t="s">
        <v>18</v>
      </c>
      <c r="D120" s="14" t="b">
        <f>IFERROR(__xludf.DUMMYFUNCTION("IF(COUNTA(C120:C147)=0,"""",IFERROR(IF(ISBLANK(C120),FALSE,IF(ISBLANK(G120),1,IF(NOT(COUNTIF($AA$24:$AA$34,SUBSTITUTE(C120,""Sell_"",""""))),1,IF(C120=""Plastic_up"",IF(I120&lt;1000,1),IF(C120=""Super_Up"",IF(OR(COUNTIF(C$4:C120,""Grandma"")-COUNTIF(C$4:C120"&amp;",""Sell_Grandma"")&lt;1,COUNTIF(C$4:C120,VLOOKUP(C120,Upgrades!$F$8:$N$8,7+COUNTIF(C$4:C120,C120)))-COUNTIF(C$4:C120,""Sell_""&amp;VLOOKUP(C120,Upgrades!$F$8:$N$8,7+COUNTIF(C$4:C120,C120)))&lt;15),1),IF(REGEXMATCH(C120,""_up""),IF(COUNTIF(C$4:C120,SUBSTITUTE(C120,"&amp;"""_up"",""""))&lt;IFERROR(VLOOKUP(C120,Upgrades!$L$3:$P$6,1+COUNTIF(C$4:C120,C120),0),999),1),IF(REGEXMATCH(C120,""Sell_""),IF(COUNTIF(C$4:C120,SUBSTITUTE(C120,""Sell_"",""""))-COUNTIF(C$4:C119,C120)&lt;1,1),FALSE)))))))))"),FALSE)</f>
        <v>0</v>
      </c>
      <c r="E120" s="71">
        <f>IFERROR(__xludf.DUMMYFUNCTION("IF(REGEXMATCH(C120,""^Sell_""),E119, IF(COUNTA(C120:C147)=0,"""",(COUNTIF(C$4:C120,""Cursor"")-COUNTIF(C$4:C120,""Sell_Cursor""))*(0.1*2^SWITCH(COUNTIF(C$4:C120,""Cursor_up""),0,0,1,1,2,2,3)+SWITCH(COUNTIF(C$4:C120,""Cursor_up""),4,0.1,0)*(ROW(C120)-4-COU"&amp;"NTIF(C$4:C120,""Cursor"")-COUNTIF(C$4:C120,""*""&amp;""_up"")-2*COUNTIF(C$4:C120,""Sell_""&amp;""*"")+COUNTIF(C$4:C120,""Sell_Cursor"")-COUNTIF(C$4:C120,"""")))+(COUNTIF(C$4:C120,""Grandma"")-COUNTIF(C$4:C120,""Sell_Grandma""))*(1*2^(COUNTIF(C$4:C120,""Grandma_up"&amp;""")+COUNTIF(C$4:C120,""Super_up"")))+(COUNTIF(C$4:C120,""Farm"")-COUNTIF(C$4:C120,""Sell_Farm""))*(8*2^COUNTIF(C$4:C120,""Farm_up""))*IF(COUNTIF(C$4:C120,""Super_up"")&gt;0,1+0.01*(COUNTIF(C$4:C120,""Grandma"")-COUNTIF(C$4:C120,""Sell_Grandma"")),1)+(COUNTIF"&amp;"(C$4:C120,""Mine"")-COUNTIF(C$4:C120,""Sell_Mine""))*((47*2^COUNTIF(C$4:C120,""Mine_up""))*IF(COUNTIF(C$4:C120,""Super_up"")&gt;1,1+0.005*(COUNTIF(C$4:C120,""Grandma"")-COUNTIF(C$4:C120,""Sell_Grandma"")),1))+(COUNTIF(C$4:C120,""Factory"")-COUNTIF(C$4:C120,"&amp;"""Sell_Factory""))*(260*2^COUNTIF(C$4:C120,""Factory_up""))))"),2065.56)</f>
        <v>2065.56</v>
      </c>
      <c r="F120" s="73">
        <f>IFERROR(__xludf.DUMMYFUNCTION("IF(COUNTA(C120:C147)=0,"""",IF(REGEXMATCH(INDEX(FILTER(C$4:C120,C$4:C120&lt;&gt;""""),ROWS(FILTER(C$4:C120,C$4:C120&lt;&gt;""""))),""^Sell_""),INDEX(FILTER(F$4:F119,C$4:C119&lt;&gt;""""),ROWS(FILTER(C$4:C119,C$4:C119&lt;&gt;""""))),$AC$5*(2^SWITCH(COUNTIF(C$4:C120,""Cursor_up"")"&amp;",0,0,1,1,2,2,3)+SWITCH(COUNTIF(C$4:C120,""Cursor_up""),4,0.1,0)*(ROW(C120)-4-COUNTIF(C$4:C120,""Cursor"")-COUNTIF(C$4:C120,""*""&amp;""_up"")-2*COUNTIF(C$4:C120,""Sell_""&amp;""*"")+COUNTIF(C$4:C120,""Sell_Cursor"")-COUNTIF(C$4:C120,""""))+0.01*E120*COUNTIF(C$4:C"&amp;"120,""Plastic_up""))+E120))"),9076.68)</f>
        <v>9076.68</v>
      </c>
      <c r="G120" s="14">
        <f>IFERROR(__xludf.DUMMYFUNCTION("IF(COUNTA(C120:C147)=0,"""",IF(REGEXMATCH(C120,""_up""),VLOOKUP(C120,Upgrades!$F$3:$J$8,1+COUNTIF(C$4:C120,C120),FALSE),IF(C120="""",0,IF(REGEXMATCH(C120,""^Sell_""),-ROUNDDOWN(ROUNDUP(INDEX(Upgrades!$C$3:$C$8,MATCH(SUBSTITUTE(C120,""Sell_"",""""),Upgrade"&amp;"s!$B$3:$B$8,0))*1.15^(COUNTIF(C$4:C119,SUBSTITUTE(C120,""Sell_"",""""))-COUNTIF(C$4:C119,""Sell_""&amp;SUBSTITUTE(C120,""Sell_"",""""))))/4),ROUNDUP(INDEX(Upgrades!$C$3:$C$7,MATCH(C120,Upgrades!$B$3:$B$7,0))*1.15^(COUNTIF(C$4:C119,C120)-COUNTIF(C$4:C119,""Sel"&amp;"l_""&amp;C120)))))))"),20989.0)</f>
        <v>20989</v>
      </c>
      <c r="H120" s="14">
        <f t="shared" si="3"/>
        <v>20989</v>
      </c>
      <c r="I120" s="75">
        <f t="shared" si="4"/>
        <v>44420102.75</v>
      </c>
      <c r="J120" s="76">
        <f t="shared" si="5"/>
        <v>196.6301881</v>
      </c>
      <c r="K120" s="71" t="str">
        <f t="shared" si="6"/>
        <v>3m 16s</v>
      </c>
      <c r="L120" s="77">
        <f t="shared" si="7"/>
        <v>714316</v>
      </c>
      <c r="M120" s="51">
        <f t="shared" si="8"/>
        <v>-0.8646</v>
      </c>
      <c r="N120" s="52">
        <f>IFERROR(__xludf.DUMMYFUNCTION("IFS(AND(COUNTA(C120:C147)=0,COUNTA(P120:P147)=0),"""",OR(AND(L120&gt;=1000000,OR(Y120&gt;=1000000,COUNTA(P120:P147)=0)),AND(Y120&gt;=1000000,COUNTA(C120:C147)=0),AND(COUNTA(P120:P147)=0,O$3=TRUE)),
ROUNDDOWN((AB$1-AC$1)*MAX(INDEX(S$4:S147,MATCH(LARGE(FILTER(Y$4:Y1"&amp;"47,Y$4:Y147&lt;1000000),1),Y$4:Y147)),INDEX(F$4:F147,MATCH(LARGE(FILTER(L$4:L147,L$4:L147&lt;1000000),1),L$4:L147)))),AND(L120&lt;1000000,COUNTA(C120:C147)&gt;0,O$3=FALSE),
ROUNDDOWN(INDEX(Y$4:Y147,MATCH(LARGE(FILTER(W$4:W147,W$4:W147&lt;=J120),1),W$4:W147))+(J120-LARGE"&amp;"(FILTER(W$4:W147,W$4:W147&lt;=J120),1))*INDEX(S$4:S147,MATCH(LARGE(FILTER(W$4:W147,W$4:W147&lt;=J120),1),W$4:W147))-L120),1,
ROUNDDOWN(Y120-INDEX(L$4:L147,MATCH(LARGE(FILTER(J$4:J147,J$4:J147&lt;=W120),1),J$4:J147))-(W120-LARGE(FILTER(J$4:J147,J$4:J147&lt;=W120),1))*"&amp;"INDEX(F$4:F147,MATCH(LARGE(FILTER(J$4:J147,J$4:J147&lt;=W120),1),J$4:J147))))"),7890.0)</f>
        <v>7890</v>
      </c>
      <c r="O120" s="65">
        <f t="shared" si="9"/>
        <v>37</v>
      </c>
      <c r="P120" s="15" t="s">
        <v>13</v>
      </c>
      <c r="Q120" s="14" t="b">
        <f>IFERROR(__xludf.DUMMYFUNCTION("IF(COUNTA(P120:P147)=0,"""",IFERROR(IF(ISBLANK(P120),FALSE,IF(ISBLANK(T120),1,IF(NOT(COUNTIF($AA$24:$AA$34,SUBSTITUTE(P120,""Sell_"",""""))),1,IF(P120=""Plastic_up"",IF(V120&lt;1000,1),IF(P120=""Super_Up"",IF(OR(COUNTIF(P$4:P120,""Grandma"")-COUNTIF(P$4:P120"&amp;",""Sell_Grandma"")&lt;1,COUNTIF(P$4:P120,VLOOKUP(P120,Upgrades!$F$8:$N$8,7+COUNTIF(P$4:P120,P120)))-COUNTIF(P$4:P120,""Sell_""&amp;VLOOKUP(P120,Upgrades!$F$8:$N$8,7+COUNTIF(P$4:P120,P120)))&lt;15),1),IF(REGEXMATCH(P120,""_up""),IF(COUNTIF(P$4:P120,SUBSTITUTE(P120,"&amp;"""_up"",""""))&lt;IFERROR(VLOOKUP(P120,Upgrades!$L$3:$P$6,1+COUNTIF(P$4:P120,P120),0),999),1),IF(REGEXMATCH(P120,""Sell_""),IF(COUNTIF(P$4:P120,SUBSTITUTE(P120,""Sell_"",""""))-COUNTIF(P$4:P119,P120)&lt;1,1),FALSE)))))))))"),FALSE)</f>
        <v>0</v>
      </c>
      <c r="R120" s="71">
        <f>IFERROR(__xludf.DUMMYFUNCTION("IF(REGEXMATCH(P120,""^Sell_""),R119, IF(COUNTA(P120:P147)=0,"""",(COUNTIF(P$4:P120,""Cursor"")-COUNTIF(P$4:P120,""Sell_Cursor""))*(0.1*2^SWITCH(COUNTIF(P$4:P120,""Cursor_up""),0,0,1,1,2,2,3)+SWITCH(COUNTIF(P$4:P120,""Cursor_up""),4,0.1,0)*(ROW(P120)-4-COU"&amp;"NTIF(P$4:P120,""Cursor"")-COUNTIF(P$4:P120,""*""&amp;""_up"")-2*COUNTIF(P$4:P120,""Sell_""&amp;""*"")+COUNTIF(P$4:P120,""Sell_Cursor"")-COUNTIF(P$4:P120,"""")))+(COUNTIF(P$4:P120,""Grandma"")-COUNTIF(P$4:P120,""Sell_Grandma""))*(1*2^(COUNTIF(P$4:P120,""Grandma_up"&amp;""")+COUNTIF(P$4:P120,""Super_up"")))+(COUNTIF(P$4:P120,""Farm"")-COUNTIF(P$4:P120,""Sell_Farm""))*(8*2^COUNTIF(P$4:P120,""Farm_up""))*IF(COUNTIF(P$4:P120,""Super_up"")&gt;0,1+0.01*(COUNTIF(P$4:P120,""Grandma"")-COUNTIF(P$4:P120,""Sell_Grandma"")),1)+(COUNTIF"&amp;"(P$4:P120,""Mine"")-COUNTIF(P$4:P120,""Sell_Mine""))*((47*2^COUNTIF(P$4:P120,""Mine_up""))*IF(COUNTIF(P$4:P120,""Super_up"")&gt;1,1+0.005*(COUNTIF(P$4:P120,""Grandma"")-COUNTIF(P$4:P120,""Sell_Grandma"")),1))+(COUNTIF(P$4:P120,""Factory"")-COUNTIF(P$4:P120,"&amp;"""Sell_Factory""))*(260*2^COUNTIF(P$4:P120,""Factory_up""))))"),2170.92)</f>
        <v>2170.92</v>
      </c>
      <c r="S120" s="73">
        <f>IFERROR(__xludf.DUMMYFUNCTION("IF(COUNTA(P120:P147)=0,"""",IF(REGEXMATCH(INDEX(FILTER(P$4:P120,P$4:P120&lt;&gt;""""),ROWS(FILTER(P$4:P120,P$4:P120&lt;&gt;""""))),""^Sell_""),INDEX(FILTER(S$4:S119,P$4:P119&lt;&gt;""""),ROWS(FILTER(P$4:P119,P$4:P119&lt;&gt;""""))),$AD$5*(2^SWITCH(COUNTIF(P$4:P120,""Cursor_up"")"&amp;",0,0,1,1,2,2,3)+SWITCH(COUNTIF(P$4:P120,""Cursor_up""),4,0.1,0)*(ROW(P120)-4-COUNTIF(P$4:P120,""Cursor"")-COUNTIF(P$4:P120,""*""&amp;""_up"")-2*COUNTIF(P$4:P120,""Sell_""&amp;""*"")+COUNTIF(P$4:P120,""Sell_Cursor"")-COUNTIF(P$4:P120,""""))+0.01*R120*COUNTIF(P$4:P"&amp;"120,""Plastic_up""))+R120))"),9432.760000000002)</f>
        <v>9432.76</v>
      </c>
      <c r="T120" s="14">
        <f>IFERROR(__xludf.DUMMYFUNCTION("IF(COUNTA(P120:P147)=0,"""",IF(REGEXMATCH(P120,""_up""),VLOOKUP(P120,Upgrades!$F$3:$J$8,1+COUNTIF(P$4:P120,P120),FALSE),IF(P120="""",0,IF(REGEXMATCH(P120,""^Sell_""),-ROUNDDOWN(ROUNDUP(INDEX(Upgrades!$C$3:$C$8,MATCH(SUBSTITUTE(P120,""Sell_"",""""),Upgrade"&amp;"s!$B$3:$B$8,0))*1.15^(COUNTIF(P$4:P119,SUBSTITUTE(P120,""Sell_"",""""))-COUNTIF(P$4:P119,""Sell_""&amp;SUBSTITUTE(P120,""Sell_"",""""))))/4),ROUNDUP(INDEX(Upgrades!$C$3:$C$7,MATCH(P120,Upgrades!$B$3:$B$7,0))*1.15^(COUNTIF(P$4:P119,P120)-COUNTIF(P$4:P119,""Sel"&amp;"l_""&amp;P120)))))))"),15316.0)</f>
        <v>15316</v>
      </c>
      <c r="U120" s="14">
        <f t="shared" si="10"/>
        <v>15316</v>
      </c>
      <c r="V120" s="75">
        <f t="shared" si="11"/>
        <v>49011194.27</v>
      </c>
      <c r="W120" s="76">
        <f t="shared" si="12"/>
        <v>200.4877566</v>
      </c>
      <c r="X120" s="71" t="str">
        <f t="shared" si="13"/>
        <v>3m 20s</v>
      </c>
      <c r="Y120" s="77">
        <f t="shared" si="14"/>
        <v>757842</v>
      </c>
      <c r="Z120" s="17"/>
      <c r="AA120" s="13"/>
      <c r="AB120" s="13"/>
      <c r="AC120" s="13"/>
      <c r="AD120" s="13"/>
      <c r="AE120" s="13"/>
      <c r="AF120" s="13"/>
      <c r="AG120" s="13"/>
    </row>
    <row r="121">
      <c r="A121" s="12"/>
      <c r="B121" s="65">
        <f t="shared" si="2"/>
        <v>22</v>
      </c>
      <c r="C121" s="66" t="s">
        <v>16</v>
      </c>
      <c r="D121" s="14" t="b">
        <f>IFERROR(__xludf.DUMMYFUNCTION("IF(COUNTA(C121:C147)=0,"""",IFERROR(IF(ISBLANK(C121),FALSE,IF(ISBLANK(G121),1,IF(NOT(COUNTIF($AA$24:$AA$34,SUBSTITUTE(C121,""Sell_"",""""))),1,IF(C121=""Plastic_up"",IF(I121&lt;1000,1),IF(C121=""Super_Up"",IF(OR(COUNTIF(C$4:C121,""Grandma"")-COUNTIF(C$4:C121"&amp;",""Sell_Grandma"")&lt;1,COUNTIF(C$4:C121,VLOOKUP(C121,Upgrades!$F$8:$N$8,7+COUNTIF(C$4:C121,C121)))-COUNTIF(C$4:C121,""Sell_""&amp;VLOOKUP(C121,Upgrades!$F$8:$N$8,7+COUNTIF(C$4:C121,C121)))&lt;15),1),IF(REGEXMATCH(C121,""_up""),IF(COUNTIF(C$4:C121,SUBSTITUTE(C121,"&amp;"""_up"",""""))&lt;IFERROR(VLOOKUP(C121,Upgrades!$L$3:$P$6,1+COUNTIF(C$4:C121,C121),0),999),1),IF(REGEXMATCH(C121,""Sell_""),IF(COUNTIF(C$4:C121,SUBSTITUTE(C121,""Sell_"",""""))-COUNTIF(C$4:C120,C121)&lt;1,1),FALSE)))))))))"),FALSE)</f>
        <v>0</v>
      </c>
      <c r="E121" s="71">
        <f>IFERROR(__xludf.DUMMYFUNCTION("IF(REGEXMATCH(C121,""^Sell_""),E120, IF(COUNTA(C121:C147)=0,"""",(COUNTIF(C$4:C121,""Cursor"")-COUNTIF(C$4:C121,""Sell_Cursor""))*(0.1*2^SWITCH(COUNTIF(C$4:C121,""Cursor_up""),0,0,1,1,2,2,3)+SWITCH(COUNTIF(C$4:C121,""Cursor_up""),4,0.1,0)*(ROW(C121)-4-COU"&amp;"NTIF(C$4:C121,""Cursor"")-COUNTIF(C$4:C121,""*""&amp;""_up"")-2*COUNTIF(C$4:C121,""Sell_""&amp;""*"")+COUNTIF(C$4:C121,""Sell_Cursor"")-COUNTIF(C$4:C121,"""")))+(COUNTIF(C$4:C121,""Grandma"")-COUNTIF(C$4:C121,""Sell_Grandma""))*(1*2^(COUNTIF(C$4:C121,""Grandma_up"&amp;""")+COUNTIF(C$4:C121,""Super_up"")))+(COUNTIF(C$4:C121,""Farm"")-COUNTIF(C$4:C121,""Sell_Farm""))*(8*2^COUNTIF(C$4:C121,""Farm_up""))*IF(COUNTIF(C$4:C121,""Super_up"")&gt;0,1+0.01*(COUNTIF(C$4:C121,""Grandma"")-COUNTIF(C$4:C121,""Sell_Grandma"")),1)+(COUNTIF"&amp;"(C$4:C121,""Mine"")-COUNTIF(C$4:C121,""Sell_Mine""))*((47*2^COUNTIF(C$4:C121,""Mine_up""))*IF(COUNTIF(C$4:C121,""Super_up"")&gt;1,1+0.005*(COUNTIF(C$4:C121,""Grandma"")-COUNTIF(C$4:C121,""Sell_Grandma"")),1))+(COUNTIF(C$4:C121,""Factory"")-COUNTIF(C$4:C121,"&amp;"""Sell_Factory""))*(260*2^COUNTIF(C$4:C121,""Factory_up""))))"),2113.8199999999997)</f>
        <v>2113.82</v>
      </c>
      <c r="F121" s="73">
        <f>IFERROR(__xludf.DUMMYFUNCTION("IF(COUNTA(C121:C147)=0,"""",IF(REGEXMATCH(INDEX(FILTER(C$4:C121,C$4:C121&lt;&gt;""""),ROWS(FILTER(C$4:C121,C$4:C121&lt;&gt;""""))),""^Sell_""),INDEX(FILTER(F$4:F120,C$4:C120&lt;&gt;""""),ROWS(FILTER(C$4:C120,C$4:C120&lt;&gt;""""))),$AC$5*(2^SWITCH(COUNTIF(C$4:C121,""Cursor_up"")"&amp;",0,0,1,1,2,2,3)+SWITCH(COUNTIF(C$4:C121,""Cursor_up""),4,0.1,0)*(ROW(C121)-4-COUNTIF(C$4:C121,""Cursor"")-COUNTIF(C$4:C121,""*""&amp;""_up"")-2*COUNTIF(C$4:C121,""Sell_""&amp;""*"")+COUNTIF(C$4:C121,""Sell_Cursor"")-COUNTIF(C$4:C121,""""))+0.01*E121*COUNTIF(C$4:C"&amp;"121,""Plastic_up""))+E121))"),9241.46)</f>
        <v>9241.46</v>
      </c>
      <c r="G121" s="14">
        <f>IFERROR(__xludf.DUMMYFUNCTION("IF(COUNTA(C121:C147)=0,"""",IF(REGEXMATCH(C121,""_up""),VLOOKUP(C121,Upgrades!$F$3:$J$8,1+COUNTIF(C$4:C121,C121),FALSE),IF(C121="""",0,IF(REGEXMATCH(C121,""^Sell_""),-ROUNDDOWN(ROUNDUP(INDEX(Upgrades!$C$3:$C$8,MATCH(SUBSTITUTE(C121,""Sell_"",""""),Upgrade"&amp;"s!$B$3:$B$8,0))*1.15^(COUNTIF(C$4:C120,SUBSTITUTE(C121,""Sell_"",""""))-COUNTIF(C$4:C120,""Sell_""&amp;SUBSTITUTE(C121,""Sell_"",""""))))/4),ROUNDUP(INDEX(Upgrades!$C$3:$C$7,MATCH(C121,Upgrades!$B$3:$B$7,0))*1.15^(COUNTIF(C$4:C120,C121)-COUNTIF(C$4:C120,""Sel"&amp;"l_""&amp;C121)))))))"),20704.0)</f>
        <v>20704</v>
      </c>
      <c r="H121" s="14">
        <f t="shared" si="3"/>
        <v>20704</v>
      </c>
      <c r="I121" s="75">
        <f t="shared" si="4"/>
        <v>45814693.03</v>
      </c>
      <c r="J121" s="76">
        <f t="shared" si="5"/>
        <v>198.9111984</v>
      </c>
      <c r="K121" s="71" t="str">
        <f t="shared" si="6"/>
        <v>3m 18s</v>
      </c>
      <c r="L121" s="77">
        <f t="shared" si="7"/>
        <v>735020</v>
      </c>
      <c r="M121" s="51">
        <f t="shared" si="8"/>
        <v>-0.8835</v>
      </c>
      <c r="N121" s="52">
        <f>IFERROR(__xludf.DUMMYFUNCTION("IFS(AND(COUNTA(C121:C147)=0,COUNTA(P121:P147)=0),"""",OR(AND(L121&gt;=1000000,OR(Y121&gt;=1000000,COUNTA(P121:P147)=0)),AND(Y121&gt;=1000000,COUNTA(C121:C147)=0),AND(COUNTA(P121:P147)=0,O$3=TRUE)),
ROUNDDOWN((AB$1-AC$1)*MAX(INDEX(S$4:S147,MATCH(LARGE(FILTER(Y$4:Y1"&amp;"47,Y$4:Y147&lt;1000000),1),Y$4:Y147)),INDEX(F$4:F147,MATCH(LARGE(FILTER(L$4:L147,L$4:L147&lt;1000000),1),L$4:L147)))),AND(L121&lt;1000000,COUNTA(C121:C147)&gt;0,O$3=FALSE),
ROUNDDOWN(INDEX(Y$4:Y147,MATCH(LARGE(FILTER(W$4:W147,W$4:W147&lt;=J121),1),W$4:W147))+(J121-LARGE"&amp;"(FILTER(W$4:W147,W$4:W147&lt;=J121),1))*INDEX(S$4:S147,MATCH(LARGE(FILTER(W$4:W147,W$4:W147&lt;=J121),1),W$4:W147))-L121),1,
ROUNDDOWN(Y121-INDEX(L$4:L147,MATCH(LARGE(FILTER(J$4:J147,J$4:J147&lt;=W121),1),J$4:J147))-(W121-LARGE(FILTER(J$4:J147,J$4:J147&lt;=W121),1))*"&amp;"INDEX(F$4:F147,MATCH(LARGE(FILTER(J$4:J147,J$4:J147&lt;=W121),1),J$4:J147))))"),8111.0)</f>
        <v>8111</v>
      </c>
      <c r="O121" s="65">
        <f t="shared" si="9"/>
        <v>1</v>
      </c>
      <c r="P121" s="15" t="s">
        <v>19</v>
      </c>
      <c r="Q121" s="14" t="b">
        <f>IFERROR(__xludf.DUMMYFUNCTION("IF(COUNTA(P121:P147)=0,"""",IFERROR(IF(ISBLANK(P121),FALSE,IF(ISBLANK(T121),1,IF(NOT(COUNTIF($AA$24:$AA$34,SUBSTITUTE(P121,""Sell_"",""""))),1,IF(P121=""Plastic_up"",IF(V121&lt;1000,1),IF(P121=""Super_Up"",IF(OR(COUNTIF(P$4:P121,""Grandma"")-COUNTIF(P$4:P121"&amp;",""Sell_Grandma"")&lt;1,COUNTIF(P$4:P121,VLOOKUP(P121,Upgrades!$F$8:$N$8,7+COUNTIF(P$4:P121,P121)))-COUNTIF(P$4:P121,""Sell_""&amp;VLOOKUP(P121,Upgrades!$F$8:$N$8,7+COUNTIF(P$4:P121,P121)))&lt;15),1),IF(REGEXMATCH(P121,""_up""),IF(COUNTIF(P$4:P121,SUBSTITUTE(P121,"&amp;"""_up"",""""))&lt;IFERROR(VLOOKUP(P121,Upgrades!$L$3:$P$6,1+COUNTIF(P$4:P121,P121),0),999),1),IF(REGEXMATCH(P121,""Sell_""),IF(COUNTIF(P$4:P121,SUBSTITUTE(P121,""Sell_"",""""))-COUNTIF(P$4:P120,P121)&lt;1,1),FALSE)))))))))"),FALSE)</f>
        <v>0</v>
      </c>
      <c r="R121" s="71">
        <f>IFERROR(__xludf.DUMMYFUNCTION("IF(REGEXMATCH(P121,""^Sell_""),R120, IF(COUNTA(P121:P147)=0,"""",(COUNTIF(P$4:P121,""Cursor"")-COUNTIF(P$4:P121,""Sell_Cursor""))*(0.1*2^SWITCH(COUNTIF(P$4:P121,""Cursor_up""),0,0,1,1,2,2,3)+SWITCH(COUNTIF(P$4:P121,""Cursor_up""),4,0.1,0)*(ROW(P121)-4-COU"&amp;"NTIF(P$4:P121,""Cursor"")-COUNTIF(P$4:P121,""*""&amp;""_up"")-2*COUNTIF(P$4:P121,""Sell_""&amp;""*"")+COUNTIF(P$4:P121,""Sell_Cursor"")-COUNTIF(P$4:P121,"""")))+(COUNTIF(P$4:P121,""Grandma"")-COUNTIF(P$4:P121,""Sell_Grandma""))*(1*2^(COUNTIF(P$4:P121,""Grandma_up"&amp;""")+COUNTIF(P$4:P121,""Super_up"")))+(COUNTIF(P$4:P121,""Farm"")-COUNTIF(P$4:P121,""Sell_Farm""))*(8*2^COUNTIF(P$4:P121,""Farm_up""))*IF(COUNTIF(P$4:P121,""Super_up"")&gt;0,1+0.01*(COUNTIF(P$4:P121,""Grandma"")-COUNTIF(P$4:P121,""Sell_Grandma"")),1)+(COUNTIF"&amp;"(P$4:P121,""Mine"")-COUNTIF(P$4:P121,""Sell_Mine""))*((47*2^COUNTIF(P$4:P121,""Mine_up""))*IF(COUNTIF(P$4:P121,""Super_up"")&gt;1,1+0.005*(COUNTIF(P$4:P121,""Grandma"")-COUNTIF(P$4:P121,""Sell_Grandma"")),1))+(COUNTIF(P$4:P121,""Factory"")-COUNTIF(P$4:P121,"&amp;"""Sell_Factory""))*(260*2^COUNTIF(P$4:P121,""Factory_up""))))"),2452.92)</f>
        <v>2452.92</v>
      </c>
      <c r="S121" s="73">
        <f>IFERROR(__xludf.DUMMYFUNCTION("IF(COUNTA(P121:P147)=0,"""",IF(REGEXMATCH(INDEX(FILTER(P$4:P121,P$4:P121&lt;&gt;""""),ROWS(FILTER(P$4:P121,P$4:P121&lt;&gt;""""))),""^Sell_""),INDEX(FILTER(S$4:S120,P$4:P120&lt;&gt;""""),ROWS(FILTER(P$4:P120,P$4:P120&lt;&gt;""""))),$AD$5*(2^SWITCH(COUNTIF(P$4:P121,""Cursor_up"")"&amp;",0,0,1,1,2,2,3)+SWITCH(COUNTIF(P$4:P121,""Cursor_up""),4,0.1,0)*(ROW(P121)-4-COUNTIF(P$4:P121,""Cursor"")-COUNTIF(P$4:P121,""*""&amp;""_up"")-2*COUNTIF(P$4:P121,""Sell_""&amp;""*"")+COUNTIF(P$4:P121,""Sell_Cursor"")-COUNTIF(P$4:P121,""""))+0.01*R121*COUNTIF(P$4:P"&amp;"121,""Plastic_up""))+R121))"),10278.760000000002)</f>
        <v>10278.76</v>
      </c>
      <c r="T121" s="14">
        <f>IFERROR(__xludf.DUMMYFUNCTION("IF(COUNTA(P121:P147)=0,"""",IF(REGEXMATCH(P121,""_up""),VLOOKUP(P121,Upgrades!$F$3:$J$8,1+COUNTIF(P$4:P121,P121),FALSE),IF(P121="""",0,IF(REGEXMATCH(P121,""^Sell_""),-ROUNDDOWN(ROUNDUP(INDEX(Upgrades!$C$3:$C$8,MATCH(SUBSTITUTE(P121,""Sell_"",""""),Upgrade"&amp;"s!$B$3:$B$8,0))*1.15^(COUNTIF(P$4:P120,SUBSTITUTE(P121,""Sell_"",""""))-COUNTIF(P$4:P120,""Sell_""&amp;SUBSTITUTE(P121,""Sell_"",""""))))/4),ROUNDUP(INDEX(Upgrades!$C$3:$C$7,MATCH(P121,Upgrades!$B$3:$B$7,0))*1.15^(COUNTIF(P$4:P120,P121)-COUNTIF(P$4:P120,""Sel"&amp;"l_""&amp;P121)))))))"),120000.0)</f>
        <v>120000</v>
      </c>
      <c r="U121" s="14">
        <f t="shared" si="10"/>
        <v>120000</v>
      </c>
      <c r="V121" s="75">
        <f t="shared" si="11"/>
        <v>50559486.66</v>
      </c>
      <c r="W121" s="76">
        <f t="shared" si="12"/>
        <v>213.2093779</v>
      </c>
      <c r="X121" s="71" t="str">
        <f t="shared" si="13"/>
        <v>3m 33s</v>
      </c>
      <c r="Y121" s="77">
        <f t="shared" si="14"/>
        <v>877842</v>
      </c>
      <c r="Z121" s="17"/>
      <c r="AA121" s="13"/>
      <c r="AB121" s="13"/>
      <c r="AC121" s="13"/>
      <c r="AD121" s="13"/>
      <c r="AE121" s="13"/>
      <c r="AF121" s="13"/>
      <c r="AG121" s="13"/>
    </row>
    <row r="122">
      <c r="A122" s="12"/>
      <c r="B122" s="65">
        <f t="shared" si="2"/>
        <v>6</v>
      </c>
      <c r="C122" s="66" t="s">
        <v>18</v>
      </c>
      <c r="D122" s="14" t="b">
        <f>IFERROR(__xludf.DUMMYFUNCTION("IF(COUNTA(C122:C147)=0,"""",IFERROR(IF(ISBLANK(C122),FALSE,IF(ISBLANK(G122),1,IF(NOT(COUNTIF($AA$24:$AA$34,SUBSTITUTE(C122,""Sell_"",""""))),1,IF(C122=""Plastic_up"",IF(I122&lt;1000,1),IF(C122=""Super_Up"",IF(OR(COUNTIF(C$4:C122,""Grandma"")-COUNTIF(C$4:C122"&amp;",""Sell_Grandma"")&lt;1,COUNTIF(C$4:C122,VLOOKUP(C122,Upgrades!$F$8:$N$8,7+COUNTIF(C$4:C122,C122)))-COUNTIF(C$4:C122,""Sell_""&amp;VLOOKUP(C122,Upgrades!$F$8:$N$8,7+COUNTIF(C$4:C122,C122)))&lt;15),1),IF(REGEXMATCH(C122,""_up""),IF(COUNTIF(C$4:C122,SUBSTITUTE(C122,"&amp;"""_up"",""""))&lt;IFERROR(VLOOKUP(C122,Upgrades!$L$3:$P$6,1+COUNTIF(C$4:C122,C122),0),999),1),IF(REGEXMATCH(C122,""Sell_""),IF(COUNTIF(C$4:C122,SUBSTITUTE(C122,""Sell_"",""""))-COUNTIF(C$4:C121,C122)&lt;1,1),FALSE)))))))))"),FALSE)</f>
        <v>0</v>
      </c>
      <c r="E122" s="71">
        <f>IFERROR(__xludf.DUMMYFUNCTION("IF(REGEXMATCH(C122,""^Sell_""),E121, IF(COUNTA(C122:C147)=0,"""",(COUNTIF(C$4:C122,""Cursor"")-COUNTIF(C$4:C122,""Sell_Cursor""))*(0.1*2^SWITCH(COUNTIF(C$4:C122,""Cursor_up""),0,0,1,1,2,2,3)+SWITCH(COUNTIF(C$4:C122,""Cursor_up""),4,0.1,0)*(ROW(C122)-4-COU"&amp;"NTIF(C$4:C122,""Cursor"")-COUNTIF(C$4:C122,""*""&amp;""_up"")-2*COUNTIF(C$4:C122,""Sell_""&amp;""*"")+COUNTIF(C$4:C122,""Sell_Cursor"")-COUNTIF(C$4:C122,"""")))+(COUNTIF(C$4:C122,""Grandma"")-COUNTIF(C$4:C122,""Sell_Grandma""))*(1*2^(COUNTIF(C$4:C122,""Grandma_up"&amp;""")+COUNTIF(C$4:C122,""Super_up"")))+(COUNTIF(C$4:C122,""Farm"")-COUNTIF(C$4:C122,""Sell_Farm""))*(8*2^COUNTIF(C$4:C122,""Farm_up""))*IF(COUNTIF(C$4:C122,""Super_up"")&gt;0,1+0.01*(COUNTIF(C$4:C122,""Grandma"")-COUNTIF(C$4:C122,""Sell_Grandma"")),1)+(COUNTIF"&amp;"(C$4:C122,""Mine"")-COUNTIF(C$4:C122,""Sell_Mine""))*((47*2^COUNTIF(C$4:C122,""Mine_up""))*IF(COUNTIF(C$4:C122,""Super_up"")&gt;1,1+0.005*(COUNTIF(C$4:C122,""Grandma"")-COUNTIF(C$4:C122,""Sell_Grandma"")),1))+(COUNTIF(C$4:C122,""Factory"")-COUNTIF(C$4:C122,"&amp;"""Sell_Factory""))*(260*2^COUNTIF(C$4:C122,""Factory_up""))))"),2164.92)</f>
        <v>2164.92</v>
      </c>
      <c r="F122" s="73">
        <f>IFERROR(__xludf.DUMMYFUNCTION("IF(COUNTA(C122:C147)=0,"""",IF(REGEXMATCH(INDEX(FILTER(C$4:C122,C$4:C122&lt;&gt;""""),ROWS(FILTER(C$4:C122,C$4:C122&lt;&gt;""""))),""^Sell_""),INDEX(FILTER(F$4:F121,C$4:C121&lt;&gt;""""),ROWS(FILTER(C$4:C121,C$4:C121&lt;&gt;""""))),$AC$5*(2^SWITCH(COUNTIF(C$4:C122,""Cursor_up"")"&amp;",0,0,1,1,2,2,3)+SWITCH(COUNTIF(C$4:C122,""Cursor_up""),4,0.1,0)*(ROW(C122)-4-COUNTIF(C$4:C122,""Cursor"")-COUNTIF(C$4:C122,""*""&amp;""_up"")-2*COUNTIF(C$4:C122,""Sell_""&amp;""*"")+COUNTIF(C$4:C122,""Sell_Cursor"")-COUNTIF(C$4:C122,""""))+0.01*E122*COUNTIF(C$4:C"&amp;"122,""Plastic_up""))+E122))"),9414.76)</f>
        <v>9414.76</v>
      </c>
      <c r="G122" s="14">
        <f>IFERROR(__xludf.DUMMYFUNCTION("IF(COUNTA(C122:C147)=0,"""",IF(REGEXMATCH(C122,""_up""),VLOOKUP(C122,Upgrades!$F$3:$J$8,1+COUNTIF(C$4:C122,C122),FALSE),IF(C122="""",0,IF(REGEXMATCH(C122,""^Sell_""),-ROUNDDOWN(ROUNDUP(INDEX(Upgrades!$C$3:$C$8,MATCH(SUBSTITUTE(C122,""Sell_"",""""),Upgrade"&amp;"s!$B$3:$B$8,0))*1.15^(COUNTIF(C$4:C121,SUBSTITUTE(C122,""Sell_"",""""))-COUNTIF(C$4:C121,""Sell_""&amp;SUBSTITUTE(C122,""Sell_"",""""))))/4),ROUNDUP(INDEX(Upgrades!$C$3:$C$7,MATCH(C122,Upgrades!$B$3:$B$7,0))*1.15^(COUNTIF(C$4:C121,C122)-COUNTIF(C$4:C121,""Sel"&amp;"l_""&amp;C122)))))))"),24137.0)</f>
        <v>24137</v>
      </c>
      <c r="H122" s="14">
        <f t="shared" si="3"/>
        <v>24137</v>
      </c>
      <c r="I122" s="75">
        <f t="shared" si="4"/>
        <v>47251076.53</v>
      </c>
      <c r="J122" s="76">
        <f t="shared" si="5"/>
        <v>201.5230151</v>
      </c>
      <c r="K122" s="71" t="str">
        <f t="shared" si="6"/>
        <v>3m 21s</v>
      </c>
      <c r="L122" s="77">
        <f t="shared" si="7"/>
        <v>759157</v>
      </c>
      <c r="M122" s="51">
        <f t="shared" si="8"/>
        <v>-0.89585</v>
      </c>
      <c r="N122" s="52">
        <f>IFERROR(__xludf.DUMMYFUNCTION("IFS(AND(COUNTA(C122:C147)=0,COUNTA(P122:P147)=0),"""",OR(AND(L122&gt;=1000000,OR(Y122&gt;=1000000,COUNTA(P122:P147)=0)),AND(Y122&gt;=1000000,COUNTA(C122:C147)=0),AND(COUNTA(P122:P147)=0,O$3=TRUE)),
ROUNDDOWN((AB$1-AC$1)*MAX(INDEX(S$4:S147,MATCH(LARGE(FILTER(Y$4:Y1"&amp;"47,Y$4:Y147&lt;1000000),1),Y$4:Y147)),INDEX(F$4:F147,MATCH(LARGE(FILTER(L$4:L147,L$4:L147&lt;1000000),1),L$4:L147)))),AND(L122&lt;1000000,COUNTA(C122:C147)&gt;0,O$3=FALSE),
ROUNDDOWN(INDEX(Y$4:Y147,MATCH(LARGE(FILTER(W$4:W147,W$4:W147&lt;=J122),1),W$4:W147))+(J122-LARGE"&amp;"(FILTER(W$4:W147,W$4:W147&lt;=J122),1))*INDEX(S$4:S147,MATCH(LARGE(FILTER(W$4:W147,W$4:W147&lt;=J122),1),W$4:W147))-L122),1,
ROUNDDOWN(Y122-INDEX(L$4:L147,MATCH(LARGE(FILTER(J$4:J147,J$4:J147&lt;=W122),1),J$4:J147))-(W122-LARGE(FILTER(J$4:J147,J$4:J147&lt;=W122),1))*"&amp;"INDEX(F$4:F147,MATCH(LARGE(FILTER(J$4:J147,J$4:J147&lt;=W122),1),J$4:J147))))"),8450.0)</f>
        <v>8450</v>
      </c>
      <c r="O122" s="65">
        <f t="shared" si="9"/>
        <v>7</v>
      </c>
      <c r="P122" s="15" t="s">
        <v>18</v>
      </c>
      <c r="Q122" s="14" t="b">
        <f>IFERROR(__xludf.DUMMYFUNCTION("IF(COUNTA(P122:P147)=0,"""",IFERROR(IF(ISBLANK(P122),FALSE,IF(ISBLANK(T122),1,IF(NOT(COUNTIF($AA$24:$AA$34,SUBSTITUTE(P122,""Sell_"",""""))),1,IF(P122=""Plastic_up"",IF(V122&lt;1000,1),IF(P122=""Super_Up"",IF(OR(COUNTIF(P$4:P122,""Grandma"")-COUNTIF(P$4:P122"&amp;",""Sell_Grandma"")&lt;1,COUNTIF(P$4:P122,VLOOKUP(P122,Upgrades!$F$8:$N$8,7+COUNTIF(P$4:P122,P122)))-COUNTIF(P$4:P122,""Sell_""&amp;VLOOKUP(P122,Upgrades!$F$8:$N$8,7+COUNTIF(P$4:P122,P122)))&lt;15),1),IF(REGEXMATCH(P122,""_up""),IF(COUNTIF(P$4:P122,SUBSTITUTE(P122,"&amp;"""_up"",""""))&lt;IFERROR(VLOOKUP(P122,Upgrades!$L$3:$P$6,1+COUNTIF(P$4:P122,P122),0),999),1),IF(REGEXMATCH(P122,""Sell_""),IF(COUNTIF(P$4:P122,SUBSTITUTE(P122,""Sell_"",""""))-COUNTIF(P$4:P121,P122)&lt;1,1),FALSE)))))))))"),FALSE)</f>
        <v>0</v>
      </c>
      <c r="R122" s="71">
        <f>IFERROR(__xludf.DUMMYFUNCTION("IF(REGEXMATCH(P122,""^Sell_""),R121, IF(COUNTA(P122:P147)=0,"""",(COUNTIF(P$4:P122,""Cursor"")-COUNTIF(P$4:P122,""Sell_Cursor""))*(0.1*2^SWITCH(COUNTIF(P$4:P122,""Cursor_up""),0,0,1,1,2,2,3)+SWITCH(COUNTIF(P$4:P122,""Cursor_up""),4,0.1,0)*(ROW(P122)-4-COU"&amp;"NTIF(P$4:P122,""Cursor"")-COUNTIF(P$4:P122,""*""&amp;""_up"")-2*COUNTIF(P$4:P122,""Sell_""&amp;""*"")+COUNTIF(P$4:P122,""Sell_Cursor"")-COUNTIF(P$4:P122,"""")))+(COUNTIF(P$4:P122,""Grandma"")-COUNTIF(P$4:P122,""Sell_Grandma""))*(1*2^(COUNTIF(P$4:P122,""Grandma_up"&amp;""")+COUNTIF(P$4:P122,""Super_up"")))+(COUNTIF(P$4:P122,""Farm"")-COUNTIF(P$4:P122,""Sell_Farm""))*(8*2^COUNTIF(P$4:P122,""Farm_up""))*IF(COUNTIF(P$4:P122,""Super_up"")&gt;0,1+0.01*(COUNTIF(P$4:P122,""Grandma"")-COUNTIF(P$4:P122,""Sell_Grandma"")),1)+(COUNTIF"&amp;"(P$4:P122,""Mine"")-COUNTIF(P$4:P122,""Sell_Mine""))*((47*2^COUNTIF(P$4:P122,""Mine_up""))*IF(COUNTIF(P$4:P122,""Super_up"")&gt;1,1+0.005*(COUNTIF(P$4:P122,""Grandma"")-COUNTIF(P$4:P122,""Sell_Grandma"")),1))+(COUNTIF(P$4:P122,""Factory"")-COUNTIF(P$4:P122,"&amp;"""Sell_Factory""))*(260*2^COUNTIF(P$4:P122,""Factory_up""))))"),2550.82)</f>
        <v>2550.82</v>
      </c>
      <c r="S122" s="73">
        <f>IFERROR(__xludf.DUMMYFUNCTION("IF(COUNTA(P122:P147)=0,"""",IF(REGEXMATCH(INDEX(FILTER(P$4:P122,P$4:P122&lt;&gt;""""),ROWS(FILTER(P$4:P122,P$4:P122&lt;&gt;""""))),""^Sell_""),INDEX(FILTER(S$4:S121,P$4:P121&lt;&gt;""""),ROWS(FILTER(P$4:P121,P$4:P121&lt;&gt;""""))),$AD$5*(2^SWITCH(COUNTIF(P$4:P122,""Cursor_up"")"&amp;",0,0,1,1,2,2,3)+SWITCH(COUNTIF(P$4:P122,""Cursor_up""),4,0.1,0)*(ROW(P122)-4-COUNTIF(P$4:P122,""Cursor"")-COUNTIF(P$4:P122,""*""&amp;""_up"")-2*COUNTIF(P$4:P122,""Sell_""&amp;""*"")+COUNTIF(P$4:P122,""Sell_Cursor"")-COUNTIF(P$4:P122,""""))+0.01*R122*COUNTIF(P$4:P"&amp;"122,""Plastic_up""))+R122))"),10592.460000000001)</f>
        <v>10592.46</v>
      </c>
      <c r="T122" s="14">
        <f>IFERROR(__xludf.DUMMYFUNCTION("IF(COUNTA(P122:P147)=0,"""",IF(REGEXMATCH(P122,""_up""),VLOOKUP(P122,Upgrades!$F$3:$J$8,1+COUNTIF(P$4:P122,P122),FALSE),IF(P122="""",0,IF(REGEXMATCH(P122,""^Sell_""),-ROUNDDOWN(ROUNDUP(INDEX(Upgrades!$C$3:$C$8,MATCH(SUBSTITUTE(P122,""Sell_"",""""),Upgrade"&amp;"s!$B$3:$B$8,0))*1.15^(COUNTIF(P$4:P121,SUBSTITUTE(P122,""Sell_"",""""))-COUNTIF(P$4:P121,""Sell_""&amp;SUBSTITUTE(P122,""Sell_"",""""))))/4),ROUNDUP(INDEX(Upgrades!$C$3:$C$7,MATCH(P122,Upgrades!$B$3:$B$7,0))*1.15^(COUNTIF(P$4:P121,P122)-COUNTIF(P$4:P121,""Sel"&amp;"l_""&amp;P122)))))))"),27757.0)</f>
        <v>27757</v>
      </c>
      <c r="U122" s="14">
        <f t="shared" si="10"/>
        <v>27757</v>
      </c>
      <c r="V122" s="75">
        <f t="shared" si="11"/>
        <v>52249162.21</v>
      </c>
      <c r="W122" s="76">
        <f t="shared" si="12"/>
        <v>215.9098009</v>
      </c>
      <c r="X122" s="71" t="str">
        <f t="shared" si="13"/>
        <v>3m 35s</v>
      </c>
      <c r="Y122" s="77">
        <f t="shared" si="14"/>
        <v>905599</v>
      </c>
      <c r="Z122" s="17"/>
      <c r="AA122" s="13"/>
      <c r="AB122" s="13"/>
      <c r="AC122" s="13"/>
      <c r="AD122" s="13"/>
      <c r="AE122" s="13"/>
      <c r="AF122" s="13"/>
      <c r="AG122" s="13"/>
    </row>
    <row r="123">
      <c r="A123" s="12"/>
      <c r="B123" s="65">
        <f t="shared" si="2"/>
        <v>23</v>
      </c>
      <c r="C123" s="66" t="s">
        <v>16</v>
      </c>
      <c r="D123" s="14" t="b">
        <f>IFERROR(__xludf.DUMMYFUNCTION("IF(COUNTA(C123:C147)=0,"""",IFERROR(IF(ISBLANK(C123),FALSE,IF(ISBLANK(G123),1,IF(NOT(COUNTIF($AA$24:$AA$34,SUBSTITUTE(C123,""Sell_"",""""))),1,IF(C123=""Plastic_up"",IF(I123&lt;1000,1),IF(C123=""Super_Up"",IF(OR(COUNTIF(C$4:C123,""Grandma"")-COUNTIF(C$4:C123"&amp;",""Sell_Grandma"")&lt;1,COUNTIF(C$4:C123,VLOOKUP(C123,Upgrades!$F$8:$N$8,7+COUNTIF(C$4:C123,C123)))-COUNTIF(C$4:C123,""Sell_""&amp;VLOOKUP(C123,Upgrades!$F$8:$N$8,7+COUNTIF(C$4:C123,C123)))&lt;15),1),IF(REGEXMATCH(C123,""_up""),IF(COUNTIF(C$4:C123,SUBSTITUTE(C123,"&amp;"""_up"",""""))&lt;IFERROR(VLOOKUP(C123,Upgrades!$L$3:$P$6,1+COUNTIF(C$4:C123,C123),0),999),1),IF(REGEXMATCH(C123,""Sell_""),IF(COUNTIF(C$4:C123,SUBSTITUTE(C123,""Sell_"",""""))-COUNTIF(C$4:C122,C123)&lt;1,1),FALSE)))))))))"),FALSE)</f>
        <v>0</v>
      </c>
      <c r="E123" s="71">
        <f>IFERROR(__xludf.DUMMYFUNCTION("IF(REGEXMATCH(C123,""^Sell_""),E122, IF(COUNTA(C123:C147)=0,"""",(COUNTIF(C$4:C123,""Cursor"")-COUNTIF(C$4:C123,""Sell_Cursor""))*(0.1*2^SWITCH(COUNTIF(C$4:C123,""Cursor_up""),0,0,1,1,2,2,3)+SWITCH(COUNTIF(C$4:C123,""Cursor_up""),4,0.1,0)*(ROW(C123)-4-COU"&amp;"NTIF(C$4:C123,""Cursor"")-COUNTIF(C$4:C123,""*""&amp;""_up"")-2*COUNTIF(C$4:C123,""Sell_""&amp;""*"")+COUNTIF(C$4:C123,""Sell_Cursor"")-COUNTIF(C$4:C123,"""")))+(COUNTIF(C$4:C123,""Grandma"")-COUNTIF(C$4:C123,""Sell_Grandma""))*(1*2^(COUNTIF(C$4:C123,""Grandma_up"&amp;""")+COUNTIF(C$4:C123,""Super_up"")))+(COUNTIF(C$4:C123,""Farm"")-COUNTIF(C$4:C123,""Sell_Farm""))*(8*2^COUNTIF(C$4:C123,""Farm_up""))*IF(COUNTIF(C$4:C123,""Super_up"")&gt;0,1+0.01*(COUNTIF(C$4:C123,""Grandma"")-COUNTIF(C$4:C123,""Sell_Grandma"")),1)+(COUNTIF"&amp;"(C$4:C123,""Mine"")-COUNTIF(C$4:C123,""Sell_Mine""))*((47*2^COUNTIF(C$4:C123,""Mine_up""))*IF(COUNTIF(C$4:C123,""Super_up"")&gt;1,1+0.005*(COUNTIF(C$4:C123,""Grandma"")-COUNTIF(C$4:C123,""Sell_Grandma"")),1))+(COUNTIF(C$4:C123,""Factory"")-COUNTIF(C$4:C123,"&amp;"""Sell_Factory""))*(260*2^COUNTIF(C$4:C123,""Factory_up""))))"),2213.18)</f>
        <v>2213.18</v>
      </c>
      <c r="F123" s="73">
        <f>IFERROR(__xludf.DUMMYFUNCTION("IF(COUNTA(C123:C147)=0,"""",IF(REGEXMATCH(INDEX(FILTER(C$4:C123,C$4:C123&lt;&gt;""""),ROWS(FILTER(C$4:C123,C$4:C123&lt;&gt;""""))),""^Sell_""),INDEX(FILTER(F$4:F122,C$4:C122&lt;&gt;""""),ROWS(FILTER(C$4:C122,C$4:C122&lt;&gt;""""))),$AC$5*(2^SWITCH(COUNTIF(C$4:C123,""Cursor_up"")"&amp;",0,0,1,1,2,2,3)+SWITCH(COUNTIF(C$4:C123,""Cursor_up""),4,0.1,0)*(ROW(C123)-4-COUNTIF(C$4:C123,""Cursor"")-COUNTIF(C$4:C123,""*""&amp;""_up"")-2*COUNTIF(C$4:C123,""Sell_""&amp;""*"")+COUNTIF(C$4:C123,""Sell_Cursor"")-COUNTIF(C$4:C123,""""))+0.01*E123*COUNTIF(C$4:C"&amp;"123,""Plastic_up""))+E123))"),9579.54)</f>
        <v>9579.54</v>
      </c>
      <c r="G123" s="14">
        <f>IFERROR(__xludf.DUMMYFUNCTION("IF(COUNTA(C123:C147)=0,"""",IF(REGEXMATCH(C123,""_up""),VLOOKUP(C123,Upgrades!$F$3:$J$8,1+COUNTIF(C$4:C123,C123),FALSE),IF(C123="""",0,IF(REGEXMATCH(C123,""^Sell_""),-ROUNDDOWN(ROUNDUP(INDEX(Upgrades!$C$3:$C$8,MATCH(SUBSTITUTE(C123,""Sell_"",""""),Upgrade"&amp;"s!$B$3:$B$8,0))*1.15^(COUNTIF(C$4:C122,SUBSTITUTE(C123,""Sell_"",""""))-COUNTIF(C$4:C122,""Sell_""&amp;SUBSTITUTE(C123,""Sell_"",""""))))/4),ROUNDUP(INDEX(Upgrades!$C$3:$C$7,MATCH(C123,Upgrades!$B$3:$B$7,0))*1.15^(COUNTIF(C$4:C122,C123)-COUNTIF(C$4:C122,""Sel"&amp;"l_""&amp;C123)))))))"),23810.0)</f>
        <v>23810</v>
      </c>
      <c r="H123" s="14">
        <f t="shared" si="3"/>
        <v>23810</v>
      </c>
      <c r="I123" s="75">
        <f t="shared" si="4"/>
        <v>48730421.05</v>
      </c>
      <c r="J123" s="76">
        <f t="shared" si="5"/>
        <v>204.0520228</v>
      </c>
      <c r="K123" s="71" t="str">
        <f t="shared" si="6"/>
        <v>3m 24s</v>
      </c>
      <c r="L123" s="77">
        <f t="shared" si="7"/>
        <v>782967</v>
      </c>
      <c r="M123" s="51">
        <f t="shared" si="8"/>
        <v>-0.90067</v>
      </c>
      <c r="N123" s="52">
        <f>IFERROR(__xludf.DUMMYFUNCTION("IFS(AND(COUNTA(C123:C147)=0,COUNTA(P123:P147)=0),"""",OR(AND(L123&gt;=1000000,OR(Y123&gt;=1000000,COUNTA(P123:P147)=0)),AND(Y123&gt;=1000000,COUNTA(C123:C147)=0),AND(COUNTA(P123:P147)=0,O$3=TRUE)),
ROUNDDOWN((AB$1-AC$1)*MAX(INDEX(S$4:S147,MATCH(LARGE(FILTER(Y$4:Y1"&amp;"47,Y$4:Y147&lt;1000000),1),Y$4:Y147)),INDEX(F$4:F147,MATCH(LARGE(FILTER(L$4:L147,L$4:L147&lt;1000000),1),L$4:L147)))),AND(L123&lt;1000000,COUNTA(C123:C147)&gt;0,O$3=FALSE),
ROUNDDOWN(INDEX(Y$4:Y147,MATCH(LARGE(FILTER(W$4:W147,W$4:W147&lt;=J123),1),W$4:W147))+(J123-LARGE"&amp;"(FILTER(W$4:W147,W$4:W147&lt;=J123),1))*INDEX(S$4:S147,MATCH(LARGE(FILTER(W$4:W147,W$4:W147&lt;=J123),1),W$4:W147))-L123),1,
ROUNDDOWN(Y123-INDEX(L$4:L147,MATCH(LARGE(FILTER(J$4:J147,J$4:J147&lt;=W123),1),J$4:J147))-(W123-LARGE(FILTER(J$4:J147,J$4:J147&lt;=W123),1))*"&amp;"INDEX(F$4:F147,MATCH(LARGE(FILTER(J$4:J147,J$4:J147&lt;=W123),1),J$4:J147))))"),8495.0)</f>
        <v>8495</v>
      </c>
      <c r="O123" s="65">
        <f t="shared" si="9"/>
        <v>8</v>
      </c>
      <c r="P123" s="15" t="s">
        <v>18</v>
      </c>
      <c r="Q123" s="14" t="b">
        <f>IFERROR(__xludf.DUMMYFUNCTION("IF(COUNTA(P123:P147)=0,"""",IFERROR(IF(ISBLANK(P123),FALSE,IF(ISBLANK(T123),1,IF(NOT(COUNTIF($AA$24:$AA$34,SUBSTITUTE(P123,""Sell_"",""""))),1,IF(P123=""Plastic_up"",IF(V123&lt;1000,1),IF(P123=""Super_Up"",IF(OR(COUNTIF(P$4:P123,""Grandma"")-COUNTIF(P$4:P123"&amp;",""Sell_Grandma"")&lt;1,COUNTIF(P$4:P123,VLOOKUP(P123,Upgrades!$F$8:$N$8,7+COUNTIF(P$4:P123,P123)))-COUNTIF(P$4:P123,""Sell_""&amp;VLOOKUP(P123,Upgrades!$F$8:$N$8,7+COUNTIF(P$4:P123,P123)))&lt;15),1),IF(REGEXMATCH(P123,""_up""),IF(COUNTIF(P$4:P123,SUBSTITUTE(P123,"&amp;"""_up"",""""))&lt;IFERROR(VLOOKUP(P123,Upgrades!$L$3:$P$6,1+COUNTIF(P$4:P123,P123),0),999),1),IF(REGEXMATCH(P123,""Sell_""),IF(COUNTIF(P$4:P123,SUBSTITUTE(P123,""Sell_"",""""))-COUNTIF(P$4:P122,P123)&lt;1,1),FALSE)))))))))"),FALSE)</f>
        <v>0</v>
      </c>
      <c r="R123" s="71">
        <f>IFERROR(__xludf.DUMMYFUNCTION("IF(REGEXMATCH(P123,""^Sell_""),R122, IF(COUNTA(P123:P147)=0,"""",(COUNTIF(P$4:P123,""Cursor"")-COUNTIF(P$4:P123,""Sell_Cursor""))*(0.1*2^SWITCH(COUNTIF(P$4:P123,""Cursor_up""),0,0,1,1,2,2,3)+SWITCH(COUNTIF(P$4:P123,""Cursor_up""),4,0.1,0)*(ROW(P123)-4-COU"&amp;"NTIF(P$4:P123,""Cursor"")-COUNTIF(P$4:P123,""*""&amp;""_up"")-2*COUNTIF(P$4:P123,""Sell_""&amp;""*"")+COUNTIF(P$4:P123,""Sell_Cursor"")-COUNTIF(P$4:P123,"""")))+(COUNTIF(P$4:P123,""Grandma"")-COUNTIF(P$4:P123,""Sell_Grandma""))*(1*2^(COUNTIF(P$4:P123,""Grandma_up"&amp;""")+COUNTIF(P$4:P123,""Super_up"")))+(COUNTIF(P$4:P123,""Farm"")-COUNTIF(P$4:P123,""Sell_Farm""))*(8*2^COUNTIF(P$4:P123,""Farm_up""))*IF(COUNTIF(P$4:P123,""Super_up"")&gt;0,1+0.01*(COUNTIF(P$4:P123,""Grandma"")-COUNTIF(P$4:P123,""Sell_Grandma"")),1)+(COUNTIF"&amp;"(P$4:P123,""Mine"")-COUNTIF(P$4:P123,""Sell_Mine""))*((47*2^COUNTIF(P$4:P123,""Mine_up""))*IF(COUNTIF(P$4:P123,""Super_up"")&gt;1,1+0.005*(COUNTIF(P$4:P123,""Grandma"")-COUNTIF(P$4:P123,""Sell_Grandma"")),1))+(COUNTIF(P$4:P123,""Factory"")-COUNTIF(P$4:P123,"&amp;"""Sell_Factory""))*(260*2^COUNTIF(P$4:P123,""Factory_up""))))"),2648.7200000000003)</f>
        <v>2648.72</v>
      </c>
      <c r="S123" s="73">
        <f>IFERROR(__xludf.DUMMYFUNCTION("IF(COUNTA(P123:P147)=0,"""",IF(REGEXMATCH(INDEX(FILTER(P$4:P123,P$4:P123&lt;&gt;""""),ROWS(FILTER(P$4:P123,P$4:P123&lt;&gt;""""))),""^Sell_""),INDEX(FILTER(S$4:S122,P$4:P122&lt;&gt;""""),ROWS(FILTER(P$4:P122,P$4:P122&lt;&gt;""""))),$AD$5*(2^SWITCH(COUNTIF(P$4:P123,""Cursor_up"")"&amp;",0,0,1,1,2,2,3)+SWITCH(COUNTIF(P$4:P123,""Cursor_up""),4,0.1,0)*(ROW(P123)-4-COUNTIF(P$4:P123,""Cursor"")-COUNTIF(P$4:P123,""*""&amp;""_up"")-2*COUNTIF(P$4:P123,""Sell_""&amp;""*"")+COUNTIF(P$4:P123,""Sell_Cursor"")-COUNTIF(P$4:P123,""""))+0.01*R123*COUNTIF(P$4:P"&amp;"123,""Plastic_up""))+R123))"),10906.16)</f>
        <v>10906.16</v>
      </c>
      <c r="T123" s="14">
        <f>IFERROR(__xludf.DUMMYFUNCTION("IF(COUNTA(P123:P147)=0,"""",IF(REGEXMATCH(P123,""_up""),VLOOKUP(P123,Upgrades!$F$3:$J$8,1+COUNTIF(P$4:P123,P123),FALSE),IF(P123="""",0,IF(REGEXMATCH(P123,""^Sell_""),-ROUNDDOWN(ROUNDUP(INDEX(Upgrades!$C$3:$C$8,MATCH(SUBSTITUTE(P123,""Sell_"",""""),Upgrade"&amp;"s!$B$3:$B$8,0))*1.15^(COUNTIF(P$4:P122,SUBSTITUTE(P123,""Sell_"",""""))-COUNTIF(P$4:P122,""Sell_""&amp;SUBSTITUTE(P123,""Sell_"",""""))))/4),ROUNDUP(INDEX(Upgrades!$C$3:$C$7,MATCH(P123,Upgrades!$B$3:$B$7,0))*1.15^(COUNTIF(P$4:P122,P123)-COUNTIF(P$4:P122,""Sel"&amp;"l_""&amp;P123)))))))"),31921.0)</f>
        <v>31921</v>
      </c>
      <c r="U123" s="14">
        <f t="shared" si="10"/>
        <v>31921</v>
      </c>
      <c r="V123" s="75">
        <f t="shared" si="11"/>
        <v>54009665.06</v>
      </c>
      <c r="W123" s="76">
        <f t="shared" si="12"/>
        <v>218.9233596</v>
      </c>
      <c r="X123" s="71" t="str">
        <f t="shared" si="13"/>
        <v>3m 38s</v>
      </c>
      <c r="Y123" s="77">
        <f t="shared" si="14"/>
        <v>937520</v>
      </c>
      <c r="Z123" s="17"/>
      <c r="AA123" s="13"/>
      <c r="AB123" s="13"/>
      <c r="AC123" s="13"/>
      <c r="AD123" s="13"/>
      <c r="AE123" s="13"/>
      <c r="AF123" s="13"/>
      <c r="AG123" s="13"/>
    </row>
    <row r="124">
      <c r="A124" s="12"/>
      <c r="B124" s="65">
        <f t="shared" si="2"/>
        <v>1</v>
      </c>
      <c r="C124" s="66" t="s">
        <v>19</v>
      </c>
      <c r="D124" s="14" t="b">
        <f>IFERROR(__xludf.DUMMYFUNCTION("IF(COUNTA(C124:C147)=0,"""",IFERROR(IF(ISBLANK(C124),FALSE,IF(ISBLANK(G124),1,IF(NOT(COUNTIF($AA$24:$AA$34,SUBSTITUTE(C124,""Sell_"",""""))),1,IF(C124=""Plastic_up"",IF(I124&lt;1000,1),IF(C124=""Super_Up"",IF(OR(COUNTIF(C$4:C124,""Grandma"")-COUNTIF(C$4:C124"&amp;",""Sell_Grandma"")&lt;1,COUNTIF(C$4:C124,VLOOKUP(C124,Upgrades!$F$8:$N$8,7+COUNTIF(C$4:C124,C124)))-COUNTIF(C$4:C124,""Sell_""&amp;VLOOKUP(C124,Upgrades!$F$8:$N$8,7+COUNTIF(C$4:C124,C124)))&lt;15),1),IF(REGEXMATCH(C124,""_up""),IF(COUNTIF(C$4:C124,SUBSTITUTE(C124,"&amp;"""_up"",""""))&lt;IFERROR(VLOOKUP(C124,Upgrades!$L$3:$P$6,1+COUNTIF(C$4:C124,C124),0),999),1),IF(REGEXMATCH(C124,""Sell_""),IF(COUNTIF(C$4:C124,SUBSTITUTE(C124,""Sell_"",""""))-COUNTIF(C$4:C123,C124)&lt;1,1),FALSE)))))))))"),FALSE)</f>
        <v>0</v>
      </c>
      <c r="E124" s="71">
        <f>IFERROR(__xludf.DUMMYFUNCTION("IF(REGEXMATCH(C124,""^Sell_""),E123, IF(COUNTA(C124:C147)=0,"""",(COUNTIF(C$4:C124,""Cursor"")-COUNTIF(C$4:C124,""Sell_Cursor""))*(0.1*2^SWITCH(COUNTIF(C$4:C124,""Cursor_up""),0,0,1,1,2,2,3)+SWITCH(COUNTIF(C$4:C124,""Cursor_up""),4,0.1,0)*(ROW(C124)-4-COU"&amp;"NTIF(C$4:C124,""Cursor"")-COUNTIF(C$4:C124,""*""&amp;""_up"")-2*COUNTIF(C$4:C124,""Sell_""&amp;""*"")+COUNTIF(C$4:C124,""Sell_Cursor"")-COUNTIF(C$4:C124,"""")))+(COUNTIF(C$4:C124,""Grandma"")-COUNTIF(C$4:C124,""Sell_Grandma""))*(1*2^(COUNTIF(C$4:C124,""Grandma_up"&amp;""")+COUNTIF(C$4:C124,""Super_up"")))+(COUNTIF(C$4:C124,""Farm"")-COUNTIF(C$4:C124,""Sell_Farm""))*(8*2^COUNTIF(C$4:C124,""Farm_up""))*IF(COUNTIF(C$4:C124,""Super_up"")&gt;0,1+0.01*(COUNTIF(C$4:C124,""Grandma"")-COUNTIF(C$4:C124,""Sell_Grandma"")),1)+(COUNTIF"&amp;"(C$4:C124,""Mine"")-COUNTIF(C$4:C124,""Sell_Mine""))*((47*2^COUNTIF(C$4:C124,""Mine_up""))*IF(COUNTIF(C$4:C124,""Super_up"")&gt;1,1+0.005*(COUNTIF(C$4:C124,""Grandma"")-COUNTIF(C$4:C124,""Sell_Grandma"")),1))+(COUNTIF(C$4:C124,""Factory"")-COUNTIF(C$4:C124,"&amp;"""Sell_Factory""))*(260*2^COUNTIF(C$4:C124,""Factory_up""))))"),2495.18)</f>
        <v>2495.18</v>
      </c>
      <c r="F124" s="73">
        <f>IFERROR(__xludf.DUMMYFUNCTION("IF(COUNTA(C124:C147)=0,"""",IF(REGEXMATCH(INDEX(FILTER(C$4:C124,C$4:C124&lt;&gt;""""),ROWS(FILTER(C$4:C124,C$4:C124&lt;&gt;""""))),""^Sell_""),INDEX(FILTER(F$4:F123,C$4:C123&lt;&gt;""""),ROWS(FILTER(C$4:C123,C$4:C123&lt;&gt;""""))),$AC$5*(2^SWITCH(COUNTIF(C$4:C124,""Cursor_up"")"&amp;",0,0,1,1,2,2,3)+SWITCH(COUNTIF(C$4:C124,""Cursor_up""),4,0.1,0)*(ROW(C124)-4-COUNTIF(C$4:C124,""Cursor"")-COUNTIF(C$4:C124,""*""&amp;""_up"")-2*COUNTIF(C$4:C124,""Sell_""&amp;""*"")+COUNTIF(C$4:C124,""Sell_Cursor"")-COUNTIF(C$4:C124,""""))+0.01*E124*COUNTIF(C$4:C"&amp;"124,""Plastic_up""))+E124))"),10425.539999999999)</f>
        <v>10425.54</v>
      </c>
      <c r="G124" s="14">
        <f>IFERROR(__xludf.DUMMYFUNCTION("IF(COUNTA(C124:C147)=0,"""",IF(REGEXMATCH(C124,""_up""),VLOOKUP(C124,Upgrades!$F$3:$J$8,1+COUNTIF(C$4:C124,C124),FALSE),IF(C124="""",0,IF(REGEXMATCH(C124,""^Sell_""),-ROUNDDOWN(ROUNDUP(INDEX(Upgrades!$C$3:$C$8,MATCH(SUBSTITUTE(C124,""Sell_"",""""),Upgrade"&amp;"s!$B$3:$B$8,0))*1.15^(COUNTIF(C$4:C123,SUBSTITUTE(C124,""Sell_"",""""))-COUNTIF(C$4:C123,""Sell_""&amp;SUBSTITUTE(C124,""Sell_"",""""))))/4),ROUNDUP(INDEX(Upgrades!$C$3:$C$7,MATCH(C124,Upgrades!$B$3:$B$7,0))*1.15^(COUNTIF(C$4:C123,C124)-COUNTIF(C$4:C123,""Sel"&amp;"l_""&amp;C124)))))))"),120000.0)</f>
        <v>120000</v>
      </c>
      <c r="H124" s="14">
        <f t="shared" si="3"/>
        <v>120000</v>
      </c>
      <c r="I124" s="75">
        <f t="shared" si="4"/>
        <v>50325817.87</v>
      </c>
      <c r="J124" s="76">
        <f t="shared" si="5"/>
        <v>216.5787203</v>
      </c>
      <c r="K124" s="71" t="str">
        <f t="shared" si="6"/>
        <v>3m 36s</v>
      </c>
      <c r="L124" s="77">
        <f t="shared" si="7"/>
        <v>902967</v>
      </c>
      <c r="M124" s="51">
        <f t="shared" si="8"/>
        <v>-0.92498</v>
      </c>
      <c r="N124" s="52">
        <f>IFERROR(__xludf.DUMMYFUNCTION("IFS(AND(COUNTA(C124:C147)=0,COUNTA(P124:P147)=0),"""",OR(AND(L124&gt;=1000000,OR(Y124&gt;=1000000,COUNTA(P124:P147)=0)),AND(Y124&gt;=1000000,COUNTA(C124:C147)=0),AND(COUNTA(P124:P147)=0,O$3=TRUE)),
ROUNDDOWN((AB$1-AC$1)*MAX(INDEX(S$4:S147,MATCH(LARGE(FILTER(Y$4:Y1"&amp;"47,Y$4:Y147&lt;1000000),1),Y$4:Y147)),INDEX(F$4:F147,MATCH(LARGE(FILTER(L$4:L147,L$4:L147&lt;1000000),1),L$4:L147)))),AND(L124&lt;1000000,COUNTA(C124:C147)&gt;0,O$3=FALSE),
ROUNDDOWN(INDEX(Y$4:Y147,MATCH(LARGE(FILTER(W$4:W147,W$4:W147&lt;=J124),1),W$4:W147))+(J124-LARGE"&amp;"(FILTER(W$4:W147,W$4:W147&lt;=J124),1))*INDEX(S$4:S147,MATCH(LARGE(FILTER(W$4:W147,W$4:W147&lt;=J124),1),W$4:W147))-L124),1,
ROUNDDOWN(Y124-INDEX(L$4:L147,MATCH(LARGE(FILTER(J$4:J147,J$4:J147&lt;=W124),1),J$4:J147))-(W124-LARGE(FILTER(J$4:J147,J$4:J147&lt;=W124),1))*"&amp;"INDEX(F$4:F147,MATCH(LARGE(FILTER(J$4:J147,J$4:J147&lt;=W124),1),J$4:J147))))"),9717.0)</f>
        <v>9717</v>
      </c>
      <c r="O124" s="65">
        <f t="shared" si="9"/>
        <v>9</v>
      </c>
      <c r="P124" s="15" t="s">
        <v>18</v>
      </c>
      <c r="Q124" s="14" t="b">
        <f>IFERROR(__xludf.DUMMYFUNCTION("IF(COUNTA(P124:P147)=0,"""",IFERROR(IF(ISBLANK(P124),FALSE,IF(ISBLANK(T124),1,IF(NOT(COUNTIF($AA$24:$AA$34,SUBSTITUTE(P124,""Sell_"",""""))),1,IF(P124=""Plastic_up"",IF(V124&lt;1000,1),IF(P124=""Super_Up"",IF(OR(COUNTIF(P$4:P124,""Grandma"")-COUNTIF(P$4:P124"&amp;",""Sell_Grandma"")&lt;1,COUNTIF(P$4:P124,VLOOKUP(P124,Upgrades!$F$8:$N$8,7+COUNTIF(P$4:P124,P124)))-COUNTIF(P$4:P124,""Sell_""&amp;VLOOKUP(P124,Upgrades!$F$8:$N$8,7+COUNTIF(P$4:P124,P124)))&lt;15),1),IF(REGEXMATCH(P124,""_up""),IF(COUNTIF(P$4:P124,SUBSTITUTE(P124,"&amp;"""_up"",""""))&lt;IFERROR(VLOOKUP(P124,Upgrades!$L$3:$P$6,1+COUNTIF(P$4:P124,P124),0),999),1),IF(REGEXMATCH(P124,""Sell_""),IF(COUNTIF(P$4:P124,SUBSTITUTE(P124,""Sell_"",""""))-COUNTIF(P$4:P123,P124)&lt;1,1),FALSE)))))))))"),FALSE)</f>
        <v>0</v>
      </c>
      <c r="R124" s="71">
        <f>IFERROR(__xludf.DUMMYFUNCTION("IF(REGEXMATCH(P124,""^Sell_""),R123, IF(COUNTA(P124:P147)=0,"""",(COUNTIF(P$4:P124,""Cursor"")-COUNTIF(P$4:P124,""Sell_Cursor""))*(0.1*2^SWITCH(COUNTIF(P$4:P124,""Cursor_up""),0,0,1,1,2,2,3)+SWITCH(COUNTIF(P$4:P124,""Cursor_up""),4,0.1,0)*(ROW(P124)-4-COU"&amp;"NTIF(P$4:P124,""Cursor"")-COUNTIF(P$4:P124,""*""&amp;""_up"")-2*COUNTIF(P$4:P124,""Sell_""&amp;""*"")+COUNTIF(P$4:P124,""Sell_Cursor"")-COUNTIF(P$4:P124,"""")))+(COUNTIF(P$4:P124,""Grandma"")-COUNTIF(P$4:P124,""Sell_Grandma""))*(1*2^(COUNTIF(P$4:P124,""Grandma_up"&amp;""")+COUNTIF(P$4:P124,""Super_up"")))+(COUNTIF(P$4:P124,""Farm"")-COUNTIF(P$4:P124,""Sell_Farm""))*(8*2^COUNTIF(P$4:P124,""Farm_up""))*IF(COUNTIF(P$4:P124,""Super_up"")&gt;0,1+0.01*(COUNTIF(P$4:P124,""Grandma"")-COUNTIF(P$4:P124,""Sell_Grandma"")),1)+(COUNTIF"&amp;"(P$4:P124,""Mine"")-COUNTIF(P$4:P124,""Sell_Mine""))*((47*2^COUNTIF(P$4:P124,""Mine_up""))*IF(COUNTIF(P$4:P124,""Super_up"")&gt;1,1+0.005*(COUNTIF(P$4:P124,""Grandma"")-COUNTIF(P$4:P124,""Sell_Grandma"")),1))+(COUNTIF(P$4:P124,""Factory"")-COUNTIF(P$4:P124,"&amp;"""Sell_Factory""))*(260*2^COUNTIF(P$4:P124,""Factory_up""))))"),2746.62)</f>
        <v>2746.62</v>
      </c>
      <c r="S124" s="73">
        <f>IFERROR(__xludf.DUMMYFUNCTION("IF(COUNTA(P124:P147)=0,"""",IF(REGEXMATCH(INDEX(FILTER(P$4:P124,P$4:P124&lt;&gt;""""),ROWS(FILTER(P$4:P124,P$4:P124&lt;&gt;""""))),""^Sell_""),INDEX(FILTER(S$4:S123,P$4:P123&lt;&gt;""""),ROWS(FILTER(P$4:P123,P$4:P123&lt;&gt;""""))),$AD$5*(2^SWITCH(COUNTIF(P$4:P124,""Cursor_up"")"&amp;",0,0,1,1,2,2,3)+SWITCH(COUNTIF(P$4:P124,""Cursor_up""),4,0.1,0)*(ROW(P124)-4-COUNTIF(P$4:P124,""Cursor"")-COUNTIF(P$4:P124,""*""&amp;""_up"")-2*COUNTIF(P$4:P124,""Sell_""&amp;""*"")+COUNTIF(P$4:P124,""Sell_Cursor"")-COUNTIF(P$4:P124,""""))+0.01*R124*COUNTIF(P$4:P"&amp;"124,""Plastic_up""))+R124))"),11219.86)</f>
        <v>11219.86</v>
      </c>
      <c r="T124" s="14">
        <f>IFERROR(__xludf.DUMMYFUNCTION("IF(COUNTA(P124:P147)=0,"""",IF(REGEXMATCH(P124,""_up""),VLOOKUP(P124,Upgrades!$F$3:$J$8,1+COUNTIF(P$4:P124,P124),FALSE),IF(P124="""",0,IF(REGEXMATCH(P124,""^Sell_""),-ROUNDDOWN(ROUNDUP(INDEX(Upgrades!$C$3:$C$8,MATCH(SUBSTITUTE(P124,""Sell_"",""""),Upgrade"&amp;"s!$B$3:$B$8,0))*1.15^(COUNTIF(P$4:P123,SUBSTITUTE(P124,""Sell_"",""""))-COUNTIF(P$4:P123,""Sell_""&amp;SUBSTITUTE(P124,""Sell_"",""""))))/4),ROUNDUP(INDEX(Upgrades!$C$3:$C$7,MATCH(P124,Upgrades!$B$3:$B$7,0))*1.15^(COUNTIF(P$4:P123,P124)-COUNTIF(P$4:P123,""Sel"&amp;"l_""&amp;P124)))))))"),36709.0)</f>
        <v>36709</v>
      </c>
      <c r="U124" s="14">
        <f t="shared" si="10"/>
        <v>36709</v>
      </c>
      <c r="V124" s="75">
        <f t="shared" si="11"/>
        <v>55845205.25</v>
      </c>
      <c r="W124" s="76">
        <f t="shared" si="12"/>
        <v>222.2892555</v>
      </c>
      <c r="X124" s="71" t="str">
        <f t="shared" si="13"/>
        <v>3m 42s</v>
      </c>
      <c r="Y124" s="77">
        <f t="shared" si="14"/>
        <v>974229</v>
      </c>
      <c r="Z124" s="17"/>
      <c r="AA124" s="13"/>
      <c r="AB124" s="13"/>
      <c r="AC124" s="13"/>
      <c r="AD124" s="13"/>
      <c r="AE124" s="13"/>
      <c r="AF124" s="13"/>
      <c r="AG124" s="13"/>
    </row>
    <row r="125">
      <c r="A125" s="12"/>
      <c r="B125" s="65">
        <f t="shared" si="2"/>
        <v>7</v>
      </c>
      <c r="C125" s="66" t="s">
        <v>18</v>
      </c>
      <c r="D125" s="14" t="b">
        <f>IFERROR(__xludf.DUMMYFUNCTION("IF(COUNTA(C125:C147)=0,"""",IFERROR(IF(ISBLANK(C125),FALSE,IF(ISBLANK(G125),1,IF(NOT(COUNTIF($AA$24:$AA$34,SUBSTITUTE(C125,""Sell_"",""""))),1,IF(C125=""Plastic_up"",IF(I125&lt;1000,1),IF(C125=""Super_Up"",IF(OR(COUNTIF(C$4:C125,""Grandma"")-COUNTIF(C$4:C125"&amp;",""Sell_Grandma"")&lt;1,COUNTIF(C$4:C125,VLOOKUP(C125,Upgrades!$F$8:$N$8,7+COUNTIF(C$4:C125,C125)))-COUNTIF(C$4:C125,""Sell_""&amp;VLOOKUP(C125,Upgrades!$F$8:$N$8,7+COUNTIF(C$4:C125,C125)))&lt;15),1),IF(REGEXMATCH(C125,""_up""),IF(COUNTIF(C$4:C125,SUBSTITUTE(C125,"&amp;"""_up"",""""))&lt;IFERROR(VLOOKUP(C125,Upgrades!$L$3:$P$6,1+COUNTIF(C$4:C125,C125),0),999),1),IF(REGEXMATCH(C125,""Sell_""),IF(COUNTIF(C$4:C125,SUBSTITUTE(C125,""Sell_"",""""))-COUNTIF(C$4:C124,C125)&lt;1,1),FALSE)))))))))"),FALSE)</f>
        <v>0</v>
      </c>
      <c r="E125" s="71">
        <f>IFERROR(__xludf.DUMMYFUNCTION("IF(REGEXMATCH(C125,""^Sell_""),E124, IF(COUNTA(C125:C147)=0,"""",(COUNTIF(C$4:C125,""Cursor"")-COUNTIF(C$4:C125,""Sell_Cursor""))*(0.1*2^SWITCH(COUNTIF(C$4:C125,""Cursor_up""),0,0,1,1,2,2,3)+SWITCH(COUNTIF(C$4:C125,""Cursor_up""),4,0.1,0)*(ROW(C125)-4-COU"&amp;"NTIF(C$4:C125,""Cursor"")-COUNTIF(C$4:C125,""*""&amp;""_up"")-2*COUNTIF(C$4:C125,""Sell_""&amp;""*"")+COUNTIF(C$4:C125,""Sell_Cursor"")-COUNTIF(C$4:C125,"""")))+(COUNTIF(C$4:C125,""Grandma"")-COUNTIF(C$4:C125,""Sell_Grandma""))*(1*2^(COUNTIF(C$4:C125,""Grandma_up"&amp;""")+COUNTIF(C$4:C125,""Super_up"")))+(COUNTIF(C$4:C125,""Farm"")-COUNTIF(C$4:C125,""Sell_Farm""))*(8*2^COUNTIF(C$4:C125,""Farm_up""))*IF(COUNTIF(C$4:C125,""Super_up"")&gt;0,1+0.01*(COUNTIF(C$4:C125,""Grandma"")-COUNTIF(C$4:C125,""Sell_Grandma"")),1)+(COUNTIF"&amp;"(C$4:C125,""Mine"")-COUNTIF(C$4:C125,""Sell_Mine""))*((47*2^COUNTIF(C$4:C125,""Mine_up""))*IF(COUNTIF(C$4:C125,""Super_up"")&gt;1,1+0.005*(COUNTIF(C$4:C125,""Grandma"")-COUNTIF(C$4:C125,""Sell_Grandma"")),1))+(COUNTIF(C$4:C125,""Factory"")-COUNTIF(C$4:C125,"&amp;"""Sell_Factory""))*(260*2^COUNTIF(C$4:C125,""Factory_up""))))"),2593.2799999999997)</f>
        <v>2593.28</v>
      </c>
      <c r="F125" s="73">
        <f>IFERROR(__xludf.DUMMYFUNCTION("IF(COUNTA(C125:C147)=0,"""",IF(REGEXMATCH(INDEX(FILTER(C$4:C125,C$4:C125&lt;&gt;""""),ROWS(FILTER(C$4:C125,C$4:C125&lt;&gt;""""))),""^Sell_""),INDEX(FILTER(F$4:F124,C$4:C124&lt;&gt;""""),ROWS(FILTER(C$4:C124,C$4:C124&lt;&gt;""""))),$AC$5*(2^SWITCH(COUNTIF(C$4:C125,""Cursor_up"")"&amp;",0,0,1,1,2,2,3)+SWITCH(COUNTIF(C$4:C125,""Cursor_up""),4,0.1,0)*(ROW(C125)-4-COUNTIF(C$4:C125,""Cursor"")-COUNTIF(C$4:C125,""*""&amp;""_up"")-2*COUNTIF(C$4:C125,""Sell_""&amp;""*"")+COUNTIF(C$4:C125,""Sell_Cursor"")-COUNTIF(C$4:C125,""""))+0.01*E125*COUNTIF(C$4:C"&amp;"125,""Plastic_up""))+E125))"),10739.84)</f>
        <v>10739.84</v>
      </c>
      <c r="G125" s="14">
        <f>IFERROR(__xludf.DUMMYFUNCTION("IF(COUNTA(C125:C147)=0,"""",IF(REGEXMATCH(C125,""_up""),VLOOKUP(C125,Upgrades!$F$3:$J$8,1+COUNTIF(C$4:C125,C125),FALSE),IF(C125="""",0,IF(REGEXMATCH(C125,""^Sell_""),-ROUNDDOWN(ROUNDUP(INDEX(Upgrades!$C$3:$C$8,MATCH(SUBSTITUTE(C125,""Sell_"",""""),Upgrade"&amp;"s!$B$3:$B$8,0))*1.15^(COUNTIF(C$4:C124,SUBSTITUTE(C125,""Sell_"",""""))-COUNTIF(C$4:C124,""Sell_""&amp;SUBSTITUTE(C125,""Sell_"",""""))))/4),ROUNDUP(INDEX(Upgrades!$C$3:$C$7,MATCH(C125,Upgrades!$B$3:$B$7,0))*1.15^(COUNTIF(C$4:C124,C125)-COUNTIF(C$4:C124,""Sel"&amp;"l_""&amp;C125)))))))"),27757.0)</f>
        <v>27757</v>
      </c>
      <c r="H125" s="14">
        <f t="shared" si="3"/>
        <v>27757</v>
      </c>
      <c r="I125" s="75">
        <f t="shared" si="4"/>
        <v>52064478.91</v>
      </c>
      <c r="J125" s="76">
        <f t="shared" si="5"/>
        <v>219.2411244</v>
      </c>
      <c r="K125" s="71" t="str">
        <f t="shared" si="6"/>
        <v>3m 39s</v>
      </c>
      <c r="L125" s="77">
        <f t="shared" si="7"/>
        <v>930724</v>
      </c>
      <c r="M125" s="51">
        <f t="shared" si="8"/>
        <v>-0.95935</v>
      </c>
      <c r="N125" s="52">
        <f>IFERROR(__xludf.DUMMYFUNCTION("IFS(AND(COUNTA(C125:C147)=0,COUNTA(P125:P147)=0),"""",OR(AND(L125&gt;=1000000,OR(Y125&gt;=1000000,COUNTA(P125:P147)=0)),AND(Y125&gt;=1000000,COUNTA(C125:C147)=0),AND(COUNTA(P125:P147)=0,O$3=TRUE)),
ROUNDDOWN((AB$1-AC$1)*MAX(INDEX(S$4:S147,MATCH(LARGE(FILTER(Y$4:Y1"&amp;"47,Y$4:Y147&lt;1000000),1),Y$4:Y147)),INDEX(F$4:F147,MATCH(LARGE(FILTER(L$4:L147,L$4:L147&lt;1000000),1),L$4:L147)))),AND(L125&lt;1000000,COUNTA(C125:C147)&gt;0,O$3=FALSE),
ROUNDDOWN(INDEX(Y$4:Y147,MATCH(LARGE(FILTER(W$4:W147,W$4:W147&lt;=J125),1),W$4:W147))+(J125-LARGE"&amp;"(FILTER(W$4:W147,W$4:W147&lt;=J125),1))*INDEX(S$4:S147,MATCH(LARGE(FILTER(W$4:W147,W$4:W147&lt;=J125),1),W$4:W147))-L125),1,
ROUNDDOWN(Y125-INDEX(L$4:L147,MATCH(LARGE(FILTER(J$4:J147,J$4:J147&lt;=W125),1),J$4:J147))-(W125-LARGE(FILTER(J$4:J147,J$4:J147&lt;=W125),1))*"&amp;"INDEX(F$4:F147,MATCH(LARGE(FILTER(J$4:J147,J$4:J147&lt;=W125),1),J$4:J147))))"),10261.0)</f>
        <v>10261</v>
      </c>
      <c r="O125" s="65">
        <f t="shared" si="9"/>
        <v>40</v>
      </c>
      <c r="P125" s="15" t="s">
        <v>10</v>
      </c>
      <c r="Q125" s="14" t="b">
        <f>IFERROR(__xludf.DUMMYFUNCTION("IF(COUNTA(P125:P147)=0,"""",IFERROR(IF(ISBLANK(P125),FALSE,IF(ISBLANK(T125),1,IF(NOT(COUNTIF($AA$24:$AA$34,SUBSTITUTE(P125,""Sell_"",""""))),1,IF(P125=""Plastic_up"",IF(V125&lt;1000,1),IF(P125=""Super_Up"",IF(OR(COUNTIF(P$4:P125,""Grandma"")-COUNTIF(P$4:P125"&amp;",""Sell_Grandma"")&lt;1,COUNTIF(P$4:P125,VLOOKUP(P125,Upgrades!$F$8:$N$8,7+COUNTIF(P$4:P125,P125)))-COUNTIF(P$4:P125,""Sell_""&amp;VLOOKUP(P125,Upgrades!$F$8:$N$8,7+COUNTIF(P$4:P125,P125)))&lt;15),1),IF(REGEXMATCH(P125,""_up""),IF(COUNTIF(P$4:P125,SUBSTITUTE(P125,"&amp;"""_up"",""""))&lt;IFERROR(VLOOKUP(P125,Upgrades!$L$3:$P$6,1+COUNTIF(P$4:P125,P125),0),999),1),IF(REGEXMATCH(P125,""Sell_""),IF(COUNTIF(P$4:P125,SUBSTITUTE(P125,""Sell_"",""""))-COUNTIF(P$4:P124,P125)&lt;1,1),FALSE)))))))))"),FALSE)</f>
        <v>0</v>
      </c>
      <c r="R125" s="71">
        <f>IFERROR(__xludf.DUMMYFUNCTION("IF(REGEXMATCH(P125,""^Sell_""),R124, IF(COUNTA(P125:P147)=0,"""",(COUNTIF(P$4:P125,""Cursor"")-COUNTIF(P$4:P125,""Sell_Cursor""))*(0.1*2^SWITCH(COUNTIF(P$4:P125,""Cursor_up""),0,0,1,1,2,2,3)+SWITCH(COUNTIF(P$4:P125,""Cursor_up""),4,0.1,0)*(ROW(P125)-4-COU"&amp;"NTIF(P$4:P125,""Cursor"")-COUNTIF(P$4:P125,""*""&amp;""_up"")-2*COUNTIF(P$4:P125,""Sell_""&amp;""*"")+COUNTIF(P$4:P125,""Sell_Cursor"")-COUNTIF(P$4:P125,"""")))+(COUNTIF(P$4:P125,""Grandma"")-COUNTIF(P$4:P125,""Sell_Grandma""))*(1*2^(COUNTIF(P$4:P125,""Grandma_up"&amp;""")+COUNTIF(P$4:P125,""Super_up"")))+(COUNTIF(P$4:P125,""Farm"")-COUNTIF(P$4:P125,""Sell_Farm""))*(8*2^COUNTIF(P$4:P125,""Farm_up""))*IF(COUNTIF(P$4:P125,""Super_up"")&gt;0,1+0.01*(COUNTIF(P$4:P125,""Grandma"")-COUNTIF(P$4:P125,""Sell_Grandma"")),1)+(COUNTIF"&amp;"(P$4:P125,""Mine"")-COUNTIF(P$4:P125,""Sell_Mine""))*((47*2^COUNTIF(P$4:P125,""Mine_up""))*IF(COUNTIF(P$4:P125,""Super_up"")&gt;1,1+0.005*(COUNTIF(P$4:P125,""Grandma"")-COUNTIF(P$4:P125,""Sell_Grandma"")),1))+(COUNTIF(P$4:P125,""Factory"")-COUNTIF(P$4:P125,"&amp;"""Sell_Factory""))*(260*2^COUNTIF(P$4:P125,""Factory_up""))))"),2754.32)</f>
        <v>2754.32</v>
      </c>
      <c r="S125" s="73">
        <f>IFERROR(__xludf.DUMMYFUNCTION("IF(COUNTA(P125:P147)=0,"""",IF(REGEXMATCH(INDEX(FILTER(P$4:P125,P$4:P125&lt;&gt;""""),ROWS(FILTER(P$4:P125,P$4:P125&lt;&gt;""""))),""^Sell_""),INDEX(FILTER(S$4:S124,P$4:P124&lt;&gt;""""),ROWS(FILTER(P$4:P124,P$4:P124&lt;&gt;""""))),$AD$5*(2^SWITCH(COUNTIF(P$4:P125,""Cursor_up"")"&amp;",0,0,1,1,2,2,3)+SWITCH(COUNTIF(P$4:P125,""Cursor_up""),4,0.1,0)*(ROW(P125)-4-COUNTIF(P$4:P125,""Cursor"")-COUNTIF(P$4:P125,""*""&amp;""_up"")-2*COUNTIF(P$4:P125,""Sell_""&amp;""*"")+COUNTIF(P$4:P125,""Sell_Cursor"")-COUNTIF(P$4:P125,""""))+0.01*R125*COUNTIF(P$4:P"&amp;"125,""Plastic_up""))+R125))"),11242.960000000001)</f>
        <v>11242.96</v>
      </c>
      <c r="T125" s="14">
        <f>IFERROR(__xludf.DUMMYFUNCTION("IF(COUNTA(P125:P147)=0,"""",IF(REGEXMATCH(P125,""_up""),VLOOKUP(P125,Upgrades!$F$3:$J$8,1+COUNTIF(P$4:P125,P125),FALSE),IF(P125="""",0,IF(REGEXMATCH(P125,""^Sell_""),-ROUNDDOWN(ROUNDUP(INDEX(Upgrades!$C$3:$C$8,MATCH(SUBSTITUTE(P125,""Sell_"",""""),Upgrade"&amp;"s!$B$3:$B$8,0))*1.15^(COUNTIF(P$4:P124,SUBSTITUTE(P125,""Sell_"",""""))-COUNTIF(P$4:P124,""Sell_""&amp;SUBSTITUTE(P125,""Sell_"",""""))))/4),ROUNDUP(INDEX(Upgrades!$C$3:$C$7,MATCH(P125,Upgrades!$B$3:$B$7,0))*1.15^(COUNTIF(P$4:P124,P125)-COUNTIF(P$4:P124,""Sel"&amp;"l_""&amp;P125)))))))"),3494.0)</f>
        <v>3494</v>
      </c>
      <c r="U125" s="14">
        <f t="shared" si="10"/>
        <v>3494</v>
      </c>
      <c r="V125" s="75">
        <f t="shared" si="11"/>
        <v>57731354.13</v>
      </c>
      <c r="W125" s="76">
        <f t="shared" si="12"/>
        <v>222.6006676</v>
      </c>
      <c r="X125" s="71" t="str">
        <f t="shared" si="13"/>
        <v>3m 42s</v>
      </c>
      <c r="Y125" s="77">
        <f t="shared" si="14"/>
        <v>977723</v>
      </c>
      <c r="Z125" s="17"/>
      <c r="AA125" s="13"/>
      <c r="AB125" s="13"/>
      <c r="AC125" s="13"/>
      <c r="AD125" s="13"/>
      <c r="AE125" s="13"/>
      <c r="AF125" s="13"/>
      <c r="AG125" s="13"/>
    </row>
    <row r="126">
      <c r="A126" s="12"/>
      <c r="B126" s="65">
        <f t="shared" si="2"/>
        <v>8</v>
      </c>
      <c r="C126" s="66" t="s">
        <v>18</v>
      </c>
      <c r="D126" s="14" t="b">
        <f>IFERROR(__xludf.DUMMYFUNCTION("IF(COUNTA(C126:C147)=0,"""",IFERROR(IF(ISBLANK(C126),FALSE,IF(ISBLANK(G126),1,IF(NOT(COUNTIF($AA$24:$AA$34,SUBSTITUTE(C126,""Sell_"",""""))),1,IF(C126=""Plastic_up"",IF(I126&lt;1000,1),IF(C126=""Super_Up"",IF(OR(COUNTIF(C$4:C126,""Grandma"")-COUNTIF(C$4:C126"&amp;",""Sell_Grandma"")&lt;1,COUNTIF(C$4:C126,VLOOKUP(C126,Upgrades!$F$8:$N$8,7+COUNTIF(C$4:C126,C126)))-COUNTIF(C$4:C126,""Sell_""&amp;VLOOKUP(C126,Upgrades!$F$8:$N$8,7+COUNTIF(C$4:C126,C126)))&lt;15),1),IF(REGEXMATCH(C126,""_up""),IF(COUNTIF(C$4:C126,SUBSTITUTE(C126,"&amp;"""_up"",""""))&lt;IFERROR(VLOOKUP(C126,Upgrades!$L$3:$P$6,1+COUNTIF(C$4:C126,C126),0),999),1),IF(REGEXMATCH(C126,""Sell_""),IF(COUNTIF(C$4:C126,SUBSTITUTE(C126,""Sell_"",""""))-COUNTIF(C$4:C125,C126)&lt;1,1),FALSE)))))))))"),FALSE)</f>
        <v>0</v>
      </c>
      <c r="E126" s="71">
        <f>IFERROR(__xludf.DUMMYFUNCTION("IF(REGEXMATCH(C126,""^Sell_""),E125, IF(COUNTA(C126:C147)=0,"""",(COUNTIF(C$4:C126,""Cursor"")-COUNTIF(C$4:C126,""Sell_Cursor""))*(0.1*2^SWITCH(COUNTIF(C$4:C126,""Cursor_up""),0,0,1,1,2,2,3)+SWITCH(COUNTIF(C$4:C126,""Cursor_up""),4,0.1,0)*(ROW(C126)-4-COU"&amp;"NTIF(C$4:C126,""Cursor"")-COUNTIF(C$4:C126,""*""&amp;""_up"")-2*COUNTIF(C$4:C126,""Sell_""&amp;""*"")+COUNTIF(C$4:C126,""Sell_Cursor"")-COUNTIF(C$4:C126,"""")))+(COUNTIF(C$4:C126,""Grandma"")-COUNTIF(C$4:C126,""Sell_Grandma""))*(1*2^(COUNTIF(C$4:C126,""Grandma_up"&amp;""")+COUNTIF(C$4:C126,""Super_up"")))+(COUNTIF(C$4:C126,""Farm"")-COUNTIF(C$4:C126,""Sell_Farm""))*(8*2^COUNTIF(C$4:C126,""Farm_up""))*IF(COUNTIF(C$4:C126,""Super_up"")&gt;0,1+0.01*(COUNTIF(C$4:C126,""Grandma"")-COUNTIF(C$4:C126,""Sell_Grandma"")),1)+(COUNTIF"&amp;"(C$4:C126,""Mine"")-COUNTIF(C$4:C126,""Sell_Mine""))*((47*2^COUNTIF(C$4:C126,""Mine_up""))*IF(COUNTIF(C$4:C126,""Super_up"")&gt;1,1+0.005*(COUNTIF(C$4:C126,""Grandma"")-COUNTIF(C$4:C126,""Sell_Grandma"")),1))+(COUNTIF(C$4:C126,""Factory"")-COUNTIF(C$4:C126,"&amp;"""Sell_Factory""))*(260*2^COUNTIF(C$4:C126,""Factory_up""))))"),2691.38)</f>
        <v>2691.38</v>
      </c>
      <c r="F126" s="73">
        <f>IFERROR(__xludf.DUMMYFUNCTION("IF(COUNTA(C126:C147)=0,"""",IF(REGEXMATCH(INDEX(FILTER(C$4:C126,C$4:C126&lt;&gt;""""),ROWS(FILTER(C$4:C126,C$4:C126&lt;&gt;""""))),""^Sell_""),INDEX(FILTER(F$4:F125,C$4:C125&lt;&gt;""""),ROWS(FILTER(C$4:C125,C$4:C125&lt;&gt;""""))),$AC$5*(2^SWITCH(COUNTIF(C$4:C126,""Cursor_up"")"&amp;",0,0,1,1,2,2,3)+SWITCH(COUNTIF(C$4:C126,""Cursor_up""),4,0.1,0)*(ROW(C126)-4-COUNTIF(C$4:C126,""Cursor"")-COUNTIF(C$4:C126,""*""&amp;""_up"")-2*COUNTIF(C$4:C126,""Sell_""&amp;""*"")+COUNTIF(C$4:C126,""Sell_Cursor"")-COUNTIF(C$4:C126,""""))+0.01*E126*COUNTIF(C$4:C"&amp;"126,""Plastic_up""))+E126))"),11054.14)</f>
        <v>11054.14</v>
      </c>
      <c r="G126" s="14">
        <f>IFERROR(__xludf.DUMMYFUNCTION("IF(COUNTA(C126:C147)=0,"""",IF(REGEXMATCH(C126,""_up""),VLOOKUP(C126,Upgrades!$F$3:$J$8,1+COUNTIF(C$4:C126,C126),FALSE),IF(C126="""",0,IF(REGEXMATCH(C126,""^Sell_""),-ROUNDDOWN(ROUNDUP(INDEX(Upgrades!$C$3:$C$8,MATCH(SUBSTITUTE(C126,""Sell_"",""""),Upgrade"&amp;"s!$B$3:$B$8,0))*1.15^(COUNTIF(C$4:C125,SUBSTITUTE(C126,""Sell_"",""""))-COUNTIF(C$4:C125,""Sell_""&amp;SUBSTITUTE(C126,""Sell_"",""""))))/4),ROUNDUP(INDEX(Upgrades!$C$3:$C$7,MATCH(C126,Upgrades!$B$3:$B$7,0))*1.15^(COUNTIF(C$4:C125,C126)-COUNTIF(C$4:C125,""Sel"&amp;"l_""&amp;C126)))))))"),31921.0)</f>
        <v>31921</v>
      </c>
      <c r="H126" s="14">
        <f t="shared" si="3"/>
        <v>31921</v>
      </c>
      <c r="I126" s="75">
        <f t="shared" si="4"/>
        <v>53874753.13</v>
      </c>
      <c r="J126" s="76">
        <f t="shared" si="5"/>
        <v>222.2133288</v>
      </c>
      <c r="K126" s="71" t="str">
        <f t="shared" si="6"/>
        <v>3m 42s</v>
      </c>
      <c r="L126" s="77">
        <f t="shared" si="7"/>
        <v>962645</v>
      </c>
      <c r="M126" s="51">
        <f t="shared" si="8"/>
        <v>-0.98622</v>
      </c>
      <c r="N126" s="52">
        <f>IFERROR(__xludf.DUMMYFUNCTION("IFS(AND(COUNTA(C126:C147)=0,COUNTA(P126:P147)=0),"""",OR(AND(L126&gt;=1000000,OR(Y126&gt;=1000000,COUNTA(P126:P147)=0)),AND(Y126&gt;=1000000,COUNTA(C126:C147)=0),AND(COUNTA(P126:P147)=0,O$3=TRUE)),
ROUNDDOWN((AB$1-AC$1)*MAX(INDEX(S$4:S147,MATCH(LARGE(FILTER(Y$4:Y1"&amp;"47,Y$4:Y147&lt;1000000),1),Y$4:Y147)),INDEX(F$4:F147,MATCH(LARGE(FILTER(L$4:L147,L$4:L147&lt;1000000),1),L$4:L147)))),AND(L126&lt;1000000,COUNTA(C126:C147)&gt;0,O$3=FALSE),
ROUNDDOWN(INDEX(Y$4:Y147,MATCH(LARGE(FILTER(W$4:W147,W$4:W147&lt;=J126),1),W$4:W147))+(J126-LARGE"&amp;"(FILTER(W$4:W147,W$4:W147&lt;=J126),1))*INDEX(S$4:S147,MATCH(LARGE(FILTER(W$4:W147,W$4:W147&lt;=J126),1),W$4:W147))-L126),1,
ROUNDDOWN(Y126-INDEX(L$4:L147,MATCH(LARGE(FILTER(J$4:J147,J$4:J147&lt;=W126),1),J$4:J147))-(W126-LARGE(FILTER(J$4:J147,J$4:J147&lt;=W126),1))*"&amp;"INDEX(F$4:F147,MATCH(LARGE(FILTER(J$4:J147,J$4:J147&lt;=W126),1),J$4:J147))))"),10755.0)</f>
        <v>10755</v>
      </c>
      <c r="O126" s="65">
        <f t="shared" si="9"/>
        <v>38</v>
      </c>
      <c r="P126" s="15" t="s">
        <v>13</v>
      </c>
      <c r="Q126" s="14" t="b">
        <f>IFERROR(__xludf.DUMMYFUNCTION("IF(COUNTA(P126:P147)=0,"""",IFERROR(IF(ISBLANK(P126),FALSE,IF(ISBLANK(T126),1,IF(NOT(COUNTIF($AA$24:$AA$34,SUBSTITUTE(P126,""Sell_"",""""))),1,IF(P126=""Plastic_up"",IF(V126&lt;1000,1),IF(P126=""Super_Up"",IF(OR(COUNTIF(P$4:P126,""Grandma"")-COUNTIF(P$4:P126"&amp;",""Sell_Grandma"")&lt;1,COUNTIF(P$4:P126,VLOOKUP(P126,Upgrades!$F$8:$N$8,7+COUNTIF(P$4:P126,P126)))-COUNTIF(P$4:P126,""Sell_""&amp;VLOOKUP(P126,Upgrades!$F$8:$N$8,7+COUNTIF(P$4:P126,P126)))&lt;15),1),IF(REGEXMATCH(P126,""_up""),IF(COUNTIF(P$4:P126,SUBSTITUTE(P126,"&amp;"""_up"",""""))&lt;IFERROR(VLOOKUP(P126,Upgrades!$L$3:$P$6,1+COUNTIF(P$4:P126,P126),0),999),1),IF(REGEXMATCH(P126,""Sell_""),IF(COUNTIF(P$4:P126,SUBSTITUTE(P126,""Sell_"",""""))-COUNTIF(P$4:P125,P126)&lt;1,1),FALSE)))))))))"),FALSE)</f>
        <v>0</v>
      </c>
      <c r="R126" s="71">
        <f>IFERROR(__xludf.DUMMYFUNCTION("IF(REGEXMATCH(P126,""^Sell_""),R125, IF(COUNTA(P126:P147)=0,"""",(COUNTIF(P$4:P126,""Cursor"")-COUNTIF(P$4:P126,""Sell_Cursor""))*(0.1*2^SWITCH(COUNTIF(P$4:P126,""Cursor_up""),0,0,1,1,2,2,3)+SWITCH(COUNTIF(P$4:P126,""Cursor_up""),4,0.1,0)*(ROW(P126)-4-COU"&amp;"NTIF(P$4:P126,""Cursor"")-COUNTIF(P$4:P126,""*""&amp;""_up"")-2*COUNTIF(P$4:P126,""Sell_""&amp;""*"")+COUNTIF(P$4:P126,""Sell_Cursor"")-COUNTIF(P$4:P126,"""")))+(COUNTIF(P$4:P126,""Grandma"")-COUNTIF(P$4:P126,""Sell_Grandma""))*(1*2^(COUNTIF(P$4:P126,""Grandma_up"&amp;""")+COUNTIF(P$4:P126,""Super_up"")))+(COUNTIF(P$4:P126,""Farm"")-COUNTIF(P$4:P126,""Sell_Farm""))*(8*2^COUNTIF(P$4:P126,""Farm_up""))*IF(COUNTIF(P$4:P126,""Super_up"")&gt;0,1+0.01*(COUNTIF(P$4:P126,""Grandma"")-COUNTIF(P$4:P126,""Sell_Grandma"")),1)+(COUNTIF"&amp;"(P$4:P126,""Mine"")-COUNTIF(P$4:P126,""Sell_Mine""))*((47*2^COUNTIF(P$4:P126,""Mine_up""))*IF(COUNTIF(P$4:P126,""Super_up"")&gt;1,1+0.005*(COUNTIF(P$4:P126,""Grandma"")-COUNTIF(P$4:P126,""Sell_Grandma"")),1))+(COUNTIF(P$4:P126,""Factory"")-COUNTIF(P$4:P126,"&amp;"""Sell_Factory""))*(260*2^COUNTIF(P$4:P126,""Factory_up""))))"),2781.68)</f>
        <v>2781.68</v>
      </c>
      <c r="S126" s="73">
        <f>IFERROR(__xludf.DUMMYFUNCTION("IF(COUNTA(P126:P147)=0,"""",IF(REGEXMATCH(INDEX(FILTER(P$4:P126,P$4:P126&lt;&gt;""""),ROWS(FILTER(P$4:P126,P$4:P126&lt;&gt;""""))),""^Sell_""),INDEX(FILTER(S$4:S125,P$4:P125&lt;&gt;""""),ROWS(FILTER(P$4:P125,P$4:P125&lt;&gt;""""))),$AD$5*(2^SWITCH(COUNTIF(P$4:P126,""Cursor_up"")"&amp;",0,0,1,1,2,2,3)+SWITCH(COUNTIF(P$4:P126,""Cursor_up""),4,0.1,0)*(ROW(P126)-4-COUNTIF(P$4:P126,""Cursor"")-COUNTIF(P$4:P126,""*""&amp;""_up"")-2*COUNTIF(P$4:P126,""Sell_""&amp;""*"")+COUNTIF(P$4:P126,""Sell_Cursor"")-COUNTIF(P$4:P126,""""))+0.01*R126*COUNTIF(P$4:P"&amp;"126,""Plastic_up""))+R126))"),11345.04)</f>
        <v>11345.04</v>
      </c>
      <c r="T126" s="14">
        <f>IFERROR(__xludf.DUMMYFUNCTION("IF(COUNTA(P126:P147)=0,"""",IF(REGEXMATCH(P126,""_up""),VLOOKUP(P126,Upgrades!$F$3:$J$8,1+COUNTIF(P$4:P126,P126),FALSE),IF(P126="""",0,IF(REGEXMATCH(P126,""^Sell_""),-ROUNDDOWN(ROUNDUP(INDEX(Upgrades!$C$3:$C$8,MATCH(SUBSTITUTE(P126,""Sell_"",""""),Upgrade"&amp;"s!$B$3:$B$8,0))*1.15^(COUNTIF(P$4:P125,SUBSTITUTE(P126,""Sell_"",""""))-COUNTIF(P$4:P125,""Sell_""&amp;SUBSTITUTE(P126,""Sell_"",""""))))/4),ROUNDUP(INDEX(Upgrades!$C$3:$C$7,MATCH(P126,Upgrades!$B$3:$B$7,0))*1.15^(COUNTIF(P$4:P125,P126)-COUNTIF(P$4:P125,""Sel"&amp;"l_""&amp;P126)))))))"),17613.0)</f>
        <v>17613</v>
      </c>
      <c r="U126" s="14">
        <f t="shared" si="10"/>
        <v>17613</v>
      </c>
      <c r="V126" s="75">
        <f t="shared" si="11"/>
        <v>59634229.2</v>
      </c>
      <c r="W126" s="76">
        <f t="shared" si="12"/>
        <v>224.167248</v>
      </c>
      <c r="X126" s="71" t="str">
        <f t="shared" si="13"/>
        <v>3m 44s</v>
      </c>
      <c r="Y126" s="77">
        <f t="shared" si="14"/>
        <v>995336</v>
      </c>
      <c r="Z126" s="17"/>
      <c r="AA126" s="13"/>
      <c r="AB126" s="13"/>
      <c r="AC126" s="13"/>
      <c r="AD126" s="13"/>
      <c r="AE126" s="13"/>
      <c r="AF126" s="13"/>
      <c r="AG126" s="13"/>
    </row>
    <row r="127">
      <c r="A127" s="12"/>
      <c r="B127" s="65">
        <f t="shared" si="2"/>
        <v>9</v>
      </c>
      <c r="C127" s="66" t="s">
        <v>18</v>
      </c>
      <c r="D127" s="14" t="b">
        <f>IFERROR(__xludf.DUMMYFUNCTION("IF(COUNTA(C127:C147)=0,"""",IFERROR(IF(ISBLANK(C127),FALSE,IF(ISBLANK(G127),1,IF(NOT(COUNTIF($AA$24:$AA$34,SUBSTITUTE(C127,""Sell_"",""""))),1,IF(C127=""Plastic_up"",IF(I127&lt;1000,1),IF(C127=""Super_Up"",IF(OR(COUNTIF(C$4:C127,""Grandma"")-COUNTIF(C$4:C127"&amp;",""Sell_Grandma"")&lt;1,COUNTIF(C$4:C127,VLOOKUP(C127,Upgrades!$F$8:$N$8,7+COUNTIF(C$4:C127,C127)))-COUNTIF(C$4:C127,""Sell_""&amp;VLOOKUP(C127,Upgrades!$F$8:$N$8,7+COUNTIF(C$4:C127,C127)))&lt;15),1),IF(REGEXMATCH(C127,""_up""),IF(COUNTIF(C$4:C127,SUBSTITUTE(C127,"&amp;"""_up"",""""))&lt;IFERROR(VLOOKUP(C127,Upgrades!$L$3:$P$6,1+COUNTIF(C$4:C127,C127),0),999),1),IF(REGEXMATCH(C127,""Sell_""),IF(COUNTIF(C$4:C127,SUBSTITUTE(C127,""Sell_"",""""))-COUNTIF(C$4:C126,C127)&lt;1,1),FALSE)))))))))"),FALSE)</f>
        <v>0</v>
      </c>
      <c r="E127" s="71">
        <f>IFERROR(__xludf.DUMMYFUNCTION("IF(REGEXMATCH(C127,""^Sell_""),E126, IF(COUNTA(C127:C147)=0,"""",(COUNTIF(C$4:C127,""Cursor"")-COUNTIF(C$4:C127,""Sell_Cursor""))*(0.1*2^SWITCH(COUNTIF(C$4:C127,""Cursor_up""),0,0,1,1,2,2,3)+SWITCH(COUNTIF(C$4:C127,""Cursor_up""),4,0.1,0)*(ROW(C127)-4-COU"&amp;"NTIF(C$4:C127,""Cursor"")-COUNTIF(C$4:C127,""*""&amp;""_up"")-2*COUNTIF(C$4:C127,""Sell_""&amp;""*"")+COUNTIF(C$4:C127,""Sell_Cursor"")-COUNTIF(C$4:C127,"""")))+(COUNTIF(C$4:C127,""Grandma"")-COUNTIF(C$4:C127,""Sell_Grandma""))*(1*2^(COUNTIF(C$4:C127,""Grandma_up"&amp;""")+COUNTIF(C$4:C127,""Super_up"")))+(COUNTIF(C$4:C127,""Farm"")-COUNTIF(C$4:C127,""Sell_Farm""))*(8*2^COUNTIF(C$4:C127,""Farm_up""))*IF(COUNTIF(C$4:C127,""Super_up"")&gt;0,1+0.01*(COUNTIF(C$4:C127,""Grandma"")-COUNTIF(C$4:C127,""Sell_Grandma"")),1)+(COUNTIF"&amp;"(C$4:C127,""Mine"")-COUNTIF(C$4:C127,""Sell_Mine""))*((47*2^COUNTIF(C$4:C127,""Mine_up""))*IF(COUNTIF(C$4:C127,""Super_up"")&gt;1,1+0.005*(COUNTIF(C$4:C127,""Grandma"")-COUNTIF(C$4:C127,""Sell_Grandma"")),1))+(COUNTIF(C$4:C127,""Factory"")-COUNTIF(C$4:C127,"&amp;"""Sell_Factory""))*(260*2^COUNTIF(C$4:C127,""Factory_up""))))"),2789.48)</f>
        <v>2789.48</v>
      </c>
      <c r="F127" s="73">
        <f>IFERROR(__xludf.DUMMYFUNCTION("IF(COUNTA(C127:C147)=0,"""",IF(REGEXMATCH(INDEX(FILTER(C$4:C127,C$4:C127&lt;&gt;""""),ROWS(FILTER(C$4:C127,C$4:C127&lt;&gt;""""))),""^Sell_""),INDEX(FILTER(F$4:F126,C$4:C126&lt;&gt;""""),ROWS(FILTER(C$4:C126,C$4:C126&lt;&gt;""""))),$AC$5*(2^SWITCH(COUNTIF(C$4:C127,""Cursor_up"")"&amp;",0,0,1,1,2,2,3)+SWITCH(COUNTIF(C$4:C127,""Cursor_up""),4,0.1,0)*(ROW(C127)-4-COUNTIF(C$4:C127,""Cursor"")-COUNTIF(C$4:C127,""*""&amp;""_up"")-2*COUNTIF(C$4:C127,""Sell_""&amp;""*"")+COUNTIF(C$4:C127,""Sell_Cursor"")-COUNTIF(C$4:C127,""""))+0.01*E127*COUNTIF(C$4:C"&amp;"127,""Plastic_up""))+E127))"),11368.44)</f>
        <v>11368.44</v>
      </c>
      <c r="G127" s="14">
        <f>IFERROR(__xludf.DUMMYFUNCTION("IF(COUNTA(C127:C147)=0,"""",IF(REGEXMATCH(C127,""_up""),VLOOKUP(C127,Upgrades!$F$3:$J$8,1+COUNTIF(C$4:C127,C127),FALSE),IF(C127="""",0,IF(REGEXMATCH(C127,""^Sell_""),-ROUNDDOWN(ROUNDUP(INDEX(Upgrades!$C$3:$C$8,MATCH(SUBSTITUTE(C127,""Sell_"",""""),Upgrade"&amp;"s!$B$3:$B$8,0))*1.15^(COUNTIF(C$4:C126,SUBSTITUTE(C127,""Sell_"",""""))-COUNTIF(C$4:C126,""Sell_""&amp;SUBSTITUTE(C127,""Sell_"",""""))))/4),ROUNDUP(INDEX(Upgrades!$C$3:$C$7,MATCH(C127,Upgrades!$B$3:$B$7,0))*1.15^(COUNTIF(C$4:C126,C127)-COUNTIF(C$4:C126,""Sel"&amp;"l_""&amp;C127)))))))"),36709.0)</f>
        <v>36709</v>
      </c>
      <c r="H127" s="14">
        <f t="shared" si="3"/>
        <v>36709</v>
      </c>
      <c r="I127" s="75">
        <f t="shared" si="4"/>
        <v>55760841.23</v>
      </c>
      <c r="J127" s="76">
        <f t="shared" si="5"/>
        <v>225.534166</v>
      </c>
      <c r="K127" s="71" t="str">
        <f t="shared" si="6"/>
        <v>3m 45s</v>
      </c>
      <c r="L127" s="77">
        <f t="shared" si="7"/>
        <v>999354</v>
      </c>
      <c r="M127" s="51">
        <f t="shared" si="8"/>
        <v>-1.01275</v>
      </c>
      <c r="N127" s="52">
        <f>IFERROR(__xludf.DUMMYFUNCTION("IFS(AND(COUNTA(C127:C147)=0,COUNTA(P127:P147)=0),"""",OR(AND(L127&gt;=1000000,OR(Y127&gt;=1000000,COUNTA(P127:P147)=0)),AND(Y127&gt;=1000000,COUNTA(C127:C147)=0),AND(COUNTA(P127:P147)=0,O$3=TRUE)),
ROUNDDOWN((AB$1-AC$1)*MAX(INDEX(S$4:S147,MATCH(LARGE(FILTER(Y$4:Y1"&amp;"47,Y$4:Y147&lt;1000000),1),Y$4:Y147)),INDEX(F$4:F147,MATCH(LARGE(FILTER(L$4:L147,L$4:L147&lt;1000000),1),L$4:L147)))),AND(L127&lt;1000000,COUNTA(C127:C147)&gt;0,O$3=FALSE),
ROUNDDOWN(INDEX(Y$4:Y147,MATCH(LARGE(FILTER(W$4:W147,W$4:W147&lt;=J127),1),W$4:W147))+(J127-LARGE"&amp;"(FILTER(W$4:W147,W$4:W147&lt;=J127),1))*INDEX(S$4:S147,MATCH(LARGE(FILTER(W$4:W147,W$4:W147&lt;=J127),1),W$4:W147))-L127),1,
ROUNDDOWN(Y127-INDEX(L$4:L147,MATCH(LARGE(FILTER(J$4:J147,J$4:J147&lt;=W127),1),J$4:J147))-(W127-LARGE(FILTER(J$4:J147,J$4:J147&lt;=W127),1))*"&amp;"INDEX(F$4:F147,MATCH(LARGE(FILTER(J$4:J147,J$4:J147&lt;=W127),1),J$4:J147))))"),11513.0)</f>
        <v>11513</v>
      </c>
      <c r="O127" s="65">
        <f t="shared" si="9"/>
        <v>41</v>
      </c>
      <c r="P127" s="15" t="s">
        <v>10</v>
      </c>
      <c r="Q127" s="14" t="b">
        <f>IFERROR(__xludf.DUMMYFUNCTION("IF(COUNTA(P127:P147)=0,"""",IFERROR(IF(ISBLANK(P127),FALSE,IF(ISBLANK(T127),1,IF(NOT(COUNTIF($AA$24:$AA$34,SUBSTITUTE(P127,""Sell_"",""""))),1,IF(P127=""Plastic_up"",IF(V127&lt;1000,1),IF(P127=""Super_Up"",IF(OR(COUNTIF(P$4:P127,""Grandma"")-COUNTIF(P$4:P127"&amp;",""Sell_Grandma"")&lt;1,COUNTIF(P$4:P127,VLOOKUP(P127,Upgrades!$F$8:$N$8,7+COUNTIF(P$4:P127,P127)))-COUNTIF(P$4:P127,""Sell_""&amp;VLOOKUP(P127,Upgrades!$F$8:$N$8,7+COUNTIF(P$4:P127,P127)))&lt;15),1),IF(REGEXMATCH(P127,""_up""),IF(COUNTIF(P$4:P127,SUBSTITUTE(P127,"&amp;"""_up"",""""))&lt;IFERROR(VLOOKUP(P127,Upgrades!$L$3:$P$6,1+COUNTIF(P$4:P127,P127),0),999),1),IF(REGEXMATCH(P127,""Sell_""),IF(COUNTIF(P$4:P127,SUBSTITUTE(P127,""Sell_"",""""))-COUNTIF(P$4:P126,P127)&lt;1,1),FALSE)))))))))"),FALSE)</f>
        <v>0</v>
      </c>
      <c r="R127" s="71">
        <f>IFERROR(__xludf.DUMMYFUNCTION("IF(REGEXMATCH(P127,""^Sell_""),R126, IF(COUNTA(P127:P147)=0,"""",(COUNTIF(P$4:P127,""Cursor"")-COUNTIF(P$4:P127,""Sell_Cursor""))*(0.1*2^SWITCH(COUNTIF(P$4:P127,""Cursor_up""),0,0,1,1,2,2,3)+SWITCH(COUNTIF(P$4:P127,""Cursor_up""),4,0.1,0)*(ROW(P127)-4-COU"&amp;"NTIF(P$4:P127,""Cursor"")-COUNTIF(P$4:P127,""*""&amp;""_up"")-2*COUNTIF(P$4:P127,""Sell_""&amp;""*"")+COUNTIF(P$4:P127,""Sell_Cursor"")-COUNTIF(P$4:P127,"""")))+(COUNTIF(P$4:P127,""Grandma"")-COUNTIF(P$4:P127,""Sell_Grandma""))*(1*2^(COUNTIF(P$4:P127,""Grandma_up"&amp;""")+COUNTIF(P$4:P127,""Super_up"")))+(COUNTIF(P$4:P127,""Farm"")-COUNTIF(P$4:P127,""Sell_Farm""))*(8*2^COUNTIF(P$4:P127,""Farm_up""))*IF(COUNTIF(P$4:P127,""Super_up"")&gt;0,1+0.01*(COUNTIF(P$4:P127,""Grandma"")-COUNTIF(P$4:P127,""Sell_Grandma"")),1)+(COUNTIF"&amp;"(P$4:P127,""Mine"")-COUNTIF(P$4:P127,""Sell_Mine""))*((47*2^COUNTIF(P$4:P127,""Mine_up""))*IF(COUNTIF(P$4:P127,""Super_up"")&gt;1,1+0.005*(COUNTIF(P$4:P127,""Grandma"")-COUNTIF(P$4:P127,""Sell_Grandma"")),1))+(COUNTIF(P$4:P127,""Factory"")-COUNTIF(P$4:P127,"&amp;"""Sell_Factory""))*(260*2^COUNTIF(P$4:P127,""Factory_up""))))"),2789.48)</f>
        <v>2789.48</v>
      </c>
      <c r="S127" s="73">
        <f>IFERROR(__xludf.DUMMYFUNCTION("IF(COUNTA(P127:P147)=0,"""",IF(REGEXMATCH(INDEX(FILTER(P$4:P127,P$4:P127&lt;&gt;""""),ROWS(FILTER(P$4:P127,P$4:P127&lt;&gt;""""))),""^Sell_""),INDEX(FILTER(S$4:S126,P$4:P126&lt;&gt;""""),ROWS(FILTER(P$4:P126,P$4:P126&lt;&gt;""""))),$AD$5*(2^SWITCH(COUNTIF(P$4:P127,""Cursor_up"")"&amp;",0,0,1,1,2,2,3)+SWITCH(COUNTIF(P$4:P127,""Cursor_up""),4,0.1,0)*(ROW(P127)-4-COUNTIF(P$4:P127,""Cursor"")-COUNTIF(P$4:P127,""*""&amp;""_up"")-2*COUNTIF(P$4:P127,""Sell_""&amp;""*"")+COUNTIF(P$4:P127,""Sell_Cursor"")-COUNTIF(P$4:P127,""""))+0.01*R127*COUNTIF(P$4:P"&amp;"127,""Plastic_up""))+R127))"),11368.44)</f>
        <v>11368.44</v>
      </c>
      <c r="T127" s="14">
        <f>IFERROR(__xludf.DUMMYFUNCTION("IF(COUNTA(P127:P147)=0,"""",IF(REGEXMATCH(P127,""_up""),VLOOKUP(P127,Upgrades!$F$3:$J$8,1+COUNTIF(P$4:P127,P127),FALSE),IF(P127="""",0,IF(REGEXMATCH(P127,""^Sell_""),-ROUNDDOWN(ROUNDUP(INDEX(Upgrades!$C$3:$C$8,MATCH(SUBSTITUTE(P127,""Sell_"",""""),Upgrade"&amp;"s!$B$3:$B$8,0))*1.15^(COUNTIF(P$4:P126,SUBSTITUTE(P127,""Sell_"",""""))-COUNTIF(P$4:P126,""Sell_""&amp;SUBSTITUTE(P127,""Sell_"",""""))))/4),ROUNDUP(INDEX(Upgrades!$C$3:$C$7,MATCH(P127,Upgrades!$B$3:$B$7,0))*1.15^(COUNTIF(P$4:P126,P127)-COUNTIF(P$4:P126,""Sel"&amp;"l_""&amp;P127)))))))"),4018.0)</f>
        <v>4018</v>
      </c>
      <c r="U127" s="14">
        <f t="shared" si="10"/>
        <v>4018</v>
      </c>
      <c r="V127" s="75">
        <f t="shared" si="11"/>
        <v>61556886.87</v>
      </c>
      <c r="W127" s="76">
        <f t="shared" si="12"/>
        <v>224.5214115</v>
      </c>
      <c r="X127" s="71" t="str">
        <f t="shared" si="13"/>
        <v>3m 44s</v>
      </c>
      <c r="Y127" s="77">
        <f t="shared" si="14"/>
        <v>999354</v>
      </c>
      <c r="Z127" s="17"/>
      <c r="AA127" s="13"/>
      <c r="AB127" s="13"/>
      <c r="AC127" s="13"/>
      <c r="AD127" s="13"/>
      <c r="AE127" s="13"/>
      <c r="AF127" s="13"/>
      <c r="AG127" s="13"/>
    </row>
    <row r="128">
      <c r="A128" s="12"/>
      <c r="B128" s="65" t="str">
        <f t="shared" si="2"/>
        <v/>
      </c>
      <c r="C128" s="66"/>
      <c r="D128" s="14" t="str">
        <f>IFERROR(__xludf.DUMMYFUNCTION("IF(COUNTA(C128:C147)=0,"""",IFERROR(IF(ISBLANK(C128),FALSE,IF(ISBLANK(G128),1,IF(NOT(COUNTIF($AA$24:$AA$34,SUBSTITUTE(C128,""Sell_"",""""))),1,IF(C128=""Plastic_up"",IF(I128&lt;1000,1),IF(C128=""Super_Up"",IF(OR(COUNTIF(C$4:C128,""Grandma"")-COUNTIF(C$4:C128"&amp;",""Sell_Grandma"")&lt;1,COUNTIF(C$4:C128,VLOOKUP(C128,Upgrades!$F$8:$N$8,7+COUNTIF(C$4:C128,C128)))-COUNTIF(C$4:C128,""Sell_""&amp;VLOOKUP(C128,Upgrades!$F$8:$N$8,7+COUNTIF(C$4:C128,C128)))&lt;15),1),IF(REGEXMATCH(C128,""_up""),IF(COUNTIF(C$4:C128,SUBSTITUTE(C128,"&amp;"""_up"",""""))&lt;IFERROR(VLOOKUP(C128,Upgrades!$L$3:$P$6,1+COUNTIF(C$4:C128,C128),0),999),1),IF(REGEXMATCH(C128,""Sell_""),IF(COUNTIF(C$4:C128,SUBSTITUTE(C128,""Sell_"",""""))-COUNTIF(C$4:C127,C128)&lt;1,1),FALSE)))))))))"),"")</f>
        <v/>
      </c>
      <c r="E128" s="71" t="str">
        <f>IFERROR(__xludf.DUMMYFUNCTION("IF(REGEXMATCH(C128,""^Sell_""),E127, IF(COUNTA(C128:C147)=0,"""",(COUNTIF(C$4:C128,""Cursor"")-COUNTIF(C$4:C128,""Sell_Cursor""))*(0.1*2^SWITCH(COUNTIF(C$4:C128,""Cursor_up""),0,0,1,1,2,2,3)+SWITCH(COUNTIF(C$4:C128,""Cursor_up""),4,0.1,0)*(ROW(C128)-4-COU"&amp;"NTIF(C$4:C128,""Cursor"")-COUNTIF(C$4:C128,""*""&amp;""_up"")-2*COUNTIF(C$4:C128,""Sell_""&amp;""*"")+COUNTIF(C$4:C128,""Sell_Cursor"")-COUNTIF(C$4:C128,"""")))+(COUNTIF(C$4:C128,""Grandma"")-COUNTIF(C$4:C128,""Sell_Grandma""))*(1*2^(COUNTIF(C$4:C128,""Grandma_up"&amp;""")+COUNTIF(C$4:C128,""Super_up"")))+(COUNTIF(C$4:C128,""Farm"")-COUNTIF(C$4:C128,""Sell_Farm""))*(8*2^COUNTIF(C$4:C128,""Farm_up""))*IF(COUNTIF(C$4:C128,""Super_up"")&gt;0,1+0.01*(COUNTIF(C$4:C128,""Grandma"")-COUNTIF(C$4:C128,""Sell_Grandma"")),1)+(COUNTIF"&amp;"(C$4:C128,""Mine"")-COUNTIF(C$4:C128,""Sell_Mine""))*((47*2^COUNTIF(C$4:C128,""Mine_up""))*IF(COUNTIF(C$4:C128,""Super_up"")&gt;1,1+0.005*(COUNTIF(C$4:C128,""Grandma"")-COUNTIF(C$4:C128,""Sell_Grandma"")),1))+(COUNTIF(C$4:C128,""Factory"")-COUNTIF(C$4:C128,"&amp;"""Sell_Factory""))*(260*2^COUNTIF(C$4:C128,""Factory_up""))))"),"")</f>
        <v/>
      </c>
      <c r="F128" s="73" t="str">
        <f>IFERROR(__xludf.DUMMYFUNCTION("IF(COUNTA(C128:C147)=0,"""",IF(REGEXMATCH(INDEX(FILTER(C$4:C128,C$4:C128&lt;&gt;""""),ROWS(FILTER(C$4:C128,C$4:C128&lt;&gt;""""))),""^Sell_""),INDEX(FILTER(F$4:F127,C$4:C127&lt;&gt;""""),ROWS(FILTER(C$4:C127,C$4:C127&lt;&gt;""""))),$AC$5*(2^SWITCH(COUNTIF(C$4:C128,""Cursor_up"")"&amp;",0,0,1,1,2,2,3)+SWITCH(COUNTIF(C$4:C128,""Cursor_up""),4,0.1,0)*(ROW(C128)-4-COUNTIF(C$4:C128,""Cursor"")-COUNTIF(C$4:C128,""*""&amp;""_up"")-2*COUNTIF(C$4:C128,""Sell_""&amp;""*"")+COUNTIF(C$4:C128,""Sell_Cursor"")-COUNTIF(C$4:C128,""""))+0.01*E128*COUNTIF(C$4:C"&amp;"128,""Plastic_up""))+E128))"),"")</f>
        <v/>
      </c>
      <c r="G128" s="14" t="str">
        <f>IFERROR(__xludf.DUMMYFUNCTION("IF(COUNTA(C128:C147)=0,"""",IF(REGEXMATCH(C128,""_up""),VLOOKUP(C128,Upgrades!$F$3:$J$8,1+COUNTIF(C$4:C128,C128),FALSE),IF(C128="""",0,IF(REGEXMATCH(C128,""^Sell_""),-ROUNDDOWN(ROUNDUP(INDEX(Upgrades!$C$3:$C$8,MATCH(SUBSTITUTE(C128,""Sell_"",""""),Upgrade"&amp;"s!$B$3:$B$8,0))*1.15^(COUNTIF(C$4:C127,SUBSTITUTE(C128,""Sell_"",""""))-COUNTIF(C$4:C127,""Sell_""&amp;SUBSTITUTE(C128,""Sell_"",""""))))/4),ROUNDUP(INDEX(Upgrades!$C$3:$C$7,MATCH(C128,Upgrades!$B$3:$B$7,0))*1.15^(COUNTIF(C$4:C127,C128)-COUNTIF(C$4:C127,""Sel"&amp;"l_""&amp;C128)))))))"),"")</f>
        <v/>
      </c>
      <c r="H128" s="14" t="str">
        <f t="shared" si="3"/>
        <v/>
      </c>
      <c r="I128" s="75" t="str">
        <f t="shared" si="4"/>
        <v/>
      </c>
      <c r="J128" s="76" t="str">
        <f t="shared" si="5"/>
        <v/>
      </c>
      <c r="K128" s="71" t="str">
        <f t="shared" si="6"/>
        <v/>
      </c>
      <c r="L128" s="77" t="str">
        <f t="shared" si="7"/>
        <v/>
      </c>
      <c r="M128" s="51" t="str">
        <f t="shared" si="8"/>
        <v/>
      </c>
      <c r="N128" s="52" t="str">
        <f>IFERROR(__xludf.DUMMYFUNCTION("IFS(AND(COUNTA(C128:C147)=0,COUNTA(P128:P147)=0),"""",OR(AND(L128&gt;=1000000,OR(Y128&gt;=1000000,COUNTA(P128:P147)=0)),AND(Y128&gt;=1000000,COUNTA(C128:C147)=0),AND(COUNTA(P128:P147)=0,O$3=TRUE)),
ROUNDDOWN((AB$1-AC$1)*MAX(INDEX(S$4:S147,MATCH(LARGE(FILTER(Y$4:Y1"&amp;"47,Y$4:Y147&lt;1000000),1),Y$4:Y147)),INDEX(F$4:F147,MATCH(LARGE(FILTER(L$4:L147,L$4:L147&lt;1000000),1),L$4:L147)))),AND(L128&lt;1000000,COUNTA(C128:C147)&gt;0,O$3=FALSE),
ROUNDDOWN(INDEX(Y$4:Y147,MATCH(LARGE(FILTER(W$4:W147,W$4:W147&lt;=J128),1),W$4:W147))+(J128-LARGE"&amp;"(FILTER(W$4:W147,W$4:W147&lt;=J128),1))*INDEX(S$4:S147,MATCH(LARGE(FILTER(W$4:W147,W$4:W147&lt;=J128),1),W$4:W147))-L128),1,
ROUNDDOWN(Y128-INDEX(L$4:L147,MATCH(LARGE(FILTER(J$4:J147,J$4:J147&lt;=W128),1),J$4:J147))-(W128-LARGE(FILTER(J$4:J147,J$4:J147&lt;=W128),1))*"&amp;"INDEX(F$4:F147,MATCH(LARGE(FILTER(J$4:J147,J$4:J147&lt;=W128),1),J$4:J147))))"),"")</f>
        <v/>
      </c>
      <c r="O128" s="65" t="str">
        <f t="shared" si="9"/>
        <v/>
      </c>
      <c r="P128" s="66"/>
      <c r="Q128" s="14" t="str">
        <f>IFERROR(__xludf.DUMMYFUNCTION("IF(COUNTA(P128:P147)=0,"""",IFERROR(IF(ISBLANK(P128),FALSE,IF(ISBLANK(T128),1,IF(NOT(COUNTIF($AA$24:$AA$34,SUBSTITUTE(P128,""Sell_"",""""))),1,IF(P128=""Plastic_up"",IF(V128&lt;1000,1),IF(P128=""Super_Up"",IF(OR(COUNTIF(P$4:P128,""Grandma"")-COUNTIF(P$4:P128"&amp;",""Sell_Grandma"")&lt;1,COUNTIF(P$4:P128,VLOOKUP(P128,Upgrades!$F$8:$N$8,7+COUNTIF(P$4:P128,P128)))-COUNTIF(P$4:P128,""Sell_""&amp;VLOOKUP(P128,Upgrades!$F$8:$N$8,7+COUNTIF(P$4:P128,P128)))&lt;15),1),IF(REGEXMATCH(P128,""_up""),IF(COUNTIF(P$4:P128,SUBSTITUTE(P128,"&amp;"""_up"",""""))&lt;IFERROR(VLOOKUP(P128,Upgrades!$L$3:$P$6,1+COUNTIF(P$4:P128,P128),0),999),1),IF(REGEXMATCH(P128,""Sell_""),IF(COUNTIF(P$4:P128,SUBSTITUTE(P128,""Sell_"",""""))-COUNTIF(P$4:P127,P128)&lt;1,1),FALSE)))))))))"),"")</f>
        <v/>
      </c>
      <c r="R128" s="71" t="str">
        <f>IFERROR(__xludf.DUMMYFUNCTION("IF(REGEXMATCH(P128,""^Sell_""),R127, IF(COUNTA(P128:P147)=0,"""",(COUNTIF(P$4:P128,""Cursor"")-COUNTIF(P$4:P128,""Sell_Cursor""))*(0.1*2^SWITCH(COUNTIF(P$4:P128,""Cursor_up""),0,0,1,1,2,2,3)+SWITCH(COUNTIF(P$4:P128,""Cursor_up""),4,0.1,0)*(ROW(P128)-4-COU"&amp;"NTIF(P$4:P128,""Cursor"")-COUNTIF(P$4:P128,""*""&amp;""_up"")-2*COUNTIF(P$4:P128,""Sell_""&amp;""*"")+COUNTIF(P$4:P128,""Sell_Cursor"")-COUNTIF(P$4:P128,"""")))+(COUNTIF(P$4:P128,""Grandma"")-COUNTIF(P$4:P128,""Sell_Grandma""))*(1*2^(COUNTIF(P$4:P128,""Grandma_up"&amp;""")+COUNTIF(P$4:P128,""Super_up"")))+(COUNTIF(P$4:P128,""Farm"")-COUNTIF(P$4:P128,""Sell_Farm""))*(8*2^COUNTIF(P$4:P128,""Farm_up""))*IF(COUNTIF(P$4:P128,""Super_up"")&gt;0,1+0.01*(COUNTIF(P$4:P128,""Grandma"")-COUNTIF(P$4:P128,""Sell_Grandma"")),1)+(COUNTIF"&amp;"(P$4:P128,""Mine"")-COUNTIF(P$4:P128,""Sell_Mine""))*((47*2^COUNTIF(P$4:P128,""Mine_up""))*IF(COUNTIF(P$4:P128,""Super_up"")&gt;1,1+0.005*(COUNTIF(P$4:P128,""Grandma"")-COUNTIF(P$4:P128,""Sell_Grandma"")),1))+(COUNTIF(P$4:P128,""Factory"")-COUNTIF(P$4:P128,"&amp;"""Sell_Factory""))*(260*2^COUNTIF(P$4:P128,""Factory_up""))))"),"")</f>
        <v/>
      </c>
      <c r="S128" s="73" t="str">
        <f>IFERROR(__xludf.DUMMYFUNCTION("IF(COUNTA(P128:P147)=0,"""",IF(REGEXMATCH(INDEX(FILTER(P$4:P128,P$4:P128&lt;&gt;""""),ROWS(FILTER(P$4:P128,P$4:P128&lt;&gt;""""))),""^Sell_""),INDEX(FILTER(S$4:S127,P$4:P127&lt;&gt;""""),ROWS(FILTER(P$4:P127,P$4:P127&lt;&gt;""""))),$AD$5*(2^SWITCH(COUNTIF(P$4:P128,""Cursor_up"")"&amp;",0,0,1,1,2,2,3)+SWITCH(COUNTIF(P$4:P128,""Cursor_up""),4,0.1,0)*(ROW(P128)-4-COUNTIF(P$4:P128,""Cursor"")-COUNTIF(P$4:P128,""*""&amp;""_up"")-2*COUNTIF(P$4:P128,""Sell_""&amp;""*"")+COUNTIF(P$4:P128,""Sell_Cursor"")-COUNTIF(P$4:P128,""""))+0.01*R128*COUNTIF(P$4:P"&amp;"128,""Plastic_up""))+R128))"),"")</f>
        <v/>
      </c>
      <c r="T128" s="14" t="str">
        <f>IFERROR(__xludf.DUMMYFUNCTION("IF(COUNTA(P128:P147)=0,"""",IF(REGEXMATCH(P128,""_up""),VLOOKUP(P128,Upgrades!$F$3:$J$8,1+COUNTIF(P$4:P128,P128),FALSE),IF(P128="""",0,IF(REGEXMATCH(P128,""^Sell_""),-ROUNDDOWN(ROUNDUP(INDEX(Upgrades!$C$3:$C$8,MATCH(SUBSTITUTE(P128,""Sell_"",""""),Upgrade"&amp;"s!$B$3:$B$8,0))*1.15^(COUNTIF(P$4:P127,SUBSTITUTE(P128,""Sell_"",""""))-COUNTIF(P$4:P127,""Sell_""&amp;SUBSTITUTE(P128,""Sell_"",""""))))/4),ROUNDUP(INDEX(Upgrades!$C$3:$C$7,MATCH(P128,Upgrades!$B$3:$B$7,0))*1.15^(COUNTIF(P$4:P127,P128)-COUNTIF(P$4:P127,""Sel"&amp;"l_""&amp;P128)))))))"),"")</f>
        <v/>
      </c>
      <c r="U128" s="14" t="str">
        <f t="shared" si="10"/>
        <v/>
      </c>
      <c r="V128" s="75" t="str">
        <f t="shared" si="11"/>
        <v/>
      </c>
      <c r="W128" s="76" t="str">
        <f t="shared" si="12"/>
        <v/>
      </c>
      <c r="X128" s="71" t="str">
        <f t="shared" si="13"/>
        <v/>
      </c>
      <c r="Y128" s="77" t="str">
        <f t="shared" si="14"/>
        <v/>
      </c>
      <c r="Z128" s="17"/>
      <c r="AA128" s="13"/>
      <c r="AB128" s="13"/>
      <c r="AC128" s="13"/>
      <c r="AD128" s="13"/>
      <c r="AE128" s="13"/>
      <c r="AF128" s="13"/>
      <c r="AG128" s="13"/>
    </row>
    <row r="129">
      <c r="A129" s="12"/>
      <c r="B129" s="65" t="str">
        <f t="shared" si="2"/>
        <v/>
      </c>
      <c r="C129" s="66"/>
      <c r="D129" s="14" t="str">
        <f>IFERROR(__xludf.DUMMYFUNCTION("IF(COUNTA(C129:C147)=0,"""",IFERROR(IF(ISBLANK(C129),FALSE,IF(ISBLANK(G129),1,IF(NOT(COUNTIF($AA$24:$AA$34,SUBSTITUTE(C129,""Sell_"",""""))),1,IF(C129=""Plastic_up"",IF(I129&lt;1000,1),IF(C129=""Super_Up"",IF(OR(COUNTIF(C$4:C129,""Grandma"")-COUNTIF(C$4:C129"&amp;",""Sell_Grandma"")&lt;1,COUNTIF(C$4:C129,VLOOKUP(C129,Upgrades!$F$8:$N$8,7+COUNTIF(C$4:C129,C129)))-COUNTIF(C$4:C129,""Sell_""&amp;VLOOKUP(C129,Upgrades!$F$8:$N$8,7+COUNTIF(C$4:C129,C129)))&lt;15),1),IF(REGEXMATCH(C129,""_up""),IF(COUNTIF(C$4:C129,SUBSTITUTE(C129,"&amp;"""_up"",""""))&lt;IFERROR(VLOOKUP(C129,Upgrades!$L$3:$P$6,1+COUNTIF(C$4:C129,C129),0),999),1),IF(REGEXMATCH(C129,""Sell_""),IF(COUNTIF(C$4:C129,SUBSTITUTE(C129,""Sell_"",""""))-COUNTIF(C$4:C128,C129)&lt;1,1),FALSE)))))))))"),"")</f>
        <v/>
      </c>
      <c r="E129" s="71" t="str">
        <f>IFERROR(__xludf.DUMMYFUNCTION("IF(REGEXMATCH(C129,""^Sell_""),E128, IF(COUNTA(C129:C147)=0,"""",(COUNTIF(C$4:C129,""Cursor"")-COUNTIF(C$4:C129,""Sell_Cursor""))*(0.1*2^SWITCH(COUNTIF(C$4:C129,""Cursor_up""),0,0,1,1,2,2,3)+SWITCH(COUNTIF(C$4:C129,""Cursor_up""),4,0.1,0)*(ROW(C129)-4-COU"&amp;"NTIF(C$4:C129,""Cursor"")-COUNTIF(C$4:C129,""*""&amp;""_up"")-2*COUNTIF(C$4:C129,""Sell_""&amp;""*"")+COUNTIF(C$4:C129,""Sell_Cursor"")-COUNTIF(C$4:C129,"""")))+(COUNTIF(C$4:C129,""Grandma"")-COUNTIF(C$4:C129,""Sell_Grandma""))*(1*2^(COUNTIF(C$4:C129,""Grandma_up"&amp;""")+COUNTIF(C$4:C129,""Super_up"")))+(COUNTIF(C$4:C129,""Farm"")-COUNTIF(C$4:C129,""Sell_Farm""))*(8*2^COUNTIF(C$4:C129,""Farm_up""))*IF(COUNTIF(C$4:C129,""Super_up"")&gt;0,1+0.01*(COUNTIF(C$4:C129,""Grandma"")-COUNTIF(C$4:C129,""Sell_Grandma"")),1)+(COUNTIF"&amp;"(C$4:C129,""Mine"")-COUNTIF(C$4:C129,""Sell_Mine""))*((47*2^COUNTIF(C$4:C129,""Mine_up""))*IF(COUNTIF(C$4:C129,""Super_up"")&gt;1,1+0.005*(COUNTIF(C$4:C129,""Grandma"")-COUNTIF(C$4:C129,""Sell_Grandma"")),1))+(COUNTIF(C$4:C129,""Factory"")-COUNTIF(C$4:C129,"&amp;"""Sell_Factory""))*(260*2^COUNTIF(C$4:C129,""Factory_up""))))"),"")</f>
        <v/>
      </c>
      <c r="F129" s="73" t="str">
        <f>IFERROR(__xludf.DUMMYFUNCTION("IF(COUNTA(C129:C147)=0,"""",IF(REGEXMATCH(INDEX(FILTER(C$4:C129,C$4:C129&lt;&gt;""""),ROWS(FILTER(C$4:C129,C$4:C129&lt;&gt;""""))),""^Sell_""),INDEX(FILTER(F$4:F128,C$4:C128&lt;&gt;""""),ROWS(FILTER(C$4:C128,C$4:C128&lt;&gt;""""))),$AC$5*(2^SWITCH(COUNTIF(C$4:C129,""Cursor_up"")"&amp;",0,0,1,1,2,2,3)+SWITCH(COUNTIF(C$4:C129,""Cursor_up""),4,0.1,0)*(ROW(C129)-4-COUNTIF(C$4:C129,""Cursor"")-COUNTIF(C$4:C129,""*""&amp;""_up"")-2*COUNTIF(C$4:C129,""Sell_""&amp;""*"")+COUNTIF(C$4:C129,""Sell_Cursor"")-COUNTIF(C$4:C129,""""))+0.01*E129*COUNTIF(C$4:C"&amp;"129,""Plastic_up""))+E129))"),"")</f>
        <v/>
      </c>
      <c r="G129" s="14" t="str">
        <f>IFERROR(__xludf.DUMMYFUNCTION("IF(COUNTA(C129:C147)=0,"""",IF(REGEXMATCH(C129,""_up""),VLOOKUP(C129,Upgrades!$F$3:$J$8,1+COUNTIF(C$4:C129,C129),FALSE),IF(C129="""",0,IF(REGEXMATCH(C129,""^Sell_""),-ROUNDDOWN(ROUNDUP(INDEX(Upgrades!$C$3:$C$8,MATCH(SUBSTITUTE(C129,""Sell_"",""""),Upgrade"&amp;"s!$B$3:$B$8,0))*1.15^(COUNTIF(C$4:C128,SUBSTITUTE(C129,""Sell_"",""""))-COUNTIF(C$4:C128,""Sell_""&amp;SUBSTITUTE(C129,""Sell_"",""""))))/4),ROUNDUP(INDEX(Upgrades!$C$3:$C$7,MATCH(C129,Upgrades!$B$3:$B$7,0))*1.15^(COUNTIF(C$4:C128,C129)-COUNTIF(C$4:C128,""Sel"&amp;"l_""&amp;C129)))))))"),"")</f>
        <v/>
      </c>
      <c r="H129" s="14" t="str">
        <f t="shared" si="3"/>
        <v/>
      </c>
      <c r="I129" s="75" t="str">
        <f t="shared" si="4"/>
        <v/>
      </c>
      <c r="J129" s="76" t="str">
        <f t="shared" si="5"/>
        <v/>
      </c>
      <c r="K129" s="71" t="str">
        <f t="shared" si="6"/>
        <v/>
      </c>
      <c r="L129" s="77" t="str">
        <f t="shared" si="7"/>
        <v/>
      </c>
      <c r="M129" s="51" t="str">
        <f t="shared" si="8"/>
        <v/>
      </c>
      <c r="N129" s="52" t="str">
        <f>IFERROR(__xludf.DUMMYFUNCTION("IFS(AND(COUNTA(C129:C147)=0,COUNTA(P129:P147)=0),"""",OR(AND(L129&gt;=1000000,OR(Y129&gt;=1000000,COUNTA(P129:P147)=0)),AND(Y129&gt;=1000000,COUNTA(C129:C147)=0),AND(COUNTA(P129:P147)=0,O$3=TRUE)),
ROUNDDOWN((AB$1-AC$1)*MAX(INDEX(S$4:S147,MATCH(LARGE(FILTER(Y$4:Y1"&amp;"47,Y$4:Y147&lt;1000000),1),Y$4:Y147)),INDEX(F$4:F147,MATCH(LARGE(FILTER(L$4:L147,L$4:L147&lt;1000000),1),L$4:L147)))),AND(L129&lt;1000000,COUNTA(C129:C147)&gt;0,O$3=FALSE),
ROUNDDOWN(INDEX(Y$4:Y147,MATCH(LARGE(FILTER(W$4:W147,W$4:W147&lt;=J129),1),W$4:W147))+(J129-LARGE"&amp;"(FILTER(W$4:W147,W$4:W147&lt;=J129),1))*INDEX(S$4:S147,MATCH(LARGE(FILTER(W$4:W147,W$4:W147&lt;=J129),1),W$4:W147))-L129),1,
ROUNDDOWN(Y129-INDEX(L$4:L147,MATCH(LARGE(FILTER(J$4:J147,J$4:J147&lt;=W129),1),J$4:J147))-(W129-LARGE(FILTER(J$4:J147,J$4:J147&lt;=W129),1))*"&amp;"INDEX(F$4:F147,MATCH(LARGE(FILTER(J$4:J147,J$4:J147&lt;=W129),1),J$4:J147))))"),"")</f>
        <v/>
      </c>
      <c r="O129" s="65" t="str">
        <f t="shared" si="9"/>
        <v/>
      </c>
      <c r="P129" s="66"/>
      <c r="Q129" s="14" t="str">
        <f>IFERROR(__xludf.DUMMYFUNCTION("IF(COUNTA(P129:P147)=0,"""",IFERROR(IF(ISBLANK(P129),FALSE,IF(ISBLANK(T129),1,IF(NOT(COUNTIF($AA$24:$AA$34,SUBSTITUTE(P129,""Sell_"",""""))),1,IF(P129=""Plastic_up"",IF(V129&lt;1000,1),IF(P129=""Super_Up"",IF(OR(COUNTIF(P$4:P129,""Grandma"")-COUNTIF(P$4:P129"&amp;",""Sell_Grandma"")&lt;1,COUNTIF(P$4:P129,VLOOKUP(P129,Upgrades!$F$8:$N$8,7+COUNTIF(P$4:P129,P129)))-COUNTIF(P$4:P129,""Sell_""&amp;VLOOKUP(P129,Upgrades!$F$8:$N$8,7+COUNTIF(P$4:P129,P129)))&lt;15),1),IF(REGEXMATCH(P129,""_up""),IF(COUNTIF(P$4:P129,SUBSTITUTE(P129,"&amp;"""_up"",""""))&lt;IFERROR(VLOOKUP(P129,Upgrades!$L$3:$P$6,1+COUNTIF(P$4:P129,P129),0),999),1),IF(REGEXMATCH(P129,""Sell_""),IF(COUNTIF(P$4:P129,SUBSTITUTE(P129,""Sell_"",""""))-COUNTIF(P$4:P128,P129)&lt;1,1),FALSE)))))))))"),"")</f>
        <v/>
      </c>
      <c r="R129" s="71" t="str">
        <f>IFERROR(__xludf.DUMMYFUNCTION("IF(REGEXMATCH(P129,""^Sell_""),R128, IF(COUNTA(P129:P147)=0,"""",(COUNTIF(P$4:P129,""Cursor"")-COUNTIF(P$4:P129,""Sell_Cursor""))*(0.1*2^SWITCH(COUNTIF(P$4:P129,""Cursor_up""),0,0,1,1,2,2,3)+SWITCH(COUNTIF(P$4:P129,""Cursor_up""),4,0.1,0)*(ROW(P129)-4-COU"&amp;"NTIF(P$4:P129,""Cursor"")-COUNTIF(P$4:P129,""*""&amp;""_up"")-2*COUNTIF(P$4:P129,""Sell_""&amp;""*"")+COUNTIF(P$4:P129,""Sell_Cursor"")-COUNTIF(P$4:P129,"""")))+(COUNTIF(P$4:P129,""Grandma"")-COUNTIF(P$4:P129,""Sell_Grandma""))*(1*2^(COUNTIF(P$4:P129,""Grandma_up"&amp;""")+COUNTIF(P$4:P129,""Super_up"")))+(COUNTIF(P$4:P129,""Farm"")-COUNTIF(P$4:P129,""Sell_Farm""))*(8*2^COUNTIF(P$4:P129,""Farm_up""))*IF(COUNTIF(P$4:P129,""Super_up"")&gt;0,1+0.01*(COUNTIF(P$4:P129,""Grandma"")-COUNTIF(P$4:P129,""Sell_Grandma"")),1)+(COUNTIF"&amp;"(P$4:P129,""Mine"")-COUNTIF(P$4:P129,""Sell_Mine""))*((47*2^COUNTIF(P$4:P129,""Mine_up""))*IF(COUNTIF(P$4:P129,""Super_up"")&gt;1,1+0.005*(COUNTIF(P$4:P129,""Grandma"")-COUNTIF(P$4:P129,""Sell_Grandma"")),1))+(COUNTIF(P$4:P129,""Factory"")-COUNTIF(P$4:P129,"&amp;"""Sell_Factory""))*(260*2^COUNTIF(P$4:P129,""Factory_up""))))"),"")</f>
        <v/>
      </c>
      <c r="S129" s="73" t="str">
        <f>IFERROR(__xludf.DUMMYFUNCTION("IF(COUNTA(P129:P147)=0,"""",IF(REGEXMATCH(INDEX(FILTER(P$4:P129,P$4:P129&lt;&gt;""""),ROWS(FILTER(P$4:P129,P$4:P129&lt;&gt;""""))),""^Sell_""),INDEX(FILTER(S$4:S128,P$4:P128&lt;&gt;""""),ROWS(FILTER(P$4:P128,P$4:P128&lt;&gt;""""))),$AD$5*(2^SWITCH(COUNTIF(P$4:P129,""Cursor_up"")"&amp;",0,0,1,1,2,2,3)+SWITCH(COUNTIF(P$4:P129,""Cursor_up""),4,0.1,0)*(ROW(P129)-4-COUNTIF(P$4:P129,""Cursor"")-COUNTIF(P$4:P129,""*""&amp;""_up"")-2*COUNTIF(P$4:P129,""Sell_""&amp;""*"")+COUNTIF(P$4:P129,""Sell_Cursor"")-COUNTIF(P$4:P129,""""))+0.01*R129*COUNTIF(P$4:P"&amp;"129,""Plastic_up""))+R129))"),"")</f>
        <v/>
      </c>
      <c r="T129" s="14" t="str">
        <f>IFERROR(__xludf.DUMMYFUNCTION("IF(COUNTA(P129:P147)=0,"""",IF(REGEXMATCH(P129,""_up""),VLOOKUP(P129,Upgrades!$F$3:$J$8,1+COUNTIF(P$4:P129,P129),FALSE),IF(P129="""",0,IF(REGEXMATCH(P129,""^Sell_""),-ROUNDDOWN(ROUNDUP(INDEX(Upgrades!$C$3:$C$8,MATCH(SUBSTITUTE(P129,""Sell_"",""""),Upgrade"&amp;"s!$B$3:$B$8,0))*1.15^(COUNTIF(P$4:P128,SUBSTITUTE(P129,""Sell_"",""""))-COUNTIF(P$4:P128,""Sell_""&amp;SUBSTITUTE(P129,""Sell_"",""""))))/4),ROUNDUP(INDEX(Upgrades!$C$3:$C$7,MATCH(P129,Upgrades!$B$3:$B$7,0))*1.15^(COUNTIF(P$4:P128,P129)-COUNTIF(P$4:P128,""Sel"&amp;"l_""&amp;P129)))))))"),"")</f>
        <v/>
      </c>
      <c r="U129" s="14" t="str">
        <f t="shared" si="10"/>
        <v/>
      </c>
      <c r="V129" s="75" t="str">
        <f t="shared" si="11"/>
        <v/>
      </c>
      <c r="W129" s="76" t="str">
        <f t="shared" si="12"/>
        <v/>
      </c>
      <c r="X129" s="71" t="str">
        <f t="shared" si="13"/>
        <v/>
      </c>
      <c r="Y129" s="77" t="str">
        <f t="shared" si="14"/>
        <v/>
      </c>
      <c r="Z129" s="17"/>
      <c r="AA129" s="13"/>
      <c r="AB129" s="15"/>
      <c r="AC129" s="13"/>
      <c r="AD129" s="13"/>
      <c r="AE129" s="13"/>
      <c r="AF129" s="13"/>
      <c r="AG129" s="13"/>
    </row>
    <row r="130">
      <c r="A130" s="12"/>
      <c r="B130" s="65" t="str">
        <f t="shared" si="2"/>
        <v/>
      </c>
      <c r="C130" s="66"/>
      <c r="D130" s="14" t="str">
        <f>IFERROR(__xludf.DUMMYFUNCTION("IF(COUNTA(C130:C147)=0,"""",IFERROR(IF(ISBLANK(C130),FALSE,IF(ISBLANK(G130),1,IF(NOT(COUNTIF($AA$24:$AA$34,SUBSTITUTE(C130,""Sell_"",""""))),1,IF(C130=""Plastic_up"",IF(I130&lt;1000,1),IF(C130=""Super_Up"",IF(OR(COUNTIF(C$4:C130,""Grandma"")-COUNTIF(C$4:C130"&amp;",""Sell_Grandma"")&lt;1,COUNTIF(C$4:C130,VLOOKUP(C130,Upgrades!$F$8:$N$8,7+COUNTIF(C$4:C130,C130)))-COUNTIF(C$4:C130,""Sell_""&amp;VLOOKUP(C130,Upgrades!$F$8:$N$8,7+COUNTIF(C$4:C130,C130)))&lt;15),1),IF(REGEXMATCH(C130,""_up""),IF(COUNTIF(C$4:C130,SUBSTITUTE(C130,"&amp;"""_up"",""""))&lt;IFERROR(VLOOKUP(C130,Upgrades!$L$3:$P$6,1+COUNTIF(C$4:C130,C130),0),999),1),IF(REGEXMATCH(C130,""Sell_""),IF(COUNTIF(C$4:C130,SUBSTITUTE(C130,""Sell_"",""""))-COUNTIF(C$4:C129,C130)&lt;1,1),FALSE)))))))))"),"")</f>
        <v/>
      </c>
      <c r="E130" s="71" t="str">
        <f>IFERROR(__xludf.DUMMYFUNCTION("IF(REGEXMATCH(C130,""^Sell_""),E129, IF(COUNTA(C130:C147)=0,"""",(COUNTIF(C$4:C130,""Cursor"")-COUNTIF(C$4:C130,""Sell_Cursor""))*(0.1*2^SWITCH(COUNTIF(C$4:C130,""Cursor_up""),0,0,1,1,2,2,3)+SWITCH(COUNTIF(C$4:C130,""Cursor_up""),4,0.1,0)*(ROW(C130)-4-COU"&amp;"NTIF(C$4:C130,""Cursor"")-COUNTIF(C$4:C130,""*""&amp;""_up"")-2*COUNTIF(C$4:C130,""Sell_""&amp;""*"")+COUNTIF(C$4:C130,""Sell_Cursor"")-COUNTIF(C$4:C130,"""")))+(COUNTIF(C$4:C130,""Grandma"")-COUNTIF(C$4:C130,""Sell_Grandma""))*(1*2^(COUNTIF(C$4:C130,""Grandma_up"&amp;""")+COUNTIF(C$4:C130,""Super_up"")))+(COUNTIF(C$4:C130,""Farm"")-COUNTIF(C$4:C130,""Sell_Farm""))*(8*2^COUNTIF(C$4:C130,""Farm_up""))*IF(COUNTIF(C$4:C130,""Super_up"")&gt;0,1+0.01*(COUNTIF(C$4:C130,""Grandma"")-COUNTIF(C$4:C130,""Sell_Grandma"")),1)+(COUNTIF"&amp;"(C$4:C130,""Mine"")-COUNTIF(C$4:C130,""Sell_Mine""))*((47*2^COUNTIF(C$4:C130,""Mine_up""))*IF(COUNTIF(C$4:C130,""Super_up"")&gt;1,1+0.005*(COUNTIF(C$4:C130,""Grandma"")-COUNTIF(C$4:C130,""Sell_Grandma"")),1))+(COUNTIF(C$4:C130,""Factory"")-COUNTIF(C$4:C130,"&amp;"""Sell_Factory""))*(260*2^COUNTIF(C$4:C130,""Factory_up""))))"),"")</f>
        <v/>
      </c>
      <c r="F130" s="73" t="str">
        <f>IFERROR(__xludf.DUMMYFUNCTION("IF(COUNTA(C130:C147)=0,"""",IF(REGEXMATCH(INDEX(FILTER(C$4:C130,C$4:C130&lt;&gt;""""),ROWS(FILTER(C$4:C130,C$4:C130&lt;&gt;""""))),""^Sell_""),INDEX(FILTER(F$4:F129,C$4:C129&lt;&gt;""""),ROWS(FILTER(C$4:C129,C$4:C129&lt;&gt;""""))),$AC$5*(2^SWITCH(COUNTIF(C$4:C130,""Cursor_up"")"&amp;",0,0,1,1,2,2,3)+SWITCH(COUNTIF(C$4:C130,""Cursor_up""),4,0.1,0)*(ROW(C130)-4-COUNTIF(C$4:C130,""Cursor"")-COUNTIF(C$4:C130,""*""&amp;""_up"")-2*COUNTIF(C$4:C130,""Sell_""&amp;""*"")+COUNTIF(C$4:C130,""Sell_Cursor"")-COUNTIF(C$4:C130,""""))+0.01*E130*COUNTIF(C$4:C"&amp;"130,""Plastic_up""))+E130))"),"")</f>
        <v/>
      </c>
      <c r="G130" s="14" t="str">
        <f>IFERROR(__xludf.DUMMYFUNCTION("IF(COUNTA(C130:C147)=0,"""",IF(REGEXMATCH(C130,""_up""),VLOOKUP(C130,Upgrades!$F$3:$J$8,1+COUNTIF(C$4:C130,C130),FALSE),IF(C130="""",0,IF(REGEXMATCH(C130,""^Sell_""),-ROUNDDOWN(ROUNDUP(INDEX(Upgrades!$C$3:$C$8,MATCH(SUBSTITUTE(C130,""Sell_"",""""),Upgrade"&amp;"s!$B$3:$B$8,0))*1.15^(COUNTIF(C$4:C129,SUBSTITUTE(C130,""Sell_"",""""))-COUNTIF(C$4:C129,""Sell_""&amp;SUBSTITUTE(C130,""Sell_"",""""))))/4),ROUNDUP(INDEX(Upgrades!$C$3:$C$7,MATCH(C130,Upgrades!$B$3:$B$7,0))*1.15^(COUNTIF(C$4:C129,C130)-COUNTIF(C$4:C129,""Sel"&amp;"l_""&amp;C130)))))))"),"")</f>
        <v/>
      </c>
      <c r="H130" s="14" t="str">
        <f t="shared" si="3"/>
        <v/>
      </c>
      <c r="I130" s="75" t="str">
        <f t="shared" si="4"/>
        <v/>
      </c>
      <c r="J130" s="76" t="str">
        <f t="shared" si="5"/>
        <v/>
      </c>
      <c r="K130" s="71" t="str">
        <f t="shared" si="6"/>
        <v/>
      </c>
      <c r="L130" s="77" t="str">
        <f t="shared" si="7"/>
        <v/>
      </c>
      <c r="M130" s="51" t="str">
        <f t="shared" si="8"/>
        <v/>
      </c>
      <c r="N130" s="52" t="str">
        <f>IFERROR(__xludf.DUMMYFUNCTION("IFS(AND(COUNTA(C130:C147)=0,COUNTA(P130:P147)=0),"""",OR(AND(L130&gt;=1000000,OR(Y130&gt;=1000000,COUNTA(P130:P147)=0)),AND(Y130&gt;=1000000,COUNTA(C130:C147)=0),AND(COUNTA(P130:P147)=0,O$3=TRUE)),
ROUNDDOWN((AB$1-AC$1)*MAX(INDEX(S$4:S147,MATCH(LARGE(FILTER(Y$4:Y1"&amp;"47,Y$4:Y147&lt;1000000),1),Y$4:Y147)),INDEX(F$4:F147,MATCH(LARGE(FILTER(L$4:L147,L$4:L147&lt;1000000),1),L$4:L147)))),AND(L130&lt;1000000,COUNTA(C130:C147)&gt;0,O$3=FALSE),
ROUNDDOWN(INDEX(Y$4:Y147,MATCH(LARGE(FILTER(W$4:W147,W$4:W147&lt;=J130),1),W$4:W147))+(J130-LARGE"&amp;"(FILTER(W$4:W147,W$4:W147&lt;=J130),1))*INDEX(S$4:S147,MATCH(LARGE(FILTER(W$4:W147,W$4:W147&lt;=J130),1),W$4:W147))-L130),1,
ROUNDDOWN(Y130-INDEX(L$4:L147,MATCH(LARGE(FILTER(J$4:J147,J$4:J147&lt;=W130),1),J$4:J147))-(W130-LARGE(FILTER(J$4:J147,J$4:J147&lt;=W130),1))*"&amp;"INDEX(F$4:F147,MATCH(LARGE(FILTER(J$4:J147,J$4:J147&lt;=W130),1),J$4:J147))))"),"")</f>
        <v/>
      </c>
      <c r="O130" s="65" t="str">
        <f t="shared" si="9"/>
        <v/>
      </c>
      <c r="P130" s="66"/>
      <c r="Q130" s="14" t="str">
        <f>IFERROR(__xludf.DUMMYFUNCTION("IF(COUNTA(P130:P147)=0,"""",IFERROR(IF(ISBLANK(P130),FALSE,IF(ISBLANK(T130),1,IF(NOT(COUNTIF($AA$24:$AA$34,SUBSTITUTE(P130,""Sell_"",""""))),1,IF(P130=""Plastic_up"",IF(V130&lt;1000,1),IF(P130=""Super_Up"",IF(OR(COUNTIF(P$4:P130,""Grandma"")-COUNTIF(P$4:P130"&amp;",""Sell_Grandma"")&lt;1,COUNTIF(P$4:P130,VLOOKUP(P130,Upgrades!$F$8:$N$8,7+COUNTIF(P$4:P130,P130)))-COUNTIF(P$4:P130,""Sell_""&amp;VLOOKUP(P130,Upgrades!$F$8:$N$8,7+COUNTIF(P$4:P130,P130)))&lt;15),1),IF(REGEXMATCH(P130,""_up""),IF(COUNTIF(P$4:P130,SUBSTITUTE(P130,"&amp;"""_up"",""""))&lt;IFERROR(VLOOKUP(P130,Upgrades!$L$3:$P$6,1+COUNTIF(P$4:P130,P130),0),999),1),IF(REGEXMATCH(P130,""Sell_""),IF(COUNTIF(P$4:P130,SUBSTITUTE(P130,""Sell_"",""""))-COUNTIF(P$4:P129,P130)&lt;1,1),FALSE)))))))))"),"")</f>
        <v/>
      </c>
      <c r="R130" s="71" t="str">
        <f>IFERROR(__xludf.DUMMYFUNCTION("IF(REGEXMATCH(P130,""^Sell_""),R129, IF(COUNTA(P130:P147)=0,"""",(COUNTIF(P$4:P130,""Cursor"")-COUNTIF(P$4:P130,""Sell_Cursor""))*(0.1*2^SWITCH(COUNTIF(P$4:P130,""Cursor_up""),0,0,1,1,2,2,3)+SWITCH(COUNTIF(P$4:P130,""Cursor_up""),4,0.1,0)*(ROW(P130)-4-COU"&amp;"NTIF(P$4:P130,""Cursor"")-COUNTIF(P$4:P130,""*""&amp;""_up"")-2*COUNTIF(P$4:P130,""Sell_""&amp;""*"")+COUNTIF(P$4:P130,""Sell_Cursor"")-COUNTIF(P$4:P130,"""")))+(COUNTIF(P$4:P130,""Grandma"")-COUNTIF(P$4:P130,""Sell_Grandma""))*(1*2^(COUNTIF(P$4:P130,""Grandma_up"&amp;""")+COUNTIF(P$4:P130,""Super_up"")))+(COUNTIF(P$4:P130,""Farm"")-COUNTIF(P$4:P130,""Sell_Farm""))*(8*2^COUNTIF(P$4:P130,""Farm_up""))*IF(COUNTIF(P$4:P130,""Super_up"")&gt;0,1+0.01*(COUNTIF(P$4:P130,""Grandma"")-COUNTIF(P$4:P130,""Sell_Grandma"")),1)+(COUNTIF"&amp;"(P$4:P130,""Mine"")-COUNTIF(P$4:P130,""Sell_Mine""))*((47*2^COUNTIF(P$4:P130,""Mine_up""))*IF(COUNTIF(P$4:P130,""Super_up"")&gt;1,1+0.005*(COUNTIF(P$4:P130,""Grandma"")-COUNTIF(P$4:P130,""Sell_Grandma"")),1))+(COUNTIF(P$4:P130,""Factory"")-COUNTIF(P$4:P130,"&amp;"""Sell_Factory""))*(260*2^COUNTIF(P$4:P130,""Factory_up""))))"),"")</f>
        <v/>
      </c>
      <c r="S130" s="73" t="str">
        <f>IFERROR(__xludf.DUMMYFUNCTION("IF(COUNTA(P130:P147)=0,"""",IF(REGEXMATCH(INDEX(FILTER(P$4:P130,P$4:P130&lt;&gt;""""),ROWS(FILTER(P$4:P130,P$4:P130&lt;&gt;""""))),""^Sell_""),INDEX(FILTER(S$4:S129,P$4:P129&lt;&gt;""""),ROWS(FILTER(P$4:P129,P$4:P129&lt;&gt;""""))),$AD$5*(2^SWITCH(COUNTIF(P$4:P130,""Cursor_up"")"&amp;",0,0,1,1,2,2,3)+SWITCH(COUNTIF(P$4:P130,""Cursor_up""),4,0.1,0)*(ROW(P130)-4-COUNTIF(P$4:P130,""Cursor"")-COUNTIF(P$4:P130,""*""&amp;""_up"")-2*COUNTIF(P$4:P130,""Sell_""&amp;""*"")+COUNTIF(P$4:P130,""Sell_Cursor"")-COUNTIF(P$4:P130,""""))+0.01*R130*COUNTIF(P$4:P"&amp;"130,""Plastic_up""))+R130))"),"")</f>
        <v/>
      </c>
      <c r="T130" s="14" t="str">
        <f>IFERROR(__xludf.DUMMYFUNCTION("IF(COUNTA(P130:P147)=0,"""",IF(REGEXMATCH(P130,""_up""),VLOOKUP(P130,Upgrades!$F$3:$J$8,1+COUNTIF(P$4:P130,P130),FALSE),IF(P130="""",0,IF(REGEXMATCH(P130,""^Sell_""),-ROUNDDOWN(ROUNDUP(INDEX(Upgrades!$C$3:$C$8,MATCH(SUBSTITUTE(P130,""Sell_"",""""),Upgrade"&amp;"s!$B$3:$B$8,0))*1.15^(COUNTIF(P$4:P129,SUBSTITUTE(P130,""Sell_"",""""))-COUNTIF(P$4:P129,""Sell_""&amp;SUBSTITUTE(P130,""Sell_"",""""))))/4),ROUNDUP(INDEX(Upgrades!$C$3:$C$7,MATCH(P130,Upgrades!$B$3:$B$7,0))*1.15^(COUNTIF(P$4:P129,P130)-COUNTIF(P$4:P129,""Sel"&amp;"l_""&amp;P130)))))))"),"")</f>
        <v/>
      </c>
      <c r="U130" s="14" t="str">
        <f t="shared" si="10"/>
        <v/>
      </c>
      <c r="V130" s="75" t="str">
        <f t="shared" si="11"/>
        <v/>
      </c>
      <c r="W130" s="76" t="str">
        <f t="shared" si="12"/>
        <v/>
      </c>
      <c r="X130" s="71" t="str">
        <f t="shared" si="13"/>
        <v/>
      </c>
      <c r="Y130" s="77" t="str">
        <f t="shared" si="14"/>
        <v/>
      </c>
      <c r="Z130" s="17"/>
      <c r="AA130" s="13"/>
      <c r="AB130" s="13"/>
      <c r="AC130" s="13"/>
      <c r="AD130" s="13"/>
      <c r="AE130" s="13"/>
      <c r="AF130" s="13"/>
      <c r="AG130" s="13"/>
    </row>
    <row r="131">
      <c r="A131" s="12"/>
      <c r="B131" s="65" t="str">
        <f t="shared" si="2"/>
        <v/>
      </c>
      <c r="C131" s="66"/>
      <c r="D131" s="14" t="str">
        <f>IFERROR(__xludf.DUMMYFUNCTION("IF(COUNTA(C131:C147)=0,"""",IFERROR(IF(ISBLANK(C131),FALSE,IF(ISBLANK(G131),1,IF(NOT(COUNTIF($AA$24:$AA$34,SUBSTITUTE(C131,""Sell_"",""""))),1,IF(C131=""Plastic_up"",IF(I131&lt;1000,1),IF(C131=""Super_Up"",IF(OR(COUNTIF(C$4:C131,""Grandma"")-COUNTIF(C$4:C131"&amp;",""Sell_Grandma"")&lt;1,COUNTIF(C$4:C131,VLOOKUP(C131,Upgrades!$F$8:$N$8,7+COUNTIF(C$4:C131,C131)))-COUNTIF(C$4:C131,""Sell_""&amp;VLOOKUP(C131,Upgrades!$F$8:$N$8,7+COUNTIF(C$4:C131,C131)))&lt;15),1),IF(REGEXMATCH(C131,""_up""),IF(COUNTIF(C$4:C131,SUBSTITUTE(C131,"&amp;"""_up"",""""))&lt;IFERROR(VLOOKUP(C131,Upgrades!$L$3:$P$6,1+COUNTIF(C$4:C131,C131),0),999),1),IF(REGEXMATCH(C131,""Sell_""),IF(COUNTIF(C$4:C131,SUBSTITUTE(C131,""Sell_"",""""))-COUNTIF(C$4:C130,C131)&lt;1,1),FALSE)))))))))"),"")</f>
        <v/>
      </c>
      <c r="E131" s="71" t="str">
        <f>IFERROR(__xludf.DUMMYFUNCTION("IF(REGEXMATCH(C131,""^Sell_""),E130, IF(COUNTA(C131:C147)=0,"""",(COUNTIF(C$4:C131,""Cursor"")-COUNTIF(C$4:C131,""Sell_Cursor""))*(0.1*2^SWITCH(COUNTIF(C$4:C131,""Cursor_up""),0,0,1,1,2,2,3)+SWITCH(COUNTIF(C$4:C131,""Cursor_up""),4,0.1,0)*(ROW(C131)-4-COU"&amp;"NTIF(C$4:C131,""Cursor"")-COUNTIF(C$4:C131,""*""&amp;""_up"")-2*COUNTIF(C$4:C131,""Sell_""&amp;""*"")+COUNTIF(C$4:C131,""Sell_Cursor"")-COUNTIF(C$4:C131,"""")))+(COUNTIF(C$4:C131,""Grandma"")-COUNTIF(C$4:C131,""Sell_Grandma""))*(1*2^(COUNTIF(C$4:C131,""Grandma_up"&amp;""")+COUNTIF(C$4:C131,""Super_up"")))+(COUNTIF(C$4:C131,""Farm"")-COUNTIF(C$4:C131,""Sell_Farm""))*(8*2^COUNTIF(C$4:C131,""Farm_up""))*IF(COUNTIF(C$4:C131,""Super_up"")&gt;0,1+0.01*(COUNTIF(C$4:C131,""Grandma"")-COUNTIF(C$4:C131,""Sell_Grandma"")),1)+(COUNTIF"&amp;"(C$4:C131,""Mine"")-COUNTIF(C$4:C131,""Sell_Mine""))*((47*2^COUNTIF(C$4:C131,""Mine_up""))*IF(COUNTIF(C$4:C131,""Super_up"")&gt;1,1+0.005*(COUNTIF(C$4:C131,""Grandma"")-COUNTIF(C$4:C131,""Sell_Grandma"")),1))+(COUNTIF(C$4:C131,""Factory"")-COUNTIF(C$4:C131,"&amp;"""Sell_Factory""))*(260*2^COUNTIF(C$4:C131,""Factory_up""))))"),"")</f>
        <v/>
      </c>
      <c r="F131" s="73" t="str">
        <f>IFERROR(__xludf.DUMMYFUNCTION("IF(COUNTA(C131:C147)=0,"""",IF(REGEXMATCH(INDEX(FILTER(C$4:C131,C$4:C131&lt;&gt;""""),ROWS(FILTER(C$4:C131,C$4:C131&lt;&gt;""""))),""^Sell_""),INDEX(FILTER(F$4:F130,C$4:C130&lt;&gt;""""),ROWS(FILTER(C$4:C130,C$4:C130&lt;&gt;""""))),$AC$5*(2^SWITCH(COUNTIF(C$4:C131,""Cursor_up"")"&amp;",0,0,1,1,2,2,3)+SWITCH(COUNTIF(C$4:C131,""Cursor_up""),4,0.1,0)*(ROW(C131)-4-COUNTIF(C$4:C131,""Cursor"")-COUNTIF(C$4:C131,""*""&amp;""_up"")-2*COUNTIF(C$4:C131,""Sell_""&amp;""*"")+COUNTIF(C$4:C131,""Sell_Cursor"")-COUNTIF(C$4:C131,""""))+0.01*E131*COUNTIF(C$4:C"&amp;"131,""Plastic_up""))+E131))"),"")</f>
        <v/>
      </c>
      <c r="G131" s="14" t="str">
        <f>IFERROR(__xludf.DUMMYFUNCTION("IF(COUNTA(C131:C147)=0,"""",IF(REGEXMATCH(C131,""_up""),VLOOKUP(C131,Upgrades!$F$3:$J$8,1+COUNTIF(C$4:C131,C131),FALSE),IF(C131="""",0,IF(REGEXMATCH(C131,""^Sell_""),-ROUNDDOWN(ROUNDUP(INDEX(Upgrades!$C$3:$C$8,MATCH(SUBSTITUTE(C131,""Sell_"",""""),Upgrade"&amp;"s!$B$3:$B$8,0))*1.15^(COUNTIF(C$4:C130,SUBSTITUTE(C131,""Sell_"",""""))-COUNTIF(C$4:C130,""Sell_""&amp;SUBSTITUTE(C131,""Sell_"",""""))))/4),ROUNDUP(INDEX(Upgrades!$C$3:$C$7,MATCH(C131,Upgrades!$B$3:$B$7,0))*1.15^(COUNTIF(C$4:C130,C131)-COUNTIF(C$4:C130,""Sel"&amp;"l_""&amp;C131)))))))"),"")</f>
        <v/>
      </c>
      <c r="H131" s="14" t="str">
        <f t="shared" si="3"/>
        <v/>
      </c>
      <c r="I131" s="75" t="str">
        <f t="shared" si="4"/>
        <v/>
      </c>
      <c r="J131" s="76" t="str">
        <f t="shared" si="5"/>
        <v/>
      </c>
      <c r="K131" s="71" t="str">
        <f t="shared" si="6"/>
        <v/>
      </c>
      <c r="L131" s="77" t="str">
        <f t="shared" si="7"/>
        <v/>
      </c>
      <c r="M131" s="51" t="str">
        <f t="shared" si="8"/>
        <v/>
      </c>
      <c r="N131" s="52" t="str">
        <f>IFERROR(__xludf.DUMMYFUNCTION("IFS(AND(COUNTA(C131:C147)=0,COUNTA(P131:P147)=0),"""",OR(AND(L131&gt;=1000000,OR(Y131&gt;=1000000,COUNTA(P131:P147)=0)),AND(Y131&gt;=1000000,COUNTA(C131:C147)=0),AND(COUNTA(P131:P147)=0,O$3=TRUE)),
ROUNDDOWN((AB$1-AC$1)*MAX(INDEX(S$4:S147,MATCH(LARGE(FILTER(Y$4:Y1"&amp;"47,Y$4:Y147&lt;1000000),1),Y$4:Y147)),INDEX(F$4:F147,MATCH(LARGE(FILTER(L$4:L147,L$4:L147&lt;1000000),1),L$4:L147)))),AND(L131&lt;1000000,COUNTA(C131:C147)&gt;0,O$3=FALSE),
ROUNDDOWN(INDEX(Y$4:Y147,MATCH(LARGE(FILTER(W$4:W147,W$4:W147&lt;=J131),1),W$4:W147))+(J131-LARGE"&amp;"(FILTER(W$4:W147,W$4:W147&lt;=J131),1))*INDEX(S$4:S147,MATCH(LARGE(FILTER(W$4:W147,W$4:W147&lt;=J131),1),W$4:W147))-L131),1,
ROUNDDOWN(Y131-INDEX(L$4:L147,MATCH(LARGE(FILTER(J$4:J147,J$4:J147&lt;=W131),1),J$4:J147))-(W131-LARGE(FILTER(J$4:J147,J$4:J147&lt;=W131),1))*"&amp;"INDEX(F$4:F147,MATCH(LARGE(FILTER(J$4:J147,J$4:J147&lt;=W131),1),J$4:J147))))"),"")</f>
        <v/>
      </c>
      <c r="O131" s="65" t="str">
        <f t="shared" si="9"/>
        <v/>
      </c>
      <c r="P131" s="15"/>
      <c r="Q131" s="14" t="str">
        <f>IFERROR(__xludf.DUMMYFUNCTION("IF(COUNTA(P131:P147)=0,"""",IFERROR(IF(ISBLANK(P131),FALSE,IF(ISBLANK(T131),1,IF(NOT(COUNTIF($AA$24:$AA$34,SUBSTITUTE(P131,""Sell_"",""""))),1,IF(P131=""Plastic_up"",IF(V131&lt;1000,1),IF(P131=""Super_Up"",IF(OR(COUNTIF(P$4:P131,""Grandma"")-COUNTIF(P$4:P131"&amp;",""Sell_Grandma"")&lt;1,COUNTIF(P$4:P131,VLOOKUP(P131,Upgrades!$F$8:$N$8,7+COUNTIF(P$4:P131,P131)))-COUNTIF(P$4:P131,""Sell_""&amp;VLOOKUP(P131,Upgrades!$F$8:$N$8,7+COUNTIF(P$4:P131,P131)))&lt;15),1),IF(REGEXMATCH(P131,""_up""),IF(COUNTIF(P$4:P131,SUBSTITUTE(P131,"&amp;"""_up"",""""))&lt;IFERROR(VLOOKUP(P131,Upgrades!$L$3:$P$6,1+COUNTIF(P$4:P131,P131),0),999),1),IF(REGEXMATCH(P131,""Sell_""),IF(COUNTIF(P$4:P131,SUBSTITUTE(P131,""Sell_"",""""))-COUNTIF(P$4:P130,P131)&lt;1,1),FALSE)))))))))"),"")</f>
        <v/>
      </c>
      <c r="R131" s="71" t="str">
        <f>IFERROR(__xludf.DUMMYFUNCTION("IF(REGEXMATCH(P131,""^Sell_""),R130, IF(COUNTA(P131:P147)=0,"""",(COUNTIF(P$4:P131,""Cursor"")-COUNTIF(P$4:P131,""Sell_Cursor""))*(0.1*2^SWITCH(COUNTIF(P$4:P131,""Cursor_up""),0,0,1,1,2,2,3)+SWITCH(COUNTIF(P$4:P131,""Cursor_up""),4,0.1,0)*(ROW(P131)-4-COU"&amp;"NTIF(P$4:P131,""Cursor"")-COUNTIF(P$4:P131,""*""&amp;""_up"")-2*COUNTIF(P$4:P131,""Sell_""&amp;""*"")+COUNTIF(P$4:P131,""Sell_Cursor"")-COUNTIF(P$4:P131,"""")))+(COUNTIF(P$4:P131,""Grandma"")-COUNTIF(P$4:P131,""Sell_Grandma""))*(1*2^(COUNTIF(P$4:P131,""Grandma_up"&amp;""")+COUNTIF(P$4:P131,""Super_up"")))+(COUNTIF(P$4:P131,""Farm"")-COUNTIF(P$4:P131,""Sell_Farm""))*(8*2^COUNTIF(P$4:P131,""Farm_up""))*IF(COUNTIF(P$4:P131,""Super_up"")&gt;0,1+0.01*(COUNTIF(P$4:P131,""Grandma"")-COUNTIF(P$4:P131,""Sell_Grandma"")),1)+(COUNTIF"&amp;"(P$4:P131,""Mine"")-COUNTIF(P$4:P131,""Sell_Mine""))*((47*2^COUNTIF(P$4:P131,""Mine_up""))*IF(COUNTIF(P$4:P131,""Super_up"")&gt;1,1+0.005*(COUNTIF(P$4:P131,""Grandma"")-COUNTIF(P$4:P131,""Sell_Grandma"")),1))+(COUNTIF(P$4:P131,""Factory"")-COUNTIF(P$4:P131,"&amp;"""Sell_Factory""))*(260*2^COUNTIF(P$4:P131,""Factory_up""))))"),"")</f>
        <v/>
      </c>
      <c r="S131" s="73" t="str">
        <f>IFERROR(__xludf.DUMMYFUNCTION("IF(COUNTA(P131:P147)=0,"""",IF(REGEXMATCH(INDEX(FILTER(P$4:P131,P$4:P131&lt;&gt;""""),ROWS(FILTER(P$4:P131,P$4:P131&lt;&gt;""""))),""^Sell_""),INDEX(FILTER(S$4:S130,P$4:P130&lt;&gt;""""),ROWS(FILTER(P$4:P130,P$4:P130&lt;&gt;""""))),$AD$5*(2^SWITCH(COUNTIF(P$4:P131,""Cursor_up"")"&amp;",0,0,1,1,2,2,3)+SWITCH(COUNTIF(P$4:P131,""Cursor_up""),4,0.1,0)*(ROW(P131)-4-COUNTIF(P$4:P131,""Cursor"")-COUNTIF(P$4:P131,""*""&amp;""_up"")-2*COUNTIF(P$4:P131,""Sell_""&amp;""*"")+COUNTIF(P$4:P131,""Sell_Cursor"")-COUNTIF(P$4:P131,""""))+0.01*R131*COUNTIF(P$4:P"&amp;"131,""Plastic_up""))+R131))"),"")</f>
        <v/>
      </c>
      <c r="T131" s="14" t="str">
        <f>IFERROR(__xludf.DUMMYFUNCTION("IF(COUNTA(P131:P147)=0,"""",IF(REGEXMATCH(P131,""_up""),VLOOKUP(P131,Upgrades!$F$3:$J$8,1+COUNTIF(P$4:P131,P131),FALSE),IF(P131="""",0,IF(REGEXMATCH(P131,""^Sell_""),-ROUNDDOWN(ROUNDUP(INDEX(Upgrades!$C$3:$C$8,MATCH(SUBSTITUTE(P131,""Sell_"",""""),Upgrade"&amp;"s!$B$3:$B$8,0))*1.15^(COUNTIF(P$4:P130,SUBSTITUTE(P131,""Sell_"",""""))-COUNTIF(P$4:P130,""Sell_""&amp;SUBSTITUTE(P131,""Sell_"",""""))))/4),ROUNDUP(INDEX(Upgrades!$C$3:$C$7,MATCH(P131,Upgrades!$B$3:$B$7,0))*1.15^(COUNTIF(P$4:P130,P131)-COUNTIF(P$4:P130,""Sel"&amp;"l_""&amp;P131)))))))"),"")</f>
        <v/>
      </c>
      <c r="U131" s="14" t="str">
        <f t="shared" si="10"/>
        <v/>
      </c>
      <c r="V131" s="75" t="str">
        <f t="shared" si="11"/>
        <v/>
      </c>
      <c r="W131" s="76" t="str">
        <f t="shared" si="12"/>
        <v/>
      </c>
      <c r="X131" s="71" t="str">
        <f t="shared" si="13"/>
        <v/>
      </c>
      <c r="Y131" s="77" t="str">
        <f t="shared" si="14"/>
        <v/>
      </c>
      <c r="Z131" s="17"/>
      <c r="AA131" s="13"/>
      <c r="AB131" s="13"/>
      <c r="AC131" s="13"/>
      <c r="AD131" s="13"/>
      <c r="AE131" s="13"/>
      <c r="AF131" s="13"/>
      <c r="AG131" s="13"/>
    </row>
    <row r="132">
      <c r="A132" s="12"/>
      <c r="B132" s="65" t="str">
        <f t="shared" si="2"/>
        <v/>
      </c>
      <c r="C132" s="66"/>
      <c r="D132" s="14" t="str">
        <f>IFERROR(__xludf.DUMMYFUNCTION("IF(COUNTA(C132:C147)=0,"""",IFERROR(IF(ISBLANK(C132),FALSE,IF(ISBLANK(G132),1,IF(NOT(COUNTIF($AA$24:$AA$34,SUBSTITUTE(C132,""Sell_"",""""))),1,IF(C132=""Plastic_up"",IF(I132&lt;1000,1),IF(C132=""Super_Up"",IF(OR(COUNTIF(C$4:C132,""Grandma"")-COUNTIF(C$4:C132"&amp;",""Sell_Grandma"")&lt;1,COUNTIF(C$4:C132,VLOOKUP(C132,Upgrades!$F$8:$N$8,7+COUNTIF(C$4:C132,C132)))-COUNTIF(C$4:C132,""Sell_""&amp;VLOOKUP(C132,Upgrades!$F$8:$N$8,7+COUNTIF(C$4:C132,C132)))&lt;15),1),IF(REGEXMATCH(C132,""_up""),IF(COUNTIF(C$4:C132,SUBSTITUTE(C132,"&amp;"""_up"",""""))&lt;IFERROR(VLOOKUP(C132,Upgrades!$L$3:$P$6,1+COUNTIF(C$4:C132,C132),0),999),1),IF(REGEXMATCH(C132,""Sell_""),IF(COUNTIF(C$4:C132,SUBSTITUTE(C132,""Sell_"",""""))-COUNTIF(C$4:C131,C132)&lt;1,1),FALSE)))))))))"),"")</f>
        <v/>
      </c>
      <c r="E132" s="71" t="str">
        <f>IFERROR(__xludf.DUMMYFUNCTION("IF(REGEXMATCH(C132,""^Sell_""),E131, IF(COUNTA(C132:C147)=0,"""",(COUNTIF(C$4:C132,""Cursor"")-COUNTIF(C$4:C132,""Sell_Cursor""))*(0.1*2^SWITCH(COUNTIF(C$4:C132,""Cursor_up""),0,0,1,1,2,2,3)+SWITCH(COUNTIF(C$4:C132,""Cursor_up""),4,0.1,0)*(ROW(C132)-4-COU"&amp;"NTIF(C$4:C132,""Cursor"")-COUNTIF(C$4:C132,""*""&amp;""_up"")-2*COUNTIF(C$4:C132,""Sell_""&amp;""*"")+COUNTIF(C$4:C132,""Sell_Cursor"")-COUNTIF(C$4:C132,"""")))+(COUNTIF(C$4:C132,""Grandma"")-COUNTIF(C$4:C132,""Sell_Grandma""))*(1*2^(COUNTIF(C$4:C132,""Grandma_up"&amp;""")+COUNTIF(C$4:C132,""Super_up"")))+(COUNTIF(C$4:C132,""Farm"")-COUNTIF(C$4:C132,""Sell_Farm""))*(8*2^COUNTIF(C$4:C132,""Farm_up""))*IF(COUNTIF(C$4:C132,""Super_up"")&gt;0,1+0.01*(COUNTIF(C$4:C132,""Grandma"")-COUNTIF(C$4:C132,""Sell_Grandma"")),1)+(COUNTIF"&amp;"(C$4:C132,""Mine"")-COUNTIF(C$4:C132,""Sell_Mine""))*((47*2^COUNTIF(C$4:C132,""Mine_up""))*IF(COUNTIF(C$4:C132,""Super_up"")&gt;1,1+0.005*(COUNTIF(C$4:C132,""Grandma"")-COUNTIF(C$4:C132,""Sell_Grandma"")),1))+(COUNTIF(C$4:C132,""Factory"")-COUNTIF(C$4:C132,"&amp;"""Sell_Factory""))*(260*2^COUNTIF(C$4:C132,""Factory_up""))))"),"")</f>
        <v/>
      </c>
      <c r="F132" s="73" t="str">
        <f>IFERROR(__xludf.DUMMYFUNCTION("IF(COUNTA(C132:C147)=0,"""",IF(REGEXMATCH(INDEX(FILTER(C$4:C132,C$4:C132&lt;&gt;""""),ROWS(FILTER(C$4:C132,C$4:C132&lt;&gt;""""))),""^Sell_""),INDEX(FILTER(F$4:F131,C$4:C131&lt;&gt;""""),ROWS(FILTER(C$4:C131,C$4:C131&lt;&gt;""""))),$AC$5*(2^SWITCH(COUNTIF(C$4:C132,""Cursor_up"")"&amp;",0,0,1,1,2,2,3)+SWITCH(COUNTIF(C$4:C132,""Cursor_up""),4,0.1,0)*(ROW(C132)-4-COUNTIF(C$4:C132,""Cursor"")-COUNTIF(C$4:C132,""*""&amp;""_up"")-2*COUNTIF(C$4:C132,""Sell_""&amp;""*"")+COUNTIF(C$4:C132,""Sell_Cursor"")-COUNTIF(C$4:C132,""""))+0.01*E132*COUNTIF(C$4:C"&amp;"132,""Plastic_up""))+E132))"),"")</f>
        <v/>
      </c>
      <c r="G132" s="14" t="str">
        <f>IFERROR(__xludf.DUMMYFUNCTION("IF(COUNTA(C132:C147)=0,"""",IF(REGEXMATCH(C132,""_up""),VLOOKUP(C132,Upgrades!$F$3:$J$8,1+COUNTIF(C$4:C132,C132),FALSE),IF(C132="""",0,IF(REGEXMATCH(C132,""^Sell_""),-ROUNDDOWN(ROUNDUP(INDEX(Upgrades!$C$3:$C$8,MATCH(SUBSTITUTE(C132,""Sell_"",""""),Upgrade"&amp;"s!$B$3:$B$8,0))*1.15^(COUNTIF(C$4:C131,SUBSTITUTE(C132,""Sell_"",""""))-COUNTIF(C$4:C131,""Sell_""&amp;SUBSTITUTE(C132,""Sell_"",""""))))/4),ROUNDUP(INDEX(Upgrades!$C$3:$C$7,MATCH(C132,Upgrades!$B$3:$B$7,0))*1.15^(COUNTIF(C$4:C131,C132)-COUNTIF(C$4:C131,""Sel"&amp;"l_""&amp;C132)))))))"),"")</f>
        <v/>
      </c>
      <c r="H132" s="14" t="str">
        <f t="shared" si="3"/>
        <v/>
      </c>
      <c r="I132" s="75" t="str">
        <f t="shared" si="4"/>
        <v/>
      </c>
      <c r="J132" s="76" t="str">
        <f t="shared" si="5"/>
        <v/>
      </c>
      <c r="K132" s="71" t="str">
        <f t="shared" si="6"/>
        <v/>
      </c>
      <c r="L132" s="77" t="str">
        <f t="shared" si="7"/>
        <v/>
      </c>
      <c r="M132" s="51" t="str">
        <f t="shared" si="8"/>
        <v/>
      </c>
      <c r="N132" s="52" t="str">
        <f>IFERROR(__xludf.DUMMYFUNCTION("IFS(AND(COUNTA(C132:C147)=0,COUNTA(P132:P147)=0),"""",OR(AND(L132&gt;=1000000,OR(Y132&gt;=1000000,COUNTA(P132:P147)=0)),AND(Y132&gt;=1000000,COUNTA(C132:C147)=0),AND(COUNTA(P132:P147)=0,O$3=TRUE)),
ROUNDDOWN((AB$1-AC$1)*MAX(INDEX(S$4:S147,MATCH(LARGE(FILTER(Y$4:Y1"&amp;"47,Y$4:Y147&lt;1000000),1),Y$4:Y147)),INDEX(F$4:F147,MATCH(LARGE(FILTER(L$4:L147,L$4:L147&lt;1000000),1),L$4:L147)))),AND(L132&lt;1000000,COUNTA(C132:C147)&gt;0,O$3=FALSE),
ROUNDDOWN(INDEX(Y$4:Y147,MATCH(LARGE(FILTER(W$4:W147,W$4:W147&lt;=J132),1),W$4:W147))+(J132-LARGE"&amp;"(FILTER(W$4:W147,W$4:W147&lt;=J132),1))*INDEX(S$4:S147,MATCH(LARGE(FILTER(W$4:W147,W$4:W147&lt;=J132),1),W$4:W147))-L132),1,
ROUNDDOWN(Y132-INDEX(L$4:L147,MATCH(LARGE(FILTER(J$4:J147,J$4:J147&lt;=W132),1),J$4:J147))-(W132-LARGE(FILTER(J$4:J147,J$4:J147&lt;=W132),1))*"&amp;"INDEX(F$4:F147,MATCH(LARGE(FILTER(J$4:J147,J$4:J147&lt;=W132),1),J$4:J147))))"),"")</f>
        <v/>
      </c>
      <c r="O132" s="65" t="str">
        <f t="shared" si="9"/>
        <v/>
      </c>
      <c r="P132" s="15"/>
      <c r="Q132" s="14" t="str">
        <f>IFERROR(__xludf.DUMMYFUNCTION("IF(COUNTA(P132:P147)=0,"""",IFERROR(IF(ISBLANK(P132),FALSE,IF(ISBLANK(T132),1,IF(NOT(COUNTIF($AA$24:$AA$34,SUBSTITUTE(P132,""Sell_"",""""))),1,IF(P132=""Plastic_up"",IF(V132&lt;1000,1),IF(P132=""Super_Up"",IF(OR(COUNTIF(P$4:P132,""Grandma"")-COUNTIF(P$4:P132"&amp;",""Sell_Grandma"")&lt;1,COUNTIF(P$4:P132,VLOOKUP(P132,Upgrades!$F$8:$N$8,7+COUNTIF(P$4:P132,P132)))-COUNTIF(P$4:P132,""Sell_""&amp;VLOOKUP(P132,Upgrades!$F$8:$N$8,7+COUNTIF(P$4:P132,P132)))&lt;15),1),IF(REGEXMATCH(P132,""_up""),IF(COUNTIF(P$4:P132,SUBSTITUTE(P132,"&amp;"""_up"",""""))&lt;IFERROR(VLOOKUP(P132,Upgrades!$L$3:$P$6,1+COUNTIF(P$4:P132,P132),0),999),1),IF(REGEXMATCH(P132,""Sell_""),IF(COUNTIF(P$4:P132,SUBSTITUTE(P132,""Sell_"",""""))-COUNTIF(P$4:P131,P132)&lt;1,1),FALSE)))))))))"),"")</f>
        <v/>
      </c>
      <c r="R132" s="71" t="str">
        <f>IFERROR(__xludf.DUMMYFUNCTION("IF(REGEXMATCH(P132,""^Sell_""),R131, IF(COUNTA(P132:P147)=0,"""",(COUNTIF(P$4:P132,""Cursor"")-COUNTIF(P$4:P132,""Sell_Cursor""))*(0.1*2^SWITCH(COUNTIF(P$4:P132,""Cursor_up""),0,0,1,1,2,2,3)+SWITCH(COUNTIF(P$4:P132,""Cursor_up""),4,0.1,0)*(ROW(P132)-4-COU"&amp;"NTIF(P$4:P132,""Cursor"")-COUNTIF(P$4:P132,""*""&amp;""_up"")-2*COUNTIF(P$4:P132,""Sell_""&amp;""*"")+COUNTIF(P$4:P132,""Sell_Cursor"")-COUNTIF(P$4:P132,"""")))+(COUNTIF(P$4:P132,""Grandma"")-COUNTIF(P$4:P132,""Sell_Grandma""))*(1*2^(COUNTIF(P$4:P132,""Grandma_up"&amp;""")+COUNTIF(P$4:P132,""Super_up"")))+(COUNTIF(P$4:P132,""Farm"")-COUNTIF(P$4:P132,""Sell_Farm""))*(8*2^COUNTIF(P$4:P132,""Farm_up""))*IF(COUNTIF(P$4:P132,""Super_up"")&gt;0,1+0.01*(COUNTIF(P$4:P132,""Grandma"")-COUNTIF(P$4:P132,""Sell_Grandma"")),1)+(COUNTIF"&amp;"(P$4:P132,""Mine"")-COUNTIF(P$4:P132,""Sell_Mine""))*((47*2^COUNTIF(P$4:P132,""Mine_up""))*IF(COUNTIF(P$4:P132,""Super_up"")&gt;1,1+0.005*(COUNTIF(P$4:P132,""Grandma"")-COUNTIF(P$4:P132,""Sell_Grandma"")),1))+(COUNTIF(P$4:P132,""Factory"")-COUNTIF(P$4:P132,"&amp;"""Sell_Factory""))*(260*2^COUNTIF(P$4:P132,""Factory_up""))))"),"")</f>
        <v/>
      </c>
      <c r="S132" s="73" t="str">
        <f>IFERROR(__xludf.DUMMYFUNCTION("IF(COUNTA(P132:P147)=0,"""",IF(REGEXMATCH(INDEX(FILTER(P$4:P132,P$4:P132&lt;&gt;""""),ROWS(FILTER(P$4:P132,P$4:P132&lt;&gt;""""))),""^Sell_""),INDEX(FILTER(S$4:S131,P$4:P131&lt;&gt;""""),ROWS(FILTER(P$4:P131,P$4:P131&lt;&gt;""""))),$AD$5*(2^SWITCH(COUNTIF(P$4:P132,""Cursor_up"")"&amp;",0,0,1,1,2,2,3)+SWITCH(COUNTIF(P$4:P132,""Cursor_up""),4,0.1,0)*(ROW(P132)-4-COUNTIF(P$4:P132,""Cursor"")-COUNTIF(P$4:P132,""*""&amp;""_up"")-2*COUNTIF(P$4:P132,""Sell_""&amp;""*"")+COUNTIF(P$4:P132,""Sell_Cursor"")-COUNTIF(P$4:P132,""""))+0.01*R132*COUNTIF(P$4:P"&amp;"132,""Plastic_up""))+R132))"),"")</f>
        <v/>
      </c>
      <c r="T132" s="14" t="str">
        <f>IFERROR(__xludf.DUMMYFUNCTION("IF(COUNTA(P132:P147)=0,"""",IF(REGEXMATCH(P132,""_up""),VLOOKUP(P132,Upgrades!$F$3:$J$8,1+COUNTIF(P$4:P132,P132),FALSE),IF(P132="""",0,IF(REGEXMATCH(P132,""^Sell_""),-ROUNDDOWN(ROUNDUP(INDEX(Upgrades!$C$3:$C$8,MATCH(SUBSTITUTE(P132,""Sell_"",""""),Upgrade"&amp;"s!$B$3:$B$8,0))*1.15^(COUNTIF(P$4:P131,SUBSTITUTE(P132,""Sell_"",""""))-COUNTIF(P$4:P131,""Sell_""&amp;SUBSTITUTE(P132,""Sell_"",""""))))/4),ROUNDUP(INDEX(Upgrades!$C$3:$C$7,MATCH(P132,Upgrades!$B$3:$B$7,0))*1.15^(COUNTIF(P$4:P131,P132)-COUNTIF(P$4:P131,""Sel"&amp;"l_""&amp;P132)))))))"),"")</f>
        <v/>
      </c>
      <c r="U132" s="14" t="str">
        <f t="shared" si="10"/>
        <v/>
      </c>
      <c r="V132" s="75" t="str">
        <f t="shared" si="11"/>
        <v/>
      </c>
      <c r="W132" s="76" t="str">
        <f t="shared" si="12"/>
        <v/>
      </c>
      <c r="X132" s="71" t="str">
        <f t="shared" si="13"/>
        <v/>
      </c>
      <c r="Y132" s="77" t="str">
        <f t="shared" si="14"/>
        <v/>
      </c>
      <c r="Z132" s="17"/>
      <c r="AA132" s="13"/>
      <c r="AB132" s="13"/>
      <c r="AC132" s="13"/>
      <c r="AD132" s="13"/>
      <c r="AE132" s="13"/>
      <c r="AF132" s="13"/>
      <c r="AG132" s="13"/>
    </row>
    <row r="133">
      <c r="A133" s="12"/>
      <c r="B133" s="65" t="str">
        <f t="shared" si="2"/>
        <v/>
      </c>
      <c r="C133" s="66"/>
      <c r="D133" s="14" t="str">
        <f>IFERROR(__xludf.DUMMYFUNCTION("IF(COUNTA(C133:C147)=0,"""",IFERROR(IF(ISBLANK(C133),FALSE,IF(ISBLANK(G133),1,IF(NOT(COUNTIF($AA$24:$AA$34,SUBSTITUTE(C133,""Sell_"",""""))),1,IF(C133=""Plastic_up"",IF(I133&lt;1000,1),IF(C133=""Super_Up"",IF(OR(COUNTIF(C$4:C133,""Grandma"")-COUNTIF(C$4:C133"&amp;",""Sell_Grandma"")&lt;1,COUNTIF(C$4:C133,VLOOKUP(C133,Upgrades!$F$8:$N$8,7+COUNTIF(C$4:C133,C133)))-COUNTIF(C$4:C133,""Sell_""&amp;VLOOKUP(C133,Upgrades!$F$8:$N$8,7+COUNTIF(C$4:C133,C133)))&lt;15),1),IF(REGEXMATCH(C133,""_up""),IF(COUNTIF(C$4:C133,SUBSTITUTE(C133,"&amp;"""_up"",""""))&lt;IFERROR(VLOOKUP(C133,Upgrades!$L$3:$P$6,1+COUNTIF(C$4:C133,C133),0),999),1),IF(REGEXMATCH(C133,""Sell_""),IF(COUNTIF(C$4:C133,SUBSTITUTE(C133,""Sell_"",""""))-COUNTIF(C$4:C132,C133)&lt;1,1),FALSE)))))))))"),"")</f>
        <v/>
      </c>
      <c r="E133" s="71" t="str">
        <f>IFERROR(__xludf.DUMMYFUNCTION("IF(REGEXMATCH(C133,""^Sell_""),E132, IF(COUNTA(C133:C147)=0,"""",(COUNTIF(C$4:C133,""Cursor"")-COUNTIF(C$4:C133,""Sell_Cursor""))*(0.1*2^SWITCH(COUNTIF(C$4:C133,""Cursor_up""),0,0,1,1,2,2,3)+SWITCH(COUNTIF(C$4:C133,""Cursor_up""),4,0.1,0)*(ROW(C133)-4-COU"&amp;"NTIF(C$4:C133,""Cursor"")-COUNTIF(C$4:C133,""*""&amp;""_up"")-2*COUNTIF(C$4:C133,""Sell_""&amp;""*"")+COUNTIF(C$4:C133,""Sell_Cursor"")-COUNTIF(C$4:C133,"""")))+(COUNTIF(C$4:C133,""Grandma"")-COUNTIF(C$4:C133,""Sell_Grandma""))*(1*2^(COUNTIF(C$4:C133,""Grandma_up"&amp;""")+COUNTIF(C$4:C133,""Super_up"")))+(COUNTIF(C$4:C133,""Farm"")-COUNTIF(C$4:C133,""Sell_Farm""))*(8*2^COUNTIF(C$4:C133,""Farm_up""))*IF(COUNTIF(C$4:C133,""Super_up"")&gt;0,1+0.01*(COUNTIF(C$4:C133,""Grandma"")-COUNTIF(C$4:C133,""Sell_Grandma"")),1)+(COUNTIF"&amp;"(C$4:C133,""Mine"")-COUNTIF(C$4:C133,""Sell_Mine""))*((47*2^COUNTIF(C$4:C133,""Mine_up""))*IF(COUNTIF(C$4:C133,""Super_up"")&gt;1,1+0.005*(COUNTIF(C$4:C133,""Grandma"")-COUNTIF(C$4:C133,""Sell_Grandma"")),1))+(COUNTIF(C$4:C133,""Factory"")-COUNTIF(C$4:C133,"&amp;"""Sell_Factory""))*(260*2^COUNTIF(C$4:C133,""Factory_up""))))"),"")</f>
        <v/>
      </c>
      <c r="F133" s="73" t="str">
        <f>IFERROR(__xludf.DUMMYFUNCTION("IF(COUNTA(C133:C147)=0,"""",IF(REGEXMATCH(INDEX(FILTER(C$4:C133,C$4:C133&lt;&gt;""""),ROWS(FILTER(C$4:C133,C$4:C133&lt;&gt;""""))),""^Sell_""),INDEX(FILTER(F$4:F132,C$4:C132&lt;&gt;""""),ROWS(FILTER(C$4:C132,C$4:C132&lt;&gt;""""))),$AC$5*(2^SWITCH(COUNTIF(C$4:C133,""Cursor_up"")"&amp;",0,0,1,1,2,2,3)+SWITCH(COUNTIF(C$4:C133,""Cursor_up""),4,0.1,0)*(ROW(C133)-4-COUNTIF(C$4:C133,""Cursor"")-COUNTIF(C$4:C133,""*""&amp;""_up"")-2*COUNTIF(C$4:C133,""Sell_""&amp;""*"")+COUNTIF(C$4:C133,""Sell_Cursor"")-COUNTIF(C$4:C133,""""))+0.01*E133*COUNTIF(C$4:C"&amp;"133,""Plastic_up""))+E133))"),"")</f>
        <v/>
      </c>
      <c r="G133" s="14" t="str">
        <f>IFERROR(__xludf.DUMMYFUNCTION("IF(COUNTA(C133:C147)=0,"""",IF(REGEXMATCH(C133,""_up""),VLOOKUP(C133,Upgrades!$F$3:$J$8,1+COUNTIF(C$4:C133,C133),FALSE),IF(C133="""",0,IF(REGEXMATCH(C133,""^Sell_""),-ROUNDDOWN(ROUNDUP(INDEX(Upgrades!$C$3:$C$8,MATCH(SUBSTITUTE(C133,""Sell_"",""""),Upgrade"&amp;"s!$B$3:$B$8,0))*1.15^(COUNTIF(C$4:C132,SUBSTITUTE(C133,""Sell_"",""""))-COUNTIF(C$4:C132,""Sell_""&amp;SUBSTITUTE(C133,""Sell_"",""""))))/4),ROUNDUP(INDEX(Upgrades!$C$3:$C$7,MATCH(C133,Upgrades!$B$3:$B$7,0))*1.15^(COUNTIF(C$4:C132,C133)-COUNTIF(C$4:C132,""Sel"&amp;"l_""&amp;C133)))))))"),"")</f>
        <v/>
      </c>
      <c r="H133" s="14" t="str">
        <f t="shared" si="3"/>
        <v/>
      </c>
      <c r="I133" s="75" t="str">
        <f t="shared" si="4"/>
        <v/>
      </c>
      <c r="J133" s="76" t="str">
        <f t="shared" si="5"/>
        <v/>
      </c>
      <c r="K133" s="71" t="str">
        <f t="shared" si="6"/>
        <v/>
      </c>
      <c r="L133" s="77" t="str">
        <f t="shared" si="7"/>
        <v/>
      </c>
      <c r="M133" s="51" t="str">
        <f t="shared" si="8"/>
        <v/>
      </c>
      <c r="N133" s="52" t="str">
        <f>IFERROR(__xludf.DUMMYFUNCTION("IFS(AND(COUNTA(C133:C147)=0,COUNTA(P133:P147)=0),"""",OR(AND(L133&gt;=1000000,OR(Y133&gt;=1000000,COUNTA(P133:P147)=0)),AND(Y133&gt;=1000000,COUNTA(C133:C147)=0),AND(COUNTA(P133:P147)=0,O$3=TRUE)),
ROUNDDOWN((AB$1-AC$1)*MAX(INDEX(S$4:S147,MATCH(LARGE(FILTER(Y$4:Y1"&amp;"47,Y$4:Y147&lt;1000000),1),Y$4:Y147)),INDEX(F$4:F147,MATCH(LARGE(FILTER(L$4:L147,L$4:L147&lt;1000000),1),L$4:L147)))),AND(L133&lt;1000000,COUNTA(C133:C147)&gt;0,O$3=FALSE),
ROUNDDOWN(INDEX(Y$4:Y147,MATCH(LARGE(FILTER(W$4:W147,W$4:W147&lt;=J133),1),W$4:W147))+(J133-LARGE"&amp;"(FILTER(W$4:W147,W$4:W147&lt;=J133),1))*INDEX(S$4:S147,MATCH(LARGE(FILTER(W$4:W147,W$4:W147&lt;=J133),1),W$4:W147))-L133),1,
ROUNDDOWN(Y133-INDEX(L$4:L147,MATCH(LARGE(FILTER(J$4:J147,J$4:J147&lt;=W133),1),J$4:J147))-(W133-LARGE(FILTER(J$4:J147,J$4:J147&lt;=W133),1))*"&amp;"INDEX(F$4:F147,MATCH(LARGE(FILTER(J$4:J147,J$4:J147&lt;=W133),1),J$4:J147))))"),"")</f>
        <v/>
      </c>
      <c r="O133" s="65" t="str">
        <f t="shared" si="9"/>
        <v/>
      </c>
      <c r="P133" s="15"/>
      <c r="Q133" s="14" t="str">
        <f>IFERROR(__xludf.DUMMYFUNCTION("IF(COUNTA(P133:P147)=0,"""",IFERROR(IF(ISBLANK(P133),FALSE,IF(ISBLANK(T133),1,IF(NOT(COUNTIF($AA$24:$AA$34,SUBSTITUTE(P133,""Sell_"",""""))),1,IF(P133=""Plastic_up"",IF(V133&lt;1000,1),IF(P133=""Super_Up"",IF(OR(COUNTIF(P$4:P133,""Grandma"")-COUNTIF(P$4:P133"&amp;",""Sell_Grandma"")&lt;1,COUNTIF(P$4:P133,VLOOKUP(P133,Upgrades!$F$8:$N$8,7+COUNTIF(P$4:P133,P133)))-COUNTIF(P$4:P133,""Sell_""&amp;VLOOKUP(P133,Upgrades!$F$8:$N$8,7+COUNTIF(P$4:P133,P133)))&lt;15),1),IF(REGEXMATCH(P133,""_up""),IF(COUNTIF(P$4:P133,SUBSTITUTE(P133,"&amp;"""_up"",""""))&lt;IFERROR(VLOOKUP(P133,Upgrades!$L$3:$P$6,1+COUNTIF(P$4:P133,P133),0),999),1),IF(REGEXMATCH(P133,""Sell_""),IF(COUNTIF(P$4:P133,SUBSTITUTE(P133,""Sell_"",""""))-COUNTIF(P$4:P132,P133)&lt;1,1),FALSE)))))))))"),"")</f>
        <v/>
      </c>
      <c r="R133" s="71" t="str">
        <f>IFERROR(__xludf.DUMMYFUNCTION("IF(REGEXMATCH(P133,""^Sell_""),R132, IF(COUNTA(P133:P147)=0,"""",(COUNTIF(P$4:P133,""Cursor"")-COUNTIF(P$4:P133,""Sell_Cursor""))*(0.1*2^SWITCH(COUNTIF(P$4:P133,""Cursor_up""),0,0,1,1,2,2,3)+SWITCH(COUNTIF(P$4:P133,""Cursor_up""),4,0.1,0)*(ROW(P133)-4-COU"&amp;"NTIF(P$4:P133,""Cursor"")-COUNTIF(P$4:P133,""*""&amp;""_up"")-2*COUNTIF(P$4:P133,""Sell_""&amp;""*"")+COUNTIF(P$4:P133,""Sell_Cursor"")-COUNTIF(P$4:P133,"""")))+(COUNTIF(P$4:P133,""Grandma"")-COUNTIF(P$4:P133,""Sell_Grandma""))*(1*2^(COUNTIF(P$4:P133,""Grandma_up"&amp;""")+COUNTIF(P$4:P133,""Super_up"")))+(COUNTIF(P$4:P133,""Farm"")-COUNTIF(P$4:P133,""Sell_Farm""))*(8*2^COUNTIF(P$4:P133,""Farm_up""))*IF(COUNTIF(P$4:P133,""Super_up"")&gt;0,1+0.01*(COUNTIF(P$4:P133,""Grandma"")-COUNTIF(P$4:P133,""Sell_Grandma"")),1)+(COUNTIF"&amp;"(P$4:P133,""Mine"")-COUNTIF(P$4:P133,""Sell_Mine""))*((47*2^COUNTIF(P$4:P133,""Mine_up""))*IF(COUNTIF(P$4:P133,""Super_up"")&gt;1,1+0.005*(COUNTIF(P$4:P133,""Grandma"")-COUNTIF(P$4:P133,""Sell_Grandma"")),1))+(COUNTIF(P$4:P133,""Factory"")-COUNTIF(P$4:P133,"&amp;"""Sell_Factory""))*(260*2^COUNTIF(P$4:P133,""Factory_up""))))"),"")</f>
        <v/>
      </c>
      <c r="S133" s="73" t="str">
        <f>IFERROR(__xludf.DUMMYFUNCTION("IF(COUNTA(P133:P147)=0,"""",IF(REGEXMATCH(INDEX(FILTER(P$4:P133,P$4:P133&lt;&gt;""""),ROWS(FILTER(P$4:P133,P$4:P133&lt;&gt;""""))),""^Sell_""),INDEX(FILTER(S$4:S132,P$4:P132&lt;&gt;""""),ROWS(FILTER(P$4:P132,P$4:P132&lt;&gt;""""))),$AD$5*(2^SWITCH(COUNTIF(P$4:P133,""Cursor_up"")"&amp;",0,0,1,1,2,2,3)+SWITCH(COUNTIF(P$4:P133,""Cursor_up""),4,0.1,0)*(ROW(P133)-4-COUNTIF(P$4:P133,""Cursor"")-COUNTIF(P$4:P133,""*""&amp;""_up"")-2*COUNTIF(P$4:P133,""Sell_""&amp;""*"")+COUNTIF(P$4:P133,""Sell_Cursor"")-COUNTIF(P$4:P133,""""))+0.01*R133*COUNTIF(P$4:P"&amp;"133,""Plastic_up""))+R133))"),"")</f>
        <v/>
      </c>
      <c r="T133" s="14" t="str">
        <f>IFERROR(__xludf.DUMMYFUNCTION("IF(COUNTA(P133:P147)=0,"""",IF(REGEXMATCH(P133,""_up""),VLOOKUP(P133,Upgrades!$F$3:$J$8,1+COUNTIF(P$4:P133,P133),FALSE),IF(P133="""",0,IF(REGEXMATCH(P133,""^Sell_""),-ROUNDDOWN(ROUNDUP(INDEX(Upgrades!$C$3:$C$8,MATCH(SUBSTITUTE(P133,""Sell_"",""""),Upgrade"&amp;"s!$B$3:$B$8,0))*1.15^(COUNTIF(P$4:P132,SUBSTITUTE(P133,""Sell_"",""""))-COUNTIF(P$4:P132,""Sell_""&amp;SUBSTITUTE(P133,""Sell_"",""""))))/4),ROUNDUP(INDEX(Upgrades!$C$3:$C$7,MATCH(P133,Upgrades!$B$3:$B$7,0))*1.15^(COUNTIF(P$4:P132,P133)-COUNTIF(P$4:P132,""Sel"&amp;"l_""&amp;P133)))))))"),"")</f>
        <v/>
      </c>
      <c r="U133" s="14" t="str">
        <f t="shared" si="10"/>
        <v/>
      </c>
      <c r="V133" s="75" t="str">
        <f t="shared" si="11"/>
        <v/>
      </c>
      <c r="W133" s="76" t="str">
        <f t="shared" si="12"/>
        <v/>
      </c>
      <c r="X133" s="71" t="str">
        <f t="shared" si="13"/>
        <v/>
      </c>
      <c r="Y133" s="77" t="str">
        <f t="shared" si="14"/>
        <v/>
      </c>
      <c r="Z133" s="17"/>
      <c r="AA133" s="13"/>
      <c r="AB133" s="13"/>
      <c r="AC133" s="13"/>
      <c r="AD133" s="13"/>
      <c r="AE133" s="13"/>
      <c r="AF133" s="13"/>
      <c r="AG133" s="13"/>
    </row>
    <row r="134">
      <c r="A134" s="12"/>
      <c r="B134" s="65" t="str">
        <f t="shared" si="2"/>
        <v/>
      </c>
      <c r="C134" s="66"/>
      <c r="D134" s="14" t="str">
        <f>IFERROR(__xludf.DUMMYFUNCTION("IF(COUNTA(C134:C147)=0,"""",IFERROR(IF(ISBLANK(C134),FALSE,IF(ISBLANK(G134),1,IF(NOT(COUNTIF($AA$24:$AA$34,SUBSTITUTE(C134,""Sell_"",""""))),1,IF(C134=""Plastic_up"",IF(I134&lt;1000,1),IF(C134=""Super_Up"",IF(OR(COUNTIF(C$4:C134,""Grandma"")-COUNTIF(C$4:C134"&amp;",""Sell_Grandma"")&lt;1,COUNTIF(C$4:C134,VLOOKUP(C134,Upgrades!$F$8:$N$8,7+COUNTIF(C$4:C134,C134)))-COUNTIF(C$4:C134,""Sell_""&amp;VLOOKUP(C134,Upgrades!$F$8:$N$8,7+COUNTIF(C$4:C134,C134)))&lt;15),1),IF(REGEXMATCH(C134,""_up""),IF(COUNTIF(C$4:C134,SUBSTITUTE(C134,"&amp;"""_up"",""""))&lt;IFERROR(VLOOKUP(C134,Upgrades!$L$3:$P$6,1+COUNTIF(C$4:C134,C134),0),999),1),IF(REGEXMATCH(C134,""Sell_""),IF(COUNTIF(C$4:C134,SUBSTITUTE(C134,""Sell_"",""""))-COUNTIF(C$4:C133,C134)&lt;1,1),FALSE)))))))))"),"")</f>
        <v/>
      </c>
      <c r="E134" s="71" t="str">
        <f>IFERROR(__xludf.DUMMYFUNCTION("IF(REGEXMATCH(C134,""^Sell_""),E133, IF(COUNTA(C134:C147)=0,"""",(COUNTIF(C$4:C134,""Cursor"")-COUNTIF(C$4:C134,""Sell_Cursor""))*(0.1*2^SWITCH(COUNTIF(C$4:C134,""Cursor_up""),0,0,1,1,2,2,3)+SWITCH(COUNTIF(C$4:C134,""Cursor_up""),4,0.1,0)*(ROW(C134)-4-COU"&amp;"NTIF(C$4:C134,""Cursor"")-COUNTIF(C$4:C134,""*""&amp;""_up"")-2*COUNTIF(C$4:C134,""Sell_""&amp;""*"")+COUNTIF(C$4:C134,""Sell_Cursor"")-COUNTIF(C$4:C134,"""")))+(COUNTIF(C$4:C134,""Grandma"")-COUNTIF(C$4:C134,""Sell_Grandma""))*(1*2^(COUNTIF(C$4:C134,""Grandma_up"&amp;""")+COUNTIF(C$4:C134,""Super_up"")))+(COUNTIF(C$4:C134,""Farm"")-COUNTIF(C$4:C134,""Sell_Farm""))*(8*2^COUNTIF(C$4:C134,""Farm_up""))*IF(COUNTIF(C$4:C134,""Super_up"")&gt;0,1+0.01*(COUNTIF(C$4:C134,""Grandma"")-COUNTIF(C$4:C134,""Sell_Grandma"")),1)+(COUNTIF"&amp;"(C$4:C134,""Mine"")-COUNTIF(C$4:C134,""Sell_Mine""))*((47*2^COUNTIF(C$4:C134,""Mine_up""))*IF(COUNTIF(C$4:C134,""Super_up"")&gt;1,1+0.005*(COUNTIF(C$4:C134,""Grandma"")-COUNTIF(C$4:C134,""Sell_Grandma"")),1))+(COUNTIF(C$4:C134,""Factory"")-COUNTIF(C$4:C134,"&amp;"""Sell_Factory""))*(260*2^COUNTIF(C$4:C134,""Factory_up""))))"),"")</f>
        <v/>
      </c>
      <c r="F134" s="73" t="str">
        <f>IFERROR(__xludf.DUMMYFUNCTION("IF(COUNTA(C134:C147)=0,"""",IF(REGEXMATCH(INDEX(FILTER(C$4:C134,C$4:C134&lt;&gt;""""),ROWS(FILTER(C$4:C134,C$4:C134&lt;&gt;""""))),""^Sell_""),INDEX(FILTER(F$4:F133,C$4:C133&lt;&gt;""""),ROWS(FILTER(C$4:C133,C$4:C133&lt;&gt;""""))),$AC$5*(2^SWITCH(COUNTIF(C$4:C134,""Cursor_up"")"&amp;",0,0,1,1,2,2,3)+SWITCH(COUNTIF(C$4:C134,""Cursor_up""),4,0.1,0)*(ROW(C134)-4-COUNTIF(C$4:C134,""Cursor"")-COUNTIF(C$4:C134,""*""&amp;""_up"")-2*COUNTIF(C$4:C134,""Sell_""&amp;""*"")+COUNTIF(C$4:C134,""Sell_Cursor"")-COUNTIF(C$4:C134,""""))+0.01*E134*COUNTIF(C$4:C"&amp;"134,""Plastic_up""))+E134))"),"")</f>
        <v/>
      </c>
      <c r="G134" s="14" t="str">
        <f>IFERROR(__xludf.DUMMYFUNCTION("IF(COUNTA(C134:C147)=0,"""",IF(REGEXMATCH(C134,""_up""),VLOOKUP(C134,Upgrades!$F$3:$J$8,1+COUNTIF(C$4:C134,C134),FALSE),IF(C134="""",0,IF(REGEXMATCH(C134,""^Sell_""),-ROUNDDOWN(ROUNDUP(INDEX(Upgrades!$C$3:$C$8,MATCH(SUBSTITUTE(C134,""Sell_"",""""),Upgrade"&amp;"s!$B$3:$B$8,0))*1.15^(COUNTIF(C$4:C133,SUBSTITUTE(C134,""Sell_"",""""))-COUNTIF(C$4:C133,""Sell_""&amp;SUBSTITUTE(C134,""Sell_"",""""))))/4),ROUNDUP(INDEX(Upgrades!$C$3:$C$7,MATCH(C134,Upgrades!$B$3:$B$7,0))*1.15^(COUNTIF(C$4:C133,C134)-COUNTIF(C$4:C133,""Sel"&amp;"l_""&amp;C134)))))))"),"")</f>
        <v/>
      </c>
      <c r="H134" s="14" t="str">
        <f t="shared" si="3"/>
        <v/>
      </c>
      <c r="I134" s="75" t="str">
        <f t="shared" si="4"/>
        <v/>
      </c>
      <c r="J134" s="76" t="str">
        <f t="shared" si="5"/>
        <v/>
      </c>
      <c r="K134" s="71" t="str">
        <f t="shared" si="6"/>
        <v/>
      </c>
      <c r="L134" s="77" t="str">
        <f t="shared" si="7"/>
        <v/>
      </c>
      <c r="M134" s="51" t="str">
        <f t="shared" si="8"/>
        <v/>
      </c>
      <c r="N134" s="52" t="str">
        <f>IFERROR(__xludf.DUMMYFUNCTION("IFS(AND(COUNTA(C134:C147)=0,COUNTA(P134:P147)=0),"""",OR(AND(L134&gt;=1000000,OR(Y134&gt;=1000000,COUNTA(P134:P147)=0)),AND(Y134&gt;=1000000,COUNTA(C134:C147)=0),AND(COUNTA(P134:P147)=0,O$3=TRUE)),
ROUNDDOWN((AB$1-AC$1)*MAX(INDEX(S$4:S147,MATCH(LARGE(FILTER(Y$4:Y1"&amp;"47,Y$4:Y147&lt;1000000),1),Y$4:Y147)),INDEX(F$4:F147,MATCH(LARGE(FILTER(L$4:L147,L$4:L147&lt;1000000),1),L$4:L147)))),AND(L134&lt;1000000,COUNTA(C134:C147)&gt;0,O$3=FALSE),
ROUNDDOWN(INDEX(Y$4:Y147,MATCH(LARGE(FILTER(W$4:W147,W$4:W147&lt;=J134),1),W$4:W147))+(J134-LARGE"&amp;"(FILTER(W$4:W147,W$4:W147&lt;=J134),1))*INDEX(S$4:S147,MATCH(LARGE(FILTER(W$4:W147,W$4:W147&lt;=J134),1),W$4:W147))-L134),1,
ROUNDDOWN(Y134-INDEX(L$4:L147,MATCH(LARGE(FILTER(J$4:J147,J$4:J147&lt;=W134),1),J$4:J147))-(W134-LARGE(FILTER(J$4:J147,J$4:J147&lt;=W134),1))*"&amp;"INDEX(F$4:F147,MATCH(LARGE(FILTER(J$4:J147,J$4:J147&lt;=W134),1),J$4:J147))))"),"")</f>
        <v/>
      </c>
      <c r="O134" s="65" t="str">
        <f t="shared" si="9"/>
        <v/>
      </c>
      <c r="P134" s="15"/>
      <c r="Q134" s="14" t="str">
        <f>IFERROR(__xludf.DUMMYFUNCTION("IF(COUNTA(P134:P147)=0,"""",IFERROR(IF(ISBLANK(P134),FALSE,IF(ISBLANK(T134),1,IF(NOT(COUNTIF($AA$24:$AA$34,SUBSTITUTE(P134,""Sell_"",""""))),1,IF(P134=""Plastic_up"",IF(V134&lt;1000,1),IF(P134=""Super_Up"",IF(OR(COUNTIF(P$4:P134,""Grandma"")-COUNTIF(P$4:P134"&amp;",""Sell_Grandma"")&lt;1,COUNTIF(P$4:P134,VLOOKUP(P134,Upgrades!$F$8:$N$8,7+COUNTIF(P$4:P134,P134)))-COUNTIF(P$4:P134,""Sell_""&amp;VLOOKUP(P134,Upgrades!$F$8:$N$8,7+COUNTIF(P$4:P134,P134)))&lt;15),1),IF(REGEXMATCH(P134,""_up""),IF(COUNTIF(P$4:P134,SUBSTITUTE(P134,"&amp;"""_up"",""""))&lt;IFERROR(VLOOKUP(P134,Upgrades!$L$3:$P$6,1+COUNTIF(P$4:P134,P134),0),999),1),IF(REGEXMATCH(P134,""Sell_""),IF(COUNTIF(P$4:P134,SUBSTITUTE(P134,""Sell_"",""""))-COUNTIF(P$4:P133,P134)&lt;1,1),FALSE)))))))))"),"")</f>
        <v/>
      </c>
      <c r="R134" s="71" t="str">
        <f>IFERROR(__xludf.DUMMYFUNCTION("IF(REGEXMATCH(P134,""^Sell_""),R133, IF(COUNTA(P134:P147)=0,"""",(COUNTIF(P$4:P134,""Cursor"")-COUNTIF(P$4:P134,""Sell_Cursor""))*(0.1*2^SWITCH(COUNTIF(P$4:P134,""Cursor_up""),0,0,1,1,2,2,3)+SWITCH(COUNTIF(P$4:P134,""Cursor_up""),4,0.1,0)*(ROW(P134)-4-COU"&amp;"NTIF(P$4:P134,""Cursor"")-COUNTIF(P$4:P134,""*""&amp;""_up"")-2*COUNTIF(P$4:P134,""Sell_""&amp;""*"")+COUNTIF(P$4:P134,""Sell_Cursor"")-COUNTIF(P$4:P134,"""")))+(COUNTIF(P$4:P134,""Grandma"")-COUNTIF(P$4:P134,""Sell_Grandma""))*(1*2^(COUNTIF(P$4:P134,""Grandma_up"&amp;""")+COUNTIF(P$4:P134,""Super_up"")))+(COUNTIF(P$4:P134,""Farm"")-COUNTIF(P$4:P134,""Sell_Farm""))*(8*2^COUNTIF(P$4:P134,""Farm_up""))*IF(COUNTIF(P$4:P134,""Super_up"")&gt;0,1+0.01*(COUNTIF(P$4:P134,""Grandma"")-COUNTIF(P$4:P134,""Sell_Grandma"")),1)+(COUNTIF"&amp;"(P$4:P134,""Mine"")-COUNTIF(P$4:P134,""Sell_Mine""))*((47*2^COUNTIF(P$4:P134,""Mine_up""))*IF(COUNTIF(P$4:P134,""Super_up"")&gt;1,1+0.005*(COUNTIF(P$4:P134,""Grandma"")-COUNTIF(P$4:P134,""Sell_Grandma"")),1))+(COUNTIF(P$4:P134,""Factory"")-COUNTIF(P$4:P134,"&amp;"""Sell_Factory""))*(260*2^COUNTIF(P$4:P134,""Factory_up""))))"),"")</f>
        <v/>
      </c>
      <c r="S134" s="73" t="str">
        <f>IFERROR(__xludf.DUMMYFUNCTION("IF(COUNTA(P134:P147)=0,"""",IF(REGEXMATCH(INDEX(FILTER(P$4:P134,P$4:P134&lt;&gt;""""),ROWS(FILTER(P$4:P134,P$4:P134&lt;&gt;""""))),""^Sell_""),INDEX(FILTER(S$4:S133,P$4:P133&lt;&gt;""""),ROWS(FILTER(P$4:P133,P$4:P133&lt;&gt;""""))),$AD$5*(2^SWITCH(COUNTIF(P$4:P134,""Cursor_up"")"&amp;",0,0,1,1,2,2,3)+SWITCH(COUNTIF(P$4:P134,""Cursor_up""),4,0.1,0)*(ROW(P134)-4-COUNTIF(P$4:P134,""Cursor"")-COUNTIF(P$4:P134,""*""&amp;""_up"")-2*COUNTIF(P$4:P134,""Sell_""&amp;""*"")+COUNTIF(P$4:P134,""Sell_Cursor"")-COUNTIF(P$4:P134,""""))+0.01*R134*COUNTIF(P$4:P"&amp;"134,""Plastic_up""))+R134))"),"")</f>
        <v/>
      </c>
      <c r="T134" s="14" t="str">
        <f>IFERROR(__xludf.DUMMYFUNCTION("IF(COUNTA(P134:P147)=0,"""",IF(REGEXMATCH(P134,""_up""),VLOOKUP(P134,Upgrades!$F$3:$J$8,1+COUNTIF(P$4:P134,P134),FALSE),IF(P134="""",0,IF(REGEXMATCH(P134,""^Sell_""),-ROUNDDOWN(ROUNDUP(INDEX(Upgrades!$C$3:$C$8,MATCH(SUBSTITUTE(P134,""Sell_"",""""),Upgrade"&amp;"s!$B$3:$B$8,0))*1.15^(COUNTIF(P$4:P133,SUBSTITUTE(P134,""Sell_"",""""))-COUNTIF(P$4:P133,""Sell_""&amp;SUBSTITUTE(P134,""Sell_"",""""))))/4),ROUNDUP(INDEX(Upgrades!$C$3:$C$7,MATCH(P134,Upgrades!$B$3:$B$7,0))*1.15^(COUNTIF(P$4:P133,P134)-COUNTIF(P$4:P133,""Sel"&amp;"l_""&amp;P134)))))))"),"")</f>
        <v/>
      </c>
      <c r="U134" s="14" t="str">
        <f t="shared" si="10"/>
        <v/>
      </c>
      <c r="V134" s="75" t="str">
        <f t="shared" si="11"/>
        <v/>
      </c>
      <c r="W134" s="76" t="str">
        <f t="shared" si="12"/>
        <v/>
      </c>
      <c r="X134" s="71" t="str">
        <f t="shared" si="13"/>
        <v/>
      </c>
      <c r="Y134" s="77" t="str">
        <f t="shared" si="14"/>
        <v/>
      </c>
      <c r="Z134" s="17"/>
      <c r="AA134" s="13"/>
      <c r="AB134" s="13"/>
      <c r="AC134" s="13"/>
      <c r="AD134" s="13"/>
      <c r="AE134" s="13"/>
      <c r="AF134" s="13"/>
      <c r="AG134" s="13"/>
    </row>
    <row r="135">
      <c r="A135" s="12"/>
      <c r="B135" s="65" t="str">
        <f t="shared" si="2"/>
        <v/>
      </c>
      <c r="C135" s="66"/>
      <c r="D135" s="14" t="str">
        <f>IFERROR(__xludf.DUMMYFUNCTION("IF(COUNTA(C135:C147)=0,"""",IFERROR(IF(ISBLANK(C135),FALSE,IF(ISBLANK(G135),1,IF(NOT(COUNTIF($AA$24:$AA$34,SUBSTITUTE(C135,""Sell_"",""""))),1,IF(C135=""Plastic_up"",IF(I135&lt;1000,1),IF(C135=""Super_Up"",IF(OR(COUNTIF(C$4:C135,""Grandma"")-COUNTIF(C$4:C135"&amp;",""Sell_Grandma"")&lt;1,COUNTIF(C$4:C135,VLOOKUP(C135,Upgrades!$F$8:$N$8,7+COUNTIF(C$4:C135,C135)))-COUNTIF(C$4:C135,""Sell_""&amp;VLOOKUP(C135,Upgrades!$F$8:$N$8,7+COUNTIF(C$4:C135,C135)))&lt;15),1),IF(REGEXMATCH(C135,""_up""),IF(COUNTIF(C$4:C135,SUBSTITUTE(C135,"&amp;"""_up"",""""))&lt;IFERROR(VLOOKUP(C135,Upgrades!$L$3:$P$6,1+COUNTIF(C$4:C135,C135),0),999),1),IF(REGEXMATCH(C135,""Sell_""),IF(COUNTIF(C$4:C135,SUBSTITUTE(C135,""Sell_"",""""))-COUNTIF(C$4:C134,C135)&lt;1,1),FALSE)))))))))"),"")</f>
        <v/>
      </c>
      <c r="E135" s="71" t="str">
        <f>IFERROR(__xludf.DUMMYFUNCTION("IF(REGEXMATCH(C135,""^Sell_""),E134, IF(COUNTA(C135:C147)=0,"""",(COUNTIF(C$4:C135,""Cursor"")-COUNTIF(C$4:C135,""Sell_Cursor""))*(0.1*2^SWITCH(COUNTIF(C$4:C135,""Cursor_up""),0,0,1,1,2,2,3)+SWITCH(COUNTIF(C$4:C135,""Cursor_up""),4,0.1,0)*(ROW(C135)-4-COU"&amp;"NTIF(C$4:C135,""Cursor"")-COUNTIF(C$4:C135,""*""&amp;""_up"")-2*COUNTIF(C$4:C135,""Sell_""&amp;""*"")+COUNTIF(C$4:C135,""Sell_Cursor"")-COUNTIF(C$4:C135,"""")))+(COUNTIF(C$4:C135,""Grandma"")-COUNTIF(C$4:C135,""Sell_Grandma""))*(1*2^(COUNTIF(C$4:C135,""Grandma_up"&amp;""")+COUNTIF(C$4:C135,""Super_up"")))+(COUNTIF(C$4:C135,""Farm"")-COUNTIF(C$4:C135,""Sell_Farm""))*(8*2^COUNTIF(C$4:C135,""Farm_up""))*IF(COUNTIF(C$4:C135,""Super_up"")&gt;0,1+0.01*(COUNTIF(C$4:C135,""Grandma"")-COUNTIF(C$4:C135,""Sell_Grandma"")),1)+(COUNTIF"&amp;"(C$4:C135,""Mine"")-COUNTIF(C$4:C135,""Sell_Mine""))*((47*2^COUNTIF(C$4:C135,""Mine_up""))*IF(COUNTIF(C$4:C135,""Super_up"")&gt;1,1+0.005*(COUNTIF(C$4:C135,""Grandma"")-COUNTIF(C$4:C135,""Sell_Grandma"")),1))+(COUNTIF(C$4:C135,""Factory"")-COUNTIF(C$4:C135,"&amp;"""Sell_Factory""))*(260*2^COUNTIF(C$4:C135,""Factory_up""))))"),"")</f>
        <v/>
      </c>
      <c r="F135" s="73" t="str">
        <f>IFERROR(__xludf.DUMMYFUNCTION("IF(COUNTA(C135:C147)=0,"""",IF(REGEXMATCH(INDEX(FILTER(C$4:C135,C$4:C135&lt;&gt;""""),ROWS(FILTER(C$4:C135,C$4:C135&lt;&gt;""""))),""^Sell_""),INDEX(FILTER(F$4:F134,C$4:C134&lt;&gt;""""),ROWS(FILTER(C$4:C134,C$4:C134&lt;&gt;""""))),$AC$5*(2^SWITCH(COUNTIF(C$4:C135,""Cursor_up"")"&amp;",0,0,1,1,2,2,3)+SWITCH(COUNTIF(C$4:C135,""Cursor_up""),4,0.1,0)*(ROW(C135)-4-COUNTIF(C$4:C135,""Cursor"")-COUNTIF(C$4:C135,""*""&amp;""_up"")-2*COUNTIF(C$4:C135,""Sell_""&amp;""*"")+COUNTIF(C$4:C135,""Sell_Cursor"")-COUNTIF(C$4:C135,""""))+0.01*E135*COUNTIF(C$4:C"&amp;"135,""Plastic_up""))+E135))"),"")</f>
        <v/>
      </c>
      <c r="G135" s="14" t="str">
        <f>IFERROR(__xludf.DUMMYFUNCTION("IF(COUNTA(C135:C147)=0,"""",IF(REGEXMATCH(C135,""_up""),VLOOKUP(C135,Upgrades!$F$3:$J$8,1+COUNTIF(C$4:C135,C135),FALSE),IF(C135="""",0,IF(REGEXMATCH(C135,""^Sell_""),-ROUNDDOWN(ROUNDUP(INDEX(Upgrades!$C$3:$C$8,MATCH(SUBSTITUTE(C135,""Sell_"",""""),Upgrade"&amp;"s!$B$3:$B$8,0))*1.15^(COUNTIF(C$4:C134,SUBSTITUTE(C135,""Sell_"",""""))-COUNTIF(C$4:C134,""Sell_""&amp;SUBSTITUTE(C135,""Sell_"",""""))))/4),ROUNDUP(INDEX(Upgrades!$C$3:$C$7,MATCH(C135,Upgrades!$B$3:$B$7,0))*1.15^(COUNTIF(C$4:C134,C135)-COUNTIF(C$4:C134,""Sel"&amp;"l_""&amp;C135)))))))"),"")</f>
        <v/>
      </c>
      <c r="H135" s="14" t="str">
        <f t="shared" si="3"/>
        <v/>
      </c>
      <c r="I135" s="75" t="str">
        <f t="shared" si="4"/>
        <v/>
      </c>
      <c r="J135" s="76" t="str">
        <f t="shared" si="5"/>
        <v/>
      </c>
      <c r="K135" s="71" t="str">
        <f t="shared" si="6"/>
        <v/>
      </c>
      <c r="L135" s="77" t="str">
        <f t="shared" si="7"/>
        <v/>
      </c>
      <c r="M135" s="51" t="str">
        <f t="shared" si="8"/>
        <v/>
      </c>
      <c r="N135" s="52" t="str">
        <f>IFERROR(__xludf.DUMMYFUNCTION("IFS(AND(COUNTA(C135:C147)=0,COUNTA(P135:P147)=0),"""",OR(AND(L135&gt;=1000000,OR(Y135&gt;=1000000,COUNTA(P135:P147)=0)),AND(Y135&gt;=1000000,COUNTA(C135:C147)=0),AND(COUNTA(P135:P147)=0,O$3=TRUE)),
ROUNDDOWN((AB$1-AC$1)*MAX(INDEX(S$4:S147,MATCH(LARGE(FILTER(Y$4:Y1"&amp;"47,Y$4:Y147&lt;1000000),1),Y$4:Y147)),INDEX(F$4:F147,MATCH(LARGE(FILTER(L$4:L147,L$4:L147&lt;1000000),1),L$4:L147)))),AND(L135&lt;1000000,COUNTA(C135:C147)&gt;0,O$3=FALSE),
ROUNDDOWN(INDEX(Y$4:Y147,MATCH(LARGE(FILTER(W$4:W147,W$4:W147&lt;=J135),1),W$4:W147))+(J135-LARGE"&amp;"(FILTER(W$4:W147,W$4:W147&lt;=J135),1))*INDEX(S$4:S147,MATCH(LARGE(FILTER(W$4:W147,W$4:W147&lt;=J135),1),W$4:W147))-L135),1,
ROUNDDOWN(Y135-INDEX(L$4:L147,MATCH(LARGE(FILTER(J$4:J147,J$4:J147&lt;=W135),1),J$4:J147))-(W135-LARGE(FILTER(J$4:J147,J$4:J147&lt;=W135),1))*"&amp;"INDEX(F$4:F147,MATCH(LARGE(FILTER(J$4:J147,J$4:J147&lt;=W135),1),J$4:J147))))"),"")</f>
        <v/>
      </c>
      <c r="O135" s="65" t="str">
        <f t="shared" si="9"/>
        <v/>
      </c>
      <c r="P135" s="15"/>
      <c r="Q135" s="14" t="str">
        <f>IFERROR(__xludf.DUMMYFUNCTION("IF(COUNTA(P135:P147)=0,"""",IFERROR(IF(ISBLANK(P135),FALSE,IF(ISBLANK(T135),1,IF(NOT(COUNTIF($AA$24:$AA$34,SUBSTITUTE(P135,""Sell_"",""""))),1,IF(P135=""Plastic_up"",IF(V135&lt;1000,1),IF(P135=""Super_Up"",IF(OR(COUNTIF(P$4:P135,""Grandma"")-COUNTIF(P$4:P135"&amp;",""Sell_Grandma"")&lt;1,COUNTIF(P$4:P135,VLOOKUP(P135,Upgrades!$F$8:$N$8,7+COUNTIF(P$4:P135,P135)))-COUNTIF(P$4:P135,""Sell_""&amp;VLOOKUP(P135,Upgrades!$F$8:$N$8,7+COUNTIF(P$4:P135,P135)))&lt;15),1),IF(REGEXMATCH(P135,""_up""),IF(COUNTIF(P$4:P135,SUBSTITUTE(P135,"&amp;"""_up"",""""))&lt;IFERROR(VLOOKUP(P135,Upgrades!$L$3:$P$6,1+COUNTIF(P$4:P135,P135),0),999),1),IF(REGEXMATCH(P135,""Sell_""),IF(COUNTIF(P$4:P135,SUBSTITUTE(P135,""Sell_"",""""))-COUNTIF(P$4:P134,P135)&lt;1,1),FALSE)))))))))"),"")</f>
        <v/>
      </c>
      <c r="R135" s="71" t="str">
        <f>IFERROR(__xludf.DUMMYFUNCTION("IF(REGEXMATCH(P135,""^Sell_""),R134, IF(COUNTA(P135:P147)=0,"""",(COUNTIF(P$4:P135,""Cursor"")-COUNTIF(P$4:P135,""Sell_Cursor""))*(0.1*2^SWITCH(COUNTIF(P$4:P135,""Cursor_up""),0,0,1,1,2,2,3)+SWITCH(COUNTIF(P$4:P135,""Cursor_up""),4,0.1,0)*(ROW(P135)-4-COU"&amp;"NTIF(P$4:P135,""Cursor"")-COUNTIF(P$4:P135,""*""&amp;""_up"")-2*COUNTIF(P$4:P135,""Sell_""&amp;""*"")+COUNTIF(P$4:P135,""Sell_Cursor"")-COUNTIF(P$4:P135,"""")))+(COUNTIF(P$4:P135,""Grandma"")-COUNTIF(P$4:P135,""Sell_Grandma""))*(1*2^(COUNTIF(P$4:P135,""Grandma_up"&amp;""")+COUNTIF(P$4:P135,""Super_up"")))+(COUNTIF(P$4:P135,""Farm"")-COUNTIF(P$4:P135,""Sell_Farm""))*(8*2^COUNTIF(P$4:P135,""Farm_up""))*IF(COUNTIF(P$4:P135,""Super_up"")&gt;0,1+0.01*(COUNTIF(P$4:P135,""Grandma"")-COUNTIF(P$4:P135,""Sell_Grandma"")),1)+(COUNTIF"&amp;"(P$4:P135,""Mine"")-COUNTIF(P$4:P135,""Sell_Mine""))*((47*2^COUNTIF(P$4:P135,""Mine_up""))*IF(COUNTIF(P$4:P135,""Super_up"")&gt;1,1+0.005*(COUNTIF(P$4:P135,""Grandma"")-COUNTIF(P$4:P135,""Sell_Grandma"")),1))+(COUNTIF(P$4:P135,""Factory"")-COUNTIF(P$4:P135,"&amp;"""Sell_Factory""))*(260*2^COUNTIF(P$4:P135,""Factory_up""))))"),"")</f>
        <v/>
      </c>
      <c r="S135" s="73" t="str">
        <f>IFERROR(__xludf.DUMMYFUNCTION("IF(COUNTA(P135:P147)=0,"""",IF(REGEXMATCH(INDEX(FILTER(P$4:P135,P$4:P135&lt;&gt;""""),ROWS(FILTER(P$4:P135,P$4:P135&lt;&gt;""""))),""^Sell_""),INDEX(FILTER(S$4:S134,P$4:P134&lt;&gt;""""),ROWS(FILTER(P$4:P134,P$4:P134&lt;&gt;""""))),$AD$5*(2^SWITCH(COUNTIF(P$4:P135,""Cursor_up"")"&amp;",0,0,1,1,2,2,3)+SWITCH(COUNTIF(P$4:P135,""Cursor_up""),4,0.1,0)*(ROW(P135)-4-COUNTIF(P$4:P135,""Cursor"")-COUNTIF(P$4:P135,""*""&amp;""_up"")-2*COUNTIF(P$4:P135,""Sell_""&amp;""*"")+COUNTIF(P$4:P135,""Sell_Cursor"")-COUNTIF(P$4:P135,""""))+0.01*R135*COUNTIF(P$4:P"&amp;"135,""Plastic_up""))+R135))"),"")</f>
        <v/>
      </c>
      <c r="T135" s="14" t="str">
        <f>IFERROR(__xludf.DUMMYFUNCTION("IF(COUNTA(P135:P147)=0,"""",IF(REGEXMATCH(P135,""_up""),VLOOKUP(P135,Upgrades!$F$3:$J$8,1+COUNTIF(P$4:P135,P135),FALSE),IF(P135="""",0,IF(REGEXMATCH(P135,""^Sell_""),-ROUNDDOWN(ROUNDUP(INDEX(Upgrades!$C$3:$C$8,MATCH(SUBSTITUTE(P135,""Sell_"",""""),Upgrade"&amp;"s!$B$3:$B$8,0))*1.15^(COUNTIF(P$4:P134,SUBSTITUTE(P135,""Sell_"",""""))-COUNTIF(P$4:P134,""Sell_""&amp;SUBSTITUTE(P135,""Sell_"",""""))))/4),ROUNDUP(INDEX(Upgrades!$C$3:$C$7,MATCH(P135,Upgrades!$B$3:$B$7,0))*1.15^(COUNTIF(P$4:P134,P135)-COUNTIF(P$4:P134,""Sel"&amp;"l_""&amp;P135)))))))"),"")</f>
        <v/>
      </c>
      <c r="U135" s="14" t="str">
        <f t="shared" si="10"/>
        <v/>
      </c>
      <c r="V135" s="75" t="str">
        <f t="shared" si="11"/>
        <v/>
      </c>
      <c r="W135" s="76" t="str">
        <f t="shared" si="12"/>
        <v/>
      </c>
      <c r="X135" s="71" t="str">
        <f t="shared" si="13"/>
        <v/>
      </c>
      <c r="Y135" s="77" t="str">
        <f t="shared" si="14"/>
        <v/>
      </c>
      <c r="Z135" s="17"/>
      <c r="AA135" s="13"/>
      <c r="AB135" s="15"/>
      <c r="AC135" s="13"/>
      <c r="AD135" s="13"/>
      <c r="AE135" s="13"/>
      <c r="AF135" s="13"/>
      <c r="AG135" s="13"/>
    </row>
    <row r="136">
      <c r="A136" s="12"/>
      <c r="B136" s="65" t="str">
        <f t="shared" si="2"/>
        <v/>
      </c>
      <c r="C136" s="66"/>
      <c r="D136" s="14" t="str">
        <f>IFERROR(__xludf.DUMMYFUNCTION("IF(COUNTA(C136:C147)=0,"""",IFERROR(IF(ISBLANK(C136),FALSE,IF(ISBLANK(G136),1,IF(NOT(COUNTIF($AA$24:$AA$34,SUBSTITUTE(C136,""Sell_"",""""))),1,IF(C136=""Plastic_up"",IF(I136&lt;1000,1),IF(C136=""Super_Up"",IF(OR(COUNTIF(C$4:C136,""Grandma"")-COUNTIF(C$4:C136"&amp;",""Sell_Grandma"")&lt;1,COUNTIF(C$4:C136,VLOOKUP(C136,Upgrades!$F$8:$N$8,7+COUNTIF(C$4:C136,C136)))-COUNTIF(C$4:C136,""Sell_""&amp;VLOOKUP(C136,Upgrades!$F$8:$N$8,7+COUNTIF(C$4:C136,C136)))&lt;15),1),IF(REGEXMATCH(C136,""_up""),IF(COUNTIF(C$4:C136,SUBSTITUTE(C136,"&amp;"""_up"",""""))&lt;IFERROR(VLOOKUP(C136,Upgrades!$L$3:$P$6,1+COUNTIF(C$4:C136,C136),0),999),1),IF(REGEXMATCH(C136,""Sell_""),IF(COUNTIF(C$4:C136,SUBSTITUTE(C136,""Sell_"",""""))-COUNTIF(C$4:C135,C136)&lt;1,1),FALSE)))))))))"),"")</f>
        <v/>
      </c>
      <c r="E136" s="71" t="str">
        <f>IFERROR(__xludf.DUMMYFUNCTION("IF(REGEXMATCH(C136,""^Sell_""),E135, IF(COUNTA(C136:C147)=0,"""",(COUNTIF(C$4:C136,""Cursor"")-COUNTIF(C$4:C136,""Sell_Cursor""))*(0.1*2^SWITCH(COUNTIF(C$4:C136,""Cursor_up""),0,0,1,1,2,2,3)+SWITCH(COUNTIF(C$4:C136,""Cursor_up""),4,0.1,0)*(ROW(C136)-4-COU"&amp;"NTIF(C$4:C136,""Cursor"")-COUNTIF(C$4:C136,""*""&amp;""_up"")-2*COUNTIF(C$4:C136,""Sell_""&amp;""*"")+COUNTIF(C$4:C136,""Sell_Cursor"")-COUNTIF(C$4:C136,"""")))+(COUNTIF(C$4:C136,""Grandma"")-COUNTIF(C$4:C136,""Sell_Grandma""))*(1*2^(COUNTIF(C$4:C136,""Grandma_up"&amp;""")+COUNTIF(C$4:C136,""Super_up"")))+(COUNTIF(C$4:C136,""Farm"")-COUNTIF(C$4:C136,""Sell_Farm""))*(8*2^COUNTIF(C$4:C136,""Farm_up""))*IF(COUNTIF(C$4:C136,""Super_up"")&gt;0,1+0.01*(COUNTIF(C$4:C136,""Grandma"")-COUNTIF(C$4:C136,""Sell_Grandma"")),1)+(COUNTIF"&amp;"(C$4:C136,""Mine"")-COUNTIF(C$4:C136,""Sell_Mine""))*((47*2^COUNTIF(C$4:C136,""Mine_up""))*IF(COUNTIF(C$4:C136,""Super_up"")&gt;1,1+0.005*(COUNTIF(C$4:C136,""Grandma"")-COUNTIF(C$4:C136,""Sell_Grandma"")),1))+(COUNTIF(C$4:C136,""Factory"")-COUNTIF(C$4:C136,"&amp;"""Sell_Factory""))*(260*2^COUNTIF(C$4:C136,""Factory_up""))))"),"")</f>
        <v/>
      </c>
      <c r="F136" s="73" t="str">
        <f>IFERROR(__xludf.DUMMYFUNCTION("IF(COUNTA(C136:C147)=0,"""",IF(REGEXMATCH(INDEX(FILTER(C$4:C136,C$4:C136&lt;&gt;""""),ROWS(FILTER(C$4:C136,C$4:C136&lt;&gt;""""))),""^Sell_""),INDEX(FILTER(F$4:F135,C$4:C135&lt;&gt;""""),ROWS(FILTER(C$4:C135,C$4:C135&lt;&gt;""""))),$AC$5*(2^SWITCH(COUNTIF(C$4:C136,""Cursor_up"")"&amp;",0,0,1,1,2,2,3)+SWITCH(COUNTIF(C$4:C136,""Cursor_up""),4,0.1,0)*(ROW(C136)-4-COUNTIF(C$4:C136,""Cursor"")-COUNTIF(C$4:C136,""*""&amp;""_up"")-2*COUNTIF(C$4:C136,""Sell_""&amp;""*"")+COUNTIF(C$4:C136,""Sell_Cursor"")-COUNTIF(C$4:C136,""""))+0.01*E136*COUNTIF(C$4:C"&amp;"136,""Plastic_up""))+E136))"),"")</f>
        <v/>
      </c>
      <c r="G136" s="14" t="str">
        <f>IFERROR(__xludf.DUMMYFUNCTION("IF(COUNTA(C136:C147)=0,"""",IF(REGEXMATCH(C136,""_up""),VLOOKUP(C136,Upgrades!$F$3:$J$8,1+COUNTIF(C$4:C136,C136),FALSE),IF(C136="""",0,IF(REGEXMATCH(C136,""^Sell_""),-ROUNDDOWN(ROUNDUP(INDEX(Upgrades!$C$3:$C$8,MATCH(SUBSTITUTE(C136,""Sell_"",""""),Upgrade"&amp;"s!$B$3:$B$8,0))*1.15^(COUNTIF(C$4:C135,SUBSTITUTE(C136,""Sell_"",""""))-COUNTIF(C$4:C135,""Sell_""&amp;SUBSTITUTE(C136,""Sell_"",""""))))/4),ROUNDUP(INDEX(Upgrades!$C$3:$C$7,MATCH(C136,Upgrades!$B$3:$B$7,0))*1.15^(COUNTIF(C$4:C135,C136)-COUNTIF(C$4:C135,""Sel"&amp;"l_""&amp;C136)))))))"),"")</f>
        <v/>
      </c>
      <c r="H136" s="14" t="str">
        <f t="shared" si="3"/>
        <v/>
      </c>
      <c r="I136" s="75" t="str">
        <f t="shared" si="4"/>
        <v/>
      </c>
      <c r="J136" s="76" t="str">
        <f t="shared" si="5"/>
        <v/>
      </c>
      <c r="K136" s="71" t="str">
        <f t="shared" si="6"/>
        <v/>
      </c>
      <c r="L136" s="77" t="str">
        <f t="shared" si="7"/>
        <v/>
      </c>
      <c r="M136" s="51" t="str">
        <f t="shared" si="8"/>
        <v/>
      </c>
      <c r="N136" s="52" t="str">
        <f>IFERROR(__xludf.DUMMYFUNCTION("IFS(AND(COUNTA(C136:C147)=0,COUNTA(P136:P147)=0),"""",OR(AND(L136&gt;=1000000,OR(Y136&gt;=1000000,COUNTA(P136:P147)=0)),AND(Y136&gt;=1000000,COUNTA(C136:C147)=0),AND(COUNTA(P136:P147)=0,O$3=TRUE)),
ROUNDDOWN((AB$1-AC$1)*MAX(INDEX(S$4:S147,MATCH(LARGE(FILTER(Y$4:Y1"&amp;"47,Y$4:Y147&lt;1000000),1),Y$4:Y147)),INDEX(F$4:F147,MATCH(LARGE(FILTER(L$4:L147,L$4:L147&lt;1000000),1),L$4:L147)))),AND(L136&lt;1000000,COUNTA(C136:C147)&gt;0,O$3=FALSE),
ROUNDDOWN(INDEX(Y$4:Y147,MATCH(LARGE(FILTER(W$4:W147,W$4:W147&lt;=J136),1),W$4:W147))+(J136-LARGE"&amp;"(FILTER(W$4:W147,W$4:W147&lt;=J136),1))*INDEX(S$4:S147,MATCH(LARGE(FILTER(W$4:W147,W$4:W147&lt;=J136),1),W$4:W147))-L136),1,
ROUNDDOWN(Y136-INDEX(L$4:L147,MATCH(LARGE(FILTER(J$4:J147,J$4:J147&lt;=W136),1),J$4:J147))-(W136-LARGE(FILTER(J$4:J147,J$4:J147&lt;=W136),1))*"&amp;"INDEX(F$4:F147,MATCH(LARGE(FILTER(J$4:J147,J$4:J147&lt;=W136),1),J$4:J147))))"),"")</f>
        <v/>
      </c>
      <c r="O136" s="65" t="str">
        <f t="shared" si="9"/>
        <v/>
      </c>
      <c r="P136" s="15"/>
      <c r="Q136" s="14" t="str">
        <f>IFERROR(__xludf.DUMMYFUNCTION("IF(COUNTA(P136:P147)=0,"""",IFERROR(IF(ISBLANK(P136),FALSE,IF(ISBLANK(T136),1,IF(NOT(COUNTIF($AA$24:$AA$34,SUBSTITUTE(P136,""Sell_"",""""))),1,IF(P136=""Plastic_up"",IF(V136&lt;1000,1),IF(P136=""Super_Up"",IF(OR(COUNTIF(P$4:P136,""Grandma"")-COUNTIF(P$4:P136"&amp;",""Sell_Grandma"")&lt;1,COUNTIF(P$4:P136,VLOOKUP(P136,Upgrades!$F$8:$N$8,7+COUNTIF(P$4:P136,P136)))-COUNTIF(P$4:P136,""Sell_""&amp;VLOOKUP(P136,Upgrades!$F$8:$N$8,7+COUNTIF(P$4:P136,P136)))&lt;15),1),IF(REGEXMATCH(P136,""_up""),IF(COUNTIF(P$4:P136,SUBSTITUTE(P136,"&amp;"""_up"",""""))&lt;IFERROR(VLOOKUP(P136,Upgrades!$L$3:$P$6,1+COUNTIF(P$4:P136,P136),0),999),1),IF(REGEXMATCH(P136,""Sell_""),IF(COUNTIF(P$4:P136,SUBSTITUTE(P136,""Sell_"",""""))-COUNTIF(P$4:P135,P136)&lt;1,1),FALSE)))))))))"),"")</f>
        <v/>
      </c>
      <c r="R136" s="71" t="str">
        <f>IFERROR(__xludf.DUMMYFUNCTION("IF(REGEXMATCH(P136,""^Sell_""),R135, IF(COUNTA(P136:P147)=0,"""",(COUNTIF(P$4:P136,""Cursor"")-COUNTIF(P$4:P136,""Sell_Cursor""))*(0.1*2^SWITCH(COUNTIF(P$4:P136,""Cursor_up""),0,0,1,1,2,2,3)+SWITCH(COUNTIF(P$4:P136,""Cursor_up""),4,0.1,0)*(ROW(P136)-4-COU"&amp;"NTIF(P$4:P136,""Cursor"")-COUNTIF(P$4:P136,""*""&amp;""_up"")-2*COUNTIF(P$4:P136,""Sell_""&amp;""*"")+COUNTIF(P$4:P136,""Sell_Cursor"")-COUNTIF(P$4:P136,"""")))+(COUNTIF(P$4:P136,""Grandma"")-COUNTIF(P$4:P136,""Sell_Grandma""))*(1*2^(COUNTIF(P$4:P136,""Grandma_up"&amp;""")+COUNTIF(P$4:P136,""Super_up"")))+(COUNTIF(P$4:P136,""Farm"")-COUNTIF(P$4:P136,""Sell_Farm""))*(8*2^COUNTIF(P$4:P136,""Farm_up""))*IF(COUNTIF(P$4:P136,""Super_up"")&gt;0,1+0.01*(COUNTIF(P$4:P136,""Grandma"")-COUNTIF(P$4:P136,""Sell_Grandma"")),1)+(COUNTIF"&amp;"(P$4:P136,""Mine"")-COUNTIF(P$4:P136,""Sell_Mine""))*((47*2^COUNTIF(P$4:P136,""Mine_up""))*IF(COUNTIF(P$4:P136,""Super_up"")&gt;1,1+0.005*(COUNTIF(P$4:P136,""Grandma"")-COUNTIF(P$4:P136,""Sell_Grandma"")),1))+(COUNTIF(P$4:P136,""Factory"")-COUNTIF(P$4:P136,"&amp;"""Sell_Factory""))*(260*2^COUNTIF(P$4:P136,""Factory_up""))))"),"")</f>
        <v/>
      </c>
      <c r="S136" s="73" t="str">
        <f>IFERROR(__xludf.DUMMYFUNCTION("IF(COUNTA(P136:P147)=0,"""",IF(REGEXMATCH(INDEX(FILTER(P$4:P136,P$4:P136&lt;&gt;""""),ROWS(FILTER(P$4:P136,P$4:P136&lt;&gt;""""))),""^Sell_""),INDEX(FILTER(S$4:S135,P$4:P135&lt;&gt;""""),ROWS(FILTER(P$4:P135,P$4:P135&lt;&gt;""""))),$AD$5*(2^SWITCH(COUNTIF(P$4:P136,""Cursor_up"")"&amp;",0,0,1,1,2,2,3)+SWITCH(COUNTIF(P$4:P136,""Cursor_up""),4,0.1,0)*(ROW(P136)-4-COUNTIF(P$4:P136,""Cursor"")-COUNTIF(P$4:P136,""*""&amp;""_up"")-2*COUNTIF(P$4:P136,""Sell_""&amp;""*"")+COUNTIF(P$4:P136,""Sell_Cursor"")-COUNTIF(P$4:P136,""""))+0.01*R136*COUNTIF(P$4:P"&amp;"136,""Plastic_up""))+R136))"),"")</f>
        <v/>
      </c>
      <c r="T136" s="14" t="str">
        <f>IFERROR(__xludf.DUMMYFUNCTION("IF(COUNTA(P136:P147)=0,"""",IF(REGEXMATCH(P136,""_up""),VLOOKUP(P136,Upgrades!$F$3:$J$8,1+COUNTIF(P$4:P136,P136),FALSE),IF(P136="""",0,IF(REGEXMATCH(P136,""^Sell_""),-ROUNDDOWN(ROUNDUP(INDEX(Upgrades!$C$3:$C$8,MATCH(SUBSTITUTE(P136,""Sell_"",""""),Upgrade"&amp;"s!$B$3:$B$8,0))*1.15^(COUNTIF(P$4:P135,SUBSTITUTE(P136,""Sell_"",""""))-COUNTIF(P$4:P135,""Sell_""&amp;SUBSTITUTE(P136,""Sell_"",""""))))/4),ROUNDUP(INDEX(Upgrades!$C$3:$C$7,MATCH(P136,Upgrades!$B$3:$B$7,0))*1.15^(COUNTIF(P$4:P135,P136)-COUNTIF(P$4:P135,""Sel"&amp;"l_""&amp;P136)))))))"),"")</f>
        <v/>
      </c>
      <c r="U136" s="14" t="str">
        <f t="shared" si="10"/>
        <v/>
      </c>
      <c r="V136" s="75" t="str">
        <f t="shared" si="11"/>
        <v/>
      </c>
      <c r="W136" s="76" t="str">
        <f t="shared" si="12"/>
        <v/>
      </c>
      <c r="X136" s="71" t="str">
        <f t="shared" si="13"/>
        <v/>
      </c>
      <c r="Y136" s="77" t="str">
        <f t="shared" si="14"/>
        <v/>
      </c>
      <c r="Z136" s="17"/>
      <c r="AA136" s="13"/>
      <c r="AB136" s="13"/>
      <c r="AC136" s="13"/>
      <c r="AD136" s="13"/>
      <c r="AE136" s="13"/>
      <c r="AF136" s="13"/>
      <c r="AG136" s="13"/>
    </row>
    <row r="137">
      <c r="A137" s="12"/>
      <c r="B137" s="65" t="str">
        <f t="shared" si="2"/>
        <v/>
      </c>
      <c r="C137" s="66"/>
      <c r="D137" s="14" t="str">
        <f>IFERROR(__xludf.DUMMYFUNCTION("IF(COUNTA(C137:C147)=0,"""",IFERROR(IF(ISBLANK(C137),FALSE,IF(ISBLANK(G137),1,IF(NOT(COUNTIF($AA$24:$AA$34,SUBSTITUTE(C137,""Sell_"",""""))),1,IF(C137=""Plastic_up"",IF(I137&lt;1000,1),IF(C137=""Super_Up"",IF(OR(COUNTIF(C$4:C137,""Grandma"")-COUNTIF(C$4:C137"&amp;",""Sell_Grandma"")&lt;1,COUNTIF(C$4:C137,VLOOKUP(C137,Upgrades!$F$8:$N$8,7+COUNTIF(C$4:C137,C137)))-COUNTIF(C$4:C137,""Sell_""&amp;VLOOKUP(C137,Upgrades!$F$8:$N$8,7+COUNTIF(C$4:C137,C137)))&lt;15),1),IF(REGEXMATCH(C137,""_up""),IF(COUNTIF(C$4:C137,SUBSTITUTE(C137,"&amp;"""_up"",""""))&lt;IFERROR(VLOOKUP(C137,Upgrades!$L$3:$P$6,1+COUNTIF(C$4:C137,C137),0),999),1),IF(REGEXMATCH(C137,""Sell_""),IF(COUNTIF(C$4:C137,SUBSTITUTE(C137,""Sell_"",""""))-COUNTIF(C$4:C136,C137)&lt;1,1),FALSE)))))))))"),"")</f>
        <v/>
      </c>
      <c r="E137" s="71" t="str">
        <f>IFERROR(__xludf.DUMMYFUNCTION("IF(REGEXMATCH(C137,""^Sell_""),E136, IF(COUNTA(C137:C147)=0,"""",(COUNTIF(C$4:C137,""Cursor"")-COUNTIF(C$4:C137,""Sell_Cursor""))*(0.1*2^SWITCH(COUNTIF(C$4:C137,""Cursor_up""),0,0,1,1,2,2,3)+SWITCH(COUNTIF(C$4:C137,""Cursor_up""),4,0.1,0)*(ROW(C137)-4-COU"&amp;"NTIF(C$4:C137,""Cursor"")-COUNTIF(C$4:C137,""*""&amp;""_up"")-2*COUNTIF(C$4:C137,""Sell_""&amp;""*"")+COUNTIF(C$4:C137,""Sell_Cursor"")-COUNTIF(C$4:C137,"""")))+(COUNTIF(C$4:C137,""Grandma"")-COUNTIF(C$4:C137,""Sell_Grandma""))*(1*2^(COUNTIF(C$4:C137,""Grandma_up"&amp;""")+COUNTIF(C$4:C137,""Super_up"")))+(COUNTIF(C$4:C137,""Farm"")-COUNTIF(C$4:C137,""Sell_Farm""))*(8*2^COUNTIF(C$4:C137,""Farm_up""))*IF(COUNTIF(C$4:C137,""Super_up"")&gt;0,1+0.01*(COUNTIF(C$4:C137,""Grandma"")-COUNTIF(C$4:C137,""Sell_Grandma"")),1)+(COUNTIF"&amp;"(C$4:C137,""Mine"")-COUNTIF(C$4:C137,""Sell_Mine""))*((47*2^COUNTIF(C$4:C137,""Mine_up""))*IF(COUNTIF(C$4:C137,""Super_up"")&gt;1,1+0.005*(COUNTIF(C$4:C137,""Grandma"")-COUNTIF(C$4:C137,""Sell_Grandma"")),1))+(COUNTIF(C$4:C137,""Factory"")-COUNTIF(C$4:C137,"&amp;"""Sell_Factory""))*(260*2^COUNTIF(C$4:C137,""Factory_up""))))"),"")</f>
        <v/>
      </c>
      <c r="F137" s="73" t="str">
        <f>IFERROR(__xludf.DUMMYFUNCTION("IF(COUNTA(C137:C147)=0,"""",IF(REGEXMATCH(INDEX(FILTER(C$4:C137,C$4:C137&lt;&gt;""""),ROWS(FILTER(C$4:C137,C$4:C137&lt;&gt;""""))),""^Sell_""),INDEX(FILTER(F$4:F136,C$4:C136&lt;&gt;""""),ROWS(FILTER(C$4:C136,C$4:C136&lt;&gt;""""))),$AC$5*(2^SWITCH(COUNTIF(C$4:C137,""Cursor_up"")"&amp;",0,0,1,1,2,2,3)+SWITCH(COUNTIF(C$4:C137,""Cursor_up""),4,0.1,0)*(ROW(C137)-4-COUNTIF(C$4:C137,""Cursor"")-COUNTIF(C$4:C137,""*""&amp;""_up"")-2*COUNTIF(C$4:C137,""Sell_""&amp;""*"")+COUNTIF(C$4:C137,""Sell_Cursor"")-COUNTIF(C$4:C137,""""))+0.01*E137*COUNTIF(C$4:C"&amp;"137,""Plastic_up""))+E137))"),"")</f>
        <v/>
      </c>
      <c r="G137" s="14" t="str">
        <f>IFERROR(__xludf.DUMMYFUNCTION("IF(COUNTA(C137:C147)=0,"""",IF(REGEXMATCH(C137,""_up""),VLOOKUP(C137,Upgrades!$F$3:$J$8,1+COUNTIF(C$4:C137,C137),FALSE),IF(C137="""",0,IF(REGEXMATCH(C137,""^Sell_""),-ROUNDDOWN(ROUNDUP(INDEX(Upgrades!$C$3:$C$8,MATCH(SUBSTITUTE(C137,""Sell_"",""""),Upgrade"&amp;"s!$B$3:$B$8,0))*1.15^(COUNTIF(C$4:C136,SUBSTITUTE(C137,""Sell_"",""""))-COUNTIF(C$4:C136,""Sell_""&amp;SUBSTITUTE(C137,""Sell_"",""""))))/4),ROUNDUP(INDEX(Upgrades!$C$3:$C$7,MATCH(C137,Upgrades!$B$3:$B$7,0))*1.15^(COUNTIF(C$4:C136,C137)-COUNTIF(C$4:C136,""Sel"&amp;"l_""&amp;C137)))))))"),"")</f>
        <v/>
      </c>
      <c r="H137" s="14" t="str">
        <f t="shared" si="3"/>
        <v/>
      </c>
      <c r="I137" s="75" t="str">
        <f t="shared" si="4"/>
        <v/>
      </c>
      <c r="J137" s="76" t="str">
        <f t="shared" si="5"/>
        <v/>
      </c>
      <c r="K137" s="71" t="str">
        <f t="shared" si="6"/>
        <v/>
      </c>
      <c r="L137" s="77" t="str">
        <f t="shared" si="7"/>
        <v/>
      </c>
      <c r="M137" s="51" t="str">
        <f t="shared" si="8"/>
        <v/>
      </c>
      <c r="N137" s="52" t="str">
        <f>IFERROR(__xludf.DUMMYFUNCTION("IFS(AND(COUNTA(C137:C147)=0,COUNTA(P137:P147)=0),"""",OR(AND(L137&gt;=1000000,OR(Y137&gt;=1000000,COUNTA(P137:P147)=0)),AND(Y137&gt;=1000000,COUNTA(C137:C147)=0),AND(COUNTA(P137:P147)=0,O$3=TRUE)),
ROUNDDOWN((AB$1-AC$1)*MAX(INDEX(S$4:S147,MATCH(LARGE(FILTER(Y$4:Y1"&amp;"47,Y$4:Y147&lt;1000000),1),Y$4:Y147)),INDEX(F$4:F147,MATCH(LARGE(FILTER(L$4:L147,L$4:L147&lt;1000000),1),L$4:L147)))),AND(L137&lt;1000000,COUNTA(C137:C147)&gt;0,O$3=FALSE),
ROUNDDOWN(INDEX(Y$4:Y147,MATCH(LARGE(FILTER(W$4:W147,W$4:W147&lt;=J137),1),W$4:W147))+(J137-LARGE"&amp;"(FILTER(W$4:W147,W$4:W147&lt;=J137),1))*INDEX(S$4:S147,MATCH(LARGE(FILTER(W$4:W147,W$4:W147&lt;=J137),1),W$4:W147))-L137),1,
ROUNDDOWN(Y137-INDEX(L$4:L147,MATCH(LARGE(FILTER(J$4:J147,J$4:J147&lt;=W137),1),J$4:J147))-(W137-LARGE(FILTER(J$4:J147,J$4:J147&lt;=W137),1))*"&amp;"INDEX(F$4:F147,MATCH(LARGE(FILTER(J$4:J147,J$4:J147&lt;=W137),1),J$4:J147))))"),"")</f>
        <v/>
      </c>
      <c r="O137" s="65" t="str">
        <f t="shared" si="9"/>
        <v/>
      </c>
      <c r="P137" s="15"/>
      <c r="Q137" s="14" t="str">
        <f>IFERROR(__xludf.DUMMYFUNCTION("IF(COUNTA(P137:P147)=0,"""",IFERROR(IF(ISBLANK(P137),FALSE,IF(ISBLANK(T137),1,IF(NOT(COUNTIF($AA$24:$AA$34,SUBSTITUTE(P137,""Sell_"",""""))),1,IF(P137=""Plastic_up"",IF(V137&lt;1000,1),IF(P137=""Super_Up"",IF(OR(COUNTIF(P$4:P137,""Grandma"")-COUNTIF(P$4:P137"&amp;",""Sell_Grandma"")&lt;1,COUNTIF(P$4:P137,VLOOKUP(P137,Upgrades!$F$8:$N$8,7+COUNTIF(P$4:P137,P137)))-COUNTIF(P$4:P137,""Sell_""&amp;VLOOKUP(P137,Upgrades!$F$8:$N$8,7+COUNTIF(P$4:P137,P137)))&lt;15),1),IF(REGEXMATCH(P137,""_up""),IF(COUNTIF(P$4:P137,SUBSTITUTE(P137,"&amp;"""_up"",""""))&lt;IFERROR(VLOOKUP(P137,Upgrades!$L$3:$P$6,1+COUNTIF(P$4:P137,P137),0),999),1),IF(REGEXMATCH(P137,""Sell_""),IF(COUNTIF(P$4:P137,SUBSTITUTE(P137,""Sell_"",""""))-COUNTIF(P$4:P136,P137)&lt;1,1),FALSE)))))))))"),"")</f>
        <v/>
      </c>
      <c r="R137" s="71" t="str">
        <f>IFERROR(__xludf.DUMMYFUNCTION("IF(REGEXMATCH(P137,""^Sell_""),R136, IF(COUNTA(P137:P147)=0,"""",(COUNTIF(P$4:P137,""Cursor"")-COUNTIF(P$4:P137,""Sell_Cursor""))*(0.1*2^SWITCH(COUNTIF(P$4:P137,""Cursor_up""),0,0,1,1,2,2,3)+SWITCH(COUNTIF(P$4:P137,""Cursor_up""),4,0.1,0)*(ROW(P137)-4-COU"&amp;"NTIF(P$4:P137,""Cursor"")-COUNTIF(P$4:P137,""*""&amp;""_up"")-2*COUNTIF(P$4:P137,""Sell_""&amp;""*"")+COUNTIF(P$4:P137,""Sell_Cursor"")-COUNTIF(P$4:P137,"""")))+(COUNTIF(P$4:P137,""Grandma"")-COUNTIF(P$4:P137,""Sell_Grandma""))*(1*2^(COUNTIF(P$4:P137,""Grandma_up"&amp;""")+COUNTIF(P$4:P137,""Super_up"")))+(COUNTIF(P$4:P137,""Farm"")-COUNTIF(P$4:P137,""Sell_Farm""))*(8*2^COUNTIF(P$4:P137,""Farm_up""))*IF(COUNTIF(P$4:P137,""Super_up"")&gt;0,1+0.01*(COUNTIF(P$4:P137,""Grandma"")-COUNTIF(P$4:P137,""Sell_Grandma"")),1)+(COUNTIF"&amp;"(P$4:P137,""Mine"")-COUNTIF(P$4:P137,""Sell_Mine""))*((47*2^COUNTIF(P$4:P137,""Mine_up""))*IF(COUNTIF(P$4:P137,""Super_up"")&gt;1,1+0.005*(COUNTIF(P$4:P137,""Grandma"")-COUNTIF(P$4:P137,""Sell_Grandma"")),1))+(COUNTIF(P$4:P137,""Factory"")-COUNTIF(P$4:P137,"&amp;"""Sell_Factory""))*(260*2^COUNTIF(P$4:P137,""Factory_up""))))"),"")</f>
        <v/>
      </c>
      <c r="S137" s="73" t="str">
        <f>IFERROR(__xludf.DUMMYFUNCTION("IF(COUNTA(P137:P147)=0,"""",IF(REGEXMATCH(INDEX(FILTER(P$4:P137,P$4:P137&lt;&gt;""""),ROWS(FILTER(P$4:P137,P$4:P137&lt;&gt;""""))),""^Sell_""),INDEX(FILTER(S$4:S136,P$4:P136&lt;&gt;""""),ROWS(FILTER(P$4:P136,P$4:P136&lt;&gt;""""))),$AD$5*(2^SWITCH(COUNTIF(P$4:P137,""Cursor_up"")"&amp;",0,0,1,1,2,2,3)+SWITCH(COUNTIF(P$4:P137,""Cursor_up""),4,0.1,0)*(ROW(P137)-4-COUNTIF(P$4:P137,""Cursor"")-COUNTIF(P$4:P137,""*""&amp;""_up"")-2*COUNTIF(P$4:P137,""Sell_""&amp;""*"")+COUNTIF(P$4:P137,""Sell_Cursor"")-COUNTIF(P$4:P137,""""))+0.01*R137*COUNTIF(P$4:P"&amp;"137,""Plastic_up""))+R137))"),"")</f>
        <v/>
      </c>
      <c r="T137" s="14" t="str">
        <f>IFERROR(__xludf.DUMMYFUNCTION("IF(COUNTA(P137:P147)=0,"""",IF(REGEXMATCH(P137,""_up""),VLOOKUP(P137,Upgrades!$F$3:$J$8,1+COUNTIF(P$4:P137,P137),FALSE),IF(P137="""",0,IF(REGEXMATCH(P137,""^Sell_""),-ROUNDDOWN(ROUNDUP(INDEX(Upgrades!$C$3:$C$8,MATCH(SUBSTITUTE(P137,""Sell_"",""""),Upgrade"&amp;"s!$B$3:$B$8,0))*1.15^(COUNTIF(P$4:P136,SUBSTITUTE(P137,""Sell_"",""""))-COUNTIF(P$4:P136,""Sell_""&amp;SUBSTITUTE(P137,""Sell_"",""""))))/4),ROUNDUP(INDEX(Upgrades!$C$3:$C$7,MATCH(P137,Upgrades!$B$3:$B$7,0))*1.15^(COUNTIF(P$4:P136,P137)-COUNTIF(P$4:P136,""Sel"&amp;"l_""&amp;P137)))))))"),"")</f>
        <v/>
      </c>
      <c r="U137" s="14" t="str">
        <f t="shared" si="10"/>
        <v/>
      </c>
      <c r="V137" s="75" t="str">
        <f t="shared" si="11"/>
        <v/>
      </c>
      <c r="W137" s="76" t="str">
        <f t="shared" si="12"/>
        <v/>
      </c>
      <c r="X137" s="71" t="str">
        <f t="shared" si="13"/>
        <v/>
      </c>
      <c r="Y137" s="77" t="str">
        <f t="shared" si="14"/>
        <v/>
      </c>
      <c r="Z137" s="17"/>
      <c r="AA137" s="13"/>
      <c r="AB137" s="13"/>
      <c r="AC137" s="13"/>
      <c r="AD137" s="13"/>
      <c r="AE137" s="13"/>
      <c r="AF137" s="13"/>
      <c r="AG137" s="13"/>
    </row>
    <row r="138">
      <c r="A138" s="12"/>
      <c r="B138" s="65" t="str">
        <f t="shared" si="2"/>
        <v/>
      </c>
      <c r="C138" s="66"/>
      <c r="D138" s="14" t="str">
        <f>IFERROR(__xludf.DUMMYFUNCTION("IF(COUNTA(C138:C147)=0,"""",IFERROR(IF(ISBLANK(C138),FALSE,IF(ISBLANK(G138),1,IF(NOT(COUNTIF($AA$24:$AA$34,SUBSTITUTE(C138,""Sell_"",""""))),1,IF(C138=""Plastic_up"",IF(I138&lt;1000,1),IF(C138=""Super_Up"",IF(OR(COUNTIF(C$4:C138,""Grandma"")-COUNTIF(C$4:C138"&amp;",""Sell_Grandma"")&lt;1,COUNTIF(C$4:C138,VLOOKUP(C138,Upgrades!$F$8:$N$8,7+COUNTIF(C$4:C138,C138)))-COUNTIF(C$4:C138,""Sell_""&amp;VLOOKUP(C138,Upgrades!$F$8:$N$8,7+COUNTIF(C$4:C138,C138)))&lt;15),1),IF(REGEXMATCH(C138,""_up""),IF(COUNTIF(C$4:C138,SUBSTITUTE(C138,"&amp;"""_up"",""""))&lt;IFERROR(VLOOKUP(C138,Upgrades!$L$3:$P$6,1+COUNTIF(C$4:C138,C138),0),999),1),IF(REGEXMATCH(C138,""Sell_""),IF(COUNTIF(C$4:C138,SUBSTITUTE(C138,""Sell_"",""""))-COUNTIF(C$4:C137,C138)&lt;1,1),FALSE)))))))))"),"")</f>
        <v/>
      </c>
      <c r="E138" s="71" t="str">
        <f>IFERROR(__xludf.DUMMYFUNCTION("IF(REGEXMATCH(C138,""^Sell_""),E137, IF(COUNTA(C138:C147)=0,"""",(COUNTIF(C$4:C138,""Cursor"")-COUNTIF(C$4:C138,""Sell_Cursor""))*(0.1*2^SWITCH(COUNTIF(C$4:C138,""Cursor_up""),0,0,1,1,2,2,3)+SWITCH(COUNTIF(C$4:C138,""Cursor_up""),4,0.1,0)*(ROW(C138)-4-COU"&amp;"NTIF(C$4:C138,""Cursor"")-COUNTIF(C$4:C138,""*""&amp;""_up"")-2*COUNTIF(C$4:C138,""Sell_""&amp;""*"")+COUNTIF(C$4:C138,""Sell_Cursor"")-COUNTIF(C$4:C138,"""")))+(COUNTIF(C$4:C138,""Grandma"")-COUNTIF(C$4:C138,""Sell_Grandma""))*(1*2^(COUNTIF(C$4:C138,""Grandma_up"&amp;""")+COUNTIF(C$4:C138,""Super_up"")))+(COUNTIF(C$4:C138,""Farm"")-COUNTIF(C$4:C138,""Sell_Farm""))*(8*2^COUNTIF(C$4:C138,""Farm_up""))*IF(COUNTIF(C$4:C138,""Super_up"")&gt;0,1+0.01*(COUNTIF(C$4:C138,""Grandma"")-COUNTIF(C$4:C138,""Sell_Grandma"")),1)+(COUNTIF"&amp;"(C$4:C138,""Mine"")-COUNTIF(C$4:C138,""Sell_Mine""))*((47*2^COUNTIF(C$4:C138,""Mine_up""))*IF(COUNTIF(C$4:C138,""Super_up"")&gt;1,1+0.005*(COUNTIF(C$4:C138,""Grandma"")-COUNTIF(C$4:C138,""Sell_Grandma"")),1))+(COUNTIF(C$4:C138,""Factory"")-COUNTIF(C$4:C138,"&amp;"""Sell_Factory""))*(260*2^COUNTIF(C$4:C138,""Factory_up""))))"),"")</f>
        <v/>
      </c>
      <c r="F138" s="73" t="str">
        <f>IFERROR(__xludf.DUMMYFUNCTION("IF(COUNTA(C138:C147)=0,"""",IF(REGEXMATCH(INDEX(FILTER(C$4:C138,C$4:C138&lt;&gt;""""),ROWS(FILTER(C$4:C138,C$4:C138&lt;&gt;""""))),""^Sell_""),INDEX(FILTER(F$4:F137,C$4:C137&lt;&gt;""""),ROWS(FILTER(C$4:C137,C$4:C137&lt;&gt;""""))),$AC$5*(2^SWITCH(COUNTIF(C$4:C138,""Cursor_up"")"&amp;",0,0,1,1,2,2,3)+SWITCH(COUNTIF(C$4:C138,""Cursor_up""),4,0.1,0)*(ROW(C138)-4-COUNTIF(C$4:C138,""Cursor"")-COUNTIF(C$4:C138,""*""&amp;""_up"")-2*COUNTIF(C$4:C138,""Sell_""&amp;""*"")+COUNTIF(C$4:C138,""Sell_Cursor"")-COUNTIF(C$4:C138,""""))+0.01*E138*COUNTIF(C$4:C"&amp;"138,""Plastic_up""))+E138))"),"")</f>
        <v/>
      </c>
      <c r="G138" s="14" t="str">
        <f>IFERROR(__xludf.DUMMYFUNCTION("IF(COUNTA(C138:C147)=0,"""",IF(REGEXMATCH(C138,""_up""),VLOOKUP(C138,Upgrades!$F$3:$J$8,1+COUNTIF(C$4:C138,C138),FALSE),IF(C138="""",0,IF(REGEXMATCH(C138,""^Sell_""),-ROUNDDOWN(ROUNDUP(INDEX(Upgrades!$C$3:$C$8,MATCH(SUBSTITUTE(C138,""Sell_"",""""),Upgrade"&amp;"s!$B$3:$B$8,0))*1.15^(COUNTIF(C$4:C137,SUBSTITUTE(C138,""Sell_"",""""))-COUNTIF(C$4:C137,""Sell_""&amp;SUBSTITUTE(C138,""Sell_"",""""))))/4),ROUNDUP(INDEX(Upgrades!$C$3:$C$7,MATCH(C138,Upgrades!$B$3:$B$7,0))*1.15^(COUNTIF(C$4:C137,C138)-COUNTIF(C$4:C137,""Sel"&amp;"l_""&amp;C138)))))))"),"")</f>
        <v/>
      </c>
      <c r="H138" s="14" t="str">
        <f t="shared" si="3"/>
        <v/>
      </c>
      <c r="I138" s="75" t="str">
        <f t="shared" si="4"/>
        <v/>
      </c>
      <c r="J138" s="76" t="str">
        <f t="shared" si="5"/>
        <v/>
      </c>
      <c r="K138" s="71" t="str">
        <f t="shared" si="6"/>
        <v/>
      </c>
      <c r="L138" s="77" t="str">
        <f t="shared" si="7"/>
        <v/>
      </c>
      <c r="M138" s="51" t="str">
        <f t="shared" si="8"/>
        <v/>
      </c>
      <c r="N138" s="52" t="str">
        <f>IFERROR(__xludf.DUMMYFUNCTION("IFS(AND(COUNTA(C138:C147)=0,COUNTA(P138:P147)=0),"""",OR(AND(L138&gt;=1000000,OR(Y138&gt;=1000000,COUNTA(P138:P147)=0)),AND(Y138&gt;=1000000,COUNTA(C138:C147)=0),AND(COUNTA(P138:P147)=0,O$3=TRUE)),
ROUNDDOWN((AB$1-AC$1)*MAX(INDEX(S$4:S147,MATCH(LARGE(FILTER(Y$4:Y1"&amp;"47,Y$4:Y147&lt;1000000),1),Y$4:Y147)),INDEX(F$4:F147,MATCH(LARGE(FILTER(L$4:L147,L$4:L147&lt;1000000),1),L$4:L147)))),AND(L138&lt;1000000,COUNTA(C138:C147)&gt;0,O$3=FALSE),
ROUNDDOWN(INDEX(Y$4:Y147,MATCH(LARGE(FILTER(W$4:W147,W$4:W147&lt;=J138),1),W$4:W147))+(J138-LARGE"&amp;"(FILTER(W$4:W147,W$4:W147&lt;=J138),1))*INDEX(S$4:S147,MATCH(LARGE(FILTER(W$4:W147,W$4:W147&lt;=J138),1),W$4:W147))-L138),1,
ROUNDDOWN(Y138-INDEX(L$4:L147,MATCH(LARGE(FILTER(J$4:J147,J$4:J147&lt;=W138),1),J$4:J147))-(W138-LARGE(FILTER(J$4:J147,J$4:J147&lt;=W138),1))*"&amp;"INDEX(F$4:F147,MATCH(LARGE(FILTER(J$4:J147,J$4:J147&lt;=W138),1),J$4:J147))))"),"")</f>
        <v/>
      </c>
      <c r="O138" s="65" t="str">
        <f t="shared" si="9"/>
        <v/>
      </c>
      <c r="P138" s="15"/>
      <c r="Q138" s="14" t="str">
        <f>IFERROR(__xludf.DUMMYFUNCTION("IF(COUNTA(P138:P147)=0,"""",IFERROR(IF(ISBLANK(P138),FALSE,IF(ISBLANK(T138),1,IF(NOT(COUNTIF($AA$24:$AA$34,SUBSTITUTE(P138,""Sell_"",""""))),1,IF(P138=""Plastic_up"",IF(V138&lt;1000,1),IF(P138=""Super_Up"",IF(OR(COUNTIF(P$4:P138,""Grandma"")-COUNTIF(P$4:P138"&amp;",""Sell_Grandma"")&lt;1,COUNTIF(P$4:P138,VLOOKUP(P138,Upgrades!$F$8:$N$8,7+COUNTIF(P$4:P138,P138)))-COUNTIF(P$4:P138,""Sell_""&amp;VLOOKUP(P138,Upgrades!$F$8:$N$8,7+COUNTIF(P$4:P138,P138)))&lt;15),1),IF(REGEXMATCH(P138,""_up""),IF(COUNTIF(P$4:P138,SUBSTITUTE(P138,"&amp;"""_up"",""""))&lt;IFERROR(VLOOKUP(P138,Upgrades!$L$3:$P$6,1+COUNTIF(P$4:P138,P138),0),999),1),IF(REGEXMATCH(P138,""Sell_""),IF(COUNTIF(P$4:P138,SUBSTITUTE(P138,""Sell_"",""""))-COUNTIF(P$4:P137,P138)&lt;1,1),FALSE)))))))))"),"")</f>
        <v/>
      </c>
      <c r="R138" s="71" t="str">
        <f>IFERROR(__xludf.DUMMYFUNCTION("IF(REGEXMATCH(P138,""^Sell_""),R137, IF(COUNTA(P138:P147)=0,"""",(COUNTIF(P$4:P138,""Cursor"")-COUNTIF(P$4:P138,""Sell_Cursor""))*(0.1*2^SWITCH(COUNTIF(P$4:P138,""Cursor_up""),0,0,1,1,2,2,3)+SWITCH(COUNTIF(P$4:P138,""Cursor_up""),4,0.1,0)*(ROW(P138)-4-COU"&amp;"NTIF(P$4:P138,""Cursor"")-COUNTIF(P$4:P138,""*""&amp;""_up"")-2*COUNTIF(P$4:P138,""Sell_""&amp;""*"")+COUNTIF(P$4:P138,""Sell_Cursor"")-COUNTIF(P$4:P138,"""")))+(COUNTIF(P$4:P138,""Grandma"")-COUNTIF(P$4:P138,""Sell_Grandma""))*(1*2^(COUNTIF(P$4:P138,""Grandma_up"&amp;""")+COUNTIF(P$4:P138,""Super_up"")))+(COUNTIF(P$4:P138,""Farm"")-COUNTIF(P$4:P138,""Sell_Farm""))*(8*2^COUNTIF(P$4:P138,""Farm_up""))*IF(COUNTIF(P$4:P138,""Super_up"")&gt;0,1+0.01*(COUNTIF(P$4:P138,""Grandma"")-COUNTIF(P$4:P138,""Sell_Grandma"")),1)+(COUNTIF"&amp;"(P$4:P138,""Mine"")-COUNTIF(P$4:P138,""Sell_Mine""))*((47*2^COUNTIF(P$4:P138,""Mine_up""))*IF(COUNTIF(P$4:P138,""Super_up"")&gt;1,1+0.005*(COUNTIF(P$4:P138,""Grandma"")-COUNTIF(P$4:P138,""Sell_Grandma"")),1))+(COUNTIF(P$4:P138,""Factory"")-COUNTIF(P$4:P138,"&amp;"""Sell_Factory""))*(260*2^COUNTIF(P$4:P138,""Factory_up""))))"),"")</f>
        <v/>
      </c>
      <c r="S138" s="73" t="str">
        <f>IFERROR(__xludf.DUMMYFUNCTION("IF(COUNTA(P138:P147)=0,"""",IF(REGEXMATCH(INDEX(FILTER(P$4:P138,P$4:P138&lt;&gt;""""),ROWS(FILTER(P$4:P138,P$4:P138&lt;&gt;""""))),""^Sell_""),INDEX(FILTER(S$4:S137,P$4:P137&lt;&gt;""""),ROWS(FILTER(P$4:P137,P$4:P137&lt;&gt;""""))),$AD$5*(2^SWITCH(COUNTIF(P$4:P138,""Cursor_up"")"&amp;",0,0,1,1,2,2,3)+SWITCH(COUNTIF(P$4:P138,""Cursor_up""),4,0.1,0)*(ROW(P138)-4-COUNTIF(P$4:P138,""Cursor"")-COUNTIF(P$4:P138,""*""&amp;""_up"")-2*COUNTIF(P$4:P138,""Sell_""&amp;""*"")+COUNTIF(P$4:P138,""Sell_Cursor"")-COUNTIF(P$4:P138,""""))+0.01*R138*COUNTIF(P$4:P"&amp;"138,""Plastic_up""))+R138))"),"")</f>
        <v/>
      </c>
      <c r="T138" s="14" t="str">
        <f>IFERROR(__xludf.DUMMYFUNCTION("IF(COUNTA(P138:P147)=0,"""",IF(REGEXMATCH(P138,""_up""),VLOOKUP(P138,Upgrades!$F$3:$J$8,1+COUNTIF(P$4:P138,P138),FALSE),IF(P138="""",0,IF(REGEXMATCH(P138,""^Sell_""),-ROUNDDOWN(ROUNDUP(INDEX(Upgrades!$C$3:$C$8,MATCH(SUBSTITUTE(P138,""Sell_"",""""),Upgrade"&amp;"s!$B$3:$B$8,0))*1.15^(COUNTIF(P$4:P137,SUBSTITUTE(P138,""Sell_"",""""))-COUNTIF(P$4:P137,""Sell_""&amp;SUBSTITUTE(P138,""Sell_"",""""))))/4),ROUNDUP(INDEX(Upgrades!$C$3:$C$7,MATCH(P138,Upgrades!$B$3:$B$7,0))*1.15^(COUNTIF(P$4:P137,P138)-COUNTIF(P$4:P137,""Sel"&amp;"l_""&amp;P138)))))))"),"")</f>
        <v/>
      </c>
      <c r="U138" s="14" t="str">
        <f t="shared" si="10"/>
        <v/>
      </c>
      <c r="V138" s="75" t="str">
        <f t="shared" si="11"/>
        <v/>
      </c>
      <c r="W138" s="76" t="str">
        <f t="shared" si="12"/>
        <v/>
      </c>
      <c r="X138" s="71" t="str">
        <f t="shared" si="13"/>
        <v/>
      </c>
      <c r="Y138" s="77" t="str">
        <f t="shared" si="14"/>
        <v/>
      </c>
      <c r="Z138" s="17"/>
      <c r="AA138" s="13"/>
      <c r="AB138" s="13"/>
      <c r="AC138" s="13"/>
      <c r="AD138" s="13"/>
      <c r="AE138" s="13"/>
      <c r="AF138" s="13"/>
      <c r="AG138" s="13"/>
    </row>
    <row r="139">
      <c r="A139" s="12"/>
      <c r="B139" s="65" t="str">
        <f t="shared" si="2"/>
        <v/>
      </c>
      <c r="C139" s="66"/>
      <c r="D139" s="14" t="str">
        <f>IFERROR(__xludf.DUMMYFUNCTION("IF(COUNTA(C139:C147)=0,"""",IFERROR(IF(ISBLANK(C139),FALSE,IF(ISBLANK(G139),1,IF(NOT(COUNTIF($AA$24:$AA$34,SUBSTITUTE(C139,""Sell_"",""""))),1,IF(C139=""Plastic_up"",IF(I139&lt;1000,1),IF(C139=""Super_Up"",IF(OR(COUNTIF(C$4:C139,""Grandma"")-COUNTIF(C$4:C139"&amp;",""Sell_Grandma"")&lt;1,COUNTIF(C$4:C139,VLOOKUP(C139,Upgrades!$F$8:$N$8,7+COUNTIF(C$4:C139,C139)))-COUNTIF(C$4:C139,""Sell_""&amp;VLOOKUP(C139,Upgrades!$F$8:$N$8,7+COUNTIF(C$4:C139,C139)))&lt;15),1),IF(REGEXMATCH(C139,""_up""),IF(COUNTIF(C$4:C139,SUBSTITUTE(C139,"&amp;"""_up"",""""))&lt;IFERROR(VLOOKUP(C139,Upgrades!$L$3:$P$6,1+COUNTIF(C$4:C139,C139),0),999),1),IF(REGEXMATCH(C139,""Sell_""),IF(COUNTIF(C$4:C139,SUBSTITUTE(C139,""Sell_"",""""))-COUNTIF(C$4:C138,C139)&lt;1,1),FALSE)))))))))"),"")</f>
        <v/>
      </c>
      <c r="E139" s="71" t="str">
        <f>IFERROR(__xludf.DUMMYFUNCTION("IF(REGEXMATCH(C139,""^Sell_""),E138, IF(COUNTA(C139:C147)=0,"""",(COUNTIF(C$4:C139,""Cursor"")-COUNTIF(C$4:C139,""Sell_Cursor""))*(0.1*2^SWITCH(COUNTIF(C$4:C139,""Cursor_up""),0,0,1,1,2,2,3)+SWITCH(COUNTIF(C$4:C139,""Cursor_up""),4,0.1,0)*(ROW(C139)-4-COU"&amp;"NTIF(C$4:C139,""Cursor"")-COUNTIF(C$4:C139,""*""&amp;""_up"")-2*COUNTIF(C$4:C139,""Sell_""&amp;""*"")+COUNTIF(C$4:C139,""Sell_Cursor"")-COUNTIF(C$4:C139,"""")))+(COUNTIF(C$4:C139,""Grandma"")-COUNTIF(C$4:C139,""Sell_Grandma""))*(1*2^(COUNTIF(C$4:C139,""Grandma_up"&amp;""")+COUNTIF(C$4:C139,""Super_up"")))+(COUNTIF(C$4:C139,""Farm"")-COUNTIF(C$4:C139,""Sell_Farm""))*(8*2^COUNTIF(C$4:C139,""Farm_up""))*IF(COUNTIF(C$4:C139,""Super_up"")&gt;0,1+0.01*(COUNTIF(C$4:C139,""Grandma"")-COUNTIF(C$4:C139,""Sell_Grandma"")),1)+(COUNTIF"&amp;"(C$4:C139,""Mine"")-COUNTIF(C$4:C139,""Sell_Mine""))*((47*2^COUNTIF(C$4:C139,""Mine_up""))*IF(COUNTIF(C$4:C139,""Super_up"")&gt;1,1+0.005*(COUNTIF(C$4:C139,""Grandma"")-COUNTIF(C$4:C139,""Sell_Grandma"")),1))+(COUNTIF(C$4:C139,""Factory"")-COUNTIF(C$4:C139,"&amp;"""Sell_Factory""))*(260*2^COUNTIF(C$4:C139,""Factory_up""))))"),"")</f>
        <v/>
      </c>
      <c r="F139" s="73" t="str">
        <f>IFERROR(__xludf.DUMMYFUNCTION("IF(COUNTA(C139:C147)=0,"""",IF(REGEXMATCH(INDEX(FILTER(C$4:C139,C$4:C139&lt;&gt;""""),ROWS(FILTER(C$4:C139,C$4:C139&lt;&gt;""""))),""^Sell_""),INDEX(FILTER(F$4:F138,C$4:C138&lt;&gt;""""),ROWS(FILTER(C$4:C138,C$4:C138&lt;&gt;""""))),$AC$5*(2^SWITCH(COUNTIF(C$4:C139,""Cursor_up"")"&amp;",0,0,1,1,2,2,3)+SWITCH(COUNTIF(C$4:C139,""Cursor_up""),4,0.1,0)*(ROW(C139)-4-COUNTIF(C$4:C139,""Cursor"")-COUNTIF(C$4:C139,""*""&amp;""_up"")-2*COUNTIF(C$4:C139,""Sell_""&amp;""*"")+COUNTIF(C$4:C139,""Sell_Cursor"")-COUNTIF(C$4:C139,""""))+0.01*E139*COUNTIF(C$4:C"&amp;"139,""Plastic_up""))+E139))"),"")</f>
        <v/>
      </c>
      <c r="G139" s="14" t="str">
        <f>IFERROR(__xludf.DUMMYFUNCTION("IF(COUNTA(C139:C147)=0,"""",IF(REGEXMATCH(C139,""_up""),VLOOKUP(C139,Upgrades!$F$3:$J$8,1+COUNTIF(C$4:C139,C139),FALSE),IF(C139="""",0,IF(REGEXMATCH(C139,""^Sell_""),-ROUNDDOWN(ROUNDUP(INDEX(Upgrades!$C$3:$C$8,MATCH(SUBSTITUTE(C139,""Sell_"",""""),Upgrade"&amp;"s!$B$3:$B$8,0))*1.15^(COUNTIF(C$4:C138,SUBSTITUTE(C139,""Sell_"",""""))-COUNTIF(C$4:C138,""Sell_""&amp;SUBSTITUTE(C139,""Sell_"",""""))))/4),ROUNDUP(INDEX(Upgrades!$C$3:$C$7,MATCH(C139,Upgrades!$B$3:$B$7,0))*1.15^(COUNTIF(C$4:C138,C139)-COUNTIF(C$4:C138,""Sel"&amp;"l_""&amp;C139)))))))"),"")</f>
        <v/>
      </c>
      <c r="H139" s="14" t="str">
        <f t="shared" si="3"/>
        <v/>
      </c>
      <c r="I139" s="75" t="str">
        <f t="shared" si="4"/>
        <v/>
      </c>
      <c r="J139" s="76" t="str">
        <f t="shared" si="5"/>
        <v/>
      </c>
      <c r="K139" s="71" t="str">
        <f t="shared" si="6"/>
        <v/>
      </c>
      <c r="L139" s="77" t="str">
        <f t="shared" si="7"/>
        <v/>
      </c>
      <c r="M139" s="51" t="str">
        <f t="shared" si="8"/>
        <v/>
      </c>
      <c r="N139" s="52" t="str">
        <f>IFERROR(__xludf.DUMMYFUNCTION("IFS(AND(COUNTA(C139:C147)=0,COUNTA(P139:P147)=0),"""",OR(AND(L139&gt;=1000000,OR(Y139&gt;=1000000,COUNTA(P139:P147)=0)),AND(Y139&gt;=1000000,COUNTA(C139:C147)=0),AND(COUNTA(P139:P147)=0,O$3=TRUE)),
ROUNDDOWN((AB$1-AC$1)*MAX(INDEX(S$4:S147,MATCH(LARGE(FILTER(Y$4:Y1"&amp;"47,Y$4:Y147&lt;1000000),1),Y$4:Y147)),INDEX(F$4:F147,MATCH(LARGE(FILTER(L$4:L147,L$4:L147&lt;1000000),1),L$4:L147)))),AND(L139&lt;1000000,COUNTA(C139:C147)&gt;0,O$3=FALSE),
ROUNDDOWN(INDEX(Y$4:Y147,MATCH(LARGE(FILTER(W$4:W147,W$4:W147&lt;=J139),1),W$4:W147))+(J139-LARGE"&amp;"(FILTER(W$4:W147,W$4:W147&lt;=J139),1))*INDEX(S$4:S147,MATCH(LARGE(FILTER(W$4:W147,W$4:W147&lt;=J139),1),W$4:W147))-L139),1,
ROUNDDOWN(Y139-INDEX(L$4:L147,MATCH(LARGE(FILTER(J$4:J147,J$4:J147&lt;=W139),1),J$4:J147))-(W139-LARGE(FILTER(J$4:J147,J$4:J147&lt;=W139),1))*"&amp;"INDEX(F$4:F147,MATCH(LARGE(FILTER(J$4:J147,J$4:J147&lt;=W139),1),J$4:J147))))"),"")</f>
        <v/>
      </c>
      <c r="O139" s="65" t="str">
        <f t="shared" si="9"/>
        <v/>
      </c>
      <c r="P139" s="15"/>
      <c r="Q139" s="14" t="str">
        <f>IFERROR(__xludf.DUMMYFUNCTION("IF(COUNTA(P139:P147)=0,"""",IFERROR(IF(ISBLANK(P139),FALSE,IF(ISBLANK(T139),1,IF(NOT(COUNTIF($AA$24:$AA$34,SUBSTITUTE(P139,""Sell_"",""""))),1,IF(P139=""Plastic_up"",IF(V139&lt;1000,1),IF(P139=""Super_Up"",IF(OR(COUNTIF(P$4:P139,""Grandma"")-COUNTIF(P$4:P139"&amp;",""Sell_Grandma"")&lt;1,COUNTIF(P$4:P139,VLOOKUP(P139,Upgrades!$F$8:$N$8,7+COUNTIF(P$4:P139,P139)))-COUNTIF(P$4:P139,""Sell_""&amp;VLOOKUP(P139,Upgrades!$F$8:$N$8,7+COUNTIF(P$4:P139,P139)))&lt;15),1),IF(REGEXMATCH(P139,""_up""),IF(COUNTIF(P$4:P139,SUBSTITUTE(P139,"&amp;"""_up"",""""))&lt;IFERROR(VLOOKUP(P139,Upgrades!$L$3:$P$6,1+COUNTIF(P$4:P139,P139),0),999),1),IF(REGEXMATCH(P139,""Sell_""),IF(COUNTIF(P$4:P139,SUBSTITUTE(P139,""Sell_"",""""))-COUNTIF(P$4:P138,P139)&lt;1,1),FALSE)))))))))"),"")</f>
        <v/>
      </c>
      <c r="R139" s="71" t="str">
        <f>IFERROR(__xludf.DUMMYFUNCTION("IF(REGEXMATCH(P139,""^Sell_""),R138, IF(COUNTA(P139:P147)=0,"""",(COUNTIF(P$4:P139,""Cursor"")-COUNTIF(P$4:P139,""Sell_Cursor""))*(0.1*2^SWITCH(COUNTIF(P$4:P139,""Cursor_up""),0,0,1,1,2,2,3)+SWITCH(COUNTIF(P$4:P139,""Cursor_up""),4,0.1,0)*(ROW(P139)-4-COU"&amp;"NTIF(P$4:P139,""Cursor"")-COUNTIF(P$4:P139,""*""&amp;""_up"")-2*COUNTIF(P$4:P139,""Sell_""&amp;""*"")+COUNTIF(P$4:P139,""Sell_Cursor"")-COUNTIF(P$4:P139,"""")))+(COUNTIF(P$4:P139,""Grandma"")-COUNTIF(P$4:P139,""Sell_Grandma""))*(1*2^(COUNTIF(P$4:P139,""Grandma_up"&amp;""")+COUNTIF(P$4:P139,""Super_up"")))+(COUNTIF(P$4:P139,""Farm"")-COUNTIF(P$4:P139,""Sell_Farm""))*(8*2^COUNTIF(P$4:P139,""Farm_up""))*IF(COUNTIF(P$4:P139,""Super_up"")&gt;0,1+0.01*(COUNTIF(P$4:P139,""Grandma"")-COUNTIF(P$4:P139,""Sell_Grandma"")),1)+(COUNTIF"&amp;"(P$4:P139,""Mine"")-COUNTIF(P$4:P139,""Sell_Mine""))*((47*2^COUNTIF(P$4:P139,""Mine_up""))*IF(COUNTIF(P$4:P139,""Super_up"")&gt;1,1+0.005*(COUNTIF(P$4:P139,""Grandma"")-COUNTIF(P$4:P139,""Sell_Grandma"")),1))+(COUNTIF(P$4:P139,""Factory"")-COUNTIF(P$4:P139,"&amp;"""Sell_Factory""))*(260*2^COUNTIF(P$4:P139,""Factory_up""))))"),"")</f>
        <v/>
      </c>
      <c r="S139" s="73" t="str">
        <f>IFERROR(__xludf.DUMMYFUNCTION("IF(COUNTA(P139:P147)=0,"""",IF(REGEXMATCH(INDEX(FILTER(P$4:P139,P$4:P139&lt;&gt;""""),ROWS(FILTER(P$4:P139,P$4:P139&lt;&gt;""""))),""^Sell_""),INDEX(FILTER(S$4:S138,P$4:P138&lt;&gt;""""),ROWS(FILTER(P$4:P138,P$4:P138&lt;&gt;""""))),$AD$5*(2^SWITCH(COUNTIF(P$4:P139,""Cursor_up"")"&amp;",0,0,1,1,2,2,3)+SWITCH(COUNTIF(P$4:P139,""Cursor_up""),4,0.1,0)*(ROW(P139)-4-COUNTIF(P$4:P139,""Cursor"")-COUNTIF(P$4:P139,""*""&amp;""_up"")-2*COUNTIF(P$4:P139,""Sell_""&amp;""*"")+COUNTIF(P$4:P139,""Sell_Cursor"")-COUNTIF(P$4:P139,""""))+0.01*R139*COUNTIF(P$4:P"&amp;"139,""Plastic_up""))+R139))"),"")</f>
        <v/>
      </c>
      <c r="T139" s="14" t="str">
        <f>IFERROR(__xludf.DUMMYFUNCTION("IF(COUNTA(P139:P147)=0,"""",IF(REGEXMATCH(P139,""_up""),VLOOKUP(P139,Upgrades!$F$3:$J$8,1+COUNTIF(P$4:P139,P139),FALSE),IF(P139="""",0,IF(REGEXMATCH(P139,""^Sell_""),-ROUNDDOWN(ROUNDUP(INDEX(Upgrades!$C$3:$C$8,MATCH(SUBSTITUTE(P139,""Sell_"",""""),Upgrade"&amp;"s!$B$3:$B$8,0))*1.15^(COUNTIF(P$4:P138,SUBSTITUTE(P139,""Sell_"",""""))-COUNTIF(P$4:P138,""Sell_""&amp;SUBSTITUTE(P139,""Sell_"",""""))))/4),ROUNDUP(INDEX(Upgrades!$C$3:$C$7,MATCH(P139,Upgrades!$B$3:$B$7,0))*1.15^(COUNTIF(P$4:P138,P139)-COUNTIF(P$4:P138,""Sel"&amp;"l_""&amp;P139)))))))"),"")</f>
        <v/>
      </c>
      <c r="U139" s="14" t="str">
        <f t="shared" si="10"/>
        <v/>
      </c>
      <c r="V139" s="75" t="str">
        <f t="shared" si="11"/>
        <v/>
      </c>
      <c r="W139" s="76" t="str">
        <f t="shared" si="12"/>
        <v/>
      </c>
      <c r="X139" s="71" t="str">
        <f t="shared" si="13"/>
        <v/>
      </c>
      <c r="Y139" s="77" t="str">
        <f t="shared" si="14"/>
        <v/>
      </c>
      <c r="Z139" s="17"/>
      <c r="AA139" s="13"/>
      <c r="AB139" s="13"/>
      <c r="AC139" s="13"/>
      <c r="AD139" s="13"/>
      <c r="AE139" s="13"/>
      <c r="AF139" s="13"/>
      <c r="AG139" s="13"/>
    </row>
    <row r="140">
      <c r="A140" s="12"/>
      <c r="B140" s="65" t="str">
        <f t="shared" si="2"/>
        <v/>
      </c>
      <c r="C140" s="66"/>
      <c r="D140" s="14" t="str">
        <f>IFERROR(__xludf.DUMMYFUNCTION("IF(COUNTA(C140:C147)=0,"""",IFERROR(IF(ISBLANK(C140),FALSE,IF(ISBLANK(G140),1,IF(NOT(COUNTIF($AA$24:$AA$34,SUBSTITUTE(C140,""Sell_"",""""))),1,IF(C140=""Plastic_up"",IF(I140&lt;1000,1),IF(C140=""Super_Up"",IF(OR(COUNTIF(C$4:C140,""Grandma"")-COUNTIF(C$4:C140"&amp;",""Sell_Grandma"")&lt;1,COUNTIF(C$4:C140,VLOOKUP(C140,Upgrades!$F$8:$N$8,7+COUNTIF(C$4:C140,C140)))-COUNTIF(C$4:C140,""Sell_""&amp;VLOOKUP(C140,Upgrades!$F$8:$N$8,7+COUNTIF(C$4:C140,C140)))&lt;15),1),IF(REGEXMATCH(C140,""_up""),IF(COUNTIF(C$4:C140,SUBSTITUTE(C140,"&amp;"""_up"",""""))&lt;IFERROR(VLOOKUP(C140,Upgrades!$L$3:$P$6,1+COUNTIF(C$4:C140,C140),0),999),1),IF(REGEXMATCH(C140,""Sell_""),IF(COUNTIF(C$4:C140,SUBSTITUTE(C140,""Sell_"",""""))-COUNTIF(C$4:C139,C140)&lt;1,1),FALSE)))))))))"),"")</f>
        <v/>
      </c>
      <c r="E140" s="71" t="str">
        <f>IFERROR(__xludf.DUMMYFUNCTION("IF(REGEXMATCH(C140,""^Sell_""),E139, IF(COUNTA(C140:C147)=0,"""",(COUNTIF(C$4:C140,""Cursor"")-COUNTIF(C$4:C140,""Sell_Cursor""))*(0.1*2^SWITCH(COUNTIF(C$4:C140,""Cursor_up""),0,0,1,1,2,2,3)+SWITCH(COUNTIF(C$4:C140,""Cursor_up""),4,0.1,0)*(ROW(C140)-4-COU"&amp;"NTIF(C$4:C140,""Cursor"")-COUNTIF(C$4:C140,""*""&amp;""_up"")-2*COUNTIF(C$4:C140,""Sell_""&amp;""*"")+COUNTIF(C$4:C140,""Sell_Cursor"")-COUNTIF(C$4:C140,"""")))+(COUNTIF(C$4:C140,""Grandma"")-COUNTIF(C$4:C140,""Sell_Grandma""))*(1*2^(COUNTIF(C$4:C140,""Grandma_up"&amp;""")+COUNTIF(C$4:C140,""Super_up"")))+(COUNTIF(C$4:C140,""Farm"")-COUNTIF(C$4:C140,""Sell_Farm""))*(8*2^COUNTIF(C$4:C140,""Farm_up""))*IF(COUNTIF(C$4:C140,""Super_up"")&gt;0,1+0.01*(COUNTIF(C$4:C140,""Grandma"")-COUNTIF(C$4:C140,""Sell_Grandma"")),1)+(COUNTIF"&amp;"(C$4:C140,""Mine"")-COUNTIF(C$4:C140,""Sell_Mine""))*((47*2^COUNTIF(C$4:C140,""Mine_up""))*IF(COUNTIF(C$4:C140,""Super_up"")&gt;1,1+0.005*(COUNTIF(C$4:C140,""Grandma"")-COUNTIF(C$4:C140,""Sell_Grandma"")),1))+(COUNTIF(C$4:C140,""Factory"")-COUNTIF(C$4:C140,"&amp;"""Sell_Factory""))*(260*2^COUNTIF(C$4:C140,""Factory_up""))))"),"")</f>
        <v/>
      </c>
      <c r="F140" s="73" t="str">
        <f>IFERROR(__xludf.DUMMYFUNCTION("IF(COUNTA(C140:C147)=0,"""",IF(REGEXMATCH(INDEX(FILTER(C$4:C140,C$4:C140&lt;&gt;""""),ROWS(FILTER(C$4:C140,C$4:C140&lt;&gt;""""))),""^Sell_""),INDEX(FILTER(F$4:F139,C$4:C139&lt;&gt;""""),ROWS(FILTER(C$4:C139,C$4:C139&lt;&gt;""""))),$AC$5*(2^SWITCH(COUNTIF(C$4:C140,""Cursor_up"")"&amp;",0,0,1,1,2,2,3)+SWITCH(COUNTIF(C$4:C140,""Cursor_up""),4,0.1,0)*(ROW(C140)-4-COUNTIF(C$4:C140,""Cursor"")-COUNTIF(C$4:C140,""*""&amp;""_up"")-2*COUNTIF(C$4:C140,""Sell_""&amp;""*"")+COUNTIF(C$4:C140,""Sell_Cursor"")-COUNTIF(C$4:C140,""""))+0.01*E140*COUNTIF(C$4:C"&amp;"140,""Plastic_up""))+E140))"),"")</f>
        <v/>
      </c>
      <c r="G140" s="14" t="str">
        <f>IFERROR(__xludf.DUMMYFUNCTION("IF(COUNTA(C140:C147)=0,"""",IF(REGEXMATCH(C140,""_up""),VLOOKUP(C140,Upgrades!$F$3:$J$8,1+COUNTIF(C$4:C140,C140),FALSE),IF(C140="""",0,IF(REGEXMATCH(C140,""^Sell_""),-ROUNDDOWN(ROUNDUP(INDEX(Upgrades!$C$3:$C$8,MATCH(SUBSTITUTE(C140,""Sell_"",""""),Upgrade"&amp;"s!$B$3:$B$8,0))*1.15^(COUNTIF(C$4:C139,SUBSTITUTE(C140,""Sell_"",""""))-COUNTIF(C$4:C139,""Sell_""&amp;SUBSTITUTE(C140,""Sell_"",""""))))/4),ROUNDUP(INDEX(Upgrades!$C$3:$C$7,MATCH(C140,Upgrades!$B$3:$B$7,0))*1.15^(COUNTIF(C$4:C139,C140)-COUNTIF(C$4:C139,""Sel"&amp;"l_""&amp;C140)))))))"),"")</f>
        <v/>
      </c>
      <c r="H140" s="14" t="str">
        <f t="shared" si="3"/>
        <v/>
      </c>
      <c r="I140" s="75" t="str">
        <f t="shared" si="4"/>
        <v/>
      </c>
      <c r="J140" s="76" t="str">
        <f t="shared" si="5"/>
        <v/>
      </c>
      <c r="K140" s="71" t="str">
        <f t="shared" si="6"/>
        <v/>
      </c>
      <c r="L140" s="77" t="str">
        <f t="shared" si="7"/>
        <v/>
      </c>
      <c r="M140" s="51" t="str">
        <f t="shared" si="8"/>
        <v/>
      </c>
      <c r="N140" s="52" t="str">
        <f>IFERROR(__xludf.DUMMYFUNCTION("IFS(AND(COUNTA(C140:C147)=0,COUNTA(P140:P147)=0),"""",OR(AND(L140&gt;=1000000,OR(Y140&gt;=1000000,COUNTA(P140:P147)=0)),AND(Y140&gt;=1000000,COUNTA(C140:C147)=0),AND(COUNTA(P140:P147)=0,O$3=TRUE)),
ROUNDDOWN((AB$1-AC$1)*MAX(INDEX(S$4:S147,MATCH(LARGE(FILTER(Y$4:Y1"&amp;"47,Y$4:Y147&lt;1000000),1),Y$4:Y147)),INDEX(F$4:F147,MATCH(LARGE(FILTER(L$4:L147,L$4:L147&lt;1000000),1),L$4:L147)))),AND(L140&lt;1000000,COUNTA(C140:C147)&gt;0,O$3=FALSE),
ROUNDDOWN(INDEX(Y$4:Y147,MATCH(LARGE(FILTER(W$4:W147,W$4:W147&lt;=J140),1),W$4:W147))+(J140-LARGE"&amp;"(FILTER(W$4:W147,W$4:W147&lt;=J140),1))*INDEX(S$4:S147,MATCH(LARGE(FILTER(W$4:W147,W$4:W147&lt;=J140),1),W$4:W147))-L140),1,
ROUNDDOWN(Y140-INDEX(L$4:L147,MATCH(LARGE(FILTER(J$4:J147,J$4:J147&lt;=W140),1),J$4:J147))-(W140-LARGE(FILTER(J$4:J147,J$4:J147&lt;=W140),1))*"&amp;"INDEX(F$4:F147,MATCH(LARGE(FILTER(J$4:J147,J$4:J147&lt;=W140),1),J$4:J147))))"),"")</f>
        <v/>
      </c>
      <c r="O140" s="65" t="str">
        <f t="shared" si="9"/>
        <v/>
      </c>
      <c r="P140" s="15"/>
      <c r="Q140" s="14" t="str">
        <f>IFERROR(__xludf.DUMMYFUNCTION("IF(COUNTA(P140:P147)=0,"""",IFERROR(IF(ISBLANK(P140),FALSE,IF(ISBLANK(T140),1,IF(NOT(COUNTIF($AA$24:$AA$34,SUBSTITUTE(P140,""Sell_"",""""))),1,IF(P140=""Plastic_up"",IF(V140&lt;1000,1),IF(P140=""Super_Up"",IF(OR(COUNTIF(P$4:P140,""Grandma"")-COUNTIF(P$4:P140"&amp;",""Sell_Grandma"")&lt;1,COUNTIF(P$4:P140,VLOOKUP(P140,Upgrades!$F$8:$N$8,7+COUNTIF(P$4:P140,P140)))-COUNTIF(P$4:P140,""Sell_""&amp;VLOOKUP(P140,Upgrades!$F$8:$N$8,7+COUNTIF(P$4:P140,P140)))&lt;15),1),IF(REGEXMATCH(P140,""_up""),IF(COUNTIF(P$4:P140,SUBSTITUTE(P140,"&amp;"""_up"",""""))&lt;IFERROR(VLOOKUP(P140,Upgrades!$L$3:$P$6,1+COUNTIF(P$4:P140,P140),0),999),1),IF(REGEXMATCH(P140,""Sell_""),IF(COUNTIF(P$4:P140,SUBSTITUTE(P140,""Sell_"",""""))-COUNTIF(P$4:P139,P140)&lt;1,1),FALSE)))))))))"),"")</f>
        <v/>
      </c>
      <c r="R140" s="71" t="str">
        <f>IFERROR(__xludf.DUMMYFUNCTION("IF(REGEXMATCH(P140,""^Sell_""),R139, IF(COUNTA(P140:P147)=0,"""",(COUNTIF(P$4:P140,""Cursor"")-COUNTIF(P$4:P140,""Sell_Cursor""))*(0.1*2^SWITCH(COUNTIF(P$4:P140,""Cursor_up""),0,0,1,1,2,2,3)+SWITCH(COUNTIF(P$4:P140,""Cursor_up""),4,0.1,0)*(ROW(P140)-4-COU"&amp;"NTIF(P$4:P140,""Cursor"")-COUNTIF(P$4:P140,""*""&amp;""_up"")-2*COUNTIF(P$4:P140,""Sell_""&amp;""*"")+COUNTIF(P$4:P140,""Sell_Cursor"")-COUNTIF(P$4:P140,"""")))+(COUNTIF(P$4:P140,""Grandma"")-COUNTIF(P$4:P140,""Sell_Grandma""))*(1*2^(COUNTIF(P$4:P140,""Grandma_up"&amp;""")+COUNTIF(P$4:P140,""Super_up"")))+(COUNTIF(P$4:P140,""Farm"")-COUNTIF(P$4:P140,""Sell_Farm""))*(8*2^COUNTIF(P$4:P140,""Farm_up""))*IF(COUNTIF(P$4:P140,""Super_up"")&gt;0,1+0.01*(COUNTIF(P$4:P140,""Grandma"")-COUNTIF(P$4:P140,""Sell_Grandma"")),1)+(COUNTIF"&amp;"(P$4:P140,""Mine"")-COUNTIF(P$4:P140,""Sell_Mine""))*((47*2^COUNTIF(P$4:P140,""Mine_up""))*IF(COUNTIF(P$4:P140,""Super_up"")&gt;1,1+0.005*(COUNTIF(P$4:P140,""Grandma"")-COUNTIF(P$4:P140,""Sell_Grandma"")),1))+(COUNTIF(P$4:P140,""Factory"")-COUNTIF(P$4:P140,"&amp;"""Sell_Factory""))*(260*2^COUNTIF(P$4:P140,""Factory_up""))))"),"")</f>
        <v/>
      </c>
      <c r="S140" s="73" t="str">
        <f>IFERROR(__xludf.DUMMYFUNCTION("IF(COUNTA(P140:P147)=0,"""",IF(REGEXMATCH(INDEX(FILTER(P$4:P140,P$4:P140&lt;&gt;""""),ROWS(FILTER(P$4:P140,P$4:P140&lt;&gt;""""))),""^Sell_""),INDEX(FILTER(S$4:S139,P$4:P139&lt;&gt;""""),ROWS(FILTER(P$4:P139,P$4:P139&lt;&gt;""""))),$AD$5*(2^SWITCH(COUNTIF(P$4:P140,""Cursor_up"")"&amp;",0,0,1,1,2,2,3)+SWITCH(COUNTIF(P$4:P140,""Cursor_up""),4,0.1,0)*(ROW(P140)-4-COUNTIF(P$4:P140,""Cursor"")-COUNTIF(P$4:P140,""*""&amp;""_up"")-2*COUNTIF(P$4:P140,""Sell_""&amp;""*"")+COUNTIF(P$4:P140,""Sell_Cursor"")-COUNTIF(P$4:P140,""""))+0.01*R140*COUNTIF(P$4:P"&amp;"140,""Plastic_up""))+R140))"),"")</f>
        <v/>
      </c>
      <c r="T140" s="14" t="str">
        <f>IFERROR(__xludf.DUMMYFUNCTION("IF(COUNTA(P140:P147)=0,"""",IF(REGEXMATCH(P140,""_up""),VLOOKUP(P140,Upgrades!$F$3:$J$8,1+COUNTIF(P$4:P140,P140),FALSE),IF(P140="""",0,IF(REGEXMATCH(P140,""^Sell_""),-ROUNDDOWN(ROUNDUP(INDEX(Upgrades!$C$3:$C$8,MATCH(SUBSTITUTE(P140,""Sell_"",""""),Upgrade"&amp;"s!$B$3:$B$8,0))*1.15^(COUNTIF(P$4:P139,SUBSTITUTE(P140,""Sell_"",""""))-COUNTIF(P$4:P139,""Sell_""&amp;SUBSTITUTE(P140,""Sell_"",""""))))/4),ROUNDUP(INDEX(Upgrades!$C$3:$C$7,MATCH(P140,Upgrades!$B$3:$B$7,0))*1.15^(COUNTIF(P$4:P139,P140)-COUNTIF(P$4:P139,""Sel"&amp;"l_""&amp;P140)))))))"),"")</f>
        <v/>
      </c>
      <c r="U140" s="14" t="str">
        <f t="shared" si="10"/>
        <v/>
      </c>
      <c r="V140" s="75" t="str">
        <f t="shared" si="11"/>
        <v/>
      </c>
      <c r="W140" s="76" t="str">
        <f t="shared" si="12"/>
        <v/>
      </c>
      <c r="X140" s="71" t="str">
        <f t="shared" si="13"/>
        <v/>
      </c>
      <c r="Y140" s="77" t="str">
        <f t="shared" si="14"/>
        <v/>
      </c>
      <c r="Z140" s="17"/>
      <c r="AA140" s="13"/>
      <c r="AB140" s="13"/>
      <c r="AC140" s="13"/>
      <c r="AD140" s="13"/>
      <c r="AE140" s="13"/>
      <c r="AF140" s="13"/>
      <c r="AG140" s="13"/>
    </row>
    <row r="141">
      <c r="A141" s="12"/>
      <c r="B141" s="65" t="str">
        <f t="shared" si="2"/>
        <v/>
      </c>
      <c r="C141" s="66"/>
      <c r="D141" s="14" t="str">
        <f>IFERROR(__xludf.DUMMYFUNCTION("IF(COUNTA(C141:C147)=0,"""",IFERROR(IF(ISBLANK(C141),FALSE,IF(ISBLANK(G141),1,IF(NOT(COUNTIF($AA$24:$AA$34,SUBSTITUTE(C141,""Sell_"",""""))),1,IF(C141=""Plastic_up"",IF(I141&lt;1000,1),IF(C141=""Super_Up"",IF(OR(COUNTIF(C$4:C141,""Grandma"")-COUNTIF(C$4:C141"&amp;",""Sell_Grandma"")&lt;1,COUNTIF(C$4:C141,VLOOKUP(C141,Upgrades!$F$8:$N$8,7+COUNTIF(C$4:C141,C141)))-COUNTIF(C$4:C141,""Sell_""&amp;VLOOKUP(C141,Upgrades!$F$8:$N$8,7+COUNTIF(C$4:C141,C141)))&lt;15),1),IF(REGEXMATCH(C141,""_up""),IF(COUNTIF(C$4:C141,SUBSTITUTE(C141,"&amp;"""_up"",""""))&lt;IFERROR(VLOOKUP(C141,Upgrades!$L$3:$P$6,1+COUNTIF(C$4:C141,C141),0),999),1),IF(REGEXMATCH(C141,""Sell_""),IF(COUNTIF(C$4:C141,SUBSTITUTE(C141,""Sell_"",""""))-COUNTIF(C$4:C140,C141)&lt;1,1),FALSE)))))))))"),"")</f>
        <v/>
      </c>
      <c r="E141" s="71" t="str">
        <f>IFERROR(__xludf.DUMMYFUNCTION("IF(REGEXMATCH(C141,""^Sell_""),E140, IF(COUNTA(C141:C147)=0,"""",(COUNTIF(C$4:C141,""Cursor"")-COUNTIF(C$4:C141,""Sell_Cursor""))*(0.1*2^SWITCH(COUNTIF(C$4:C141,""Cursor_up""),0,0,1,1,2,2,3)+SWITCH(COUNTIF(C$4:C141,""Cursor_up""),4,0.1,0)*(ROW(C141)-4-COU"&amp;"NTIF(C$4:C141,""Cursor"")-COUNTIF(C$4:C141,""*""&amp;""_up"")-2*COUNTIF(C$4:C141,""Sell_""&amp;""*"")+COUNTIF(C$4:C141,""Sell_Cursor"")-COUNTIF(C$4:C141,"""")))+(COUNTIF(C$4:C141,""Grandma"")-COUNTIF(C$4:C141,""Sell_Grandma""))*(1*2^(COUNTIF(C$4:C141,""Grandma_up"&amp;""")+COUNTIF(C$4:C141,""Super_up"")))+(COUNTIF(C$4:C141,""Farm"")-COUNTIF(C$4:C141,""Sell_Farm""))*(8*2^COUNTIF(C$4:C141,""Farm_up""))*IF(COUNTIF(C$4:C141,""Super_up"")&gt;0,1+0.01*(COUNTIF(C$4:C141,""Grandma"")-COUNTIF(C$4:C141,""Sell_Grandma"")),1)+(COUNTIF"&amp;"(C$4:C141,""Mine"")-COUNTIF(C$4:C141,""Sell_Mine""))*((47*2^COUNTIF(C$4:C141,""Mine_up""))*IF(COUNTIF(C$4:C141,""Super_up"")&gt;1,1+0.005*(COUNTIF(C$4:C141,""Grandma"")-COUNTIF(C$4:C141,""Sell_Grandma"")),1))+(COUNTIF(C$4:C141,""Factory"")-COUNTIF(C$4:C141,"&amp;"""Sell_Factory""))*(260*2^COUNTIF(C$4:C141,""Factory_up""))))"),"")</f>
        <v/>
      </c>
      <c r="F141" s="73" t="str">
        <f>IFERROR(__xludf.DUMMYFUNCTION("IF(COUNTA(C141:C147)=0,"""",IF(REGEXMATCH(INDEX(FILTER(C$4:C141,C$4:C141&lt;&gt;""""),ROWS(FILTER(C$4:C141,C$4:C141&lt;&gt;""""))),""^Sell_""),INDEX(FILTER(F$4:F140,C$4:C140&lt;&gt;""""),ROWS(FILTER(C$4:C140,C$4:C140&lt;&gt;""""))),$AC$5*(2^SWITCH(COUNTIF(C$4:C141,""Cursor_up"")"&amp;",0,0,1,1,2,2,3)+SWITCH(COUNTIF(C$4:C141,""Cursor_up""),4,0.1,0)*(ROW(C141)-4-COUNTIF(C$4:C141,""Cursor"")-COUNTIF(C$4:C141,""*""&amp;""_up"")-2*COUNTIF(C$4:C141,""Sell_""&amp;""*"")+COUNTIF(C$4:C141,""Sell_Cursor"")-COUNTIF(C$4:C141,""""))+0.01*E141*COUNTIF(C$4:C"&amp;"141,""Plastic_up""))+E141))"),"")</f>
        <v/>
      </c>
      <c r="G141" s="14" t="str">
        <f>IFERROR(__xludf.DUMMYFUNCTION("IF(COUNTA(C141:C147)=0,"""",IF(REGEXMATCH(C141,""_up""),VLOOKUP(C141,Upgrades!$F$3:$J$8,1+COUNTIF(C$4:C141,C141),FALSE),IF(C141="""",0,IF(REGEXMATCH(C141,""^Sell_""),-ROUNDDOWN(ROUNDUP(INDEX(Upgrades!$C$3:$C$8,MATCH(SUBSTITUTE(C141,""Sell_"",""""),Upgrade"&amp;"s!$B$3:$B$8,0))*1.15^(COUNTIF(C$4:C140,SUBSTITUTE(C141,""Sell_"",""""))-COUNTIF(C$4:C140,""Sell_""&amp;SUBSTITUTE(C141,""Sell_"",""""))))/4),ROUNDUP(INDEX(Upgrades!$C$3:$C$7,MATCH(C141,Upgrades!$B$3:$B$7,0))*1.15^(COUNTIF(C$4:C140,C141)-COUNTIF(C$4:C140,""Sel"&amp;"l_""&amp;C141)))))))"),"")</f>
        <v/>
      </c>
      <c r="H141" s="14" t="str">
        <f t="shared" si="3"/>
        <v/>
      </c>
      <c r="I141" s="75" t="str">
        <f t="shared" si="4"/>
        <v/>
      </c>
      <c r="J141" s="76" t="str">
        <f t="shared" si="5"/>
        <v/>
      </c>
      <c r="K141" s="71" t="str">
        <f t="shared" si="6"/>
        <v/>
      </c>
      <c r="L141" s="77" t="str">
        <f t="shared" si="7"/>
        <v/>
      </c>
      <c r="M141" s="51" t="str">
        <f t="shared" si="8"/>
        <v/>
      </c>
      <c r="N141" s="52" t="str">
        <f>IFERROR(__xludf.DUMMYFUNCTION("IFS(AND(COUNTA(C141:C147)=0,COUNTA(P141:P147)=0),"""",OR(AND(L141&gt;=1000000,OR(Y141&gt;=1000000,COUNTA(P141:P147)=0)),AND(Y141&gt;=1000000,COUNTA(C141:C147)=0),AND(COUNTA(P141:P147)=0,O$3=TRUE)),
ROUNDDOWN((AB$1-AC$1)*MAX(INDEX(S$4:S147,MATCH(LARGE(FILTER(Y$4:Y1"&amp;"47,Y$4:Y147&lt;1000000),1),Y$4:Y147)),INDEX(F$4:F147,MATCH(LARGE(FILTER(L$4:L147,L$4:L147&lt;1000000),1),L$4:L147)))),AND(L141&lt;1000000,COUNTA(C141:C147)&gt;0,O$3=FALSE),
ROUNDDOWN(INDEX(Y$4:Y147,MATCH(LARGE(FILTER(W$4:W147,W$4:W147&lt;=J141),1),W$4:W147))+(J141-LARGE"&amp;"(FILTER(W$4:W147,W$4:W147&lt;=J141),1))*INDEX(S$4:S147,MATCH(LARGE(FILTER(W$4:W147,W$4:W147&lt;=J141),1),W$4:W147))-L141),1,
ROUNDDOWN(Y141-INDEX(L$4:L147,MATCH(LARGE(FILTER(J$4:J147,J$4:J147&lt;=W141),1),J$4:J147))-(W141-LARGE(FILTER(J$4:J147,J$4:J147&lt;=W141),1))*"&amp;"INDEX(F$4:F147,MATCH(LARGE(FILTER(J$4:J147,J$4:J147&lt;=W141),1),J$4:J147))))"),"")</f>
        <v/>
      </c>
      <c r="O141" s="65" t="str">
        <f t="shared" si="9"/>
        <v/>
      </c>
      <c r="P141" s="15"/>
      <c r="Q141" s="14" t="str">
        <f>IFERROR(__xludf.DUMMYFUNCTION("IF(COUNTA(P141:P147)=0,"""",IFERROR(IF(ISBLANK(P141),FALSE,IF(ISBLANK(T141),1,IF(NOT(COUNTIF($AA$24:$AA$34,SUBSTITUTE(P141,""Sell_"",""""))),1,IF(P141=""Plastic_up"",IF(V141&lt;1000,1),IF(P141=""Super_Up"",IF(OR(COUNTIF(P$4:P141,""Grandma"")-COUNTIF(P$4:P141"&amp;",""Sell_Grandma"")&lt;1,COUNTIF(P$4:P141,VLOOKUP(P141,Upgrades!$F$8:$N$8,7+COUNTIF(P$4:P141,P141)))-COUNTIF(P$4:P141,""Sell_""&amp;VLOOKUP(P141,Upgrades!$F$8:$N$8,7+COUNTIF(P$4:P141,P141)))&lt;15),1),IF(REGEXMATCH(P141,""_up""),IF(COUNTIF(P$4:P141,SUBSTITUTE(P141,"&amp;"""_up"",""""))&lt;IFERROR(VLOOKUP(P141,Upgrades!$L$3:$P$6,1+COUNTIF(P$4:P141,P141),0),999),1),IF(REGEXMATCH(P141,""Sell_""),IF(COUNTIF(P$4:P141,SUBSTITUTE(P141,""Sell_"",""""))-COUNTIF(P$4:P140,P141)&lt;1,1),FALSE)))))))))"),"")</f>
        <v/>
      </c>
      <c r="R141" s="71" t="str">
        <f>IFERROR(__xludf.DUMMYFUNCTION("IF(REGEXMATCH(P141,""^Sell_""),R140, IF(COUNTA(P141:P147)=0,"""",(COUNTIF(P$4:P141,""Cursor"")-COUNTIF(P$4:P141,""Sell_Cursor""))*(0.1*2^SWITCH(COUNTIF(P$4:P141,""Cursor_up""),0,0,1,1,2,2,3)+SWITCH(COUNTIF(P$4:P141,""Cursor_up""),4,0.1,0)*(ROW(P141)-4-COU"&amp;"NTIF(P$4:P141,""Cursor"")-COUNTIF(P$4:P141,""*""&amp;""_up"")-2*COUNTIF(P$4:P141,""Sell_""&amp;""*"")+COUNTIF(P$4:P141,""Sell_Cursor"")-COUNTIF(P$4:P141,"""")))+(COUNTIF(P$4:P141,""Grandma"")-COUNTIF(P$4:P141,""Sell_Grandma""))*(1*2^(COUNTIF(P$4:P141,""Grandma_up"&amp;""")+COUNTIF(P$4:P141,""Super_up"")))+(COUNTIF(P$4:P141,""Farm"")-COUNTIF(P$4:P141,""Sell_Farm""))*(8*2^COUNTIF(P$4:P141,""Farm_up""))*IF(COUNTIF(P$4:P141,""Super_up"")&gt;0,1+0.01*(COUNTIF(P$4:P141,""Grandma"")-COUNTIF(P$4:P141,""Sell_Grandma"")),1)+(COUNTIF"&amp;"(P$4:P141,""Mine"")-COUNTIF(P$4:P141,""Sell_Mine""))*((47*2^COUNTIF(P$4:P141,""Mine_up""))*IF(COUNTIF(P$4:P141,""Super_up"")&gt;1,1+0.005*(COUNTIF(P$4:P141,""Grandma"")-COUNTIF(P$4:P141,""Sell_Grandma"")),1))+(COUNTIF(P$4:P141,""Factory"")-COUNTIF(P$4:P141,"&amp;"""Sell_Factory""))*(260*2^COUNTIF(P$4:P141,""Factory_up""))))"),"")</f>
        <v/>
      </c>
      <c r="S141" s="73" t="str">
        <f>IFERROR(__xludf.DUMMYFUNCTION("IF(COUNTA(P141:P147)=0,"""",IF(REGEXMATCH(INDEX(FILTER(P$4:P141,P$4:P141&lt;&gt;""""),ROWS(FILTER(P$4:P141,P$4:P141&lt;&gt;""""))),""^Sell_""),INDEX(FILTER(S$4:S140,P$4:P140&lt;&gt;""""),ROWS(FILTER(P$4:P140,P$4:P140&lt;&gt;""""))),$AD$5*(2^SWITCH(COUNTIF(P$4:P141,""Cursor_up"")"&amp;",0,0,1,1,2,2,3)+SWITCH(COUNTIF(P$4:P141,""Cursor_up""),4,0.1,0)*(ROW(P141)-4-COUNTIF(P$4:P141,""Cursor"")-COUNTIF(P$4:P141,""*""&amp;""_up"")-2*COUNTIF(P$4:P141,""Sell_""&amp;""*"")+COUNTIF(P$4:P141,""Sell_Cursor"")-COUNTIF(P$4:P141,""""))+0.01*R141*COUNTIF(P$4:P"&amp;"141,""Plastic_up""))+R141))"),"")</f>
        <v/>
      </c>
      <c r="T141" s="14" t="str">
        <f>IFERROR(__xludf.DUMMYFUNCTION("IF(COUNTA(P141:P147)=0,"""",IF(REGEXMATCH(P141,""_up""),VLOOKUP(P141,Upgrades!$F$3:$J$8,1+COUNTIF(P$4:P141,P141),FALSE),IF(P141="""",0,IF(REGEXMATCH(P141,""^Sell_""),-ROUNDDOWN(ROUNDUP(INDEX(Upgrades!$C$3:$C$8,MATCH(SUBSTITUTE(P141,""Sell_"",""""),Upgrade"&amp;"s!$B$3:$B$8,0))*1.15^(COUNTIF(P$4:P140,SUBSTITUTE(P141,""Sell_"",""""))-COUNTIF(P$4:P140,""Sell_""&amp;SUBSTITUTE(P141,""Sell_"",""""))))/4),ROUNDUP(INDEX(Upgrades!$C$3:$C$7,MATCH(P141,Upgrades!$B$3:$B$7,0))*1.15^(COUNTIF(P$4:P140,P141)-COUNTIF(P$4:P140,""Sel"&amp;"l_""&amp;P141)))))))"),"")</f>
        <v/>
      </c>
      <c r="U141" s="14" t="str">
        <f t="shared" si="10"/>
        <v/>
      </c>
      <c r="V141" s="75" t="str">
        <f t="shared" si="11"/>
        <v/>
      </c>
      <c r="W141" s="76" t="str">
        <f t="shared" si="12"/>
        <v/>
      </c>
      <c r="X141" s="71" t="str">
        <f t="shared" si="13"/>
        <v/>
      </c>
      <c r="Y141" s="77" t="str">
        <f t="shared" si="14"/>
        <v/>
      </c>
      <c r="Z141" s="17"/>
      <c r="AA141" s="13"/>
      <c r="AB141" s="13"/>
      <c r="AC141" s="13"/>
      <c r="AD141" s="13"/>
      <c r="AE141" s="13"/>
      <c r="AF141" s="13"/>
      <c r="AG141" s="13"/>
    </row>
    <row r="142">
      <c r="A142" s="12"/>
      <c r="B142" s="65" t="str">
        <f t="shared" si="2"/>
        <v/>
      </c>
      <c r="C142" s="66"/>
      <c r="D142" s="14" t="str">
        <f>IFERROR(__xludf.DUMMYFUNCTION("IF(COUNTA(C142:C147)=0,"""",IFERROR(IF(ISBLANK(C142),FALSE,IF(ISBLANK(G142),1,IF(NOT(COUNTIF($AA$24:$AA$34,SUBSTITUTE(C142,""Sell_"",""""))),1,IF(C142=""Plastic_up"",IF(I142&lt;1000,1),IF(C142=""Super_Up"",IF(OR(COUNTIF(C$4:C142,""Grandma"")-COUNTIF(C$4:C142"&amp;",""Sell_Grandma"")&lt;1,COUNTIF(C$4:C142,VLOOKUP(C142,Upgrades!$F$8:$N$8,7+COUNTIF(C$4:C142,C142)))-COUNTIF(C$4:C142,""Sell_""&amp;VLOOKUP(C142,Upgrades!$F$8:$N$8,7+COUNTIF(C$4:C142,C142)))&lt;15),1),IF(REGEXMATCH(C142,""_up""),IF(COUNTIF(C$4:C142,SUBSTITUTE(C142,"&amp;"""_up"",""""))&lt;IFERROR(VLOOKUP(C142,Upgrades!$L$3:$P$6,1+COUNTIF(C$4:C142,C142),0),999),1),IF(REGEXMATCH(C142,""Sell_""),IF(COUNTIF(C$4:C142,SUBSTITUTE(C142,""Sell_"",""""))-COUNTIF(C$4:C141,C142)&lt;1,1),FALSE)))))))))"),"")</f>
        <v/>
      </c>
      <c r="E142" s="71" t="str">
        <f>IFERROR(__xludf.DUMMYFUNCTION("IF(REGEXMATCH(C142,""^Sell_""),E141, IF(COUNTA(C142:C147)=0,"""",(COUNTIF(C$4:C142,""Cursor"")-COUNTIF(C$4:C142,""Sell_Cursor""))*(0.1*2^SWITCH(COUNTIF(C$4:C142,""Cursor_up""),0,0,1,1,2,2,3)+SWITCH(COUNTIF(C$4:C142,""Cursor_up""),4,0.1,0)*(ROW(C142)-4-COU"&amp;"NTIF(C$4:C142,""Cursor"")-COUNTIF(C$4:C142,""*""&amp;""_up"")-2*COUNTIF(C$4:C142,""Sell_""&amp;""*"")+COUNTIF(C$4:C142,""Sell_Cursor"")-COUNTIF(C$4:C142,"""")))+(COUNTIF(C$4:C142,""Grandma"")-COUNTIF(C$4:C142,""Sell_Grandma""))*(1*2^(COUNTIF(C$4:C142,""Grandma_up"&amp;""")+COUNTIF(C$4:C142,""Super_up"")))+(COUNTIF(C$4:C142,""Farm"")-COUNTIF(C$4:C142,""Sell_Farm""))*(8*2^COUNTIF(C$4:C142,""Farm_up""))*IF(COUNTIF(C$4:C142,""Super_up"")&gt;0,1+0.01*(COUNTIF(C$4:C142,""Grandma"")-COUNTIF(C$4:C142,""Sell_Grandma"")),1)+(COUNTIF"&amp;"(C$4:C142,""Mine"")-COUNTIF(C$4:C142,""Sell_Mine""))*((47*2^COUNTIF(C$4:C142,""Mine_up""))*IF(COUNTIF(C$4:C142,""Super_up"")&gt;1,1+0.005*(COUNTIF(C$4:C142,""Grandma"")-COUNTIF(C$4:C142,""Sell_Grandma"")),1))+(COUNTIF(C$4:C142,""Factory"")-COUNTIF(C$4:C142,"&amp;"""Sell_Factory""))*(260*2^COUNTIF(C$4:C142,""Factory_up""))))"),"")</f>
        <v/>
      </c>
      <c r="F142" s="73" t="str">
        <f>IFERROR(__xludf.DUMMYFUNCTION("IF(COUNTA(C142:C147)=0,"""",IF(REGEXMATCH(INDEX(FILTER(C$4:C142,C$4:C142&lt;&gt;""""),ROWS(FILTER(C$4:C142,C$4:C142&lt;&gt;""""))),""^Sell_""),INDEX(FILTER(F$4:F141,C$4:C141&lt;&gt;""""),ROWS(FILTER(C$4:C141,C$4:C141&lt;&gt;""""))),$AC$5*(2^SWITCH(COUNTIF(C$4:C142,""Cursor_up"")"&amp;",0,0,1,1,2,2,3)+SWITCH(COUNTIF(C$4:C142,""Cursor_up""),4,0.1,0)*(ROW(C142)-4-COUNTIF(C$4:C142,""Cursor"")-COUNTIF(C$4:C142,""*""&amp;""_up"")-2*COUNTIF(C$4:C142,""Sell_""&amp;""*"")+COUNTIF(C$4:C142,""Sell_Cursor"")-COUNTIF(C$4:C142,""""))+0.01*E142*COUNTIF(C$4:C"&amp;"142,""Plastic_up""))+E142))"),"")</f>
        <v/>
      </c>
      <c r="G142" s="14" t="str">
        <f>IFERROR(__xludf.DUMMYFUNCTION("IF(COUNTA(C142:C147)=0,"""",IF(REGEXMATCH(C142,""_up""),VLOOKUP(C142,Upgrades!$F$3:$J$8,1+COUNTIF(C$4:C142,C142),FALSE),IF(C142="""",0,IF(REGEXMATCH(C142,""^Sell_""),-ROUNDDOWN(ROUNDUP(INDEX(Upgrades!$C$3:$C$8,MATCH(SUBSTITUTE(C142,""Sell_"",""""),Upgrade"&amp;"s!$B$3:$B$8,0))*1.15^(COUNTIF(C$4:C141,SUBSTITUTE(C142,""Sell_"",""""))-COUNTIF(C$4:C141,""Sell_""&amp;SUBSTITUTE(C142,""Sell_"",""""))))/4),ROUNDUP(INDEX(Upgrades!$C$3:$C$7,MATCH(C142,Upgrades!$B$3:$B$7,0))*1.15^(COUNTIF(C$4:C141,C142)-COUNTIF(C$4:C141,""Sel"&amp;"l_""&amp;C142)))))))"),"")</f>
        <v/>
      </c>
      <c r="H142" s="14" t="str">
        <f t="shared" si="3"/>
        <v/>
      </c>
      <c r="I142" s="75" t="str">
        <f t="shared" si="4"/>
        <v/>
      </c>
      <c r="J142" s="76" t="str">
        <f t="shared" si="5"/>
        <v/>
      </c>
      <c r="K142" s="71" t="str">
        <f t="shared" si="6"/>
        <v/>
      </c>
      <c r="L142" s="77" t="str">
        <f t="shared" si="7"/>
        <v/>
      </c>
      <c r="M142" s="51" t="str">
        <f t="shared" si="8"/>
        <v/>
      </c>
      <c r="N142" s="52" t="str">
        <f>IFERROR(__xludf.DUMMYFUNCTION("IFS(AND(COUNTA(C142:C147)=0,COUNTA(P142:P147)=0),"""",OR(AND(L142&gt;=1000000,OR(Y142&gt;=1000000,COUNTA(P142:P147)=0)),AND(Y142&gt;=1000000,COUNTA(C142:C147)=0),AND(COUNTA(P142:P147)=0,O$3=TRUE)),
ROUNDDOWN((AB$1-AC$1)*MAX(INDEX(S$4:S147,MATCH(LARGE(FILTER(Y$4:Y1"&amp;"47,Y$4:Y147&lt;1000000),1),Y$4:Y147)),INDEX(F$4:F147,MATCH(LARGE(FILTER(L$4:L147,L$4:L147&lt;1000000),1),L$4:L147)))),AND(L142&lt;1000000,COUNTA(C142:C147)&gt;0,O$3=FALSE),
ROUNDDOWN(INDEX(Y$4:Y147,MATCH(LARGE(FILTER(W$4:W147,W$4:W147&lt;=J142),1),W$4:W147))+(J142-LARGE"&amp;"(FILTER(W$4:W147,W$4:W147&lt;=J142),1))*INDEX(S$4:S147,MATCH(LARGE(FILTER(W$4:W147,W$4:W147&lt;=J142),1),W$4:W147))-L142),1,
ROUNDDOWN(Y142-INDEX(L$4:L147,MATCH(LARGE(FILTER(J$4:J147,J$4:J147&lt;=W142),1),J$4:J147))-(W142-LARGE(FILTER(J$4:J147,J$4:J147&lt;=W142),1))*"&amp;"INDEX(F$4:F147,MATCH(LARGE(FILTER(J$4:J147,J$4:J147&lt;=W142),1),J$4:J147))))"),"")</f>
        <v/>
      </c>
      <c r="O142" s="65" t="str">
        <f t="shared" si="9"/>
        <v/>
      </c>
      <c r="P142" s="15"/>
      <c r="Q142" s="14" t="str">
        <f>IFERROR(__xludf.DUMMYFUNCTION("IF(COUNTA(P142:P147)=0,"""",IFERROR(IF(ISBLANK(P142),FALSE,IF(ISBLANK(T142),1,IF(NOT(COUNTIF($AA$24:$AA$34,SUBSTITUTE(P142,""Sell_"",""""))),1,IF(P142=""Plastic_up"",IF(V142&lt;1000,1),IF(P142=""Super_Up"",IF(OR(COUNTIF(P$4:P142,""Grandma"")-COUNTIF(P$4:P142"&amp;",""Sell_Grandma"")&lt;1,COUNTIF(P$4:P142,VLOOKUP(P142,Upgrades!$F$8:$N$8,7+COUNTIF(P$4:P142,P142)))-COUNTIF(P$4:P142,""Sell_""&amp;VLOOKUP(P142,Upgrades!$F$8:$N$8,7+COUNTIF(P$4:P142,P142)))&lt;15),1),IF(REGEXMATCH(P142,""_up""),IF(COUNTIF(P$4:P142,SUBSTITUTE(P142,"&amp;"""_up"",""""))&lt;IFERROR(VLOOKUP(P142,Upgrades!$L$3:$P$6,1+COUNTIF(P$4:P142,P142),0),999),1),IF(REGEXMATCH(P142,""Sell_""),IF(COUNTIF(P$4:P142,SUBSTITUTE(P142,""Sell_"",""""))-COUNTIF(P$4:P141,P142)&lt;1,1),FALSE)))))))))"),"")</f>
        <v/>
      </c>
      <c r="R142" s="71" t="str">
        <f>IFERROR(__xludf.DUMMYFUNCTION("IF(REGEXMATCH(P142,""^Sell_""),R141, IF(COUNTA(P142:P147)=0,"""",(COUNTIF(P$4:P142,""Cursor"")-COUNTIF(P$4:P142,""Sell_Cursor""))*(0.1*2^SWITCH(COUNTIF(P$4:P142,""Cursor_up""),0,0,1,1,2,2,3)+SWITCH(COUNTIF(P$4:P142,""Cursor_up""),4,0.1,0)*(ROW(P142)-4-COU"&amp;"NTIF(P$4:P142,""Cursor"")-COUNTIF(P$4:P142,""*""&amp;""_up"")-2*COUNTIF(P$4:P142,""Sell_""&amp;""*"")+COUNTIF(P$4:P142,""Sell_Cursor"")-COUNTIF(P$4:P142,"""")))+(COUNTIF(P$4:P142,""Grandma"")-COUNTIF(P$4:P142,""Sell_Grandma""))*(1*2^(COUNTIF(P$4:P142,""Grandma_up"&amp;""")+COUNTIF(P$4:P142,""Super_up"")))+(COUNTIF(P$4:P142,""Farm"")-COUNTIF(P$4:P142,""Sell_Farm""))*(8*2^COUNTIF(P$4:P142,""Farm_up""))*IF(COUNTIF(P$4:P142,""Super_up"")&gt;0,1+0.01*(COUNTIF(P$4:P142,""Grandma"")-COUNTIF(P$4:P142,""Sell_Grandma"")),1)+(COUNTIF"&amp;"(P$4:P142,""Mine"")-COUNTIF(P$4:P142,""Sell_Mine""))*((47*2^COUNTIF(P$4:P142,""Mine_up""))*IF(COUNTIF(P$4:P142,""Super_up"")&gt;1,1+0.005*(COUNTIF(P$4:P142,""Grandma"")-COUNTIF(P$4:P142,""Sell_Grandma"")),1))+(COUNTIF(P$4:P142,""Factory"")-COUNTIF(P$4:P142,"&amp;"""Sell_Factory""))*(260*2^COUNTIF(P$4:P142,""Factory_up""))))"),"")</f>
        <v/>
      </c>
      <c r="S142" s="73" t="str">
        <f>IFERROR(__xludf.DUMMYFUNCTION("IF(COUNTA(P142:P147)=0,"""",IF(REGEXMATCH(INDEX(FILTER(P$4:P142,P$4:P142&lt;&gt;""""),ROWS(FILTER(P$4:P142,P$4:P142&lt;&gt;""""))),""^Sell_""),INDEX(FILTER(S$4:S141,P$4:P141&lt;&gt;""""),ROWS(FILTER(P$4:P141,P$4:P141&lt;&gt;""""))),$AD$5*(2^SWITCH(COUNTIF(P$4:P142,""Cursor_up"")"&amp;",0,0,1,1,2,2,3)+SWITCH(COUNTIF(P$4:P142,""Cursor_up""),4,0.1,0)*(ROW(P142)-4-COUNTIF(P$4:P142,""Cursor"")-COUNTIF(P$4:P142,""*""&amp;""_up"")-2*COUNTIF(P$4:P142,""Sell_""&amp;""*"")+COUNTIF(P$4:P142,""Sell_Cursor"")-COUNTIF(P$4:P142,""""))+0.01*R142*COUNTIF(P$4:P"&amp;"142,""Plastic_up""))+R142))"),"")</f>
        <v/>
      </c>
      <c r="T142" s="14" t="str">
        <f>IFERROR(__xludf.DUMMYFUNCTION("IF(COUNTA(P142:P147)=0,"""",IF(REGEXMATCH(P142,""_up""),VLOOKUP(P142,Upgrades!$F$3:$J$8,1+COUNTIF(P$4:P142,P142),FALSE),IF(P142="""",0,IF(REGEXMATCH(P142,""^Sell_""),-ROUNDDOWN(ROUNDUP(INDEX(Upgrades!$C$3:$C$8,MATCH(SUBSTITUTE(P142,""Sell_"",""""),Upgrade"&amp;"s!$B$3:$B$8,0))*1.15^(COUNTIF(P$4:P141,SUBSTITUTE(P142,""Sell_"",""""))-COUNTIF(P$4:P141,""Sell_""&amp;SUBSTITUTE(P142,""Sell_"",""""))))/4),ROUNDUP(INDEX(Upgrades!$C$3:$C$7,MATCH(P142,Upgrades!$B$3:$B$7,0))*1.15^(COUNTIF(P$4:P141,P142)-COUNTIF(P$4:P141,""Sel"&amp;"l_""&amp;P142)))))))"),"")</f>
        <v/>
      </c>
      <c r="U142" s="14" t="str">
        <f t="shared" si="10"/>
        <v/>
      </c>
      <c r="V142" s="75" t="str">
        <f t="shared" si="11"/>
        <v/>
      </c>
      <c r="W142" s="76" t="str">
        <f t="shared" si="12"/>
        <v/>
      </c>
      <c r="X142" s="71" t="str">
        <f t="shared" si="13"/>
        <v/>
      </c>
      <c r="Y142" s="77" t="str">
        <f t="shared" si="14"/>
        <v/>
      </c>
      <c r="Z142" s="17"/>
      <c r="AA142" s="13"/>
      <c r="AB142" s="13"/>
      <c r="AC142" s="13"/>
      <c r="AD142" s="13"/>
      <c r="AE142" s="13"/>
      <c r="AF142" s="13"/>
      <c r="AG142" s="13"/>
    </row>
    <row r="143">
      <c r="A143" s="12"/>
      <c r="B143" s="65" t="str">
        <f t="shared" si="2"/>
        <v/>
      </c>
      <c r="C143" s="66"/>
      <c r="D143" s="14" t="str">
        <f>IFERROR(__xludf.DUMMYFUNCTION("IF(COUNTA(C143:C147)=0,"""",IFERROR(IF(ISBLANK(C143),FALSE,IF(ISBLANK(G143),1,IF(NOT(COUNTIF($AA$24:$AA$34,SUBSTITUTE(C143,""Sell_"",""""))),1,IF(C143=""Plastic_up"",IF(I143&lt;1000,1),IF(C143=""Super_Up"",IF(OR(COUNTIF(C$4:C143,""Grandma"")-COUNTIF(C$4:C143"&amp;",""Sell_Grandma"")&lt;1,COUNTIF(C$4:C143,VLOOKUP(C143,Upgrades!$F$8:$N$8,7+COUNTIF(C$4:C143,C143)))-COUNTIF(C$4:C143,""Sell_""&amp;VLOOKUP(C143,Upgrades!$F$8:$N$8,7+COUNTIF(C$4:C143,C143)))&lt;15),1),IF(REGEXMATCH(C143,""_up""),IF(COUNTIF(C$4:C143,SUBSTITUTE(C143,"&amp;"""_up"",""""))&lt;IFERROR(VLOOKUP(C143,Upgrades!$L$3:$P$6,1+COUNTIF(C$4:C143,C143),0),999),1),IF(REGEXMATCH(C143,""Sell_""),IF(COUNTIF(C$4:C143,SUBSTITUTE(C143,""Sell_"",""""))-COUNTIF(C$4:C142,C143)&lt;1,1),FALSE)))))))))"),"")</f>
        <v/>
      </c>
      <c r="E143" s="71" t="str">
        <f>IFERROR(__xludf.DUMMYFUNCTION("IF(REGEXMATCH(C143,""^Sell_""),E142, IF(COUNTA(C143:C147)=0,"""",(COUNTIF(C$4:C143,""Cursor"")-COUNTIF(C$4:C143,""Sell_Cursor""))*(0.1*2^SWITCH(COUNTIF(C$4:C143,""Cursor_up""),0,0,1,1,2,2,3)+SWITCH(COUNTIF(C$4:C143,""Cursor_up""),4,0.1,0)*(ROW(C143)-4-COU"&amp;"NTIF(C$4:C143,""Cursor"")-COUNTIF(C$4:C143,""*""&amp;""_up"")-2*COUNTIF(C$4:C143,""Sell_""&amp;""*"")+COUNTIF(C$4:C143,""Sell_Cursor"")-COUNTIF(C$4:C143,"""")))+(COUNTIF(C$4:C143,""Grandma"")-COUNTIF(C$4:C143,""Sell_Grandma""))*(1*2^(COUNTIF(C$4:C143,""Grandma_up"&amp;""")+COUNTIF(C$4:C143,""Super_up"")))+(COUNTIF(C$4:C143,""Farm"")-COUNTIF(C$4:C143,""Sell_Farm""))*(8*2^COUNTIF(C$4:C143,""Farm_up""))*IF(COUNTIF(C$4:C143,""Super_up"")&gt;0,1+0.01*(COUNTIF(C$4:C143,""Grandma"")-COUNTIF(C$4:C143,""Sell_Grandma"")),1)+(COUNTIF"&amp;"(C$4:C143,""Mine"")-COUNTIF(C$4:C143,""Sell_Mine""))*((47*2^COUNTIF(C$4:C143,""Mine_up""))*IF(COUNTIF(C$4:C143,""Super_up"")&gt;1,1+0.005*(COUNTIF(C$4:C143,""Grandma"")-COUNTIF(C$4:C143,""Sell_Grandma"")),1))+(COUNTIF(C$4:C143,""Factory"")-COUNTIF(C$4:C143,"&amp;"""Sell_Factory""))*(260*2^COUNTIF(C$4:C143,""Factory_up""))))"),"")</f>
        <v/>
      </c>
      <c r="F143" s="73" t="str">
        <f>IFERROR(__xludf.DUMMYFUNCTION("IF(COUNTA(C143:C147)=0,"""",IF(REGEXMATCH(INDEX(FILTER(C$4:C143,C$4:C143&lt;&gt;""""),ROWS(FILTER(C$4:C143,C$4:C143&lt;&gt;""""))),""^Sell_""),INDEX(FILTER(F$4:F142,C$4:C142&lt;&gt;""""),ROWS(FILTER(C$4:C142,C$4:C142&lt;&gt;""""))),$AC$5*(2^SWITCH(COUNTIF(C$4:C143,""Cursor_up"")"&amp;",0,0,1,1,2,2,3)+SWITCH(COUNTIF(C$4:C143,""Cursor_up""),4,0.1,0)*(ROW(C143)-4-COUNTIF(C$4:C143,""Cursor"")-COUNTIF(C$4:C143,""*""&amp;""_up"")-2*COUNTIF(C$4:C143,""Sell_""&amp;""*"")+COUNTIF(C$4:C143,""Sell_Cursor"")-COUNTIF(C$4:C143,""""))+0.01*E143*COUNTIF(C$4:C"&amp;"143,""Plastic_up""))+E143))"),"")</f>
        <v/>
      </c>
      <c r="G143" s="14" t="str">
        <f>IFERROR(__xludf.DUMMYFUNCTION("IF(COUNTA(C143:C147)=0,"""",IF(REGEXMATCH(C143,""_up""),VLOOKUP(C143,Upgrades!$F$3:$J$8,1+COUNTIF(C$4:C143,C143),FALSE),IF(C143="""",0,IF(REGEXMATCH(C143,""^Sell_""),-ROUNDDOWN(ROUNDUP(INDEX(Upgrades!$C$3:$C$8,MATCH(SUBSTITUTE(C143,""Sell_"",""""),Upgrade"&amp;"s!$B$3:$B$8,0))*1.15^(COUNTIF(C$4:C142,SUBSTITUTE(C143,""Sell_"",""""))-COUNTIF(C$4:C142,""Sell_""&amp;SUBSTITUTE(C143,""Sell_"",""""))))/4),ROUNDUP(INDEX(Upgrades!$C$3:$C$7,MATCH(C143,Upgrades!$B$3:$B$7,0))*1.15^(COUNTIF(C$4:C142,C143)-COUNTIF(C$4:C142,""Sel"&amp;"l_""&amp;C143)))))))"),"")</f>
        <v/>
      </c>
      <c r="H143" s="14" t="str">
        <f t="shared" si="3"/>
        <v/>
      </c>
      <c r="I143" s="75" t="str">
        <f t="shared" si="4"/>
        <v/>
      </c>
      <c r="J143" s="76" t="str">
        <f t="shared" si="5"/>
        <v/>
      </c>
      <c r="K143" s="71" t="str">
        <f t="shared" si="6"/>
        <v/>
      </c>
      <c r="L143" s="77" t="str">
        <f t="shared" si="7"/>
        <v/>
      </c>
      <c r="M143" s="51" t="str">
        <f t="shared" si="8"/>
        <v/>
      </c>
      <c r="N143" s="52" t="str">
        <f>IFERROR(__xludf.DUMMYFUNCTION("IFS(AND(COUNTA(C143:C147)=0,COUNTA(P143:P147)=0),"""",OR(AND(L143&gt;=1000000,OR(Y143&gt;=1000000,COUNTA(P143:P147)=0)),AND(Y143&gt;=1000000,COUNTA(C143:C147)=0),AND(COUNTA(P143:P147)=0,O$3=TRUE)),
ROUNDDOWN((AB$1-AC$1)*MAX(INDEX(S$4:S147,MATCH(LARGE(FILTER(Y$4:Y1"&amp;"47,Y$4:Y147&lt;1000000),1),Y$4:Y147)),INDEX(F$4:F147,MATCH(LARGE(FILTER(L$4:L147,L$4:L147&lt;1000000),1),L$4:L147)))),AND(L143&lt;1000000,COUNTA(C143:C147)&gt;0,O$3=FALSE),
ROUNDDOWN(INDEX(Y$4:Y147,MATCH(LARGE(FILTER(W$4:W147,W$4:W147&lt;=J143),1),W$4:W147))+(J143-LARGE"&amp;"(FILTER(W$4:W147,W$4:W147&lt;=J143),1))*INDEX(S$4:S147,MATCH(LARGE(FILTER(W$4:W147,W$4:W147&lt;=J143),1),W$4:W147))-L143),1,
ROUNDDOWN(Y143-INDEX(L$4:L147,MATCH(LARGE(FILTER(J$4:J147,J$4:J147&lt;=W143),1),J$4:J147))-(W143-LARGE(FILTER(J$4:J147,J$4:J147&lt;=W143),1))*"&amp;"INDEX(F$4:F147,MATCH(LARGE(FILTER(J$4:J147,J$4:J147&lt;=W143),1),J$4:J147))))"),"")</f>
        <v/>
      </c>
      <c r="O143" s="65" t="str">
        <f t="shared" si="9"/>
        <v/>
      </c>
      <c r="P143" s="15"/>
      <c r="Q143" s="14" t="str">
        <f>IFERROR(__xludf.DUMMYFUNCTION("IF(COUNTA(P143:P147)=0,"""",IFERROR(IF(ISBLANK(P143),FALSE,IF(ISBLANK(T143),1,IF(NOT(COUNTIF($AA$24:$AA$34,SUBSTITUTE(P143,""Sell_"",""""))),1,IF(P143=""Plastic_up"",IF(V143&lt;1000,1),IF(P143=""Super_Up"",IF(OR(COUNTIF(P$4:P143,""Grandma"")-COUNTIF(P$4:P143"&amp;",""Sell_Grandma"")&lt;1,COUNTIF(P$4:P143,VLOOKUP(P143,Upgrades!$F$8:$N$8,7+COUNTIF(P$4:P143,P143)))-COUNTIF(P$4:P143,""Sell_""&amp;VLOOKUP(P143,Upgrades!$F$8:$N$8,7+COUNTIF(P$4:P143,P143)))&lt;15),1),IF(REGEXMATCH(P143,""_up""),IF(COUNTIF(P$4:P143,SUBSTITUTE(P143,"&amp;"""_up"",""""))&lt;IFERROR(VLOOKUP(P143,Upgrades!$L$3:$P$6,1+COUNTIF(P$4:P143,P143),0),999),1),IF(REGEXMATCH(P143,""Sell_""),IF(COUNTIF(P$4:P143,SUBSTITUTE(P143,""Sell_"",""""))-COUNTIF(P$4:P142,P143)&lt;1,1),FALSE)))))))))"),"")</f>
        <v/>
      </c>
      <c r="R143" s="71" t="str">
        <f>IFERROR(__xludf.DUMMYFUNCTION("IF(REGEXMATCH(P143,""^Sell_""),R142, IF(COUNTA(P143:P147)=0,"""",(COUNTIF(P$4:P143,""Cursor"")-COUNTIF(P$4:P143,""Sell_Cursor""))*(0.1*2^SWITCH(COUNTIF(P$4:P143,""Cursor_up""),0,0,1,1,2,2,3)+SWITCH(COUNTIF(P$4:P143,""Cursor_up""),4,0.1,0)*(ROW(P143)-4-COU"&amp;"NTIF(P$4:P143,""Cursor"")-COUNTIF(P$4:P143,""*""&amp;""_up"")-2*COUNTIF(P$4:P143,""Sell_""&amp;""*"")+COUNTIF(P$4:P143,""Sell_Cursor"")-COUNTIF(P$4:P143,"""")))+(COUNTIF(P$4:P143,""Grandma"")-COUNTIF(P$4:P143,""Sell_Grandma""))*(1*2^(COUNTIF(P$4:P143,""Grandma_up"&amp;""")+COUNTIF(P$4:P143,""Super_up"")))+(COUNTIF(P$4:P143,""Farm"")-COUNTIF(P$4:P143,""Sell_Farm""))*(8*2^COUNTIF(P$4:P143,""Farm_up""))*IF(COUNTIF(P$4:P143,""Super_up"")&gt;0,1+0.01*(COUNTIF(P$4:P143,""Grandma"")-COUNTIF(P$4:P143,""Sell_Grandma"")),1)+(COUNTIF"&amp;"(P$4:P143,""Mine"")-COUNTIF(P$4:P143,""Sell_Mine""))*((47*2^COUNTIF(P$4:P143,""Mine_up""))*IF(COUNTIF(P$4:P143,""Super_up"")&gt;1,1+0.005*(COUNTIF(P$4:P143,""Grandma"")-COUNTIF(P$4:P143,""Sell_Grandma"")),1))+(COUNTIF(P$4:P143,""Factory"")-COUNTIF(P$4:P143,"&amp;"""Sell_Factory""))*(260*2^COUNTIF(P$4:P143,""Factory_up""))))"),"")</f>
        <v/>
      </c>
      <c r="S143" s="73" t="str">
        <f>IFERROR(__xludf.DUMMYFUNCTION("IF(COUNTA(P143:P147)=0,"""",IF(REGEXMATCH(INDEX(FILTER(P$4:P143,P$4:P143&lt;&gt;""""),ROWS(FILTER(P$4:P143,P$4:P143&lt;&gt;""""))),""^Sell_""),INDEX(FILTER(S$4:S142,P$4:P142&lt;&gt;""""),ROWS(FILTER(P$4:P142,P$4:P142&lt;&gt;""""))),$AD$5*(2^SWITCH(COUNTIF(P$4:P143,""Cursor_up"")"&amp;",0,0,1,1,2,2,3)+SWITCH(COUNTIF(P$4:P143,""Cursor_up""),4,0.1,0)*(ROW(P143)-4-COUNTIF(P$4:P143,""Cursor"")-COUNTIF(P$4:P143,""*""&amp;""_up"")-2*COUNTIF(P$4:P143,""Sell_""&amp;""*"")+COUNTIF(P$4:P143,""Sell_Cursor"")-COUNTIF(P$4:P143,""""))+0.01*R143*COUNTIF(P$4:P"&amp;"143,""Plastic_up""))+R143))"),"")</f>
        <v/>
      </c>
      <c r="T143" s="14" t="str">
        <f>IFERROR(__xludf.DUMMYFUNCTION("IF(COUNTA(P143:P147)=0,"""",IF(REGEXMATCH(P143,""_up""),VLOOKUP(P143,Upgrades!$F$3:$J$8,1+COUNTIF(P$4:P143,P143),FALSE),IF(P143="""",0,IF(REGEXMATCH(P143,""^Sell_""),-ROUNDDOWN(ROUNDUP(INDEX(Upgrades!$C$3:$C$8,MATCH(SUBSTITUTE(P143,""Sell_"",""""),Upgrade"&amp;"s!$B$3:$B$8,0))*1.15^(COUNTIF(P$4:P142,SUBSTITUTE(P143,""Sell_"",""""))-COUNTIF(P$4:P142,""Sell_""&amp;SUBSTITUTE(P143,""Sell_"",""""))))/4),ROUNDUP(INDEX(Upgrades!$C$3:$C$7,MATCH(P143,Upgrades!$B$3:$B$7,0))*1.15^(COUNTIF(P$4:P142,P143)-COUNTIF(P$4:P142,""Sel"&amp;"l_""&amp;P143)))))))"),"")</f>
        <v/>
      </c>
      <c r="U143" s="14" t="str">
        <f t="shared" si="10"/>
        <v/>
      </c>
      <c r="V143" s="75" t="str">
        <f t="shared" si="11"/>
        <v/>
      </c>
      <c r="W143" s="76" t="str">
        <f t="shared" si="12"/>
        <v/>
      </c>
      <c r="X143" s="71" t="str">
        <f t="shared" si="13"/>
        <v/>
      </c>
      <c r="Y143" s="77" t="str">
        <f t="shared" si="14"/>
        <v/>
      </c>
      <c r="Z143" s="17"/>
      <c r="AA143" s="13"/>
      <c r="AB143" s="13"/>
      <c r="AC143" s="13"/>
      <c r="AD143" s="13"/>
      <c r="AE143" s="13"/>
      <c r="AF143" s="13"/>
      <c r="AG143" s="13"/>
    </row>
    <row r="144">
      <c r="A144" s="12"/>
      <c r="B144" s="65" t="str">
        <f t="shared" si="2"/>
        <v/>
      </c>
      <c r="C144" s="66"/>
      <c r="D144" s="14" t="str">
        <f>IFERROR(__xludf.DUMMYFUNCTION("IF(COUNTA(C144:C147)=0,"""",IFERROR(IF(ISBLANK(C144),FALSE,IF(ISBLANK(G144),1,IF(NOT(COUNTIF($AA$24:$AA$34,SUBSTITUTE(C144,""Sell_"",""""))),1,IF(C144=""Plastic_up"",IF(I144&lt;1000,1),IF(C144=""Super_Up"",IF(OR(COUNTIF(C$4:C144,""Grandma"")-COUNTIF(C$4:C144"&amp;",""Sell_Grandma"")&lt;1,COUNTIF(C$4:C144,VLOOKUP(C144,Upgrades!$F$8:$N$8,7+COUNTIF(C$4:C144,C144)))-COUNTIF(C$4:C144,""Sell_""&amp;VLOOKUP(C144,Upgrades!$F$8:$N$8,7+COUNTIF(C$4:C144,C144)))&lt;15),1),IF(REGEXMATCH(C144,""_up""),IF(COUNTIF(C$4:C144,SUBSTITUTE(C144,"&amp;"""_up"",""""))&lt;IFERROR(VLOOKUP(C144,Upgrades!$L$3:$P$6,1+COUNTIF(C$4:C144,C144),0),999),1),IF(REGEXMATCH(C144,""Sell_""),IF(COUNTIF(C$4:C144,SUBSTITUTE(C144,""Sell_"",""""))-COUNTIF(C$4:C143,C144)&lt;1,1),FALSE)))))))))"),"")</f>
        <v/>
      </c>
      <c r="E144" s="71" t="str">
        <f>IFERROR(__xludf.DUMMYFUNCTION("IF(REGEXMATCH(C144,""^Sell_""),E143, IF(COUNTA(C144:C147)=0,"""",(COUNTIF(C$4:C144,""Cursor"")-COUNTIF(C$4:C144,""Sell_Cursor""))*(0.1*2^SWITCH(COUNTIF(C$4:C144,""Cursor_up""),0,0,1,1,2,2,3)+SWITCH(COUNTIF(C$4:C144,""Cursor_up""),4,0.1,0)*(ROW(C144)-4-COU"&amp;"NTIF(C$4:C144,""Cursor"")-COUNTIF(C$4:C144,""*""&amp;""_up"")-2*COUNTIF(C$4:C144,""Sell_""&amp;""*"")+COUNTIF(C$4:C144,""Sell_Cursor"")-COUNTIF(C$4:C144,"""")))+(COUNTIF(C$4:C144,""Grandma"")-COUNTIF(C$4:C144,""Sell_Grandma""))*(1*2^(COUNTIF(C$4:C144,""Grandma_up"&amp;""")+COUNTIF(C$4:C144,""Super_up"")))+(COUNTIF(C$4:C144,""Farm"")-COUNTIF(C$4:C144,""Sell_Farm""))*(8*2^COUNTIF(C$4:C144,""Farm_up""))*IF(COUNTIF(C$4:C144,""Super_up"")&gt;0,1+0.01*(COUNTIF(C$4:C144,""Grandma"")-COUNTIF(C$4:C144,""Sell_Grandma"")),1)+(COUNTIF"&amp;"(C$4:C144,""Mine"")-COUNTIF(C$4:C144,""Sell_Mine""))*((47*2^COUNTIF(C$4:C144,""Mine_up""))*IF(COUNTIF(C$4:C144,""Super_up"")&gt;1,1+0.005*(COUNTIF(C$4:C144,""Grandma"")-COUNTIF(C$4:C144,""Sell_Grandma"")),1))+(COUNTIF(C$4:C144,""Factory"")-COUNTIF(C$4:C144,"&amp;"""Sell_Factory""))*(260*2^COUNTIF(C$4:C144,""Factory_up""))))"),"")</f>
        <v/>
      </c>
      <c r="F144" s="73" t="str">
        <f>IFERROR(__xludf.DUMMYFUNCTION("IF(COUNTA(C144:C147)=0,"""",IF(REGEXMATCH(INDEX(FILTER(C$4:C144,C$4:C144&lt;&gt;""""),ROWS(FILTER(C$4:C144,C$4:C144&lt;&gt;""""))),""^Sell_""),INDEX(FILTER(F$4:F143,C$4:C143&lt;&gt;""""),ROWS(FILTER(C$4:C143,C$4:C143&lt;&gt;""""))),$AC$5*(2^SWITCH(COUNTIF(C$4:C144,""Cursor_up"")"&amp;",0,0,1,1,2,2,3)+SWITCH(COUNTIF(C$4:C144,""Cursor_up""),4,0.1,0)*(ROW(C144)-4-COUNTIF(C$4:C144,""Cursor"")-COUNTIF(C$4:C144,""*""&amp;""_up"")-2*COUNTIF(C$4:C144,""Sell_""&amp;""*"")+COUNTIF(C$4:C144,""Sell_Cursor"")-COUNTIF(C$4:C144,""""))+0.01*E144*COUNTIF(C$4:C"&amp;"144,""Plastic_up""))+E144))"),"")</f>
        <v/>
      </c>
      <c r="G144" s="14" t="str">
        <f>IFERROR(__xludf.DUMMYFUNCTION("IF(COUNTA(C144:C147)=0,"""",IF(REGEXMATCH(C144,""_up""),VLOOKUP(C144,Upgrades!$F$3:$J$8,1+COUNTIF(C$4:C144,C144),FALSE),IF(C144="""",0,IF(REGEXMATCH(C144,""^Sell_""),-ROUNDDOWN(ROUNDUP(INDEX(Upgrades!$C$3:$C$8,MATCH(SUBSTITUTE(C144,""Sell_"",""""),Upgrade"&amp;"s!$B$3:$B$8,0))*1.15^(COUNTIF(C$4:C143,SUBSTITUTE(C144,""Sell_"",""""))-COUNTIF(C$4:C143,""Sell_""&amp;SUBSTITUTE(C144,""Sell_"",""""))))/4),ROUNDUP(INDEX(Upgrades!$C$3:$C$7,MATCH(C144,Upgrades!$B$3:$B$7,0))*1.15^(COUNTIF(C$4:C143,C144)-COUNTIF(C$4:C143,""Sel"&amp;"l_""&amp;C144)))))))"),"")</f>
        <v/>
      </c>
      <c r="H144" s="14" t="str">
        <f t="shared" si="3"/>
        <v/>
      </c>
      <c r="I144" s="75" t="str">
        <f t="shared" si="4"/>
        <v/>
      </c>
      <c r="J144" s="76" t="str">
        <f t="shared" si="5"/>
        <v/>
      </c>
      <c r="K144" s="71" t="str">
        <f t="shared" si="6"/>
        <v/>
      </c>
      <c r="L144" s="77" t="str">
        <f t="shared" si="7"/>
        <v/>
      </c>
      <c r="M144" s="51" t="str">
        <f t="shared" si="8"/>
        <v/>
      </c>
      <c r="N144" s="52" t="str">
        <f>IFERROR(__xludf.DUMMYFUNCTION("IFS(AND(COUNTA(C144:C147)=0,COUNTA(P144:P147)=0),"""",OR(AND(L144&gt;=1000000,OR(Y144&gt;=1000000,COUNTA(P144:P147)=0)),AND(Y144&gt;=1000000,COUNTA(C144:C147)=0),AND(COUNTA(P144:P147)=0,O$3=TRUE)),
ROUNDDOWN((AB$1-AC$1)*MAX(INDEX(S$4:S147,MATCH(LARGE(FILTER(Y$4:Y1"&amp;"47,Y$4:Y147&lt;1000000),1),Y$4:Y147)),INDEX(F$4:F147,MATCH(LARGE(FILTER(L$4:L147,L$4:L147&lt;1000000),1),L$4:L147)))),AND(L144&lt;1000000,COUNTA(C144:C147)&gt;0,O$3=FALSE),
ROUNDDOWN(INDEX(Y$4:Y147,MATCH(LARGE(FILTER(W$4:W147,W$4:W147&lt;=J144),1),W$4:W147))+(J144-LARGE"&amp;"(FILTER(W$4:W147,W$4:W147&lt;=J144),1))*INDEX(S$4:S147,MATCH(LARGE(FILTER(W$4:W147,W$4:W147&lt;=J144),1),W$4:W147))-L144),1,
ROUNDDOWN(Y144-INDEX(L$4:L147,MATCH(LARGE(FILTER(J$4:J147,J$4:J147&lt;=W144),1),J$4:J147))-(W144-LARGE(FILTER(J$4:J147,J$4:J147&lt;=W144),1))*"&amp;"INDEX(F$4:F147,MATCH(LARGE(FILTER(J$4:J147,J$4:J147&lt;=W144),1),J$4:J147))))"),"")</f>
        <v/>
      </c>
      <c r="O144" s="65" t="str">
        <f t="shared" si="9"/>
        <v/>
      </c>
      <c r="P144" s="15"/>
      <c r="Q144" s="14" t="str">
        <f>IFERROR(__xludf.DUMMYFUNCTION("IF(COUNTA(P144:P147)=0,"""",IFERROR(IF(ISBLANK(P144),FALSE,IF(ISBLANK(T144),1,IF(NOT(COUNTIF($AA$24:$AA$34,SUBSTITUTE(P144,""Sell_"",""""))),1,IF(P144=""Plastic_up"",IF(V144&lt;1000,1),IF(P144=""Super_Up"",IF(OR(COUNTIF(P$4:P144,""Grandma"")-COUNTIF(P$4:P144"&amp;",""Sell_Grandma"")&lt;1,COUNTIF(P$4:P144,VLOOKUP(P144,Upgrades!$F$8:$N$8,7+COUNTIF(P$4:P144,P144)))-COUNTIF(P$4:P144,""Sell_""&amp;VLOOKUP(P144,Upgrades!$F$8:$N$8,7+COUNTIF(P$4:P144,P144)))&lt;15),1),IF(REGEXMATCH(P144,""_up""),IF(COUNTIF(P$4:P144,SUBSTITUTE(P144,"&amp;"""_up"",""""))&lt;IFERROR(VLOOKUP(P144,Upgrades!$L$3:$P$6,1+COUNTIF(P$4:P144,P144),0),999),1),IF(REGEXMATCH(P144,""Sell_""),IF(COUNTIF(P$4:P144,SUBSTITUTE(P144,""Sell_"",""""))-COUNTIF(P$4:P143,P144)&lt;1,1),FALSE)))))))))"),"")</f>
        <v/>
      </c>
      <c r="R144" s="71" t="str">
        <f>IFERROR(__xludf.DUMMYFUNCTION("IF(REGEXMATCH(P144,""^Sell_""),R143, IF(COUNTA(P144:P147)=0,"""",(COUNTIF(P$4:P144,""Cursor"")-COUNTIF(P$4:P144,""Sell_Cursor""))*(0.1*2^SWITCH(COUNTIF(P$4:P144,""Cursor_up""),0,0,1,1,2,2,3)+SWITCH(COUNTIF(P$4:P144,""Cursor_up""),4,0.1,0)*(ROW(P144)-4-COU"&amp;"NTIF(P$4:P144,""Cursor"")-COUNTIF(P$4:P144,""*""&amp;""_up"")-2*COUNTIF(P$4:P144,""Sell_""&amp;""*"")+COUNTIF(P$4:P144,""Sell_Cursor"")-COUNTIF(P$4:P144,"""")))+(COUNTIF(P$4:P144,""Grandma"")-COUNTIF(P$4:P144,""Sell_Grandma""))*(1*2^(COUNTIF(P$4:P144,""Grandma_up"&amp;""")+COUNTIF(P$4:P144,""Super_up"")))+(COUNTIF(P$4:P144,""Farm"")-COUNTIF(P$4:P144,""Sell_Farm""))*(8*2^COUNTIF(P$4:P144,""Farm_up""))*IF(COUNTIF(P$4:P144,""Super_up"")&gt;0,1+0.01*(COUNTIF(P$4:P144,""Grandma"")-COUNTIF(P$4:P144,""Sell_Grandma"")),1)+(COUNTIF"&amp;"(P$4:P144,""Mine"")-COUNTIF(P$4:P144,""Sell_Mine""))*((47*2^COUNTIF(P$4:P144,""Mine_up""))*IF(COUNTIF(P$4:P144,""Super_up"")&gt;1,1+0.005*(COUNTIF(P$4:P144,""Grandma"")-COUNTIF(P$4:P144,""Sell_Grandma"")),1))+(COUNTIF(P$4:P144,""Factory"")-COUNTIF(P$4:P144,"&amp;"""Sell_Factory""))*(260*2^COUNTIF(P$4:P144,""Factory_up""))))"),"")</f>
        <v/>
      </c>
      <c r="S144" s="73" t="str">
        <f>IFERROR(__xludf.DUMMYFUNCTION("IF(COUNTA(P144:P147)=0,"""",IF(REGEXMATCH(INDEX(FILTER(P$4:P144,P$4:P144&lt;&gt;""""),ROWS(FILTER(P$4:P144,P$4:P144&lt;&gt;""""))),""^Sell_""),INDEX(FILTER(S$4:S143,P$4:P143&lt;&gt;""""),ROWS(FILTER(P$4:P143,P$4:P143&lt;&gt;""""))),$AD$5*(2^SWITCH(COUNTIF(P$4:P144,""Cursor_up"")"&amp;",0,0,1,1,2,2,3)+SWITCH(COUNTIF(P$4:P144,""Cursor_up""),4,0.1,0)*(ROW(P144)-4-COUNTIF(P$4:P144,""Cursor"")-COUNTIF(P$4:P144,""*""&amp;""_up"")-2*COUNTIF(P$4:P144,""Sell_""&amp;""*"")+COUNTIF(P$4:P144,""Sell_Cursor"")-COUNTIF(P$4:P144,""""))+0.01*R144*COUNTIF(P$4:P"&amp;"144,""Plastic_up""))+R144))"),"")</f>
        <v/>
      </c>
      <c r="T144" s="14" t="str">
        <f>IFERROR(__xludf.DUMMYFUNCTION("IF(COUNTA(P144:P147)=0,"""",IF(REGEXMATCH(P144,""_up""),VLOOKUP(P144,Upgrades!$F$3:$J$8,1+COUNTIF(P$4:P144,P144),FALSE),IF(P144="""",0,IF(REGEXMATCH(P144,""^Sell_""),-ROUNDDOWN(ROUNDUP(INDEX(Upgrades!$C$3:$C$8,MATCH(SUBSTITUTE(P144,""Sell_"",""""),Upgrade"&amp;"s!$B$3:$B$8,0))*1.15^(COUNTIF(P$4:P143,SUBSTITUTE(P144,""Sell_"",""""))-COUNTIF(P$4:P143,""Sell_""&amp;SUBSTITUTE(P144,""Sell_"",""""))))/4),ROUNDUP(INDEX(Upgrades!$C$3:$C$7,MATCH(P144,Upgrades!$B$3:$B$7,0))*1.15^(COUNTIF(P$4:P143,P144)-COUNTIF(P$4:P143,""Sel"&amp;"l_""&amp;P144)))))))"),"")</f>
        <v/>
      </c>
      <c r="U144" s="14" t="str">
        <f t="shared" si="10"/>
        <v/>
      </c>
      <c r="V144" s="75" t="str">
        <f t="shared" si="11"/>
        <v/>
      </c>
      <c r="W144" s="76" t="str">
        <f t="shared" si="12"/>
        <v/>
      </c>
      <c r="X144" s="71" t="str">
        <f t="shared" si="13"/>
        <v/>
      </c>
      <c r="Y144" s="77" t="str">
        <f t="shared" si="14"/>
        <v/>
      </c>
      <c r="Z144" s="17"/>
      <c r="AA144" s="13"/>
      <c r="AB144" s="13"/>
      <c r="AC144" s="13"/>
      <c r="AD144" s="13"/>
      <c r="AE144" s="13"/>
      <c r="AF144" s="13"/>
      <c r="AG144" s="13"/>
    </row>
    <row r="145">
      <c r="A145" s="12"/>
      <c r="B145" s="65" t="str">
        <f t="shared" si="2"/>
        <v/>
      </c>
      <c r="C145" s="66"/>
      <c r="D145" s="14" t="str">
        <f>IFERROR(__xludf.DUMMYFUNCTION("IF(COUNTA(C145:C147)=0,"""",IFERROR(IF(ISBLANK(C145),FALSE,IF(ISBLANK(G145),1,IF(NOT(COUNTIF($AA$24:$AA$34,SUBSTITUTE(C145,""Sell_"",""""))),1,IF(C145=""Plastic_up"",IF(I145&lt;1000,1),IF(C145=""Super_Up"",IF(OR(COUNTIF(C$4:C145,""Grandma"")-COUNTIF(C$4:C145"&amp;",""Sell_Grandma"")&lt;1,COUNTIF(C$4:C145,VLOOKUP(C145,Upgrades!$F$8:$N$8,7+COUNTIF(C$4:C145,C145)))-COUNTIF(C$4:C145,""Sell_""&amp;VLOOKUP(C145,Upgrades!$F$8:$N$8,7+COUNTIF(C$4:C145,C145)))&lt;15),1),IF(REGEXMATCH(C145,""_up""),IF(COUNTIF(C$4:C145,SUBSTITUTE(C145,"&amp;"""_up"",""""))&lt;IFERROR(VLOOKUP(C145,Upgrades!$L$3:$P$6,1+COUNTIF(C$4:C145,C145),0),999),1),IF(REGEXMATCH(C145,""Sell_""),IF(COUNTIF(C$4:C145,SUBSTITUTE(C145,""Sell_"",""""))-COUNTIF(C$4:C144,C145)&lt;1,1),FALSE)))))))))"),"")</f>
        <v/>
      </c>
      <c r="E145" s="71" t="str">
        <f>IFERROR(__xludf.DUMMYFUNCTION("IF(REGEXMATCH(C145,""^Sell_""),E144, IF(COUNTA(C145:C147)=0,"""",(COUNTIF(C$4:C145,""Cursor"")-COUNTIF(C$4:C145,""Sell_Cursor""))*(0.1*2^SWITCH(COUNTIF(C$4:C145,""Cursor_up""),0,0,1,1,2,2,3)+SWITCH(COUNTIF(C$4:C145,""Cursor_up""),4,0.1,0)*(ROW(C145)-4-COU"&amp;"NTIF(C$4:C145,""Cursor"")-COUNTIF(C$4:C145,""*""&amp;""_up"")-2*COUNTIF(C$4:C145,""Sell_""&amp;""*"")+COUNTIF(C$4:C145,""Sell_Cursor"")-COUNTIF(C$4:C145,"""")))+(COUNTIF(C$4:C145,""Grandma"")-COUNTIF(C$4:C145,""Sell_Grandma""))*(1*2^(COUNTIF(C$4:C145,""Grandma_up"&amp;""")+COUNTIF(C$4:C145,""Super_up"")))+(COUNTIF(C$4:C145,""Farm"")-COUNTIF(C$4:C145,""Sell_Farm""))*(8*2^COUNTIF(C$4:C145,""Farm_up""))*IF(COUNTIF(C$4:C145,""Super_up"")&gt;0,1+0.01*(COUNTIF(C$4:C145,""Grandma"")-COUNTIF(C$4:C145,""Sell_Grandma"")),1)+(COUNTIF"&amp;"(C$4:C145,""Mine"")-COUNTIF(C$4:C145,""Sell_Mine""))*((47*2^COUNTIF(C$4:C145,""Mine_up""))*IF(COUNTIF(C$4:C145,""Super_up"")&gt;1,1+0.005*(COUNTIF(C$4:C145,""Grandma"")-COUNTIF(C$4:C145,""Sell_Grandma"")),1))+(COUNTIF(C$4:C145,""Factory"")-COUNTIF(C$4:C145,"&amp;"""Sell_Factory""))*(260*2^COUNTIF(C$4:C145,""Factory_up""))))"),"")</f>
        <v/>
      </c>
      <c r="F145" s="73" t="str">
        <f>IFERROR(__xludf.DUMMYFUNCTION("IF(COUNTA(C145:C147)=0,"""",IF(REGEXMATCH(INDEX(FILTER(C$4:C145,C$4:C145&lt;&gt;""""),ROWS(FILTER(C$4:C145,C$4:C145&lt;&gt;""""))),""^Sell_""),INDEX(FILTER(F$4:F144,C$4:C144&lt;&gt;""""),ROWS(FILTER(C$4:C144,C$4:C144&lt;&gt;""""))),$AC$5*(2^SWITCH(COUNTIF(C$4:C145,""Cursor_up"")"&amp;",0,0,1,1,2,2,3)+SWITCH(COUNTIF(C$4:C145,""Cursor_up""),4,0.1,0)*(ROW(C145)-4-COUNTIF(C$4:C145,""Cursor"")-COUNTIF(C$4:C145,""*""&amp;""_up"")-2*COUNTIF(C$4:C145,""Sell_""&amp;""*"")+COUNTIF(C$4:C145,""Sell_Cursor"")-COUNTIF(C$4:C145,""""))+0.01*E145*COUNTIF(C$4:C"&amp;"145,""Plastic_up""))+E145))"),"")</f>
        <v/>
      </c>
      <c r="G145" s="14" t="str">
        <f>IFERROR(__xludf.DUMMYFUNCTION("IF(COUNTA(C145:C147)=0,"""",IF(REGEXMATCH(C145,""_up""),VLOOKUP(C145,Upgrades!$F$3:$J$8,1+COUNTIF(C$4:C145,C145),FALSE),IF(C145="""",0,IF(REGEXMATCH(C145,""^Sell_""),-ROUNDDOWN(ROUNDUP(INDEX(Upgrades!$C$3:$C$8,MATCH(SUBSTITUTE(C145,""Sell_"",""""),Upgrade"&amp;"s!$B$3:$B$8,0))*1.15^(COUNTIF(C$4:C144,SUBSTITUTE(C145,""Sell_"",""""))-COUNTIF(C$4:C144,""Sell_""&amp;SUBSTITUTE(C145,""Sell_"",""""))))/4),ROUNDUP(INDEX(Upgrades!$C$3:$C$7,MATCH(C145,Upgrades!$B$3:$B$7,0))*1.15^(COUNTIF(C$4:C144,C145)-COUNTIF(C$4:C144,""Sel"&amp;"l_""&amp;C145)))))))"),"")</f>
        <v/>
      </c>
      <c r="H145" s="14" t="str">
        <f t="shared" si="3"/>
        <v/>
      </c>
      <c r="I145" s="75" t="str">
        <f t="shared" si="4"/>
        <v/>
      </c>
      <c r="J145" s="76" t="str">
        <f t="shared" si="5"/>
        <v/>
      </c>
      <c r="K145" s="71" t="str">
        <f t="shared" si="6"/>
        <v/>
      </c>
      <c r="L145" s="77" t="str">
        <f t="shared" si="7"/>
        <v/>
      </c>
      <c r="M145" s="51" t="str">
        <f t="shared" si="8"/>
        <v/>
      </c>
      <c r="N145" s="52" t="str">
        <f>IFERROR(__xludf.DUMMYFUNCTION("IFS(AND(COUNTA(C145:C147)=0,COUNTA(P145:P147)=0),"""",OR(AND(L145&gt;=1000000,OR(Y145&gt;=1000000,COUNTA(P145:P147)=0)),AND(Y145&gt;=1000000,COUNTA(C145:C147)=0),AND(COUNTA(P145:P147)=0,O$3=TRUE)),
ROUNDDOWN((AB$1-AC$1)*MAX(INDEX(S$4:S147,MATCH(LARGE(FILTER(Y$4:Y1"&amp;"47,Y$4:Y147&lt;1000000),1),Y$4:Y147)),INDEX(F$4:F147,MATCH(LARGE(FILTER(L$4:L147,L$4:L147&lt;1000000),1),L$4:L147)))),AND(L145&lt;1000000,COUNTA(C145:C147)&gt;0,O$3=FALSE),
ROUNDDOWN(INDEX(Y$4:Y147,MATCH(LARGE(FILTER(W$4:W147,W$4:W147&lt;=J145),1),W$4:W147))+(J145-LARGE"&amp;"(FILTER(W$4:W147,W$4:W147&lt;=J145),1))*INDEX(S$4:S147,MATCH(LARGE(FILTER(W$4:W147,W$4:W147&lt;=J145),1),W$4:W147))-L145),1,
ROUNDDOWN(Y145-INDEX(L$4:L147,MATCH(LARGE(FILTER(J$4:J147,J$4:J147&lt;=W145),1),J$4:J147))-(W145-LARGE(FILTER(J$4:J147,J$4:J147&lt;=W145),1))*"&amp;"INDEX(F$4:F147,MATCH(LARGE(FILTER(J$4:J147,J$4:J147&lt;=W145),1),J$4:J147))))"),"")</f>
        <v/>
      </c>
      <c r="O145" s="65" t="str">
        <f t="shared" si="9"/>
        <v/>
      </c>
      <c r="P145" s="66"/>
      <c r="Q145" s="14" t="str">
        <f>IFERROR(__xludf.DUMMYFUNCTION("IF(COUNTA(P145:P147)=0,"""",IFERROR(IF(ISBLANK(P145),FALSE,IF(ISBLANK(T145),1,IF(NOT(COUNTIF($AA$24:$AA$34,SUBSTITUTE(P145,""Sell_"",""""))),1,IF(P145=""Plastic_up"",IF(V145&lt;1000,1),IF(P145=""Super_Up"",IF(OR(COUNTIF(P$4:P145,""Grandma"")-COUNTIF(P$4:P145"&amp;",""Sell_Grandma"")&lt;1,COUNTIF(P$4:P145,VLOOKUP(P145,Upgrades!$F$8:$N$8,7+COUNTIF(P$4:P145,P145)))-COUNTIF(P$4:P145,""Sell_""&amp;VLOOKUP(P145,Upgrades!$F$8:$N$8,7+COUNTIF(P$4:P145,P145)))&lt;15),1),IF(REGEXMATCH(P145,""_up""),IF(COUNTIF(P$4:P145,SUBSTITUTE(P145,"&amp;"""_up"",""""))&lt;IFERROR(VLOOKUP(P145,Upgrades!$L$3:$P$6,1+COUNTIF(P$4:P145,P145),0),999),1),IF(REGEXMATCH(P145,""Sell_""),IF(COUNTIF(P$4:P145,SUBSTITUTE(P145,""Sell_"",""""))-COUNTIF(P$4:P144,P145)&lt;1,1),FALSE)))))))))"),"")</f>
        <v/>
      </c>
      <c r="R145" s="71" t="str">
        <f>IFERROR(__xludf.DUMMYFUNCTION("IF(REGEXMATCH(P145,""^Sell_""),R144, IF(COUNTA(P145:P147)=0,"""",(COUNTIF(P$4:P145,""Cursor"")-COUNTIF(P$4:P145,""Sell_Cursor""))*(0.1*2^SWITCH(COUNTIF(P$4:P145,""Cursor_up""),0,0,1,1,2,2,3)+SWITCH(COUNTIF(P$4:P145,""Cursor_up""),4,0.1,0)*(ROW(P145)-4-COU"&amp;"NTIF(P$4:P145,""Cursor"")-COUNTIF(P$4:P145,""*""&amp;""_up"")-2*COUNTIF(P$4:P145,""Sell_""&amp;""*"")+COUNTIF(P$4:P145,""Sell_Cursor"")-COUNTIF(P$4:P145,"""")))+(COUNTIF(P$4:P145,""Grandma"")-COUNTIF(P$4:P145,""Sell_Grandma""))*(1*2^(COUNTIF(P$4:P145,""Grandma_up"&amp;""")+COUNTIF(P$4:P145,""Super_up"")))+(COUNTIF(P$4:P145,""Farm"")-COUNTIF(P$4:P145,""Sell_Farm""))*(8*2^COUNTIF(P$4:P145,""Farm_up""))*IF(COUNTIF(P$4:P145,""Super_up"")&gt;0,1+0.01*(COUNTIF(P$4:P145,""Grandma"")-COUNTIF(P$4:P145,""Sell_Grandma"")),1)+(COUNTIF"&amp;"(P$4:P145,""Mine"")-COUNTIF(P$4:P145,""Sell_Mine""))*((47*2^COUNTIF(P$4:P145,""Mine_up""))*IF(COUNTIF(P$4:P145,""Super_up"")&gt;1,1+0.005*(COUNTIF(P$4:P145,""Grandma"")-COUNTIF(P$4:P145,""Sell_Grandma"")),1))+(COUNTIF(P$4:P145,""Factory"")-COUNTIF(P$4:P145,"&amp;"""Sell_Factory""))*(260*2^COUNTIF(P$4:P145,""Factory_up""))))"),"")</f>
        <v/>
      </c>
      <c r="S145" s="73" t="str">
        <f>IFERROR(__xludf.DUMMYFUNCTION("IF(COUNTA(P145:P147)=0,"""",IF(REGEXMATCH(INDEX(FILTER(P$4:P145,P$4:P145&lt;&gt;""""),ROWS(FILTER(P$4:P145,P$4:P145&lt;&gt;""""))),""^Sell_""),INDEX(FILTER(S$4:S144,P$4:P144&lt;&gt;""""),ROWS(FILTER(P$4:P144,P$4:P144&lt;&gt;""""))),$AD$5*(2^SWITCH(COUNTIF(P$4:P145,""Cursor_up"")"&amp;",0,0,1,1,2,2,3)+SWITCH(COUNTIF(P$4:P145,""Cursor_up""),4,0.1,0)*(ROW(P145)-4-COUNTIF(P$4:P145,""Cursor"")-COUNTIF(P$4:P145,""*""&amp;""_up"")-2*COUNTIF(P$4:P145,""Sell_""&amp;""*"")+COUNTIF(P$4:P145,""Sell_Cursor"")-COUNTIF(P$4:P145,""""))+0.01*R145*COUNTIF(P$4:P"&amp;"145,""Plastic_up""))+R145))"),"")</f>
        <v/>
      </c>
      <c r="T145" s="14" t="str">
        <f>IFERROR(__xludf.DUMMYFUNCTION("IF(COUNTA(P145:P147)=0,"""",IF(REGEXMATCH(P145,""_up""),VLOOKUP(P145,Upgrades!$F$3:$J$8,1+COUNTIF(P$4:P145,P145),FALSE),IF(P145="""",0,IF(REGEXMATCH(P145,""^Sell_""),-ROUNDDOWN(ROUNDUP(INDEX(Upgrades!$C$3:$C$8,MATCH(SUBSTITUTE(P145,""Sell_"",""""),Upgrade"&amp;"s!$B$3:$B$8,0))*1.15^(COUNTIF(P$4:P144,SUBSTITUTE(P145,""Sell_"",""""))-COUNTIF(P$4:P144,""Sell_""&amp;SUBSTITUTE(P145,""Sell_"",""""))))/4),ROUNDUP(INDEX(Upgrades!$C$3:$C$7,MATCH(P145,Upgrades!$B$3:$B$7,0))*1.15^(COUNTIF(P$4:P144,P145)-COUNTIF(P$4:P144,""Sel"&amp;"l_""&amp;P145)))))))"),"")</f>
        <v/>
      </c>
      <c r="U145" s="14" t="str">
        <f t="shared" si="10"/>
        <v/>
      </c>
      <c r="V145" s="75" t="str">
        <f t="shared" si="11"/>
        <v/>
      </c>
      <c r="W145" s="76" t="str">
        <f t="shared" si="12"/>
        <v/>
      </c>
      <c r="X145" s="71" t="str">
        <f t="shared" si="13"/>
        <v/>
      </c>
      <c r="Y145" s="77" t="str">
        <f t="shared" si="14"/>
        <v/>
      </c>
      <c r="Z145" s="17"/>
      <c r="AA145" s="13"/>
      <c r="AB145" s="13"/>
      <c r="AC145" s="13"/>
      <c r="AD145" s="13"/>
      <c r="AE145" s="13"/>
      <c r="AF145" s="13"/>
      <c r="AG145" s="13"/>
    </row>
    <row r="146">
      <c r="A146" s="12"/>
      <c r="B146" s="65" t="str">
        <f t="shared" si="2"/>
        <v/>
      </c>
      <c r="C146" s="66"/>
      <c r="D146" s="14" t="str">
        <f>IFERROR(__xludf.DUMMYFUNCTION("IF(COUNTA(C146:C147)=0,"""",IFERROR(IF(ISBLANK(C146),FALSE,IF(ISBLANK(G146),1,IF(NOT(COUNTIF($AA$24:$AA$34,SUBSTITUTE(C146,""Sell_"",""""))),1,IF(C146=""Plastic_up"",IF(I146&lt;1000,1),IF(C146=""Super_Up"",IF(OR(COUNTIF(C$4:C146,""Grandma"")-COUNTIF(C$4:C146"&amp;",""Sell_Grandma"")&lt;1,COUNTIF(C$4:C146,VLOOKUP(C146,Upgrades!$F$8:$N$8,7+COUNTIF(C$4:C146,C146)))-COUNTIF(C$4:C146,""Sell_""&amp;VLOOKUP(C146,Upgrades!$F$8:$N$8,7+COUNTIF(C$4:C146,C146)))&lt;15),1),IF(REGEXMATCH(C146,""_up""),IF(COUNTIF(C$4:C146,SUBSTITUTE(C146,"&amp;"""_up"",""""))&lt;IFERROR(VLOOKUP(C146,Upgrades!$L$3:$P$6,1+COUNTIF(C$4:C146,C146),0),999),1),IF(REGEXMATCH(C146,""Sell_""),IF(COUNTIF(C$4:C146,SUBSTITUTE(C146,""Sell_"",""""))-COUNTIF(C$4:C145,C146)&lt;1,1),FALSE)))))))))"),"")</f>
        <v/>
      </c>
      <c r="E146" s="71" t="str">
        <f>IFERROR(__xludf.DUMMYFUNCTION("IF(REGEXMATCH(C146,""^Sell_""),E145, IF(COUNTA(C146:C147)=0,"""",(COUNTIF(C$4:C146,""Cursor"")-COUNTIF(C$4:C146,""Sell_Cursor""))*(0.1*2^SWITCH(COUNTIF(C$4:C146,""Cursor_up""),0,0,1,1,2,2,3)+SWITCH(COUNTIF(C$4:C146,""Cursor_up""),4,0.1,0)*(ROW(C146)-4-COU"&amp;"NTIF(C$4:C146,""Cursor"")-COUNTIF(C$4:C146,""*""&amp;""_up"")-2*COUNTIF(C$4:C146,""Sell_""&amp;""*"")+COUNTIF(C$4:C146,""Sell_Cursor"")-COUNTIF(C$4:C146,"""")))+(COUNTIF(C$4:C146,""Grandma"")-COUNTIF(C$4:C146,""Sell_Grandma""))*(1*2^(COUNTIF(C$4:C146,""Grandma_up"&amp;""")+COUNTIF(C$4:C146,""Super_up"")))+(COUNTIF(C$4:C146,""Farm"")-COUNTIF(C$4:C146,""Sell_Farm""))*(8*2^COUNTIF(C$4:C146,""Farm_up""))*IF(COUNTIF(C$4:C146,""Super_up"")&gt;0,1+0.01*(COUNTIF(C$4:C146,""Grandma"")-COUNTIF(C$4:C146,""Sell_Grandma"")),1)+(COUNTIF"&amp;"(C$4:C146,""Mine"")-COUNTIF(C$4:C146,""Sell_Mine""))*((47*2^COUNTIF(C$4:C146,""Mine_up""))*IF(COUNTIF(C$4:C146,""Super_up"")&gt;1,1+0.005*(COUNTIF(C$4:C146,""Grandma"")-COUNTIF(C$4:C146,""Sell_Grandma"")),1))+(COUNTIF(C$4:C146,""Factory"")-COUNTIF(C$4:C146,"&amp;"""Sell_Factory""))*(260*2^COUNTIF(C$4:C146,""Factory_up""))))"),"")</f>
        <v/>
      </c>
      <c r="F146" s="73" t="str">
        <f>IFERROR(__xludf.DUMMYFUNCTION("IF(COUNTA(C146:C147)=0,"""",IF(REGEXMATCH(INDEX(FILTER(C$4:C146,C$4:C146&lt;&gt;""""),ROWS(FILTER(C$4:C146,C$4:C146&lt;&gt;""""))),""^Sell_""),INDEX(FILTER(F$4:F145,C$4:C145&lt;&gt;""""),ROWS(FILTER(C$4:C145,C$4:C145&lt;&gt;""""))),$AC$5*(2^SWITCH(COUNTIF(C$4:C146,""Cursor_up"")"&amp;",0,0,1,1,2,2,3)+SWITCH(COUNTIF(C$4:C146,""Cursor_up""),4,0.1,0)*(ROW(C146)-4-COUNTIF(C$4:C146,""Cursor"")-COUNTIF(C$4:C146,""*""&amp;""_up"")-2*COUNTIF(C$4:C146,""Sell_""&amp;""*"")+COUNTIF(C$4:C146,""Sell_Cursor"")-COUNTIF(C$4:C146,""""))+0.01*E146*COUNTIF(C$4:C"&amp;"146,""Plastic_up""))+E146))"),"")</f>
        <v/>
      </c>
      <c r="G146" s="14" t="str">
        <f>IFERROR(__xludf.DUMMYFUNCTION("IF(COUNTA(C146:C147)=0,"""",IF(REGEXMATCH(C146,""_up""),VLOOKUP(C146,Upgrades!$F$3:$J$8,1+COUNTIF(C$4:C146,C146),FALSE),IF(C146="""",0,IF(REGEXMATCH(C146,""^Sell_""),-ROUNDDOWN(ROUNDUP(INDEX(Upgrades!$C$3:$C$8,MATCH(SUBSTITUTE(C146,""Sell_"",""""),Upgrade"&amp;"s!$B$3:$B$8,0))*1.15^(COUNTIF(C$4:C145,SUBSTITUTE(C146,""Sell_"",""""))-COUNTIF(C$4:C145,""Sell_""&amp;SUBSTITUTE(C146,""Sell_"",""""))))/4),ROUNDUP(INDEX(Upgrades!$C$3:$C$7,MATCH(C146,Upgrades!$B$3:$B$7,0))*1.15^(COUNTIF(C$4:C145,C146)-COUNTIF(C$4:C145,""Sel"&amp;"l_""&amp;C146)))))))"),"")</f>
        <v/>
      </c>
      <c r="H146" s="14" t="str">
        <f t="shared" si="3"/>
        <v/>
      </c>
      <c r="I146" s="75" t="str">
        <f t="shared" si="4"/>
        <v/>
      </c>
      <c r="J146" s="76" t="str">
        <f t="shared" si="5"/>
        <v/>
      </c>
      <c r="K146" s="71" t="str">
        <f t="shared" si="6"/>
        <v/>
      </c>
      <c r="L146" s="77" t="str">
        <f t="shared" si="7"/>
        <v/>
      </c>
      <c r="M146" s="51" t="str">
        <f t="shared" si="8"/>
        <v/>
      </c>
      <c r="N146" s="52" t="str">
        <f>IFERROR(__xludf.DUMMYFUNCTION("IFS(AND(COUNTA(C146:C147)=0,COUNTA(P146:P147)=0),"""",OR(AND(L146&gt;=1000000,OR(Y146&gt;=1000000,COUNTA(P146:P147)=0)),AND(Y146&gt;=1000000,COUNTA(C146:C147)=0),AND(COUNTA(P146:P147)=0,O$3=TRUE)),
ROUNDDOWN((AB$1-AC$1)*MAX(INDEX(S$4:S147,MATCH(LARGE(FILTER(Y$4:Y1"&amp;"47,Y$4:Y147&lt;1000000),1),Y$4:Y147)),INDEX(F$4:F147,MATCH(LARGE(FILTER(L$4:L147,L$4:L147&lt;1000000),1),L$4:L147)))),AND(L146&lt;1000000,COUNTA(C146:C147)&gt;0,O$3=FALSE),
ROUNDDOWN(INDEX(Y$4:Y147,MATCH(LARGE(FILTER(W$4:W147,W$4:W147&lt;=J146),1),W$4:W147))+(J146-LARGE"&amp;"(FILTER(W$4:W147,W$4:W147&lt;=J146),1))*INDEX(S$4:S147,MATCH(LARGE(FILTER(W$4:W147,W$4:W147&lt;=J146),1),W$4:W147))-L146),1,
ROUNDDOWN(Y146-INDEX(L$4:L147,MATCH(LARGE(FILTER(J$4:J147,J$4:J147&lt;=W146),1),J$4:J147))-(W146-LARGE(FILTER(J$4:J147,J$4:J147&lt;=W146),1))*"&amp;"INDEX(F$4:F147,MATCH(LARGE(FILTER(J$4:J147,J$4:J147&lt;=W146),1),J$4:J147))))"),"")</f>
        <v/>
      </c>
      <c r="O146" s="65" t="str">
        <f t="shared" si="9"/>
        <v/>
      </c>
      <c r="P146" s="66"/>
      <c r="Q146" s="14" t="str">
        <f>IFERROR(__xludf.DUMMYFUNCTION("IF(COUNTA(P146:P147)=0,"""",IFERROR(IF(ISBLANK(P146),FALSE,IF(ISBLANK(T146),1,IF(NOT(COUNTIF($AA$24:$AA$34,SUBSTITUTE(P146,""Sell_"",""""))),1,IF(P146=""Plastic_up"",IF(V146&lt;1000,1),IF(P146=""Super_Up"",IF(OR(COUNTIF(P$4:P146,""Grandma"")-COUNTIF(P$4:P146"&amp;",""Sell_Grandma"")&lt;1,COUNTIF(P$4:P146,VLOOKUP(P146,Upgrades!$F$8:$N$8,7+COUNTIF(P$4:P146,P146)))-COUNTIF(P$4:P146,""Sell_""&amp;VLOOKUP(P146,Upgrades!$F$8:$N$8,7+COUNTIF(P$4:P146,P146)))&lt;15),1),IF(REGEXMATCH(P146,""_up""),IF(COUNTIF(P$4:P146,SUBSTITUTE(P146,"&amp;"""_up"",""""))&lt;IFERROR(VLOOKUP(P146,Upgrades!$L$3:$P$6,1+COUNTIF(P$4:P146,P146),0),999),1),IF(REGEXMATCH(P146,""Sell_""),IF(COUNTIF(P$4:P146,SUBSTITUTE(P146,""Sell_"",""""))-COUNTIF(P$4:P145,P146)&lt;1,1),FALSE)))))))))"),"")</f>
        <v/>
      </c>
      <c r="R146" s="71" t="str">
        <f>IFERROR(__xludf.DUMMYFUNCTION("IF(REGEXMATCH(P146,""^Sell_""),R145, IF(COUNTA(P146:P147)=0,"""",(COUNTIF(P$4:P146,""Cursor"")-COUNTIF(P$4:P146,""Sell_Cursor""))*(0.1*2^SWITCH(COUNTIF(P$4:P146,""Cursor_up""),0,0,1,1,2,2,3)+SWITCH(COUNTIF(P$4:P146,""Cursor_up""),4,0.1,0)*(ROW(P146)-4-COU"&amp;"NTIF(P$4:P146,""Cursor"")-COUNTIF(P$4:P146,""*""&amp;""_up"")-2*COUNTIF(P$4:P146,""Sell_""&amp;""*"")+COUNTIF(P$4:P146,""Sell_Cursor"")-COUNTIF(P$4:P146,"""")))+(COUNTIF(P$4:P146,""Grandma"")-COUNTIF(P$4:P146,""Sell_Grandma""))*(1*2^(COUNTIF(P$4:P146,""Grandma_up"&amp;""")+COUNTIF(P$4:P146,""Super_up"")))+(COUNTIF(P$4:P146,""Farm"")-COUNTIF(P$4:P146,""Sell_Farm""))*(8*2^COUNTIF(P$4:P146,""Farm_up""))*IF(COUNTIF(P$4:P146,""Super_up"")&gt;0,1+0.01*(COUNTIF(P$4:P146,""Grandma"")-COUNTIF(P$4:P146,""Sell_Grandma"")),1)+(COUNTIF"&amp;"(P$4:P146,""Mine"")-COUNTIF(P$4:P146,""Sell_Mine""))*((47*2^COUNTIF(P$4:P146,""Mine_up""))*IF(COUNTIF(P$4:P146,""Super_up"")&gt;1,1+0.005*(COUNTIF(P$4:P146,""Grandma"")-COUNTIF(P$4:P146,""Sell_Grandma"")),1))+(COUNTIF(P$4:P146,""Factory"")-COUNTIF(P$4:P146,"&amp;"""Sell_Factory""))*(260*2^COUNTIF(P$4:P146,""Factory_up""))))"),"")</f>
        <v/>
      </c>
      <c r="S146" s="73" t="str">
        <f>IFERROR(__xludf.DUMMYFUNCTION("IF(COUNTA(P146:P147)=0,"""",IF(REGEXMATCH(INDEX(FILTER(P$4:P146,P$4:P146&lt;&gt;""""),ROWS(FILTER(P$4:P146,P$4:P146&lt;&gt;""""))),""^Sell_""),INDEX(FILTER(S$4:S145,P$4:P145&lt;&gt;""""),ROWS(FILTER(P$4:P145,P$4:P145&lt;&gt;""""))),$AD$5*(2^SWITCH(COUNTIF(P$4:P146,""Cursor_up"")"&amp;",0,0,1,1,2,2,3)+SWITCH(COUNTIF(P$4:P146,""Cursor_up""),4,0.1,0)*(ROW(P146)-4-COUNTIF(P$4:P146,""Cursor"")-COUNTIF(P$4:P146,""*""&amp;""_up"")-2*COUNTIF(P$4:P146,""Sell_""&amp;""*"")+COUNTIF(P$4:P146,""Sell_Cursor"")-COUNTIF(P$4:P146,""""))+0.01*R146*COUNTIF(P$4:P"&amp;"146,""Plastic_up""))+R146))"),"")</f>
        <v/>
      </c>
      <c r="T146" s="14" t="str">
        <f>IFERROR(__xludf.DUMMYFUNCTION("IF(COUNTA(P146:P147)=0,"""",IF(REGEXMATCH(P146,""_up""),VLOOKUP(P146,Upgrades!$F$3:$J$8,1+COUNTIF(P$4:P146,P146),FALSE),IF(P146="""",0,IF(REGEXMATCH(P146,""^Sell_""),-ROUNDDOWN(ROUNDUP(INDEX(Upgrades!$C$3:$C$8,MATCH(SUBSTITUTE(P146,""Sell_"",""""),Upgrade"&amp;"s!$B$3:$B$8,0))*1.15^(COUNTIF(P$4:P145,SUBSTITUTE(P146,""Sell_"",""""))-COUNTIF(P$4:P145,""Sell_""&amp;SUBSTITUTE(P146,""Sell_"",""""))))/4),ROUNDUP(INDEX(Upgrades!$C$3:$C$7,MATCH(P146,Upgrades!$B$3:$B$7,0))*1.15^(COUNTIF(P$4:P145,P146)-COUNTIF(P$4:P145,""Sel"&amp;"l_""&amp;P146)))))))"),"")</f>
        <v/>
      </c>
      <c r="U146" s="14" t="str">
        <f t="shared" si="10"/>
        <v/>
      </c>
      <c r="V146" s="75" t="str">
        <f t="shared" si="11"/>
        <v/>
      </c>
      <c r="W146" s="76" t="str">
        <f t="shared" si="12"/>
        <v/>
      </c>
      <c r="X146" s="71" t="str">
        <f t="shared" si="13"/>
        <v/>
      </c>
      <c r="Y146" s="77" t="str">
        <f t="shared" si="14"/>
        <v/>
      </c>
      <c r="Z146" s="17"/>
      <c r="AA146" s="13"/>
      <c r="AB146" s="13"/>
      <c r="AC146" s="13"/>
      <c r="AD146" s="13"/>
      <c r="AE146" s="13"/>
      <c r="AF146" s="13"/>
      <c r="AG146" s="13"/>
    </row>
    <row r="147" ht="11.25" customHeight="1">
      <c r="A147" s="12"/>
      <c r="B147" s="120"/>
      <c r="C147" s="121"/>
      <c r="D147" s="120"/>
      <c r="E147" s="24"/>
      <c r="F147" s="26"/>
      <c r="G147" s="26"/>
      <c r="H147" s="26"/>
      <c r="I147" s="120"/>
      <c r="J147" s="26"/>
      <c r="K147" s="26"/>
      <c r="L147" s="26"/>
      <c r="M147" s="122"/>
      <c r="N147" s="123"/>
      <c r="O147" s="120"/>
      <c r="P147" s="24"/>
      <c r="Q147" s="120"/>
      <c r="R147" s="24"/>
      <c r="S147" s="26"/>
      <c r="T147" s="26"/>
      <c r="U147" s="26"/>
      <c r="V147" s="120"/>
      <c r="W147" s="26"/>
      <c r="X147" s="26"/>
      <c r="Y147" s="26"/>
      <c r="Z147" s="17"/>
      <c r="AA147" s="13"/>
      <c r="AB147" s="13"/>
      <c r="AC147" s="13"/>
      <c r="AD147" s="13"/>
      <c r="AE147" s="13"/>
      <c r="AF147" s="13"/>
      <c r="AG147" s="13"/>
    </row>
  </sheetData>
  <mergeCells count="8">
    <mergeCell ref="AC1:AD1"/>
    <mergeCell ref="AA2:AA3"/>
    <mergeCell ref="AB2:AB3"/>
    <mergeCell ref="AC2:AD3"/>
    <mergeCell ref="AE2:AE3"/>
    <mergeCell ref="AF2:AF3"/>
    <mergeCell ref="AA5:AB5"/>
    <mergeCell ref="AD39:AE39"/>
  </mergeCells>
  <conditionalFormatting sqref="M4:M147">
    <cfRule type="containsText" dxfId="0" priority="1" operator="containsText" text="-">
      <formula>NOT(ISERROR(SEARCH(("-"),(M4))))</formula>
    </cfRule>
  </conditionalFormatting>
  <conditionalFormatting sqref="M4:M147">
    <cfRule type="cellIs" dxfId="1" priority="2" operator="greaterThan">
      <formula>0</formula>
    </cfRule>
  </conditionalFormatting>
  <conditionalFormatting sqref="M4:N147">
    <cfRule type="cellIs" dxfId="0" priority="3" operator="greaterThan">
      <formula>0</formula>
    </cfRule>
  </conditionalFormatting>
  <conditionalFormatting sqref="M4:N147">
    <cfRule type="containsText" dxfId="1" priority="4" operator="containsText" text="-">
      <formula>NOT(ISERROR(SEARCH(("-"),(M4))))</formula>
    </cfRule>
  </conditionalFormatting>
  <conditionalFormatting sqref="AC5:AD5 AC7 AC39:AD39">
    <cfRule type="cellIs" dxfId="1" priority="5" operator="equal">
      <formula>"NO"</formula>
    </cfRule>
  </conditionalFormatting>
  <conditionalFormatting sqref="AC5:AD5 AC7 AC39:AD39">
    <cfRule type="cellIs" dxfId="0" priority="6" operator="equal">
      <formula>"YES"</formula>
    </cfRule>
  </conditionalFormatting>
  <conditionalFormatting sqref="C4:C146 P4:P146">
    <cfRule type="expression" dxfId="2" priority="7">
      <formula>D4=1</formula>
    </cfRule>
  </conditionalFormatting>
  <conditionalFormatting sqref="AC5:AD5 AC7 AC39:AD39">
    <cfRule type="cellIs" dxfId="2" priority="8" operator="lessThan">
      <formula>0</formula>
    </cfRule>
  </conditionalFormatting>
  <conditionalFormatting sqref="P4:P146 C5:C146">
    <cfRule type="expression" dxfId="2" priority="9">
      <formula>Q4=1</formula>
    </cfRule>
  </conditionalFormatting>
  <conditionalFormatting sqref="N4:N147">
    <cfRule type="containsText" dxfId="3" priority="10" operator="containsText" text="-">
      <formula>NOT(ISERROR(SEARCH(("-"),(N4))))</formula>
    </cfRule>
  </conditionalFormatting>
  <conditionalFormatting sqref="N4:N147">
    <cfRule type="cellIs" dxfId="4" priority="11" operator="notEqual">
      <formula>0</formula>
    </cfRule>
  </conditionalFormatting>
  <conditionalFormatting sqref="M4:M147">
    <cfRule type="expression" dxfId="3" priority="12">
      <formula>VALUE(M4)&gt;10000</formula>
    </cfRule>
  </conditionalFormatting>
  <conditionalFormatting sqref="AC7 AC39:AD39">
    <cfRule type="cellIs" dxfId="4" priority="13" operator="equal">
      <formula>"YES"</formula>
    </cfRule>
  </conditionalFormatting>
  <conditionalFormatting sqref="AF2:AF3">
    <cfRule type="cellIs" dxfId="4" priority="14" operator="lessThan">
      <formula>0</formula>
    </cfRule>
  </conditionalFormatting>
  <conditionalFormatting sqref="AF2:AF3">
    <cfRule type="cellIs" dxfId="3" priority="15" operator="greaterThan">
      <formula>0</formula>
    </cfRule>
  </conditionalFormatting>
  <conditionalFormatting sqref="Y1:Y147 L1:L147">
    <cfRule type="cellIs" dxfId="1" priority="16" operator="greaterThanOrEqual">
      <formula>1000000</formula>
    </cfRule>
  </conditionalFormatting>
  <hyperlinks>
    <hyperlink r:id="rId1" ref="AD3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
    <col customWidth="1" min="2" max="2" width="9.13"/>
    <col customWidth="1" min="3" max="3" width="9.5"/>
    <col customWidth="1" min="4" max="4" width="4.88"/>
    <col customWidth="1" min="5" max="5" width="2.0"/>
    <col customWidth="1" min="6" max="6" width="11.38"/>
    <col customWidth="1" min="7" max="10" width="6.75"/>
    <col customWidth="1" min="11" max="11" width="2.0"/>
    <col customWidth="1" min="12" max="12" width="12.75"/>
    <col customWidth="1" min="13" max="16" width="5.75"/>
    <col customWidth="1" min="17" max="17" width="2.0"/>
    <col customWidth="1" min="18" max="18" width="11.25"/>
    <col customWidth="1" min="19" max="19" width="12.88"/>
    <col customWidth="1" min="20" max="20" width="14.13"/>
    <col customWidth="1" min="21" max="21" width="11.75"/>
    <col customWidth="1" min="22" max="22" width="11.25"/>
    <col customWidth="1" min="23" max="23" width="2.0"/>
  </cols>
  <sheetData>
    <row r="1" ht="11.25" customHeight="1">
      <c r="A1" s="3"/>
      <c r="B1" s="3"/>
      <c r="C1" s="5"/>
      <c r="D1" s="5"/>
      <c r="E1" s="3"/>
      <c r="F1" s="6"/>
      <c r="G1" s="7"/>
      <c r="H1" s="7"/>
      <c r="I1" s="7"/>
      <c r="J1" s="7"/>
      <c r="K1" s="7"/>
      <c r="L1" s="6"/>
      <c r="M1" s="7"/>
      <c r="N1" s="7"/>
      <c r="O1" s="7"/>
      <c r="P1" s="7"/>
      <c r="Q1" s="7"/>
      <c r="R1" s="6"/>
      <c r="S1" s="7"/>
      <c r="T1" s="7"/>
      <c r="U1" s="7"/>
      <c r="V1" s="7"/>
      <c r="W1" s="7"/>
    </row>
    <row r="2">
      <c r="A2" s="3"/>
      <c r="B2" s="8" t="s">
        <v>0</v>
      </c>
      <c r="C2" s="9" t="s">
        <v>1</v>
      </c>
      <c r="D2" s="9" t="s">
        <v>2</v>
      </c>
      <c r="E2" s="3"/>
      <c r="F2" s="10" t="s">
        <v>3</v>
      </c>
      <c r="G2" s="11" t="s">
        <v>4</v>
      </c>
      <c r="H2" s="11" t="s">
        <v>5</v>
      </c>
      <c r="I2" s="11" t="s">
        <v>6</v>
      </c>
      <c r="J2" s="11" t="s">
        <v>7</v>
      </c>
      <c r="K2" s="7"/>
      <c r="L2" s="10" t="s">
        <v>8</v>
      </c>
      <c r="M2" s="11" t="s">
        <v>4</v>
      </c>
      <c r="N2" s="11" t="s">
        <v>5</v>
      </c>
      <c r="O2" s="11" t="s">
        <v>6</v>
      </c>
      <c r="P2" s="11" t="s">
        <v>7</v>
      </c>
      <c r="Q2" s="7"/>
      <c r="R2" s="10" t="s">
        <v>9</v>
      </c>
      <c r="S2" s="11" t="s">
        <v>4</v>
      </c>
      <c r="T2" s="11" t="s">
        <v>5</v>
      </c>
      <c r="U2" s="11" t="s">
        <v>6</v>
      </c>
      <c r="V2" s="11" t="s">
        <v>7</v>
      </c>
      <c r="W2" s="7"/>
    </row>
    <row r="3">
      <c r="A3" s="12"/>
      <c r="B3" s="13" t="s">
        <v>10</v>
      </c>
      <c r="C3" s="14">
        <v>15.0</v>
      </c>
      <c r="D3" s="14">
        <v>0.1</v>
      </c>
      <c r="E3" s="12"/>
      <c r="F3" s="15" t="s">
        <v>11</v>
      </c>
      <c r="G3" s="16">
        <v>100.0</v>
      </c>
      <c r="H3" s="16">
        <v>500.0</v>
      </c>
      <c r="I3" s="16">
        <v>10000.0</v>
      </c>
      <c r="J3" s="16">
        <v>100000.0</v>
      </c>
      <c r="K3" s="17"/>
      <c r="L3" s="15" t="s">
        <v>11</v>
      </c>
      <c r="M3" s="16">
        <v>1.0</v>
      </c>
      <c r="N3" s="16">
        <v>1.0</v>
      </c>
      <c r="O3" s="16">
        <v>10.0</v>
      </c>
      <c r="P3" s="16">
        <v>25.0</v>
      </c>
      <c r="Q3" s="17"/>
      <c r="R3" s="13" t="s">
        <v>10</v>
      </c>
      <c r="S3" s="18" t="s">
        <v>12</v>
      </c>
      <c r="T3" s="18" t="s">
        <v>12</v>
      </c>
      <c r="U3" s="18" t="s">
        <v>12</v>
      </c>
      <c r="V3" s="18" t="str">
        <f>"+0.1x (non-c) mouse and c"</f>
        <v>+0.1x (non-c) mouse and c</v>
      </c>
      <c r="W3" s="17"/>
    </row>
    <row r="4">
      <c r="A4" s="12"/>
      <c r="B4" s="13" t="s">
        <v>13</v>
      </c>
      <c r="C4" s="14">
        <v>100.0</v>
      </c>
      <c r="D4" s="14">
        <v>1.0</v>
      </c>
      <c r="E4" s="12"/>
      <c r="F4" s="15" t="s">
        <v>14</v>
      </c>
      <c r="G4" s="16">
        <v>1000.0</v>
      </c>
      <c r="H4" s="16">
        <v>5000.0</v>
      </c>
      <c r="I4" s="16">
        <v>50000.0</v>
      </c>
      <c r="J4" s="16"/>
      <c r="K4" s="17"/>
      <c r="L4" s="15" t="s">
        <v>14</v>
      </c>
      <c r="M4" s="16">
        <v>1.0</v>
      </c>
      <c r="N4" s="16">
        <v>5.0</v>
      </c>
      <c r="O4" s="16">
        <v>25.0</v>
      </c>
      <c r="P4" s="16"/>
      <c r="Q4" s="17"/>
      <c r="R4" s="13" t="s">
        <v>13</v>
      </c>
      <c r="S4" s="20" t="s">
        <v>15</v>
      </c>
      <c r="T4" s="20" t="s">
        <v>15</v>
      </c>
      <c r="U4" s="20" t="s">
        <v>15</v>
      </c>
      <c r="V4" s="20"/>
      <c r="W4" s="17"/>
    </row>
    <row r="5">
      <c r="A5" s="12"/>
      <c r="B5" s="13" t="s">
        <v>16</v>
      </c>
      <c r="C5" s="14">
        <v>1100.0</v>
      </c>
      <c r="D5" s="14">
        <v>8.0</v>
      </c>
      <c r="E5" s="12"/>
      <c r="F5" s="15" t="s">
        <v>17</v>
      </c>
      <c r="G5" s="16">
        <v>11000.0</v>
      </c>
      <c r="H5" s="16">
        <v>55000.0</v>
      </c>
      <c r="I5" s="16">
        <v>550000.0</v>
      </c>
      <c r="J5" s="16"/>
      <c r="K5" s="17"/>
      <c r="L5" s="15" t="s">
        <v>17</v>
      </c>
      <c r="M5" s="16">
        <v>1.0</v>
      </c>
      <c r="N5" s="16">
        <v>5.0</v>
      </c>
      <c r="O5" s="16">
        <v>25.0</v>
      </c>
      <c r="P5" s="16"/>
      <c r="Q5" s="17"/>
      <c r="R5" s="13" t="s">
        <v>16</v>
      </c>
      <c r="S5" s="20" t="s">
        <v>15</v>
      </c>
      <c r="T5" s="20" t="s">
        <v>15</v>
      </c>
      <c r="U5" s="20" t="s">
        <v>15</v>
      </c>
      <c r="V5" s="20"/>
      <c r="W5" s="17"/>
    </row>
    <row r="6">
      <c r="A6" s="12"/>
      <c r="B6" s="15" t="s">
        <v>18</v>
      </c>
      <c r="C6" s="14">
        <v>12000.0</v>
      </c>
      <c r="D6" s="14">
        <v>47.0</v>
      </c>
      <c r="E6" s="12"/>
      <c r="F6" s="15" t="s">
        <v>19</v>
      </c>
      <c r="G6" s="16">
        <v>120000.0</v>
      </c>
      <c r="H6" s="16">
        <v>600000.0</v>
      </c>
      <c r="I6" s="16"/>
      <c r="J6" s="16"/>
      <c r="K6" s="17"/>
      <c r="L6" s="15" t="s">
        <v>19</v>
      </c>
      <c r="M6" s="16">
        <v>1.0</v>
      </c>
      <c r="N6" s="16">
        <v>5.0</v>
      </c>
      <c r="O6" s="16"/>
      <c r="P6" s="16"/>
      <c r="Q6" s="17"/>
      <c r="R6" s="15" t="s">
        <v>18</v>
      </c>
      <c r="S6" s="20" t="s">
        <v>15</v>
      </c>
      <c r="T6" s="20" t="s">
        <v>15</v>
      </c>
      <c r="U6" s="20"/>
      <c r="V6" s="20"/>
      <c r="W6" s="17"/>
    </row>
    <row r="7">
      <c r="A7" s="12"/>
      <c r="B7" s="15" t="s">
        <v>20</v>
      </c>
      <c r="C7" s="14">
        <v>130000.0</v>
      </c>
      <c r="D7" s="14">
        <v>260.0</v>
      </c>
      <c r="E7" s="12"/>
      <c r="F7" s="14" t="s">
        <v>21</v>
      </c>
      <c r="G7" s="16">
        <v>50000.0</v>
      </c>
      <c r="H7" s="16"/>
      <c r="I7" s="16"/>
      <c r="J7" s="16"/>
      <c r="K7" s="17"/>
      <c r="L7" s="14" t="s">
        <v>22</v>
      </c>
      <c r="M7" s="16">
        <v>1000.0</v>
      </c>
      <c r="N7" s="16"/>
      <c r="O7" s="16"/>
      <c r="P7" s="16"/>
      <c r="Q7" s="17"/>
      <c r="R7" s="14" t="s">
        <v>23</v>
      </c>
      <c r="S7" s="18" t="str">
        <f>"+1% mouse cps"</f>
        <v>+1% mouse cps</v>
      </c>
      <c r="T7" s="18"/>
      <c r="U7" s="20"/>
      <c r="V7" s="20"/>
      <c r="W7" s="17"/>
    </row>
    <row r="8">
      <c r="A8" s="22"/>
      <c r="B8" s="23"/>
      <c r="C8" s="25"/>
      <c r="D8" s="25"/>
      <c r="E8" s="27"/>
      <c r="F8" s="25" t="s">
        <v>24</v>
      </c>
      <c r="G8" s="25">
        <v>55000.0</v>
      </c>
      <c r="H8" s="25">
        <v>600000.0</v>
      </c>
      <c r="I8" s="25"/>
      <c r="J8" s="25"/>
      <c r="K8" s="28"/>
      <c r="L8" s="25" t="s">
        <v>25</v>
      </c>
      <c r="M8" s="25" t="s">
        <v>16</v>
      </c>
      <c r="N8" s="25" t="s">
        <v>18</v>
      </c>
      <c r="O8" s="25"/>
      <c r="P8" s="25"/>
      <c r="Q8" s="28"/>
      <c r="R8" s="25" t="s">
        <v>24</v>
      </c>
      <c r="S8" s="31" t="s">
        <v>26</v>
      </c>
      <c r="T8" s="31" t="s">
        <v>27</v>
      </c>
      <c r="U8" s="23"/>
      <c r="W8" s="17"/>
    </row>
    <row r="9" ht="11.25" customHeight="1">
      <c r="A9" s="17"/>
      <c r="B9" s="17"/>
      <c r="C9" s="17"/>
      <c r="D9" s="32"/>
      <c r="E9" s="17"/>
      <c r="F9" s="32"/>
      <c r="G9" s="17"/>
      <c r="H9" s="17"/>
      <c r="I9" s="17"/>
      <c r="J9" s="17"/>
      <c r="K9" s="17"/>
      <c r="L9" s="17"/>
      <c r="M9" s="17"/>
      <c r="N9" s="17"/>
      <c r="O9" s="17"/>
      <c r="P9" s="17"/>
      <c r="Q9" s="17"/>
      <c r="R9" s="17"/>
      <c r="S9" s="17"/>
      <c r="T9" s="17"/>
      <c r="U9" s="17"/>
      <c r="V9" s="17"/>
      <c r="W9" s="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
    <col customWidth="1" min="14" max="14" width="2.0"/>
  </cols>
  <sheetData>
    <row r="1" ht="11.25" customHeight="1">
      <c r="A1" s="3"/>
      <c r="B1" s="34"/>
      <c r="C1" s="34"/>
      <c r="D1" s="35"/>
      <c r="E1" s="35"/>
      <c r="F1" s="35"/>
      <c r="G1" s="35"/>
      <c r="H1" s="35"/>
      <c r="I1" s="35"/>
      <c r="J1" s="35"/>
      <c r="K1" s="35"/>
      <c r="L1" s="35"/>
      <c r="M1" s="35"/>
      <c r="N1" s="3"/>
    </row>
    <row r="2">
      <c r="A2" s="36"/>
      <c r="B2" s="41" t="str">
        <f t="array" ref="B2:ALQ2">TRANSPOSE(Routes!C2:C171)</f>
        <v>dha</v>
      </c>
      <c r="C2" s="43" t="s">
        <v>30</v>
      </c>
      <c r="D2" s="45" t="s">
        <v>31</v>
      </c>
      <c r="E2" s="45" t="s">
        <v>33</v>
      </c>
      <c r="F2" s="45"/>
      <c r="G2" s="45"/>
      <c r="H2" s="45"/>
      <c r="I2" s="45"/>
      <c r="J2" s="45"/>
      <c r="K2" s="45"/>
      <c r="L2" s="45"/>
      <c r="M2" s="45"/>
      <c r="N2" s="48"/>
    </row>
    <row r="3">
      <c r="A3" s="12"/>
      <c r="B3" s="53" t="str">
        <f>IFERROR(__xludf.DUMMYFUNCTION("IFERROR(ARRAYFORMULA(TRANSPOSE(REGEXREPLACE(FILTER(Routes!D2:D171,Routes!D2:D171&lt;&gt;""""),""\D+"","""")&amp;"" Cps"")),"""")"),"15 Cps")</f>
        <v>15 Cps</v>
      </c>
      <c r="C3" s="55" t="str">
        <f>IFERROR(__xludf.DUMMYFUNCTION("""COMPUTED_VALUE"""),"10 Cps")</f>
        <v>10 Cps</v>
      </c>
      <c r="D3" s="57" t="str">
        <f>IFERROR(__xludf.DUMMYFUNCTION("""COMPUTED_VALUE"""),"10 Cps")</f>
        <v>10 Cps</v>
      </c>
      <c r="E3" s="57" t="str">
        <f>IFERROR(__xludf.DUMMYFUNCTION("""COMPUTED_VALUE"""),"200 Cps")</f>
        <v>200 Cps</v>
      </c>
      <c r="F3" s="57"/>
      <c r="G3" s="57"/>
      <c r="H3" s="57"/>
      <c r="I3" s="57"/>
      <c r="J3" s="57"/>
      <c r="K3" s="57"/>
      <c r="L3" s="57"/>
      <c r="M3" s="57"/>
      <c r="N3" s="12"/>
    </row>
    <row r="4">
      <c r="A4" s="12"/>
      <c r="B4" s="62" t="str">
        <f>IFERROR(__xludf.DUMMYFUNCTION("ARRAYFORMULA(TRANSPOSE(TO_DATE(Routes!A2:A171)))"),"Better RTA")</f>
        <v>Better RTA</v>
      </c>
      <c r="C4" s="63">
        <f>IFERROR(__xludf.DUMMYFUNCTION("""COMPUTED_VALUE"""),44758.69917157407)</f>
        <v>44758.69917</v>
      </c>
      <c r="D4" s="64">
        <f>IFERROR(__xludf.DUMMYFUNCTION("""COMPUTED_VALUE"""),45101.36675951389)</f>
        <v>45101.36676</v>
      </c>
      <c r="E4" s="64">
        <f>IFERROR(__xludf.DUMMYFUNCTION("""COMPUTED_VALUE"""),45850.65721668981)</f>
        <v>45850.65722</v>
      </c>
      <c r="F4" s="64"/>
      <c r="G4" s="64"/>
      <c r="H4" s="64"/>
      <c r="I4" s="64"/>
      <c r="J4" s="64"/>
      <c r="K4" s="64"/>
      <c r="L4" s="64"/>
      <c r="M4" s="64"/>
      <c r="N4" s="67"/>
    </row>
    <row r="5">
      <c r="A5" s="12"/>
      <c r="B5" s="13" t="str">
        <f>IFERROR(__xludf.DUMMYFUNCTION("IFERROR(ARRAYFORMULA(TRANSPOSE(SPLIT(FILTER(Routes!B2:B171,Routes!B2:B171&lt;&gt;""""),CHAR(10)))),"""")"),"Cursor")</f>
        <v>Cursor</v>
      </c>
      <c r="C5" s="69" t="str">
        <f>IFERROR(__xludf.DUMMYFUNCTION("""COMPUTED_VALUE"""),"Cursor")</f>
        <v>Cursor</v>
      </c>
      <c r="D5" s="69" t="str">
        <f>IFERROR(__xludf.DUMMYFUNCTION("""COMPUTED_VALUE"""),"Start")</f>
        <v>Start</v>
      </c>
      <c r="E5" s="69" t="str">
        <f>IFERROR(__xludf.DUMMYFUNCTION("""COMPUTED_VALUE"""),"Cursor")</f>
        <v>Cursor</v>
      </c>
      <c r="N5" s="12"/>
    </row>
    <row r="6">
      <c r="A6" s="12"/>
      <c r="B6" s="69" t="str">
        <f>IFERROR(__xludf.DUMMYFUNCTION("""COMPUTED_VALUE"""),"Cursor_up")</f>
        <v>Cursor_up</v>
      </c>
      <c r="C6" s="69" t="str">
        <f>IFERROR(__xludf.DUMMYFUNCTION("""COMPUTED_VALUE"""),"Cursor_up")</f>
        <v>Cursor_up</v>
      </c>
      <c r="D6" s="69" t="str">
        <f>IFERROR(__xludf.DUMMYFUNCTION("""COMPUTED_VALUE"""),"Cursor")</f>
        <v>Cursor</v>
      </c>
      <c r="E6" s="69" t="str">
        <f>IFERROR(__xludf.DUMMYFUNCTION("""COMPUTED_VALUE"""),"Cursor_up")</f>
        <v>Cursor_up</v>
      </c>
      <c r="N6" s="12"/>
    </row>
    <row r="7">
      <c r="A7" s="12"/>
      <c r="B7" s="69" t="str">
        <f>IFERROR(__xludf.DUMMYFUNCTION("""COMPUTED_VALUE"""),"Cursor_up")</f>
        <v>Cursor_up</v>
      </c>
      <c r="C7" s="69" t="str">
        <f>IFERROR(__xludf.DUMMYFUNCTION("""COMPUTED_VALUE"""),"Cursor_up")</f>
        <v>Cursor_up</v>
      </c>
      <c r="D7" s="69" t="str">
        <f>IFERROR(__xludf.DUMMYFUNCTION("""COMPUTED_VALUE"""),"Cursor_up")</f>
        <v>Cursor_up</v>
      </c>
      <c r="E7" s="69" t="str">
        <f>IFERROR(__xludf.DUMMYFUNCTION("""COMPUTED_VALUE"""),"Cursor_up")</f>
        <v>Cursor_up</v>
      </c>
      <c r="N7" s="12"/>
    </row>
    <row r="8">
      <c r="A8" s="12"/>
      <c r="B8" s="69" t="str">
        <f>IFERROR(__xludf.DUMMYFUNCTION("""COMPUTED_VALUE"""),"Cursor")</f>
        <v>Cursor</v>
      </c>
      <c r="C8" s="69" t="str">
        <f>IFERROR(__xludf.DUMMYFUNCTION("""COMPUTED_VALUE"""),"Cursor")</f>
        <v>Cursor</v>
      </c>
      <c r="D8" s="69" t="str">
        <f>IFERROR(__xludf.DUMMYFUNCTION("""COMPUTED_VALUE"""),"Cursor_up")</f>
        <v>Cursor_up</v>
      </c>
      <c r="E8" s="69" t="str">
        <f>IFERROR(__xludf.DUMMYFUNCTION("""COMPUTED_VALUE"""),"Cursor")</f>
        <v>Cursor</v>
      </c>
      <c r="N8" s="12"/>
    </row>
    <row r="9">
      <c r="A9" s="22"/>
      <c r="B9" s="69" t="str">
        <f>IFERROR(__xludf.DUMMYFUNCTION("""COMPUTED_VALUE"""),"Cursor")</f>
        <v>Cursor</v>
      </c>
      <c r="C9" s="69" t="str">
        <f>IFERROR(__xludf.DUMMYFUNCTION("""COMPUTED_VALUE"""),"Cursor")</f>
        <v>Cursor</v>
      </c>
      <c r="D9" s="69" t="str">
        <f>IFERROR(__xludf.DUMMYFUNCTION("""COMPUTED_VALUE"""),"Cursor")</f>
        <v>Cursor</v>
      </c>
      <c r="E9" s="69" t="str">
        <f>IFERROR(__xludf.DUMMYFUNCTION("""COMPUTED_VALUE"""),"Cursor")</f>
        <v>Cursor</v>
      </c>
      <c r="N9" s="22"/>
    </row>
    <row r="10">
      <c r="A10" s="22"/>
      <c r="B10" s="69" t="str">
        <f>IFERROR(__xludf.DUMMYFUNCTION("""COMPUTED_VALUE"""),"Cursor")</f>
        <v>Cursor</v>
      </c>
      <c r="C10" s="69" t="str">
        <f>IFERROR(__xludf.DUMMYFUNCTION("""COMPUTED_VALUE"""),"Cursor")</f>
        <v>Cursor</v>
      </c>
      <c r="D10" s="69" t="str">
        <f>IFERROR(__xludf.DUMMYFUNCTION("""COMPUTED_VALUE"""),"Cursor")</f>
        <v>Cursor</v>
      </c>
      <c r="E10" s="69" t="str">
        <f>IFERROR(__xludf.DUMMYFUNCTION("""COMPUTED_VALUE"""),"Cursor")</f>
        <v>Cursor</v>
      </c>
      <c r="N10" s="22"/>
    </row>
    <row r="11">
      <c r="A11" s="32"/>
      <c r="B11" s="69" t="str">
        <f>IFERROR(__xludf.DUMMYFUNCTION("""COMPUTED_VALUE"""),"Cursor")</f>
        <v>Cursor</v>
      </c>
      <c r="C11" s="69" t="str">
        <f>IFERROR(__xludf.DUMMYFUNCTION("""COMPUTED_VALUE"""),"Cursor")</f>
        <v>Cursor</v>
      </c>
      <c r="D11" s="69" t="str">
        <f>IFERROR(__xludf.DUMMYFUNCTION("""COMPUTED_VALUE"""),"Cursor")</f>
        <v>Cursor</v>
      </c>
      <c r="E11" s="69" t="str">
        <f>IFERROR(__xludf.DUMMYFUNCTION("""COMPUTED_VALUE"""),"Cursor")</f>
        <v>Cursor</v>
      </c>
      <c r="N11" s="32"/>
    </row>
    <row r="12">
      <c r="A12" s="22"/>
      <c r="B12" s="69" t="str">
        <f>IFERROR(__xludf.DUMMYFUNCTION("""COMPUTED_VALUE"""),"Cursor")</f>
        <v>Cursor</v>
      </c>
      <c r="C12" s="69" t="str">
        <f>IFERROR(__xludf.DUMMYFUNCTION("""COMPUTED_VALUE"""),"Cursor")</f>
        <v>Cursor</v>
      </c>
      <c r="D12" s="69" t="str">
        <f>IFERROR(__xludf.DUMMYFUNCTION("""COMPUTED_VALUE"""),"Cursor")</f>
        <v>Cursor</v>
      </c>
      <c r="E12" s="69" t="str">
        <f>IFERROR(__xludf.DUMMYFUNCTION("""COMPUTED_VALUE"""),"Cursor")</f>
        <v>Cursor</v>
      </c>
      <c r="N12" s="22"/>
    </row>
    <row r="13">
      <c r="A13" s="17"/>
      <c r="B13" s="69" t="str">
        <f>IFERROR(__xludf.DUMMYFUNCTION("""COMPUTED_VALUE"""),"Cursor")</f>
        <v>Cursor</v>
      </c>
      <c r="C13" s="69" t="str">
        <f>IFERROR(__xludf.DUMMYFUNCTION("""COMPUTED_VALUE"""),"Cursor")</f>
        <v>Cursor</v>
      </c>
      <c r="D13" s="69" t="str">
        <f>IFERROR(__xludf.DUMMYFUNCTION("""COMPUTED_VALUE"""),"Cursor")</f>
        <v>Cursor</v>
      </c>
      <c r="E13" s="69" t="str">
        <f>IFERROR(__xludf.DUMMYFUNCTION("""COMPUTED_VALUE"""),"Cursor")</f>
        <v>Cursor</v>
      </c>
      <c r="N13" s="17"/>
    </row>
    <row r="14">
      <c r="A14" s="17"/>
      <c r="B14" s="69" t="str">
        <f>IFERROR(__xludf.DUMMYFUNCTION("""COMPUTED_VALUE"""),"Cursor")</f>
        <v>Cursor</v>
      </c>
      <c r="C14" s="69" t="str">
        <f>IFERROR(__xludf.DUMMYFUNCTION("""COMPUTED_VALUE"""),"Cursor")</f>
        <v>Cursor</v>
      </c>
      <c r="D14" s="69" t="str">
        <f>IFERROR(__xludf.DUMMYFUNCTION("""COMPUTED_VALUE"""),"Cursor")</f>
        <v>Cursor</v>
      </c>
      <c r="E14" s="69" t="str">
        <f>IFERROR(__xludf.DUMMYFUNCTION("""COMPUTED_VALUE"""),"Cursor")</f>
        <v>Cursor</v>
      </c>
      <c r="N14" s="17"/>
    </row>
    <row r="15">
      <c r="A15" s="17"/>
      <c r="B15" s="69" t="str">
        <f>IFERROR(__xludf.DUMMYFUNCTION("""COMPUTED_VALUE"""),"Cursor")</f>
        <v>Cursor</v>
      </c>
      <c r="C15" s="69" t="str">
        <f>IFERROR(__xludf.DUMMYFUNCTION("""COMPUTED_VALUE"""),"Grandma")</f>
        <v>Grandma</v>
      </c>
      <c r="D15" s="69" t="str">
        <f>IFERROR(__xludf.DUMMYFUNCTION("""COMPUTED_VALUE"""),"Cursor")</f>
        <v>Cursor</v>
      </c>
      <c r="E15" s="69" t="str">
        <f>IFERROR(__xludf.DUMMYFUNCTION("""COMPUTED_VALUE"""),"Cursor")</f>
        <v>Cursor</v>
      </c>
      <c r="N15" s="17"/>
    </row>
    <row r="16">
      <c r="A16" s="17"/>
      <c r="B16" s="69" t="str">
        <f>IFERROR(__xludf.DUMMYFUNCTION("""COMPUTED_VALUE"""),"Cursor")</f>
        <v>Cursor</v>
      </c>
      <c r="C16" s="69" t="str">
        <f>IFERROR(__xludf.DUMMYFUNCTION("""COMPUTED_VALUE"""),"Cursor")</f>
        <v>Cursor</v>
      </c>
      <c r="D16" s="69" t="str">
        <f>IFERROR(__xludf.DUMMYFUNCTION("""COMPUTED_VALUE"""),"Grandma")</f>
        <v>Grandma</v>
      </c>
      <c r="E16" s="69" t="str">
        <f>IFERROR(__xludf.DUMMYFUNCTION("""COMPUTED_VALUE"""),"Cursor")</f>
        <v>Cursor</v>
      </c>
      <c r="N16" s="17"/>
    </row>
    <row r="17">
      <c r="A17" s="17"/>
      <c r="B17" s="69" t="str">
        <f>IFERROR(__xludf.DUMMYFUNCTION("""COMPUTED_VALUE"""),"Grandma")</f>
        <v>Grandma</v>
      </c>
      <c r="C17" s="69" t="str">
        <f>IFERROR(__xludf.DUMMYFUNCTION("""COMPUTED_VALUE"""),"Grandma")</f>
        <v>Grandma</v>
      </c>
      <c r="D17" s="69" t="str">
        <f>IFERROR(__xludf.DUMMYFUNCTION("""COMPUTED_VALUE"""),"Cursor")</f>
        <v>Cursor</v>
      </c>
      <c r="E17" s="69" t="str">
        <f>IFERROR(__xludf.DUMMYFUNCTION("""COMPUTED_VALUE"""),"Cursor_up")</f>
        <v>Cursor_up</v>
      </c>
      <c r="N17" s="17"/>
    </row>
    <row r="18">
      <c r="A18" s="17"/>
      <c r="B18" s="69" t="str">
        <f>IFERROR(__xludf.DUMMYFUNCTION("""COMPUTED_VALUE"""),"Grandma")</f>
        <v>Grandma</v>
      </c>
      <c r="C18" s="69" t="str">
        <f>IFERROR(__xludf.DUMMYFUNCTION("""COMPUTED_VALUE"""),"Cursor")</f>
        <v>Cursor</v>
      </c>
      <c r="D18" s="69" t="str">
        <f>IFERROR(__xludf.DUMMYFUNCTION("""COMPUTED_VALUE"""),"Grandma")</f>
        <v>Grandma</v>
      </c>
      <c r="E18" s="69" t="str">
        <f>IFERROR(__xludf.DUMMYFUNCTION("""COMPUTED_VALUE"""),"Cursor")</f>
        <v>Cursor</v>
      </c>
      <c r="N18" s="17"/>
    </row>
    <row r="19">
      <c r="A19" s="6"/>
      <c r="B19" s="69" t="str">
        <f>IFERROR(__xludf.DUMMYFUNCTION("""COMPUTED_VALUE"""),"Grandma")</f>
        <v>Grandma</v>
      </c>
      <c r="C19" s="69" t="str">
        <f>IFERROR(__xludf.DUMMYFUNCTION("""COMPUTED_VALUE"""),"Grandma")</f>
        <v>Grandma</v>
      </c>
      <c r="D19" s="69" t="str">
        <f>IFERROR(__xludf.DUMMYFUNCTION("""COMPUTED_VALUE"""),"Cursor")</f>
        <v>Cursor</v>
      </c>
      <c r="E19" s="69" t="str">
        <f>IFERROR(__xludf.DUMMYFUNCTION("""COMPUTED_VALUE"""),"Cursor")</f>
        <v>Cursor</v>
      </c>
      <c r="N19" s="6"/>
    </row>
    <row r="20">
      <c r="A20" s="72"/>
      <c r="B20" s="69" t="str">
        <f>IFERROR(__xludf.DUMMYFUNCTION("""COMPUTED_VALUE"""),"Grandma")</f>
        <v>Grandma</v>
      </c>
      <c r="C20" s="69" t="str">
        <f>IFERROR(__xludf.DUMMYFUNCTION("""COMPUTED_VALUE"""),"Grandma")</f>
        <v>Grandma</v>
      </c>
      <c r="D20" s="69" t="str">
        <f>IFERROR(__xludf.DUMMYFUNCTION("""COMPUTED_VALUE"""),"Grandma")</f>
        <v>Grandma</v>
      </c>
      <c r="E20" s="69" t="str">
        <f>IFERROR(__xludf.DUMMYFUNCTION("""COMPUTED_VALUE"""),"Grandma")</f>
        <v>Grandma</v>
      </c>
      <c r="N20" s="72"/>
    </row>
    <row r="21">
      <c r="A21" s="32"/>
      <c r="B21" s="69" t="str">
        <f>IFERROR(__xludf.DUMMYFUNCTION("""COMPUTED_VALUE"""),"Farm")</f>
        <v>Farm</v>
      </c>
      <c r="C21" s="69" t="str">
        <f>IFERROR(__xludf.DUMMYFUNCTION("""COMPUTED_VALUE"""),"Farm")</f>
        <v>Farm</v>
      </c>
      <c r="D21" s="69" t="str">
        <f>IFERROR(__xludf.DUMMYFUNCTION("""COMPUTED_VALUE"""),"Grandma")</f>
        <v>Grandma</v>
      </c>
      <c r="E21" s="69" t="str">
        <f>IFERROR(__xludf.DUMMYFUNCTION("""COMPUTED_VALUE"""),"Cursor")</f>
        <v>Cursor</v>
      </c>
      <c r="N21" s="32"/>
    </row>
    <row r="22">
      <c r="A22" s="32"/>
      <c r="B22" s="69" t="str">
        <f>IFERROR(__xludf.DUMMYFUNCTION("""COMPUTED_VALUE"""),"Grandma")</f>
        <v>Grandma</v>
      </c>
      <c r="C22" s="69" t="str">
        <f>IFERROR(__xludf.DUMMYFUNCTION("""COMPUTED_VALUE"""),"Grandma")</f>
        <v>Grandma</v>
      </c>
      <c r="D22" s="69" t="str">
        <f>IFERROR(__xludf.DUMMYFUNCTION("""COMPUTED_VALUE"""),"Farm")</f>
        <v>Farm</v>
      </c>
      <c r="E22" s="69" t="str">
        <f>IFERROR(__xludf.DUMMYFUNCTION("""COMPUTED_VALUE"""),"Grandma")</f>
        <v>Grandma</v>
      </c>
      <c r="N22" s="32"/>
    </row>
    <row r="23">
      <c r="A23" s="32"/>
      <c r="B23" s="69" t="str">
        <f>IFERROR(__xludf.DUMMYFUNCTION("""COMPUTED_VALUE"""),"Grandma")</f>
        <v>Grandma</v>
      </c>
      <c r="C23" s="69" t="str">
        <f>IFERROR(__xludf.DUMMYFUNCTION("""COMPUTED_VALUE"""),"Grandma")</f>
        <v>Grandma</v>
      </c>
      <c r="D23" s="69" t="str">
        <f>IFERROR(__xludf.DUMMYFUNCTION("""COMPUTED_VALUE"""),"Grandma")</f>
        <v>Grandma</v>
      </c>
      <c r="E23" s="69" t="str">
        <f>IFERROR(__xludf.DUMMYFUNCTION("""COMPUTED_VALUE"""),"Cursor")</f>
        <v>Cursor</v>
      </c>
      <c r="N23" s="32"/>
    </row>
    <row r="24">
      <c r="A24" s="32"/>
      <c r="B24" s="69" t="str">
        <f>IFERROR(__xludf.DUMMYFUNCTION("""COMPUTED_VALUE"""),"Grandma")</f>
        <v>Grandma</v>
      </c>
      <c r="C24" s="69" t="str">
        <f>IFERROR(__xludf.DUMMYFUNCTION("""COMPUTED_VALUE"""),"Grandma_up")</f>
        <v>Grandma_up</v>
      </c>
      <c r="D24" s="69" t="str">
        <f>IFERROR(__xludf.DUMMYFUNCTION("""COMPUTED_VALUE"""),"Grandma")</f>
        <v>Grandma</v>
      </c>
      <c r="E24" s="69" t="str">
        <f>IFERROR(__xludf.DUMMYFUNCTION("""COMPUTED_VALUE"""),"Grandma")</f>
        <v>Grandma</v>
      </c>
      <c r="N24" s="32"/>
    </row>
    <row r="25">
      <c r="A25" s="32"/>
      <c r="B25" s="69" t="str">
        <f>IFERROR(__xludf.DUMMYFUNCTION("""COMPUTED_VALUE"""),"Grandma_up")</f>
        <v>Grandma_up</v>
      </c>
      <c r="C25" s="69" t="str">
        <f>IFERROR(__xludf.DUMMYFUNCTION("""COMPUTED_VALUE"""),"Grandma")</f>
        <v>Grandma</v>
      </c>
      <c r="D25" s="69" t="str">
        <f>IFERROR(__xludf.DUMMYFUNCTION("""COMPUTED_VALUE"""),"Grandma_up")</f>
        <v>Grandma_up</v>
      </c>
      <c r="E25" s="69" t="str">
        <f>IFERROR(__xludf.DUMMYFUNCTION("""COMPUTED_VALUE"""),"Cursor")</f>
        <v>Cursor</v>
      </c>
      <c r="N25" s="32"/>
    </row>
    <row r="26">
      <c r="A26" s="32"/>
      <c r="B26" s="69" t="str">
        <f>IFERROR(__xludf.DUMMYFUNCTION("""COMPUTED_VALUE"""),"Grandma")</f>
        <v>Grandma</v>
      </c>
      <c r="C26" s="69" t="str">
        <f>IFERROR(__xludf.DUMMYFUNCTION("""COMPUTED_VALUE"""),"Grandma")</f>
        <v>Grandma</v>
      </c>
      <c r="D26" s="69" t="str">
        <f>IFERROR(__xludf.DUMMYFUNCTION("""COMPUTED_VALUE"""),"Grandma")</f>
        <v>Grandma</v>
      </c>
      <c r="E26" s="69" t="str">
        <f>IFERROR(__xludf.DUMMYFUNCTION("""COMPUTED_VALUE"""),"Farm")</f>
        <v>Farm</v>
      </c>
      <c r="N26" s="32"/>
    </row>
    <row r="27">
      <c r="A27" s="32"/>
      <c r="B27" s="69" t="str">
        <f>IFERROR(__xludf.DUMMYFUNCTION("""COMPUTED_VALUE"""),"Grandma")</f>
        <v>Grandma</v>
      </c>
      <c r="C27" s="69" t="str">
        <f>IFERROR(__xludf.DUMMYFUNCTION("""COMPUTED_VALUE"""),"Cursor")</f>
        <v>Cursor</v>
      </c>
      <c r="D27" s="69" t="str">
        <f>IFERROR(__xludf.DUMMYFUNCTION("""COMPUTED_VALUE"""),"Grandma")</f>
        <v>Grandma</v>
      </c>
      <c r="E27" s="69" t="str">
        <f>IFERROR(__xludf.DUMMYFUNCTION("""COMPUTED_VALUE"""),"Grandma")</f>
        <v>Grandma</v>
      </c>
      <c r="N27" s="32"/>
    </row>
    <row r="28">
      <c r="A28" s="32"/>
      <c r="B28" s="69" t="str">
        <f>IFERROR(__xludf.DUMMYFUNCTION("""COMPUTED_VALUE"""),"Grandma")</f>
        <v>Grandma</v>
      </c>
      <c r="C28" s="69" t="str">
        <f>IFERROR(__xludf.DUMMYFUNCTION("""COMPUTED_VALUE"""),"Grandma")</f>
        <v>Grandma</v>
      </c>
      <c r="D28" s="69" t="str">
        <f>IFERROR(__xludf.DUMMYFUNCTION("""COMPUTED_VALUE"""),"Cursor")</f>
        <v>Cursor</v>
      </c>
      <c r="E28" s="69" t="str">
        <f>IFERROR(__xludf.DUMMYFUNCTION("""COMPUTED_VALUE"""),"Cursor")</f>
        <v>Cursor</v>
      </c>
      <c r="N28" s="32"/>
    </row>
    <row r="29">
      <c r="A29" s="32"/>
      <c r="B29" s="69" t="str">
        <f>IFERROR(__xludf.DUMMYFUNCTION("""COMPUTED_VALUE"""),"Grandma")</f>
        <v>Grandma</v>
      </c>
      <c r="C29" s="69" t="str">
        <f>IFERROR(__xludf.DUMMYFUNCTION("""COMPUTED_VALUE"""),"Farm")</f>
        <v>Farm</v>
      </c>
      <c r="D29" s="69" t="str">
        <f>IFERROR(__xludf.DUMMYFUNCTION("""COMPUTED_VALUE"""),"Grandma")</f>
        <v>Grandma</v>
      </c>
      <c r="E29" s="69" t="str">
        <f>IFERROR(__xludf.DUMMYFUNCTION("""COMPUTED_VALUE"""),"Farm")</f>
        <v>Farm</v>
      </c>
      <c r="N29" s="32"/>
    </row>
    <row r="30">
      <c r="A30" s="32"/>
      <c r="B30" s="69" t="str">
        <f>IFERROR(__xludf.DUMMYFUNCTION("""COMPUTED_VALUE"""),"Cursor")</f>
        <v>Cursor</v>
      </c>
      <c r="C30" s="69" t="str">
        <f>IFERROR(__xludf.DUMMYFUNCTION("""COMPUTED_VALUE"""),"Cursor")</f>
        <v>Cursor</v>
      </c>
      <c r="D30" s="69" t="str">
        <f>IFERROR(__xludf.DUMMYFUNCTION("""COMPUTED_VALUE"""),"Farm")</f>
        <v>Farm</v>
      </c>
      <c r="E30" s="69" t="str">
        <f>IFERROR(__xludf.DUMMYFUNCTION("""COMPUTED_VALUE"""),"Grandma")</f>
        <v>Grandma</v>
      </c>
      <c r="N30" s="32"/>
    </row>
    <row r="31">
      <c r="A31" s="32"/>
      <c r="B31" s="69" t="str">
        <f>IFERROR(__xludf.DUMMYFUNCTION("""COMPUTED_VALUE"""),"Cursor")</f>
        <v>Cursor</v>
      </c>
      <c r="C31" s="69" t="str">
        <f>IFERROR(__xludf.DUMMYFUNCTION("""COMPUTED_VALUE"""),"Grandma")</f>
        <v>Grandma</v>
      </c>
      <c r="D31" s="69" t="str">
        <f>IFERROR(__xludf.DUMMYFUNCTION("""COMPUTED_VALUE"""),"Cursor")</f>
        <v>Cursor</v>
      </c>
      <c r="E31" s="69" t="str">
        <f>IFERROR(__xludf.DUMMYFUNCTION("""COMPUTED_VALUE"""),"Cursor")</f>
        <v>Cursor</v>
      </c>
      <c r="N31" s="32"/>
    </row>
    <row r="32">
      <c r="A32" s="32"/>
      <c r="B32" s="69" t="str">
        <f>IFERROR(__xludf.DUMMYFUNCTION("""COMPUTED_VALUE"""),"Cursor")</f>
        <v>Cursor</v>
      </c>
      <c r="C32" s="69" t="str">
        <f>IFERROR(__xludf.DUMMYFUNCTION("""COMPUTED_VALUE"""),"Farm")</f>
        <v>Farm</v>
      </c>
      <c r="D32" s="69" t="str">
        <f>IFERROR(__xludf.DUMMYFUNCTION("""COMPUTED_VALUE"""),"Grandma")</f>
        <v>Grandma</v>
      </c>
      <c r="E32" s="69" t="str">
        <f>IFERROR(__xludf.DUMMYFUNCTION("""COMPUTED_VALUE"""),"Farm")</f>
        <v>Farm</v>
      </c>
      <c r="N32" s="32"/>
    </row>
    <row r="33">
      <c r="A33" s="74"/>
      <c r="B33" s="69" t="str">
        <f>IFERROR(__xludf.DUMMYFUNCTION("""COMPUTED_VALUE"""),"Cursor")</f>
        <v>Cursor</v>
      </c>
      <c r="C33" s="69" t="str">
        <f>IFERROR(__xludf.DUMMYFUNCTION("""COMPUTED_VALUE"""),"Cursor")</f>
        <v>Cursor</v>
      </c>
      <c r="D33" s="69" t="str">
        <f>IFERROR(__xludf.DUMMYFUNCTION("""COMPUTED_VALUE"""),"Farm")</f>
        <v>Farm</v>
      </c>
      <c r="E33" s="69" t="str">
        <f>IFERROR(__xludf.DUMMYFUNCTION("""COMPUTED_VALUE"""),"Grandma_up")</f>
        <v>Grandma_up</v>
      </c>
      <c r="N33" s="74"/>
    </row>
    <row r="34">
      <c r="A34" s="22"/>
      <c r="B34" s="69" t="str">
        <f>IFERROR(__xludf.DUMMYFUNCTION("""COMPUTED_VALUE"""),"Farm")</f>
        <v>Farm</v>
      </c>
      <c r="C34" s="69" t="str">
        <f>IFERROR(__xludf.DUMMYFUNCTION("""COMPUTED_VALUE"""),"Grandma")</f>
        <v>Grandma</v>
      </c>
      <c r="D34" s="69" t="str">
        <f>IFERROR(__xludf.DUMMYFUNCTION("""COMPUTED_VALUE"""),"Cursor")</f>
        <v>Cursor</v>
      </c>
      <c r="E34" s="69" t="str">
        <f>IFERROR(__xludf.DUMMYFUNCTION("""COMPUTED_VALUE"""),"Grandma")</f>
        <v>Grandma</v>
      </c>
      <c r="N34" s="22"/>
    </row>
    <row r="35">
      <c r="A35" s="22"/>
      <c r="B35" s="69" t="str">
        <f>IFERROR(__xludf.DUMMYFUNCTION("""COMPUTED_VALUE"""),"Farm")</f>
        <v>Farm</v>
      </c>
      <c r="C35" s="69" t="str">
        <f>IFERROR(__xludf.DUMMYFUNCTION("""COMPUTED_VALUE"""),"Farm")</f>
        <v>Farm</v>
      </c>
      <c r="D35" s="69" t="str">
        <f>IFERROR(__xludf.DUMMYFUNCTION("""COMPUTED_VALUE"""),"Grandma")</f>
        <v>Grandma</v>
      </c>
      <c r="E35" s="69" t="str">
        <f>IFERROR(__xludf.DUMMYFUNCTION("""COMPUTED_VALUE"""),"Grandma")</f>
        <v>Grandma</v>
      </c>
      <c r="N35" s="22"/>
    </row>
    <row r="36">
      <c r="A36" s="17"/>
      <c r="B36" s="69" t="str">
        <f>IFERROR(__xludf.DUMMYFUNCTION("""COMPUTED_VALUE"""),"Farm")</f>
        <v>Farm</v>
      </c>
      <c r="C36" s="69" t="str">
        <f>IFERROR(__xludf.DUMMYFUNCTION("""COMPUTED_VALUE"""),"Cursor")</f>
        <v>Cursor</v>
      </c>
      <c r="D36" s="69" t="str">
        <f>IFERROR(__xludf.DUMMYFUNCTION("""COMPUTED_VALUE"""),"Farm")</f>
        <v>Farm</v>
      </c>
      <c r="E36" s="69" t="str">
        <f>IFERROR(__xludf.DUMMYFUNCTION("""COMPUTED_VALUE"""),"Grandma")</f>
        <v>Grandma</v>
      </c>
      <c r="N36" s="17"/>
    </row>
    <row r="37">
      <c r="A37" s="3"/>
      <c r="B37" s="69" t="str">
        <f>IFERROR(__xludf.DUMMYFUNCTION("""COMPUTED_VALUE"""),"Grandma_up")</f>
        <v>Grandma_up</v>
      </c>
      <c r="C37" s="69" t="str">
        <f>IFERROR(__xludf.DUMMYFUNCTION("""COMPUTED_VALUE"""),"Grandma")</f>
        <v>Grandma</v>
      </c>
      <c r="D37" s="69" t="str">
        <f>IFERROR(__xludf.DUMMYFUNCTION("""COMPUTED_VALUE"""),"Cursor")</f>
        <v>Cursor</v>
      </c>
      <c r="E37" s="69" t="str">
        <f>IFERROR(__xludf.DUMMYFUNCTION("""COMPUTED_VALUE"""),"Grandma")</f>
        <v>Grandma</v>
      </c>
      <c r="N37" s="3"/>
    </row>
    <row r="38">
      <c r="A38" s="3"/>
      <c r="B38" s="69" t="str">
        <f>IFERROR(__xludf.DUMMYFUNCTION("""COMPUTED_VALUE"""),"Grandma")</f>
        <v>Grandma</v>
      </c>
      <c r="C38" s="69" t="str">
        <f>IFERROR(__xludf.DUMMYFUNCTION("""COMPUTED_VALUE"""),"Grandma_up")</f>
        <v>Grandma_up</v>
      </c>
      <c r="D38" s="69" t="str">
        <f>IFERROR(__xludf.DUMMYFUNCTION("""COMPUTED_VALUE"""),"Grandma")</f>
        <v>Grandma</v>
      </c>
      <c r="E38" s="69" t="str">
        <f>IFERROR(__xludf.DUMMYFUNCTION("""COMPUTED_VALUE"""),"Grandma")</f>
        <v>Grandma</v>
      </c>
      <c r="N38" s="3"/>
    </row>
    <row r="39">
      <c r="A39" s="12"/>
      <c r="B39" s="69" t="str">
        <f>IFERROR(__xludf.DUMMYFUNCTION("""COMPUTED_VALUE"""),"Grandma")</f>
        <v>Grandma</v>
      </c>
      <c r="C39" s="69" t="str">
        <f>IFERROR(__xludf.DUMMYFUNCTION("""COMPUTED_VALUE"""),"Grandma")</f>
        <v>Grandma</v>
      </c>
      <c r="D39" s="69" t="str">
        <f>IFERROR(__xludf.DUMMYFUNCTION("""COMPUTED_VALUE"""),"Grandma_up")</f>
        <v>Grandma_up</v>
      </c>
      <c r="E39" s="69" t="str">
        <f>IFERROR(__xludf.DUMMYFUNCTION("""COMPUTED_VALUE"""),"Cursor")</f>
        <v>Cursor</v>
      </c>
      <c r="N39" s="12"/>
    </row>
    <row r="40">
      <c r="A40" s="12"/>
      <c r="B40" s="69" t="str">
        <f>IFERROR(__xludf.DUMMYFUNCTION("""COMPUTED_VALUE"""),"Grandma")</f>
        <v>Grandma</v>
      </c>
      <c r="C40" s="69" t="str">
        <f>IFERROR(__xludf.DUMMYFUNCTION("""COMPUTED_VALUE"""),"Grandma")</f>
        <v>Grandma</v>
      </c>
      <c r="D40" s="69" t="str">
        <f>IFERROR(__xludf.DUMMYFUNCTION("""COMPUTED_VALUE"""),"Grandma")</f>
        <v>Grandma</v>
      </c>
      <c r="E40" s="69" t="str">
        <f>IFERROR(__xludf.DUMMYFUNCTION("""COMPUTED_VALUE"""),"Grandma")</f>
        <v>Grandma</v>
      </c>
      <c r="N40" s="12"/>
    </row>
    <row r="41">
      <c r="A41" s="12"/>
      <c r="B41" s="69" t="str">
        <f>IFERROR(__xludf.DUMMYFUNCTION("""COMPUTED_VALUE"""),"Grandma")</f>
        <v>Grandma</v>
      </c>
      <c r="C41" s="69" t="str">
        <f>IFERROR(__xludf.DUMMYFUNCTION("""COMPUTED_VALUE"""),"Grandma")</f>
        <v>Grandma</v>
      </c>
      <c r="D41" s="69" t="str">
        <f>IFERROR(__xludf.DUMMYFUNCTION("""COMPUTED_VALUE"""),"Grandma")</f>
        <v>Grandma</v>
      </c>
      <c r="E41" s="69" t="str">
        <f>IFERROR(__xludf.DUMMYFUNCTION("""COMPUTED_VALUE"""),"Farm")</f>
        <v>Farm</v>
      </c>
      <c r="N41" s="12"/>
    </row>
    <row r="42">
      <c r="A42" s="12"/>
      <c r="B42" s="69" t="str">
        <f>IFERROR(__xludf.DUMMYFUNCTION("""COMPUTED_VALUE"""),"Grandma")</f>
        <v>Grandma</v>
      </c>
      <c r="C42" s="69" t="str">
        <f>IFERROR(__xludf.DUMMYFUNCTION("""COMPUTED_VALUE"""),"Grandma")</f>
        <v>Grandma</v>
      </c>
      <c r="D42" s="69" t="str">
        <f>IFERROR(__xludf.DUMMYFUNCTION("""COMPUTED_VALUE"""),"Grandma")</f>
        <v>Grandma</v>
      </c>
      <c r="E42" s="69" t="str">
        <f>IFERROR(__xludf.DUMMYFUNCTION("""COMPUTED_VALUE"""),"Grandma_up")</f>
        <v>Grandma_up</v>
      </c>
      <c r="N42" s="12"/>
    </row>
    <row r="43">
      <c r="A43" s="12"/>
      <c r="B43" s="69" t="str">
        <f>IFERROR(__xludf.DUMMYFUNCTION("""COMPUTED_VALUE"""),"Grandma")</f>
        <v>Grandma</v>
      </c>
      <c r="C43" s="69" t="str">
        <f>IFERROR(__xludf.DUMMYFUNCTION("""COMPUTED_VALUE"""),"Grandma")</f>
        <v>Grandma</v>
      </c>
      <c r="D43" s="69" t="str">
        <f>IFERROR(__xludf.DUMMYFUNCTION("""COMPUTED_VALUE"""),"Grandma")</f>
        <v>Grandma</v>
      </c>
      <c r="E43" s="69" t="str">
        <f>IFERROR(__xludf.DUMMYFUNCTION("""COMPUTED_VALUE"""),"Grandma")</f>
        <v>Grandma</v>
      </c>
      <c r="N43" s="12"/>
    </row>
    <row r="44">
      <c r="A44" s="12"/>
      <c r="B44" s="69" t="str">
        <f>IFERROR(__xludf.DUMMYFUNCTION("""COMPUTED_VALUE"""),"Cursor_up")</f>
        <v>Cursor_up</v>
      </c>
      <c r="C44" s="69" t="str">
        <f>IFERROR(__xludf.DUMMYFUNCTION("""COMPUTED_VALUE"""),"Farm")</f>
        <v>Farm</v>
      </c>
      <c r="D44" s="69" t="str">
        <f>IFERROR(__xludf.DUMMYFUNCTION("""COMPUTED_VALUE"""),"Grandma")</f>
        <v>Grandma</v>
      </c>
      <c r="E44" s="69" t="str">
        <f>IFERROR(__xludf.DUMMYFUNCTION("""COMPUTED_VALUE"""),"Grandma")</f>
        <v>Grandma</v>
      </c>
      <c r="N44" s="12"/>
    </row>
    <row r="45">
      <c r="A45" s="12"/>
      <c r="B45" s="69" t="str">
        <f>IFERROR(__xludf.DUMMYFUNCTION("""COMPUTED_VALUE"""),"Cursor")</f>
        <v>Cursor</v>
      </c>
      <c r="C45" s="69" t="str">
        <f>IFERROR(__xludf.DUMMYFUNCTION("""COMPUTED_VALUE"""),"Cursor")</f>
        <v>Cursor</v>
      </c>
      <c r="D45" s="69" t="str">
        <f>IFERROR(__xludf.DUMMYFUNCTION("""COMPUTED_VALUE"""),"Farm")</f>
        <v>Farm</v>
      </c>
      <c r="E45" s="69" t="str">
        <f>IFERROR(__xludf.DUMMYFUNCTION("""COMPUTED_VALUE"""),"Grandma")</f>
        <v>Grandma</v>
      </c>
      <c r="N45" s="12"/>
    </row>
    <row r="46">
      <c r="A46" s="22"/>
      <c r="B46" s="69" t="str">
        <f>IFERROR(__xludf.DUMMYFUNCTION("""COMPUTED_VALUE"""),"Cursor")</f>
        <v>Cursor</v>
      </c>
      <c r="C46" s="69" t="str">
        <f>IFERROR(__xludf.DUMMYFUNCTION("""COMPUTED_VALUE"""),"Cursor_up")</f>
        <v>Cursor_up</v>
      </c>
      <c r="D46" s="69" t="str">
        <f>IFERROR(__xludf.DUMMYFUNCTION("""COMPUTED_VALUE"""),"Farm")</f>
        <v>Farm</v>
      </c>
      <c r="E46" s="69" t="str">
        <f>IFERROR(__xludf.DUMMYFUNCTION("""COMPUTED_VALUE"""),"Grandma")</f>
        <v>Grandma</v>
      </c>
      <c r="N46" s="22"/>
    </row>
    <row r="47">
      <c r="A47" s="22"/>
      <c r="B47" s="69" t="str">
        <f>IFERROR(__xludf.DUMMYFUNCTION("""COMPUTED_VALUE"""),"Cursor")</f>
        <v>Cursor</v>
      </c>
      <c r="C47" s="69" t="str">
        <f>IFERROR(__xludf.DUMMYFUNCTION("""COMPUTED_VALUE"""),"Cursor")</f>
        <v>Cursor</v>
      </c>
      <c r="D47" s="69" t="str">
        <f>IFERROR(__xludf.DUMMYFUNCTION("""COMPUTED_VALUE"""),"Farm_up")</f>
        <v>Farm_up</v>
      </c>
      <c r="E47" s="69" t="str">
        <f>IFERROR(__xludf.DUMMYFUNCTION("""COMPUTED_VALUE"""),"Grandma")</f>
        <v>Grandma</v>
      </c>
      <c r="N47" s="22"/>
    </row>
    <row r="48">
      <c r="A48" s="32"/>
      <c r="B48" s="69" t="str">
        <f>IFERROR(__xludf.DUMMYFUNCTION("""COMPUTED_VALUE"""),"Cursor")</f>
        <v>Cursor</v>
      </c>
      <c r="C48" s="69" t="str">
        <f>IFERROR(__xludf.DUMMYFUNCTION("""COMPUTED_VALUE"""),"Cursor")</f>
        <v>Cursor</v>
      </c>
      <c r="D48" s="69" t="str">
        <f>IFERROR(__xludf.DUMMYFUNCTION("""COMPUTED_VALUE"""),"Farm")</f>
        <v>Farm</v>
      </c>
      <c r="E48" s="69" t="str">
        <f>IFERROR(__xludf.DUMMYFUNCTION("""COMPUTED_VALUE"""),"Cursor")</f>
        <v>Cursor</v>
      </c>
      <c r="N48" s="32"/>
    </row>
    <row r="49">
      <c r="A49" s="22"/>
      <c r="B49" s="69" t="str">
        <f>IFERROR(__xludf.DUMMYFUNCTION("""COMPUTED_VALUE"""),"Cursor")</f>
        <v>Cursor</v>
      </c>
      <c r="C49" s="69" t="str">
        <f>IFERROR(__xludf.DUMMYFUNCTION("""COMPUTED_VALUE"""),"Cursor")</f>
        <v>Cursor</v>
      </c>
      <c r="D49" s="69" t="str">
        <f>IFERROR(__xludf.DUMMYFUNCTION("""COMPUTED_VALUE"""),"Farm")</f>
        <v>Farm</v>
      </c>
      <c r="E49" s="69" t="str">
        <f>IFERROR(__xludf.DUMMYFUNCTION("""COMPUTED_VALUE"""),"Grandma")</f>
        <v>Grandma</v>
      </c>
      <c r="N49" s="22"/>
    </row>
    <row r="50">
      <c r="A50" s="17"/>
      <c r="B50" s="69" t="str">
        <f>IFERROR(__xludf.DUMMYFUNCTION("""COMPUTED_VALUE"""),"Farm")</f>
        <v>Farm</v>
      </c>
      <c r="C50" s="69" t="str">
        <f>IFERROR(__xludf.DUMMYFUNCTION("""COMPUTED_VALUE"""),"Cursor")</f>
        <v>Cursor</v>
      </c>
      <c r="D50" s="69" t="str">
        <f>IFERROR(__xludf.DUMMYFUNCTION("""COMPUTED_VALUE"""),"Farm")</f>
        <v>Farm</v>
      </c>
      <c r="E50" s="69" t="str">
        <f>IFERROR(__xludf.DUMMYFUNCTION("""COMPUTED_VALUE"""),"Farm")</f>
        <v>Farm</v>
      </c>
      <c r="N50" s="17"/>
    </row>
    <row r="51">
      <c r="A51" s="17"/>
      <c r="B51" s="69" t="str">
        <f>IFERROR(__xludf.DUMMYFUNCTION("""COMPUTED_VALUE"""),"Farm")</f>
        <v>Farm</v>
      </c>
      <c r="C51" s="69" t="str">
        <f>IFERROR(__xludf.DUMMYFUNCTION("""COMPUTED_VALUE"""),"Grandma")</f>
        <v>Grandma</v>
      </c>
      <c r="D51" s="69" t="str">
        <f>IFERROR(__xludf.DUMMYFUNCTION("""COMPUTED_VALUE"""),"Cursor")</f>
        <v>Cursor</v>
      </c>
      <c r="E51" s="69" t="str">
        <f>IFERROR(__xludf.DUMMYFUNCTION("""COMPUTED_VALUE"""),"Plastic_up")</f>
        <v>Plastic_up</v>
      </c>
      <c r="N51" s="17"/>
    </row>
    <row r="52">
      <c r="A52" s="17"/>
      <c r="B52" s="69" t="str">
        <f>IFERROR(__xludf.DUMMYFUNCTION("""COMPUTED_VALUE"""),"Farm_up")</f>
        <v>Farm_up</v>
      </c>
      <c r="C52" s="69" t="str">
        <f>IFERROR(__xludf.DUMMYFUNCTION("""COMPUTED_VALUE"""),"Farm")</f>
        <v>Farm</v>
      </c>
      <c r="D52" s="69" t="str">
        <f>IFERROR(__xludf.DUMMYFUNCTION("""COMPUTED_VALUE"""),"Grandma")</f>
        <v>Grandma</v>
      </c>
      <c r="E52" s="69" t="str">
        <f>IFERROR(__xludf.DUMMYFUNCTION("""COMPUTED_VALUE"""),"Cursor")</f>
        <v>Cursor</v>
      </c>
      <c r="N52" s="17"/>
    </row>
    <row r="53">
      <c r="A53" s="17"/>
      <c r="B53" s="69" t="str">
        <f>IFERROR(__xludf.DUMMYFUNCTION("""COMPUTED_VALUE"""),"Farm")</f>
        <v>Farm</v>
      </c>
      <c r="C53" s="69" t="str">
        <f>IFERROR(__xludf.DUMMYFUNCTION("""COMPUTED_VALUE"""),"Farm_up")</f>
        <v>Farm_up</v>
      </c>
      <c r="D53" s="69" t="str">
        <f>IFERROR(__xludf.DUMMYFUNCTION("""COMPUTED_VALUE"""),"Cursor")</f>
        <v>Cursor</v>
      </c>
      <c r="E53" s="69" t="str">
        <f>IFERROR(__xludf.DUMMYFUNCTION("""COMPUTED_VALUE"""),"Grandma")</f>
        <v>Grandma</v>
      </c>
      <c r="N53" s="17"/>
    </row>
    <row r="54">
      <c r="A54" s="17"/>
      <c r="B54" s="69" t="str">
        <f>IFERROR(__xludf.DUMMYFUNCTION("""COMPUTED_VALUE"""),"Farm")</f>
        <v>Farm</v>
      </c>
      <c r="C54" s="69" t="str">
        <f>IFERROR(__xludf.DUMMYFUNCTION("""COMPUTED_VALUE"""),"Farm")</f>
        <v>Farm</v>
      </c>
      <c r="D54" s="69" t="str">
        <f>IFERROR(__xludf.DUMMYFUNCTION("""COMPUTED_VALUE"""),"Cursor_up")</f>
        <v>Cursor_up</v>
      </c>
      <c r="E54" s="69" t="str">
        <f>IFERROR(__xludf.DUMMYFUNCTION("""COMPUTED_VALUE"""),"Mine")</f>
        <v>Mine</v>
      </c>
      <c r="N54" s="17"/>
    </row>
    <row r="55">
      <c r="A55" s="17"/>
      <c r="B55" s="69" t="str">
        <f>IFERROR(__xludf.DUMMYFUNCTION("""COMPUTED_VALUE"""),"Farm")</f>
        <v>Farm</v>
      </c>
      <c r="C55" s="69" t="str">
        <f>IFERROR(__xludf.DUMMYFUNCTION("""COMPUTED_VALUE"""),"Farm")</f>
        <v>Farm</v>
      </c>
      <c r="D55" s="69" t="str">
        <f>IFERROR(__xludf.DUMMYFUNCTION("""COMPUTED_VALUE"""),"Cursor")</f>
        <v>Cursor</v>
      </c>
      <c r="E55" s="69" t="str">
        <f>IFERROR(__xludf.DUMMYFUNCTION("""COMPUTED_VALUE"""),"Farm")</f>
        <v>Farm</v>
      </c>
      <c r="N55" s="17"/>
    </row>
    <row r="56">
      <c r="A56" s="6"/>
      <c r="B56" s="69" t="str">
        <f>IFERROR(__xludf.DUMMYFUNCTION("""COMPUTED_VALUE"""),"Farm")</f>
        <v>Farm</v>
      </c>
      <c r="C56" s="69" t="str">
        <f>IFERROR(__xludf.DUMMYFUNCTION("""COMPUTED_VALUE"""),"Farm")</f>
        <v>Farm</v>
      </c>
      <c r="D56" s="69" t="str">
        <f>IFERROR(__xludf.DUMMYFUNCTION("""COMPUTED_VALUE"""),"Cursor")</f>
        <v>Cursor</v>
      </c>
      <c r="E56" s="69" t="str">
        <f>IFERROR(__xludf.DUMMYFUNCTION("""COMPUTED_VALUE"""),"Farm_up")</f>
        <v>Farm_up</v>
      </c>
      <c r="N56" s="6"/>
    </row>
    <row r="57">
      <c r="A57" s="72"/>
      <c r="B57" s="69" t="str">
        <f>IFERROR(__xludf.DUMMYFUNCTION("""COMPUTED_VALUE"""),"Mine")</f>
        <v>Mine</v>
      </c>
      <c r="C57" s="69" t="str">
        <f>IFERROR(__xludf.DUMMYFUNCTION("""COMPUTED_VALUE"""),"Farm")</f>
        <v>Farm</v>
      </c>
      <c r="D57" s="69" t="str">
        <f>IFERROR(__xludf.DUMMYFUNCTION("""COMPUTED_VALUE"""),"Cursor")</f>
        <v>Cursor</v>
      </c>
      <c r="E57" s="69" t="str">
        <f>IFERROR(__xludf.DUMMYFUNCTION("""COMPUTED_VALUE"""),"Farm")</f>
        <v>Farm</v>
      </c>
      <c r="N57" s="72"/>
    </row>
    <row r="58">
      <c r="A58" s="32"/>
      <c r="B58" s="69" t="str">
        <f>IFERROR(__xludf.DUMMYFUNCTION("""COMPUTED_VALUE"""),"Grandma")</f>
        <v>Grandma</v>
      </c>
      <c r="C58" s="69" t="str">
        <f>IFERROR(__xludf.DUMMYFUNCTION("""COMPUTED_VALUE"""),"Cursor")</f>
        <v>Cursor</v>
      </c>
      <c r="D58" s="69" t="str">
        <f>IFERROR(__xludf.DUMMYFUNCTION("""COMPUTED_VALUE"""),"Cursor")</f>
        <v>Cursor</v>
      </c>
      <c r="E58" s="69" t="str">
        <f>IFERROR(__xludf.DUMMYFUNCTION("""COMPUTED_VALUE"""),"Farm")</f>
        <v>Farm</v>
      </c>
      <c r="N58" s="32"/>
    </row>
    <row r="59">
      <c r="A59" s="32"/>
      <c r="B59" s="69" t="str">
        <f>IFERROR(__xludf.DUMMYFUNCTION("""COMPUTED_VALUE"""),"Grandma")</f>
        <v>Grandma</v>
      </c>
      <c r="C59" s="69" t="str">
        <f>IFERROR(__xludf.DUMMYFUNCTION("""COMPUTED_VALUE"""),"Farm")</f>
        <v>Farm</v>
      </c>
      <c r="D59" s="69" t="str">
        <f>IFERROR(__xludf.DUMMYFUNCTION("""COMPUTED_VALUE"""),"Farm")</f>
        <v>Farm</v>
      </c>
      <c r="E59" s="69" t="str">
        <f>IFERROR(__xludf.DUMMYFUNCTION("""COMPUTED_VALUE"""),"Farm")</f>
        <v>Farm</v>
      </c>
      <c r="N59" s="32"/>
    </row>
    <row r="60">
      <c r="A60" s="32"/>
      <c r="B60" s="69" t="str">
        <f>IFERROR(__xludf.DUMMYFUNCTION("""COMPUTED_VALUE"""),"Grandma")</f>
        <v>Grandma</v>
      </c>
      <c r="C60" s="69" t="str">
        <f>IFERROR(__xludf.DUMMYFUNCTION("""COMPUTED_VALUE"""),"Mine")</f>
        <v>Mine</v>
      </c>
      <c r="D60" s="69" t="str">
        <f>IFERROR(__xludf.DUMMYFUNCTION("""COMPUTED_VALUE"""),"Farm")</f>
        <v>Farm</v>
      </c>
      <c r="E60" s="69" t="str">
        <f>IFERROR(__xludf.DUMMYFUNCTION("""COMPUTED_VALUE"""),"Farm")</f>
        <v>Farm</v>
      </c>
      <c r="N60" s="32"/>
    </row>
    <row r="61">
      <c r="A61" s="32"/>
      <c r="B61" s="69" t="str">
        <f>IFERROR(__xludf.DUMMYFUNCTION("""COMPUTED_VALUE"""),"Mine")</f>
        <v>Mine</v>
      </c>
      <c r="C61" s="69" t="str">
        <f>IFERROR(__xludf.DUMMYFUNCTION("""COMPUTED_VALUE"""),"Grandma")</f>
        <v>Grandma</v>
      </c>
      <c r="D61" s="69" t="str">
        <f>IFERROR(__xludf.DUMMYFUNCTION("""COMPUTED_VALUE"""),"Mine")</f>
        <v>Mine</v>
      </c>
      <c r="E61" s="69" t="str">
        <f>IFERROR(__xludf.DUMMYFUNCTION("""COMPUTED_VALUE"""),"Farm")</f>
        <v>Farm</v>
      </c>
      <c r="N61" s="32"/>
    </row>
    <row r="62">
      <c r="A62" s="32"/>
      <c r="B62" s="69" t="str">
        <f>IFERROR(__xludf.DUMMYFUNCTION("""COMPUTED_VALUE"""),"Farm")</f>
        <v>Farm</v>
      </c>
      <c r="C62" s="69" t="str">
        <f>IFERROR(__xludf.DUMMYFUNCTION("""COMPUTED_VALUE"""),"Cursor")</f>
        <v>Cursor</v>
      </c>
      <c r="D62" s="69" t="str">
        <f>IFERROR(__xludf.DUMMYFUNCTION("""COMPUTED_VALUE"""),"Grandma")</f>
        <v>Grandma</v>
      </c>
      <c r="E62" s="69" t="str">
        <f>IFERROR(__xludf.DUMMYFUNCTION("""COMPUTED_VALUE"""),"Cursor")</f>
        <v>Cursor</v>
      </c>
      <c r="N62" s="32"/>
    </row>
    <row r="63">
      <c r="A63" s="32"/>
      <c r="B63" s="69" t="str">
        <f>IFERROR(__xludf.DUMMYFUNCTION("""COMPUTED_VALUE"""),"Farm")</f>
        <v>Farm</v>
      </c>
      <c r="C63" s="69" t="str">
        <f>IFERROR(__xludf.DUMMYFUNCTION("""COMPUTED_VALUE"""),"Mine")</f>
        <v>Mine</v>
      </c>
      <c r="D63" s="69" t="str">
        <f>IFERROR(__xludf.DUMMYFUNCTION("""COMPUTED_VALUE"""),"Cursor")</f>
        <v>Cursor</v>
      </c>
      <c r="E63" s="69" t="str">
        <f>IFERROR(__xludf.DUMMYFUNCTION("""COMPUTED_VALUE"""),"Grandma")</f>
        <v>Grandma</v>
      </c>
      <c r="N63" s="32"/>
    </row>
    <row r="64">
      <c r="A64" s="32"/>
      <c r="B64" s="69" t="str">
        <f>IFERROR(__xludf.DUMMYFUNCTION("""COMPUTED_VALUE"""),"Farm")</f>
        <v>Farm</v>
      </c>
      <c r="C64" s="69" t="str">
        <f>IFERROR(__xludf.DUMMYFUNCTION("""COMPUTED_VALUE"""),"Farm")</f>
        <v>Farm</v>
      </c>
      <c r="D64" s="69" t="str">
        <f>IFERROR(__xludf.DUMMYFUNCTION("""COMPUTED_VALUE"""),"Mine")</f>
        <v>Mine</v>
      </c>
      <c r="E64" s="69" t="str">
        <f>IFERROR(__xludf.DUMMYFUNCTION("""COMPUTED_VALUE"""),"Mine")</f>
        <v>Mine</v>
      </c>
      <c r="N64" s="32"/>
    </row>
    <row r="65">
      <c r="A65" s="32"/>
      <c r="B65" s="69" t="str">
        <f>IFERROR(__xludf.DUMMYFUNCTION("""COMPUTED_VALUE"""),"Farm_up")</f>
        <v>Farm_up</v>
      </c>
      <c r="C65" s="69" t="str">
        <f>IFERROR(__xludf.DUMMYFUNCTION("""COMPUTED_VALUE"""),"Grandma")</f>
        <v>Grandma</v>
      </c>
      <c r="D65" s="69" t="str">
        <f>IFERROR(__xludf.DUMMYFUNCTION("""COMPUTED_VALUE"""),"Farm")</f>
        <v>Farm</v>
      </c>
      <c r="E65" s="69" t="str">
        <f>IFERROR(__xludf.DUMMYFUNCTION("""COMPUTED_VALUE"""),"Farm")</f>
        <v>Farm</v>
      </c>
      <c r="N65" s="32"/>
    </row>
    <row r="66">
      <c r="A66" s="32"/>
      <c r="B66" s="69" t="str">
        <f>IFERROR(__xludf.DUMMYFUNCTION("""COMPUTED_VALUE"""),"Farm")</f>
        <v>Farm</v>
      </c>
      <c r="C66" s="69" t="str">
        <f>IFERROR(__xludf.DUMMYFUNCTION("""COMPUTED_VALUE"""),"Farm")</f>
        <v>Farm</v>
      </c>
      <c r="D66" s="69" t="str">
        <f>IFERROR(__xludf.DUMMYFUNCTION("""COMPUTED_VALUE"""),"Grandma")</f>
        <v>Grandma</v>
      </c>
      <c r="E66" s="69" t="str">
        <f>IFERROR(__xludf.DUMMYFUNCTION("""COMPUTED_VALUE"""),"Farm_up")</f>
        <v>Farm_up</v>
      </c>
      <c r="N66" s="32"/>
    </row>
    <row r="67">
      <c r="A67" s="32"/>
      <c r="B67" s="69" t="str">
        <f>IFERROR(__xludf.DUMMYFUNCTION("""COMPUTED_VALUE"""),"Farm")</f>
        <v>Farm</v>
      </c>
      <c r="C67" s="69" t="str">
        <f>IFERROR(__xludf.DUMMYFUNCTION("""COMPUTED_VALUE"""),"Farm_up")</f>
        <v>Farm_up</v>
      </c>
      <c r="D67" s="69" t="str">
        <f>IFERROR(__xludf.DUMMYFUNCTION("""COMPUTED_VALUE"""),"Farm")</f>
        <v>Farm</v>
      </c>
      <c r="E67" s="69" t="str">
        <f>IFERROR(__xludf.DUMMYFUNCTION("""COMPUTED_VALUE"""),"Farm")</f>
        <v>Farm</v>
      </c>
      <c r="N67" s="32"/>
    </row>
    <row r="68">
      <c r="A68" s="32"/>
      <c r="B68" s="69" t="str">
        <f>IFERROR(__xludf.DUMMYFUNCTION("""COMPUTED_VALUE"""),"Farm")</f>
        <v>Farm</v>
      </c>
      <c r="C68" s="69" t="str">
        <f>IFERROR(__xludf.DUMMYFUNCTION("""COMPUTED_VALUE"""),"Farm")</f>
        <v>Farm</v>
      </c>
      <c r="D68" s="69" t="str">
        <f>IFERROR(__xludf.DUMMYFUNCTION("""COMPUTED_VALUE"""),"Farm_up")</f>
        <v>Farm_up</v>
      </c>
      <c r="E68" s="69" t="str">
        <f>IFERROR(__xludf.DUMMYFUNCTION("""COMPUTED_VALUE"""),"Farm")</f>
        <v>Farm</v>
      </c>
      <c r="N68" s="32"/>
    </row>
    <row r="69">
      <c r="A69" s="32"/>
      <c r="B69" s="69" t="str">
        <f>IFERROR(__xludf.DUMMYFUNCTION("""COMPUTED_VALUE"""),"Farm")</f>
        <v>Farm</v>
      </c>
      <c r="C69" s="69" t="str">
        <f>IFERROR(__xludf.DUMMYFUNCTION("""COMPUTED_VALUE"""),"Farm")</f>
        <v>Farm</v>
      </c>
      <c r="D69" s="69" t="str">
        <f>IFERROR(__xludf.DUMMYFUNCTION("""COMPUTED_VALUE"""),"Farm")</f>
        <v>Farm</v>
      </c>
      <c r="E69" s="69" t="str">
        <f>IFERROR(__xludf.DUMMYFUNCTION("""COMPUTED_VALUE"""),"Farm")</f>
        <v>Farm</v>
      </c>
      <c r="N69" s="32"/>
    </row>
    <row r="70">
      <c r="A70" s="74"/>
      <c r="B70" s="69" t="str">
        <f>IFERROR(__xludf.DUMMYFUNCTION("""COMPUTED_VALUE"""),"Super_up")</f>
        <v>Super_up</v>
      </c>
      <c r="C70" s="69" t="str">
        <f>IFERROR(__xludf.DUMMYFUNCTION("""COMPUTED_VALUE"""),"Farm")</f>
        <v>Farm</v>
      </c>
      <c r="D70" s="69" t="str">
        <f>IFERROR(__xludf.DUMMYFUNCTION("""COMPUTED_VALUE"""),"Farm")</f>
        <v>Farm</v>
      </c>
      <c r="E70" s="69" t="str">
        <f>IFERROR(__xludf.DUMMYFUNCTION("""COMPUTED_VALUE"""),"Farm")</f>
        <v>Farm</v>
      </c>
      <c r="N70" s="74"/>
    </row>
    <row r="71">
      <c r="A71" s="22"/>
      <c r="B71" s="69" t="str">
        <f>IFERROR(__xludf.DUMMYFUNCTION("""COMPUTED_VALUE"""),"Grandma")</f>
        <v>Grandma</v>
      </c>
      <c r="C71" s="69" t="str">
        <f>IFERROR(__xludf.DUMMYFUNCTION("""COMPUTED_VALUE"""),"Farm")</f>
        <v>Farm</v>
      </c>
      <c r="D71" s="69" t="str">
        <f>IFERROR(__xludf.DUMMYFUNCTION("""COMPUTED_VALUE"""),"Farm")</f>
        <v>Farm</v>
      </c>
      <c r="E71" s="69" t="str">
        <f>IFERROR(__xludf.DUMMYFUNCTION("""COMPUTED_VALUE"""),"Farm")</f>
        <v>Farm</v>
      </c>
      <c r="N71" s="22"/>
    </row>
    <row r="72">
      <c r="A72" s="22"/>
      <c r="B72" s="69" t="str">
        <f>IFERROR(__xludf.DUMMYFUNCTION("""COMPUTED_VALUE"""),"Grandma")</f>
        <v>Grandma</v>
      </c>
      <c r="C72" s="69" t="str">
        <f>IFERROR(__xludf.DUMMYFUNCTION("""COMPUTED_VALUE"""),"Super_up")</f>
        <v>Super_up</v>
      </c>
      <c r="D72" s="69" t="str">
        <f>IFERROR(__xludf.DUMMYFUNCTION("""COMPUTED_VALUE"""),"Farm")</f>
        <v>Farm</v>
      </c>
      <c r="E72" s="69" t="str">
        <f>IFERROR(__xludf.DUMMYFUNCTION("""COMPUTED_VALUE"""),"Mine")</f>
        <v>Mine</v>
      </c>
      <c r="N72" s="22"/>
    </row>
    <row r="73">
      <c r="A73" s="17"/>
      <c r="B73" s="69" t="str">
        <f>IFERROR(__xludf.DUMMYFUNCTION("""COMPUTED_VALUE"""),"Grandma")</f>
        <v>Grandma</v>
      </c>
      <c r="C73" s="69" t="str">
        <f>IFERROR(__xludf.DUMMYFUNCTION("""COMPUTED_VALUE"""),"Grandma")</f>
        <v>Grandma</v>
      </c>
      <c r="D73" s="69" t="str">
        <f>IFERROR(__xludf.DUMMYFUNCTION("""COMPUTED_VALUE"""),"Super_up")</f>
        <v>Super_up</v>
      </c>
      <c r="E73" s="69" t="str">
        <f>IFERROR(__xludf.DUMMYFUNCTION("""COMPUTED_VALUE"""),"Super_up")</f>
        <v>Super_up</v>
      </c>
      <c r="N73" s="17"/>
    </row>
    <row r="74">
      <c r="A74" s="3"/>
      <c r="B74" s="69" t="str">
        <f>IFERROR(__xludf.DUMMYFUNCTION("""COMPUTED_VALUE"""),"Grandma")</f>
        <v>Grandma</v>
      </c>
      <c r="C74" s="69" t="str">
        <f>IFERROR(__xludf.DUMMYFUNCTION("""COMPUTED_VALUE"""),"Grandma")</f>
        <v>Grandma</v>
      </c>
      <c r="D74" s="69" t="str">
        <f>IFERROR(__xludf.DUMMYFUNCTION("""COMPUTED_VALUE"""),"Grandma")</f>
        <v>Grandma</v>
      </c>
      <c r="E74" s="69" t="str">
        <f>IFERROR(__xludf.DUMMYFUNCTION("""COMPUTED_VALUE"""),"Grandma")</f>
        <v>Grandma</v>
      </c>
      <c r="N74" s="3"/>
    </row>
    <row r="75">
      <c r="A75" s="3"/>
      <c r="B75" s="69" t="str">
        <f>IFERROR(__xludf.DUMMYFUNCTION("""COMPUTED_VALUE"""),"Grandma")</f>
        <v>Grandma</v>
      </c>
      <c r="C75" s="69" t="str">
        <f>IFERROR(__xludf.DUMMYFUNCTION("""COMPUTED_VALUE"""),"Grandma")</f>
        <v>Grandma</v>
      </c>
      <c r="D75" s="69" t="str">
        <f>IFERROR(__xludf.DUMMYFUNCTION("""COMPUTED_VALUE"""),"Grandma")</f>
        <v>Grandma</v>
      </c>
      <c r="E75" s="69" t="str">
        <f>IFERROR(__xludf.DUMMYFUNCTION("""COMPUTED_VALUE"""),"Grandma")</f>
        <v>Grandma</v>
      </c>
      <c r="N75" s="3"/>
    </row>
    <row r="76">
      <c r="A76" s="12"/>
      <c r="B76" s="69" t="str">
        <f>IFERROR(__xludf.DUMMYFUNCTION("""COMPUTED_VALUE"""),"Grandma")</f>
        <v>Grandma</v>
      </c>
      <c r="C76" s="69" t="str">
        <f>IFERROR(__xludf.DUMMYFUNCTION("""COMPUTED_VALUE"""),"Grandma")</f>
        <v>Grandma</v>
      </c>
      <c r="D76" s="69" t="str">
        <f>IFERROR(__xludf.DUMMYFUNCTION("""COMPUTED_VALUE"""),"Grandma")</f>
        <v>Grandma</v>
      </c>
      <c r="E76" s="69" t="str">
        <f>IFERROR(__xludf.DUMMYFUNCTION("""COMPUTED_VALUE"""),"Grandma")</f>
        <v>Grandma</v>
      </c>
      <c r="N76" s="12"/>
    </row>
    <row r="77">
      <c r="A77" s="12"/>
      <c r="B77" s="69" t="str">
        <f>IFERROR(__xludf.DUMMYFUNCTION("""COMPUTED_VALUE"""),"Grandma_up")</f>
        <v>Grandma_up</v>
      </c>
      <c r="C77" s="69" t="str">
        <f>IFERROR(__xludf.DUMMYFUNCTION("""COMPUTED_VALUE"""),"Grandma")</f>
        <v>Grandma</v>
      </c>
      <c r="D77" s="69" t="str">
        <f>IFERROR(__xludf.DUMMYFUNCTION("""COMPUTED_VALUE"""),"Grandma")</f>
        <v>Grandma</v>
      </c>
      <c r="E77" s="69" t="str">
        <f>IFERROR(__xludf.DUMMYFUNCTION("""COMPUTED_VALUE"""),"Grandma")</f>
        <v>Grandma</v>
      </c>
      <c r="N77" s="12"/>
    </row>
    <row r="78">
      <c r="A78" s="12"/>
      <c r="B78" s="69" t="str">
        <f>IFERROR(__xludf.DUMMYFUNCTION("""COMPUTED_VALUE"""),"Grandma")</f>
        <v>Grandma</v>
      </c>
      <c r="C78" s="69" t="str">
        <f>IFERROR(__xludf.DUMMYFUNCTION("""COMPUTED_VALUE"""),"Grandma")</f>
        <v>Grandma</v>
      </c>
      <c r="D78" s="69" t="str">
        <f>IFERROR(__xludf.DUMMYFUNCTION("""COMPUTED_VALUE"""),"Grandma")</f>
        <v>Grandma</v>
      </c>
      <c r="E78" s="69" t="str">
        <f>IFERROR(__xludf.DUMMYFUNCTION("""COMPUTED_VALUE"""),"Grandma")</f>
        <v>Grandma</v>
      </c>
      <c r="N78" s="12"/>
    </row>
    <row r="79">
      <c r="A79" s="12"/>
      <c r="B79" s="69" t="str">
        <f>IFERROR(__xludf.DUMMYFUNCTION("""COMPUTED_VALUE"""),"Grandma")</f>
        <v>Grandma</v>
      </c>
      <c r="C79" s="69" t="str">
        <f>IFERROR(__xludf.DUMMYFUNCTION("""COMPUTED_VALUE"""),"Grandma")</f>
        <v>Grandma</v>
      </c>
      <c r="D79" s="69" t="str">
        <f>IFERROR(__xludf.DUMMYFUNCTION("""COMPUTED_VALUE"""),"Grandma")</f>
        <v>Grandma</v>
      </c>
      <c r="E79" s="69" t="str">
        <f>IFERROR(__xludf.DUMMYFUNCTION("""COMPUTED_VALUE"""),"Grandma")</f>
        <v>Grandma</v>
      </c>
      <c r="N79" s="12"/>
    </row>
    <row r="80">
      <c r="A80" s="12"/>
      <c r="B80" s="69" t="str">
        <f>IFERROR(__xludf.DUMMYFUNCTION("""COMPUTED_VALUE"""),"Grandma")</f>
        <v>Grandma</v>
      </c>
      <c r="C80" s="69" t="str">
        <f>IFERROR(__xludf.DUMMYFUNCTION("""COMPUTED_VALUE"""),"Grandma_up")</f>
        <v>Grandma_up</v>
      </c>
      <c r="D80" s="69" t="str">
        <f>IFERROR(__xludf.DUMMYFUNCTION("""COMPUTED_VALUE"""),"Grandma")</f>
        <v>Grandma</v>
      </c>
      <c r="E80" s="69" t="str">
        <f>IFERROR(__xludf.DUMMYFUNCTION("""COMPUTED_VALUE"""),"Grandma")</f>
        <v>Grandma</v>
      </c>
      <c r="N80" s="12"/>
    </row>
    <row r="81">
      <c r="A81" s="12"/>
      <c r="B81" s="69" t="str">
        <f>IFERROR(__xludf.DUMMYFUNCTION("""COMPUTED_VALUE"""),"Grandma")</f>
        <v>Grandma</v>
      </c>
      <c r="C81" s="69" t="str">
        <f>IFERROR(__xludf.DUMMYFUNCTION("""COMPUTED_VALUE"""),"Grandma")</f>
        <v>Grandma</v>
      </c>
      <c r="D81" s="69" t="str">
        <f>IFERROR(__xludf.DUMMYFUNCTION("""COMPUTED_VALUE"""),"Grandma_up")</f>
        <v>Grandma_up</v>
      </c>
      <c r="E81" s="69" t="str">
        <f>IFERROR(__xludf.DUMMYFUNCTION("""COMPUTED_VALUE"""),"Grandma_up")</f>
        <v>Grandma_up</v>
      </c>
      <c r="N81" s="12"/>
    </row>
    <row r="82">
      <c r="A82" s="12"/>
      <c r="B82" s="69" t="str">
        <f>IFERROR(__xludf.DUMMYFUNCTION("""COMPUTED_VALUE"""),"Grandma")</f>
        <v>Grandma</v>
      </c>
      <c r="C82" s="69" t="str">
        <f>IFERROR(__xludf.DUMMYFUNCTION("""COMPUTED_VALUE"""),"Grandma")</f>
        <v>Grandma</v>
      </c>
      <c r="D82" s="69" t="str">
        <f>IFERROR(__xludf.DUMMYFUNCTION("""COMPUTED_VALUE"""),"Grandma")</f>
        <v>Grandma</v>
      </c>
      <c r="E82" s="69" t="str">
        <f>IFERROR(__xludf.DUMMYFUNCTION("""COMPUTED_VALUE"""),"Grandma")</f>
        <v>Grandma</v>
      </c>
      <c r="N82" s="12"/>
    </row>
    <row r="83">
      <c r="A83" s="22"/>
      <c r="B83" s="69" t="str">
        <f>IFERROR(__xludf.DUMMYFUNCTION("""COMPUTED_VALUE"""),"Plastic_up")</f>
        <v>Plastic_up</v>
      </c>
      <c r="C83" s="69" t="str">
        <f>IFERROR(__xludf.DUMMYFUNCTION("""COMPUTED_VALUE"""),"Grandma")</f>
        <v>Grandma</v>
      </c>
      <c r="D83" s="69" t="str">
        <f>IFERROR(__xludf.DUMMYFUNCTION("""COMPUTED_VALUE"""),"Grandma")</f>
        <v>Grandma</v>
      </c>
      <c r="E83" s="69" t="str">
        <f>IFERROR(__xludf.DUMMYFUNCTION("""COMPUTED_VALUE"""),"Grandma")</f>
        <v>Grandma</v>
      </c>
      <c r="N83" s="22"/>
    </row>
    <row r="84">
      <c r="A84" s="22"/>
      <c r="B84" s="69" t="str">
        <f>IFERROR(__xludf.DUMMYFUNCTION("""COMPUTED_VALUE"""),"Farm")</f>
        <v>Farm</v>
      </c>
      <c r="C84" s="69" t="str">
        <f>IFERROR(__xludf.DUMMYFUNCTION("""COMPUTED_VALUE"""),"Farm")</f>
        <v>Farm</v>
      </c>
      <c r="D84" s="69" t="str">
        <f>IFERROR(__xludf.DUMMYFUNCTION("""COMPUTED_VALUE"""),"Grandma")</f>
        <v>Grandma</v>
      </c>
      <c r="E84" s="69" t="str">
        <f>IFERROR(__xludf.DUMMYFUNCTION("""COMPUTED_VALUE"""),"Grandma")</f>
        <v>Grandma</v>
      </c>
      <c r="N84" s="22"/>
    </row>
    <row r="85">
      <c r="A85" s="32"/>
      <c r="B85" s="69" t="str">
        <f>IFERROR(__xludf.DUMMYFUNCTION("""COMPUTED_VALUE"""),"Farm")</f>
        <v>Farm</v>
      </c>
      <c r="C85" s="69" t="str">
        <f>IFERROR(__xludf.DUMMYFUNCTION("""COMPUTED_VALUE"""),"Grandma")</f>
        <v>Grandma</v>
      </c>
      <c r="D85" s="69" t="str">
        <f>IFERROR(__xludf.DUMMYFUNCTION("""COMPUTED_VALUE"""),"Farm")</f>
        <v>Farm</v>
      </c>
      <c r="E85" s="69" t="str">
        <f>IFERROR(__xludf.DUMMYFUNCTION("""COMPUTED_VALUE"""),"Grandma")</f>
        <v>Grandma</v>
      </c>
      <c r="N85" s="32"/>
    </row>
    <row r="86">
      <c r="A86" s="22"/>
      <c r="B86" s="69" t="str">
        <f>IFERROR(__xludf.DUMMYFUNCTION("""COMPUTED_VALUE"""),"Farm")</f>
        <v>Farm</v>
      </c>
      <c r="C86" s="69" t="str">
        <f>IFERROR(__xludf.DUMMYFUNCTION("""COMPUTED_VALUE"""),"Farm")</f>
        <v>Farm</v>
      </c>
      <c r="D86" s="69" t="str">
        <f>IFERROR(__xludf.DUMMYFUNCTION("""COMPUTED_VALUE"""),"Grandma")</f>
        <v>Grandma</v>
      </c>
      <c r="E86" s="69" t="str">
        <f>IFERROR(__xludf.DUMMYFUNCTION("""COMPUTED_VALUE"""),"Cursor")</f>
        <v>Cursor</v>
      </c>
      <c r="N86" s="22"/>
    </row>
    <row r="87">
      <c r="A87" s="17"/>
      <c r="B87" s="69" t="str">
        <f>IFERROR(__xludf.DUMMYFUNCTION("""COMPUTED_VALUE"""),"Mine")</f>
        <v>Mine</v>
      </c>
      <c r="C87" s="69" t="str">
        <f>IFERROR(__xludf.DUMMYFUNCTION("""COMPUTED_VALUE"""),"Mine")</f>
        <v>Mine</v>
      </c>
      <c r="D87" s="69" t="str">
        <f>IFERROR(__xludf.DUMMYFUNCTION("""COMPUTED_VALUE"""),"Farm")</f>
        <v>Farm</v>
      </c>
      <c r="E87" s="69" t="str">
        <f>IFERROR(__xludf.DUMMYFUNCTION("""COMPUTED_VALUE"""),"Cursor")</f>
        <v>Cursor</v>
      </c>
      <c r="N87" s="17"/>
    </row>
    <row r="88">
      <c r="A88" s="17"/>
      <c r="B88" s="69" t="str">
        <f>IFERROR(__xludf.DUMMYFUNCTION("""COMPUTED_VALUE"""),"Mine")</f>
        <v>Mine</v>
      </c>
      <c r="C88" s="69" t="str">
        <f>IFERROR(__xludf.DUMMYFUNCTION("""COMPUTED_VALUE"""),"Grandma")</f>
        <v>Grandma</v>
      </c>
      <c r="D88" s="69" t="str">
        <f>IFERROR(__xludf.DUMMYFUNCTION("""COMPUTED_VALUE"""),"Mine")</f>
        <v>Mine</v>
      </c>
      <c r="E88" s="69" t="str">
        <f>IFERROR(__xludf.DUMMYFUNCTION("""COMPUTED_VALUE"""),"Cursor")</f>
        <v>Cursor</v>
      </c>
      <c r="N88" s="17"/>
    </row>
    <row r="89">
      <c r="A89" s="17"/>
      <c r="B89" s="69" t="str">
        <f>IFERROR(__xludf.DUMMYFUNCTION("""COMPUTED_VALUE"""),"Grandma")</f>
        <v>Grandma</v>
      </c>
      <c r="C89" s="69" t="str">
        <f>IFERROR(__xludf.DUMMYFUNCTION("""COMPUTED_VALUE"""),"Plastic_up")</f>
        <v>Plastic_up</v>
      </c>
      <c r="D89" s="69" t="str">
        <f>IFERROR(__xludf.DUMMYFUNCTION("""COMPUTED_VALUE"""),"Grandma")</f>
        <v>Grandma</v>
      </c>
      <c r="E89" s="69" t="str">
        <f>IFERROR(__xludf.DUMMYFUNCTION("""COMPUTED_VALUE"""),"Cursor")</f>
        <v>Cursor</v>
      </c>
      <c r="N89" s="17"/>
    </row>
    <row r="90">
      <c r="A90" s="17"/>
      <c r="B90" s="69" t="str">
        <f>IFERROR(__xludf.DUMMYFUNCTION("""COMPUTED_VALUE"""),"Grandma")</f>
        <v>Grandma</v>
      </c>
      <c r="C90" s="69" t="str">
        <f>IFERROR(__xludf.DUMMYFUNCTION("""COMPUTED_VALUE"""),"Cursor")</f>
        <v>Cursor</v>
      </c>
      <c r="D90" s="69" t="str">
        <f>IFERROR(__xludf.DUMMYFUNCTION("""COMPUTED_VALUE"""),"Plastic_up")</f>
        <v>Plastic_up</v>
      </c>
      <c r="E90" s="69" t="str">
        <f>IFERROR(__xludf.DUMMYFUNCTION("""COMPUTED_VALUE"""),"Cursor_up")</f>
        <v>Cursor_up</v>
      </c>
      <c r="N90" s="17"/>
    </row>
    <row r="91">
      <c r="A91" s="17"/>
      <c r="B91" s="69" t="str">
        <f>IFERROR(__xludf.DUMMYFUNCTION("""COMPUTED_VALUE"""),"Grandma")</f>
        <v>Grandma</v>
      </c>
      <c r="C91" s="69" t="str">
        <f>IFERROR(__xludf.DUMMYFUNCTION("""COMPUTED_VALUE"""),"Farm")</f>
        <v>Farm</v>
      </c>
      <c r="D91" s="69" t="str">
        <f>IFERROR(__xludf.DUMMYFUNCTION("""COMPUTED_VALUE"""),"Cursor")</f>
        <v>Cursor</v>
      </c>
      <c r="E91" s="69" t="str">
        <f>IFERROR(__xludf.DUMMYFUNCTION("""COMPUTED_VALUE"""),"Cursor")</f>
        <v>Cursor</v>
      </c>
      <c r="N91" s="17"/>
    </row>
    <row r="92">
      <c r="A92" s="17"/>
      <c r="B92" s="69" t="str">
        <f>IFERROR(__xludf.DUMMYFUNCTION("""COMPUTED_VALUE"""),"Farm")</f>
        <v>Farm</v>
      </c>
      <c r="C92" s="69" t="str">
        <f>IFERROR(__xludf.DUMMYFUNCTION("""COMPUTED_VALUE"""),"Grandma")</f>
        <v>Grandma</v>
      </c>
      <c r="D92" s="69" t="str">
        <f>IFERROR(__xludf.DUMMYFUNCTION("""COMPUTED_VALUE"""),"Farm")</f>
        <v>Farm</v>
      </c>
      <c r="E92" s="69" t="str">
        <f>IFERROR(__xludf.DUMMYFUNCTION("""COMPUTED_VALUE"""),"Cursor")</f>
        <v>Cursor</v>
      </c>
      <c r="N92" s="17"/>
    </row>
    <row r="93">
      <c r="A93" s="6"/>
      <c r="B93" s="69" t="str">
        <f>IFERROR(__xludf.DUMMYFUNCTION("""COMPUTED_VALUE"""),"Cursor")</f>
        <v>Cursor</v>
      </c>
      <c r="C93" s="69" t="str">
        <f>IFERROR(__xludf.DUMMYFUNCTION("""COMPUTED_VALUE"""),"Mine")</f>
        <v>Mine</v>
      </c>
      <c r="D93" s="69" t="str">
        <f>IFERROR(__xludf.DUMMYFUNCTION("""COMPUTED_VALUE"""),"Grandma")</f>
        <v>Grandma</v>
      </c>
      <c r="E93" s="69" t="str">
        <f>IFERROR(__xludf.DUMMYFUNCTION("""COMPUTED_VALUE"""),"Cursor")</f>
        <v>Cursor</v>
      </c>
      <c r="N93" s="6"/>
    </row>
    <row r="94">
      <c r="A94" s="72"/>
      <c r="B94" s="69" t="str">
        <f>IFERROR(__xludf.DUMMYFUNCTION("""COMPUTED_VALUE"""),"Cursor")</f>
        <v>Cursor</v>
      </c>
      <c r="C94" s="69" t="str">
        <f>IFERROR(__xludf.DUMMYFUNCTION("""COMPUTED_VALUE"""),"Cursor")</f>
        <v>Cursor</v>
      </c>
      <c r="D94" s="69" t="str">
        <f>IFERROR(__xludf.DUMMYFUNCTION("""COMPUTED_VALUE"""),"Mine")</f>
        <v>Mine</v>
      </c>
      <c r="E94" s="69" t="str">
        <f>IFERROR(__xludf.DUMMYFUNCTION("""COMPUTED_VALUE"""),"Cursor")</f>
        <v>Cursor</v>
      </c>
      <c r="N94" s="72"/>
    </row>
    <row r="95">
      <c r="A95" s="32"/>
      <c r="B95" s="69" t="str">
        <f>IFERROR(__xludf.DUMMYFUNCTION("""COMPUTED_VALUE"""),"Cursor")</f>
        <v>Cursor</v>
      </c>
      <c r="C95" s="69" t="str">
        <f>IFERROR(__xludf.DUMMYFUNCTION("""COMPUTED_VALUE"""),"Farm")</f>
        <v>Farm</v>
      </c>
      <c r="D95" s="69" t="str">
        <f>IFERROR(__xludf.DUMMYFUNCTION("""COMPUTED_VALUE"""),"Cursor")</f>
        <v>Cursor</v>
      </c>
      <c r="E95" s="69" t="str">
        <f>IFERROR(__xludf.DUMMYFUNCTION("""COMPUTED_VALUE"""),"Cursor")</f>
        <v>Cursor</v>
      </c>
      <c r="N95" s="32"/>
    </row>
    <row r="96">
      <c r="A96" s="32"/>
      <c r="B96" s="69" t="str">
        <f>IFERROR(__xludf.DUMMYFUNCTION("""COMPUTED_VALUE"""),"Cursor")</f>
        <v>Cursor</v>
      </c>
      <c r="C96" s="69" t="str">
        <f>IFERROR(__xludf.DUMMYFUNCTION("""COMPUTED_VALUE"""),"Grandma")</f>
        <v>Grandma</v>
      </c>
      <c r="D96" s="69" t="str">
        <f>IFERROR(__xludf.DUMMYFUNCTION("""COMPUTED_VALUE"""),"Farm")</f>
        <v>Farm</v>
      </c>
      <c r="E96" s="69" t="str">
        <f>IFERROR(__xludf.DUMMYFUNCTION("""COMPUTED_VALUE"""),"Cursor")</f>
        <v>Cursor</v>
      </c>
      <c r="N96" s="32"/>
    </row>
    <row r="97">
      <c r="A97" s="32"/>
      <c r="B97" s="69" t="str">
        <f>IFERROR(__xludf.DUMMYFUNCTION("""COMPUTED_VALUE"""),"Cursor")</f>
        <v>Cursor</v>
      </c>
      <c r="C97" s="69" t="str">
        <f>IFERROR(__xludf.DUMMYFUNCTION("""COMPUTED_VALUE"""),"Mine")</f>
        <v>Mine</v>
      </c>
      <c r="D97" s="69" t="str">
        <f>IFERROR(__xludf.DUMMYFUNCTION("""COMPUTED_VALUE"""),"Grandma")</f>
        <v>Grandma</v>
      </c>
      <c r="E97" s="69" t="str">
        <f>IFERROR(__xludf.DUMMYFUNCTION("""COMPUTED_VALUE"""),"Cursor")</f>
        <v>Cursor</v>
      </c>
      <c r="N97" s="32"/>
    </row>
    <row r="98">
      <c r="A98" s="32"/>
      <c r="B98" s="69" t="str">
        <f>IFERROR(__xludf.DUMMYFUNCTION("""COMPUTED_VALUE"""),"Mine")</f>
        <v>Mine</v>
      </c>
      <c r="C98" s="69" t="str">
        <f>IFERROR(__xludf.DUMMYFUNCTION("""COMPUTED_VALUE"""),"Cursor")</f>
        <v>Cursor</v>
      </c>
      <c r="D98" s="69" t="str">
        <f>IFERROR(__xludf.DUMMYFUNCTION("""COMPUTED_VALUE"""),"Mine")</f>
        <v>Mine</v>
      </c>
      <c r="E98" s="69" t="str">
        <f>IFERROR(__xludf.DUMMYFUNCTION("""COMPUTED_VALUE"""),"Grandma")</f>
        <v>Grandma</v>
      </c>
      <c r="N98" s="32"/>
    </row>
    <row r="99">
      <c r="A99" s="32"/>
      <c r="B99" s="69" t="str">
        <f>IFERROR(__xludf.DUMMYFUNCTION("""COMPUTED_VALUE"""),"Mine")</f>
        <v>Mine</v>
      </c>
      <c r="C99" s="69" t="str">
        <f>IFERROR(__xludf.DUMMYFUNCTION("""COMPUTED_VALUE"""),"Mine")</f>
        <v>Mine</v>
      </c>
      <c r="D99" s="69" t="str">
        <f>IFERROR(__xludf.DUMMYFUNCTION("""COMPUTED_VALUE"""),"Cursor")</f>
        <v>Cursor</v>
      </c>
      <c r="E99" s="69" t="str">
        <f>IFERROR(__xludf.DUMMYFUNCTION("""COMPUTED_VALUE"""),"Cursor")</f>
        <v>Cursor</v>
      </c>
      <c r="N99" s="32"/>
    </row>
    <row r="100">
      <c r="A100" s="32"/>
      <c r="B100" s="69" t="str">
        <f>IFERROR(__xludf.DUMMYFUNCTION("""COMPUTED_VALUE"""),"Mine_up")</f>
        <v>Mine_up</v>
      </c>
      <c r="C100" s="69" t="str">
        <f>IFERROR(__xludf.DUMMYFUNCTION("""COMPUTED_VALUE"""),"Mine_up")</f>
        <v>Mine_up</v>
      </c>
      <c r="D100" s="69" t="str">
        <f>IFERROR(__xludf.DUMMYFUNCTION("""COMPUTED_VALUE"""),"Mine")</f>
        <v>Mine</v>
      </c>
      <c r="E100" s="69" t="str">
        <f>IFERROR(__xludf.DUMMYFUNCTION("""COMPUTED_VALUE"""),"Farm")</f>
        <v>Farm</v>
      </c>
      <c r="N100" s="32"/>
    </row>
    <row r="101">
      <c r="A101" s="32"/>
      <c r="B101" s="69" t="str">
        <f>IFERROR(__xludf.DUMMYFUNCTION("""COMPUTED_VALUE"""),"Mine")</f>
        <v>Mine</v>
      </c>
      <c r="C101" s="69" t="str">
        <f>IFERROR(__xludf.DUMMYFUNCTION("""COMPUTED_VALUE"""),"Mine")</f>
        <v>Mine</v>
      </c>
      <c r="D101" s="69" t="str">
        <f>IFERROR(__xludf.DUMMYFUNCTION("""COMPUTED_VALUE"""),"Mine_up")</f>
        <v>Mine_up</v>
      </c>
      <c r="E101" s="69" t="str">
        <f>IFERROR(__xludf.DUMMYFUNCTION("""COMPUTED_VALUE"""),"Grandma")</f>
        <v>Grandma</v>
      </c>
      <c r="N101" s="32"/>
    </row>
    <row r="102">
      <c r="A102" s="32"/>
      <c r="B102" s="69" t="str">
        <f>IFERROR(__xludf.DUMMYFUNCTION("""COMPUTED_VALUE"""),"Mine")</f>
        <v>Mine</v>
      </c>
      <c r="C102" s="69" t="str">
        <f>IFERROR(__xludf.DUMMYFUNCTION("""COMPUTED_VALUE"""),"Mine")</f>
        <v>Mine</v>
      </c>
      <c r="D102" s="69" t="str">
        <f>IFERROR(__xludf.DUMMYFUNCTION("""COMPUTED_VALUE"""),"Mine")</f>
        <v>Mine</v>
      </c>
      <c r="E102" s="69" t="str">
        <f>IFERROR(__xludf.DUMMYFUNCTION("""COMPUTED_VALUE"""),"Cursor")</f>
        <v>Cursor</v>
      </c>
      <c r="N102" s="32"/>
    </row>
    <row r="103">
      <c r="A103" s="32"/>
      <c r="B103" s="69" t="str">
        <f>IFERROR(__xludf.DUMMYFUNCTION("""COMPUTED_VALUE"""),"Mine")</f>
        <v>Mine</v>
      </c>
      <c r="C103" s="69" t="str">
        <f>IFERROR(__xludf.DUMMYFUNCTION("""COMPUTED_VALUE"""),"Mine")</f>
        <v>Mine</v>
      </c>
      <c r="D103" s="69" t="str">
        <f>IFERROR(__xludf.DUMMYFUNCTION("""COMPUTED_VALUE"""),"Mine")</f>
        <v>Mine</v>
      </c>
      <c r="E103" s="69" t="str">
        <f>IFERROR(__xludf.DUMMYFUNCTION("""COMPUTED_VALUE"""),"Farm")</f>
        <v>Farm</v>
      </c>
      <c r="N103" s="32"/>
    </row>
    <row r="104">
      <c r="A104" s="32"/>
      <c r="B104" s="69" t="str">
        <f>IFERROR(__xludf.DUMMYFUNCTION("""COMPUTED_VALUE"""),"Mine")</f>
        <v>Mine</v>
      </c>
      <c r="C104" s="69" t="str">
        <f>IFERROR(__xludf.DUMMYFUNCTION("""COMPUTED_VALUE"""),"Mine")</f>
        <v>Mine</v>
      </c>
      <c r="D104" s="69" t="str">
        <f>IFERROR(__xludf.DUMMYFUNCTION("""COMPUTED_VALUE"""),"Mine")</f>
        <v>Mine</v>
      </c>
      <c r="E104" s="69" t="str">
        <f>IFERROR(__xludf.DUMMYFUNCTION("""COMPUTED_VALUE"""),"Grandma")</f>
        <v>Grandma</v>
      </c>
      <c r="N104" s="32"/>
    </row>
    <row r="105">
      <c r="A105" s="32"/>
      <c r="B105" s="69" t="str">
        <f>IFERROR(__xludf.DUMMYFUNCTION("""COMPUTED_VALUE"""),"Mine")</f>
        <v>Mine</v>
      </c>
      <c r="C105" s="69" t="str">
        <f>IFERROR(__xludf.DUMMYFUNCTION("""COMPUTED_VALUE"""),"Farm")</f>
        <v>Farm</v>
      </c>
      <c r="D105" s="69" t="str">
        <f>IFERROR(__xludf.DUMMYFUNCTION("""COMPUTED_VALUE"""),"Mine")</f>
        <v>Mine</v>
      </c>
      <c r="E105" s="69" t="str">
        <f>IFERROR(__xludf.DUMMYFUNCTION("""COMPUTED_VALUE"""),"Cursor")</f>
        <v>Cursor</v>
      </c>
      <c r="N105" s="32"/>
    </row>
    <row r="106">
      <c r="A106" s="32"/>
      <c r="B106" s="69" t="str">
        <f>IFERROR(__xludf.DUMMYFUNCTION("""COMPUTED_VALUE"""),"Farm")</f>
        <v>Farm</v>
      </c>
      <c r="C106" s="69" t="str">
        <f>IFERROR(__xludf.DUMMYFUNCTION("""COMPUTED_VALUE"""),"Cursor")</f>
        <v>Cursor</v>
      </c>
      <c r="D106" s="69" t="str">
        <f>IFERROR(__xludf.DUMMYFUNCTION("""COMPUTED_VALUE"""),"Farm")</f>
        <v>Farm</v>
      </c>
      <c r="E106" s="69" t="str">
        <f>IFERROR(__xludf.DUMMYFUNCTION("""COMPUTED_VALUE"""),"Farm")</f>
        <v>Farm</v>
      </c>
      <c r="N106" s="32"/>
    </row>
    <row r="107">
      <c r="A107" s="32"/>
      <c r="B107" s="69" t="str">
        <f>IFERROR(__xludf.DUMMYFUNCTION("""COMPUTED_VALUE"""),"Farm")</f>
        <v>Farm</v>
      </c>
      <c r="C107" s="69" t="str">
        <f>IFERROR(__xludf.DUMMYFUNCTION("""COMPUTED_VALUE"""),"Mine")</f>
        <v>Mine</v>
      </c>
      <c r="D107" s="69" t="str">
        <f>IFERROR(__xludf.DUMMYFUNCTION("""COMPUTED_VALUE"""),"Cursor")</f>
        <v>Cursor</v>
      </c>
      <c r="E107" s="69" t="str">
        <f>IFERROR(__xludf.DUMMYFUNCTION("""COMPUTED_VALUE"""),"Cursor")</f>
        <v>Cursor</v>
      </c>
      <c r="N107" s="32"/>
    </row>
    <row r="108">
      <c r="A108" s="32"/>
      <c r="B108" s="69" t="str">
        <f>IFERROR(__xludf.DUMMYFUNCTION("""COMPUTED_VALUE"""),"Grandma")</f>
        <v>Grandma</v>
      </c>
      <c r="C108" s="69" t="str">
        <f>IFERROR(__xludf.DUMMYFUNCTION("""COMPUTED_VALUE"""),"Grandma")</f>
        <v>Grandma</v>
      </c>
      <c r="D108" s="69" t="str">
        <f>IFERROR(__xludf.DUMMYFUNCTION("""COMPUTED_VALUE"""),"Mine")</f>
        <v>Mine</v>
      </c>
      <c r="E108" s="69" t="str">
        <f>IFERROR(__xludf.DUMMYFUNCTION("""COMPUTED_VALUE"""),"Grandma")</f>
        <v>Grandma</v>
      </c>
      <c r="N108" s="32"/>
    </row>
    <row r="109">
      <c r="A109" s="32"/>
      <c r="B109" s="69" t="str">
        <f>IFERROR(__xludf.DUMMYFUNCTION("""COMPUTED_VALUE"""),"Grandma")</f>
        <v>Grandma</v>
      </c>
      <c r="C109" s="69" t="str">
        <f>IFERROR(__xludf.DUMMYFUNCTION("""COMPUTED_VALUE"""),"Farm")</f>
        <v>Farm</v>
      </c>
      <c r="D109" s="69" t="str">
        <f>IFERROR(__xludf.DUMMYFUNCTION("""COMPUTED_VALUE"""),"Grandma")</f>
        <v>Grandma</v>
      </c>
      <c r="E109" s="69" t="str">
        <f>IFERROR(__xludf.DUMMYFUNCTION("""COMPUTED_VALUE"""),"Mine")</f>
        <v>Mine</v>
      </c>
      <c r="N109" s="32"/>
    </row>
    <row r="110">
      <c r="A110" s="32"/>
      <c r="B110" s="69" t="str">
        <f>IFERROR(__xludf.DUMMYFUNCTION("""COMPUTED_VALUE"""),"Grandma")</f>
        <v>Grandma</v>
      </c>
      <c r="C110" s="69" t="str">
        <f>IFERROR(__xludf.DUMMYFUNCTION("""COMPUTED_VALUE"""),"Grandma")</f>
        <v>Grandma</v>
      </c>
      <c r="D110" s="69" t="str">
        <f>IFERROR(__xludf.DUMMYFUNCTION("""COMPUTED_VALUE"""),"Farm")</f>
        <v>Farm</v>
      </c>
      <c r="E110" s="69" t="str">
        <f>IFERROR(__xludf.DUMMYFUNCTION("""COMPUTED_VALUE"""),"Farm")</f>
        <v>Farm</v>
      </c>
      <c r="N110" s="32"/>
    </row>
    <row r="111">
      <c r="A111" s="32"/>
      <c r="B111" s="69" t="str">
        <f>IFERROR(__xludf.DUMMYFUNCTION("""COMPUTED_VALUE"""),"Grandma")</f>
        <v>Grandma</v>
      </c>
      <c r="C111" s="69" t="str">
        <f>IFERROR(__xludf.DUMMYFUNCTION("""COMPUTED_VALUE"""),"Farm")</f>
        <v>Farm</v>
      </c>
      <c r="D111" s="69" t="str">
        <f>IFERROR(__xludf.DUMMYFUNCTION("""COMPUTED_VALUE"""),"Grandma")</f>
        <v>Grandma</v>
      </c>
      <c r="E111" s="69" t="str">
        <f>IFERROR(__xludf.DUMMYFUNCTION("""COMPUTED_VALUE"""),"Cursor")</f>
        <v>Cursor</v>
      </c>
      <c r="N111" s="32"/>
    </row>
    <row r="112">
      <c r="A112" s="32"/>
      <c r="B112" s="69" t="str">
        <f>IFERROR(__xludf.DUMMYFUNCTION("""COMPUTED_VALUE"""),"Grandma")</f>
        <v>Grandma</v>
      </c>
      <c r="C112" s="69" t="str">
        <f>IFERROR(__xludf.DUMMYFUNCTION("""COMPUTED_VALUE"""),"Cursor")</f>
        <v>Cursor</v>
      </c>
      <c r="D112" s="69" t="str">
        <f>IFERROR(__xludf.DUMMYFUNCTION("""COMPUTED_VALUE"""),"Farm")</f>
        <v>Farm</v>
      </c>
      <c r="E112" s="69" t="str">
        <f>IFERROR(__xludf.DUMMYFUNCTION("""COMPUTED_VALUE"""),"Grandma")</f>
        <v>Grandma</v>
      </c>
      <c r="N112" s="32"/>
    </row>
    <row r="113">
      <c r="A113" s="32"/>
      <c r="B113" s="69" t="str">
        <f>IFERROR(__xludf.DUMMYFUNCTION("""COMPUTED_VALUE"""),"Cursor")</f>
        <v>Cursor</v>
      </c>
      <c r="C113" s="69" t="str">
        <f>IFERROR(__xludf.DUMMYFUNCTION("""COMPUTED_VALUE"""),"Grandma")</f>
        <v>Grandma</v>
      </c>
      <c r="D113" s="69" t="str">
        <f>IFERROR(__xludf.DUMMYFUNCTION("""COMPUTED_VALUE"""),"Cursor")</f>
        <v>Cursor</v>
      </c>
      <c r="E113" s="69" t="str">
        <f>IFERROR(__xludf.DUMMYFUNCTION("""COMPUTED_VALUE"""),"Mine")</f>
        <v>Mine</v>
      </c>
      <c r="N113" s="32"/>
    </row>
    <row r="114">
      <c r="A114" s="32"/>
      <c r="B114" s="69" t="str">
        <f>IFERROR(__xludf.DUMMYFUNCTION("""COMPUTED_VALUE"""),"Cursor")</f>
        <v>Cursor</v>
      </c>
      <c r="C114" s="69" t="str">
        <f>IFERROR(__xludf.DUMMYFUNCTION("""COMPUTED_VALUE"""),"Cursor")</f>
        <v>Cursor</v>
      </c>
      <c r="D114" s="69" t="str">
        <f>IFERROR(__xludf.DUMMYFUNCTION("""COMPUTED_VALUE"""),"Grandma")</f>
        <v>Grandma</v>
      </c>
      <c r="E114" s="69" t="str">
        <f>IFERROR(__xludf.DUMMYFUNCTION("""COMPUTED_VALUE"""),"Cursor")</f>
        <v>Cursor</v>
      </c>
      <c r="N114" s="32"/>
    </row>
    <row r="115">
      <c r="A115" s="32"/>
      <c r="B115" s="69" t="str">
        <f>IFERROR(__xludf.DUMMYFUNCTION("""COMPUTED_VALUE"""),"Cursor")</f>
        <v>Cursor</v>
      </c>
      <c r="C115" s="69" t="str">
        <f>IFERROR(__xludf.DUMMYFUNCTION("""COMPUTED_VALUE"""),"Grandma")</f>
        <v>Grandma</v>
      </c>
      <c r="D115" s="69" t="str">
        <f>IFERROR(__xludf.DUMMYFUNCTION("""COMPUTED_VALUE"""),"Cursor")</f>
        <v>Cursor</v>
      </c>
      <c r="E115" s="69" t="str">
        <f>IFERROR(__xludf.DUMMYFUNCTION("""COMPUTED_VALUE"""),"Farm")</f>
        <v>Farm</v>
      </c>
      <c r="N115" s="32"/>
    </row>
    <row r="116">
      <c r="A116" s="32"/>
      <c r="B116" s="69" t="str">
        <f>IFERROR(__xludf.DUMMYFUNCTION("""COMPUTED_VALUE"""),"Cursor")</f>
        <v>Cursor</v>
      </c>
      <c r="C116" s="69" t="str">
        <f>IFERROR(__xludf.DUMMYFUNCTION("""COMPUTED_VALUE"""),"Cursor")</f>
        <v>Cursor</v>
      </c>
      <c r="D116" s="69" t="str">
        <f>IFERROR(__xludf.DUMMYFUNCTION("""COMPUTED_VALUE"""),"Grandma")</f>
        <v>Grandma</v>
      </c>
      <c r="E116" s="69" t="str">
        <f>IFERROR(__xludf.DUMMYFUNCTION("""COMPUTED_VALUE"""),"Grandma")</f>
        <v>Grandma</v>
      </c>
      <c r="N116" s="32"/>
    </row>
    <row r="117">
      <c r="A117" s="32"/>
      <c r="B117" s="69" t="str">
        <f>IFERROR(__xludf.DUMMYFUNCTION("""COMPUTED_VALUE"""),"Cursor")</f>
        <v>Cursor</v>
      </c>
      <c r="C117" s="69" t="str">
        <f>IFERROR(__xludf.DUMMYFUNCTION("""COMPUTED_VALUE"""),"Cursor")</f>
        <v>Cursor</v>
      </c>
      <c r="D117" s="69" t="str">
        <f>IFERROR(__xludf.DUMMYFUNCTION("""COMPUTED_VALUE"""),"Cursor")</f>
        <v>Cursor</v>
      </c>
      <c r="E117" s="69" t="str">
        <f>IFERROR(__xludf.DUMMYFUNCTION("""COMPUTED_VALUE"""),"Mine")</f>
        <v>Mine</v>
      </c>
      <c r="N117" s="32"/>
    </row>
    <row r="118">
      <c r="A118" s="32"/>
      <c r="B118" s="69" t="str">
        <f>IFERROR(__xludf.DUMMYFUNCTION("""COMPUTED_VALUE"""),"Cursor")</f>
        <v>Cursor</v>
      </c>
      <c r="C118" s="69" t="str">
        <f>IFERROR(__xludf.DUMMYFUNCTION("""COMPUTED_VALUE"""),"Cursor")</f>
        <v>Cursor</v>
      </c>
      <c r="D118" s="69" t="str">
        <f>IFERROR(__xludf.DUMMYFUNCTION("""COMPUTED_VALUE"""),"Cursor")</f>
        <v>Cursor</v>
      </c>
      <c r="E118" s="69" t="str">
        <f>IFERROR(__xludf.DUMMYFUNCTION("""COMPUTED_VALUE"""),"Cursor")</f>
        <v>Cursor</v>
      </c>
      <c r="N118" s="32"/>
    </row>
    <row r="119">
      <c r="A119" s="32"/>
      <c r="B119" s="69" t="str">
        <f>IFERROR(__xludf.DUMMYFUNCTION("""COMPUTED_VALUE"""),"Cursor")</f>
        <v>Cursor</v>
      </c>
      <c r="C119" s="69" t="str">
        <f>IFERROR(__xludf.DUMMYFUNCTION("""COMPUTED_VALUE"""),"Cursor")</f>
        <v>Cursor</v>
      </c>
      <c r="D119" s="69" t="str">
        <f>IFERROR(__xludf.DUMMYFUNCTION("""COMPUTED_VALUE"""),"Cursor")</f>
        <v>Cursor</v>
      </c>
      <c r="E119" s="69" t="str">
        <f>IFERROR(__xludf.DUMMYFUNCTION("""COMPUTED_VALUE"""),"Farm")</f>
        <v>Farm</v>
      </c>
      <c r="N119" s="32"/>
    </row>
    <row r="120">
      <c r="A120" s="32"/>
      <c r="B120" s="69" t="str">
        <f>IFERROR(__xludf.DUMMYFUNCTION("""COMPUTED_VALUE"""),"Cursor")</f>
        <v>Cursor</v>
      </c>
      <c r="C120" s="69" t="str">
        <f>IFERROR(__xludf.DUMMYFUNCTION("""COMPUTED_VALUE"""),"Cursor")</f>
        <v>Cursor</v>
      </c>
      <c r="D120" s="69" t="str">
        <f>IFERROR(__xludf.DUMMYFUNCTION("""COMPUTED_VALUE"""),"Cursor")</f>
        <v>Cursor</v>
      </c>
      <c r="E120" s="69" t="str">
        <f>IFERROR(__xludf.DUMMYFUNCTION("""COMPUTED_VALUE"""),"Grandma")</f>
        <v>Grandma</v>
      </c>
      <c r="N120" s="32"/>
    </row>
    <row r="121">
      <c r="A121" s="32"/>
      <c r="B121" s="69" t="str">
        <f>IFERROR(__xludf.DUMMYFUNCTION("""COMPUTED_VALUE"""),"Cursor")</f>
        <v>Cursor</v>
      </c>
      <c r="C121" s="69" t="str">
        <f>IFERROR(__xludf.DUMMYFUNCTION("""COMPUTED_VALUE"""),"Cursor")</f>
        <v>Cursor</v>
      </c>
      <c r="D121" s="69" t="str">
        <f>IFERROR(__xludf.DUMMYFUNCTION("""COMPUTED_VALUE"""),"Cursor")</f>
        <v>Cursor</v>
      </c>
      <c r="E121" s="69" t="str">
        <f>IFERROR(__xludf.DUMMYFUNCTION("""COMPUTED_VALUE"""),"Mine_up")</f>
        <v>Mine_up</v>
      </c>
      <c r="N121" s="32"/>
    </row>
    <row r="122">
      <c r="A122" s="32"/>
      <c r="B122" s="69" t="str">
        <f>IFERROR(__xludf.DUMMYFUNCTION("""COMPUTED_VALUE"""),"Cursor")</f>
        <v>Cursor</v>
      </c>
      <c r="C122" s="69" t="str">
        <f>IFERROR(__xludf.DUMMYFUNCTION("""COMPUTED_VALUE"""),"Cursor")</f>
        <v>Cursor</v>
      </c>
      <c r="D122" s="69" t="str">
        <f>IFERROR(__xludf.DUMMYFUNCTION("""COMPUTED_VALUE"""),"Cursor")</f>
        <v>Cursor</v>
      </c>
      <c r="E122" s="69" t="str">
        <f>IFERROR(__xludf.DUMMYFUNCTION("""COMPUTED_VALUE"""),"Mine")</f>
        <v>Mine</v>
      </c>
      <c r="N122" s="32"/>
    </row>
    <row r="123">
      <c r="A123" s="32"/>
      <c r="B123" s="69" t="str">
        <f>IFERROR(__xludf.DUMMYFUNCTION("""COMPUTED_VALUE"""),"Cursor")</f>
        <v>Cursor</v>
      </c>
      <c r="C123" s="69" t="str">
        <f>IFERROR(__xludf.DUMMYFUNCTION("""COMPUTED_VALUE"""),"Cursor")</f>
        <v>Cursor</v>
      </c>
      <c r="D123" s="69" t="str">
        <f>IFERROR(__xludf.DUMMYFUNCTION("""COMPUTED_VALUE"""),"Cursor")</f>
        <v>Cursor</v>
      </c>
      <c r="E123" s="69" t="str">
        <f>IFERROR(__xludf.DUMMYFUNCTION("""COMPUTED_VALUE"""),"Mine")</f>
        <v>Mine</v>
      </c>
      <c r="N123" s="32"/>
    </row>
    <row r="124">
      <c r="A124" s="32"/>
      <c r="B124" s="69" t="str">
        <f>IFERROR(__xludf.DUMMYFUNCTION("""COMPUTED_VALUE"""),"Cursor")</f>
        <v>Cursor</v>
      </c>
      <c r="C124" s="69"/>
      <c r="D124" s="69" t="str">
        <f>IFERROR(__xludf.DUMMYFUNCTION("""COMPUTED_VALUE"""),"Cursor")</f>
        <v>Cursor</v>
      </c>
      <c r="E124" s="69" t="str">
        <f>IFERROR(__xludf.DUMMYFUNCTION("""COMPUTED_VALUE"""),"Mine")</f>
        <v>Mine</v>
      </c>
      <c r="N124" s="32"/>
    </row>
    <row r="125">
      <c r="A125" s="32"/>
      <c r="B125" s="69" t="str">
        <f>IFERROR(__xludf.DUMMYFUNCTION("""COMPUTED_VALUE"""),"Cursor")</f>
        <v>Cursor</v>
      </c>
      <c r="C125" s="69"/>
      <c r="D125" s="69" t="str">
        <f>IFERROR(__xludf.DUMMYFUNCTION("""COMPUTED_VALUE"""),"Upgrading Cursor after Farms is more worth it the slower you are. Saves 1s at 10c/s, but 5s at 8c/s and 10s at 6c/s.")</f>
        <v>Upgrading Cursor after Farms is more worth it the slower you are. Saves 1s at 10c/s, but 5s at 8c/s and 10s at 6c/s.</v>
      </c>
      <c r="E125" s="69" t="str">
        <f>IFERROR(__xludf.DUMMYFUNCTION("""COMPUTED_VALUE"""),"Cursor")</f>
        <v>Cursor</v>
      </c>
      <c r="N125" s="32"/>
    </row>
    <row r="126">
      <c r="A126" s="32"/>
      <c r="B126" s="69" t="str">
        <f>IFERROR(__xludf.DUMMYFUNCTION("""COMPUTED_VALUE"""),"Cursor")</f>
        <v>Cursor</v>
      </c>
      <c r="C126" s="69"/>
      <c r="D126" s="69"/>
      <c r="E126" s="69" t="str">
        <f>IFERROR(__xludf.DUMMYFUNCTION("""COMPUTED_VALUE"""),"Grandma")</f>
        <v>Grandma</v>
      </c>
      <c r="N126" s="32"/>
    </row>
    <row r="127">
      <c r="A127" s="32"/>
      <c r="B127" s="69" t="str">
        <f>IFERROR(__xludf.DUMMYFUNCTION("""COMPUTED_VALUE"""),"Cursor")</f>
        <v>Cursor</v>
      </c>
      <c r="C127" s="69"/>
      <c r="D127" s="69"/>
      <c r="E127" s="69" t="str">
        <f>IFERROR(__xludf.DUMMYFUNCTION("""COMPUTED_VALUE"""),"Cursor")</f>
        <v>Cursor</v>
      </c>
      <c r="N127" s="32"/>
    </row>
    <row r="128">
      <c r="A128" s="32"/>
      <c r="N128" s="32"/>
    </row>
    <row r="129">
      <c r="A129" s="32"/>
      <c r="N129" s="32"/>
    </row>
    <row r="130">
      <c r="A130" s="32"/>
      <c r="N130" s="32"/>
    </row>
    <row r="131">
      <c r="A131" s="32"/>
      <c r="N131" s="32"/>
    </row>
    <row r="132">
      <c r="A132" s="32"/>
      <c r="N132" s="32"/>
    </row>
    <row r="133">
      <c r="A133" s="32"/>
      <c r="N133" s="32"/>
    </row>
    <row r="134">
      <c r="A134" s="32"/>
      <c r="N134" s="32"/>
    </row>
    <row r="135">
      <c r="A135" s="32"/>
      <c r="N135" s="32"/>
    </row>
    <row r="136">
      <c r="A136" s="32"/>
      <c r="N136" s="32"/>
    </row>
    <row r="137">
      <c r="A137" s="32"/>
      <c r="N137" s="32"/>
    </row>
    <row r="138">
      <c r="A138" s="32"/>
      <c r="N138" s="32"/>
    </row>
    <row r="139">
      <c r="A139" s="32"/>
      <c r="N139" s="32"/>
    </row>
    <row r="140">
      <c r="A140" s="32"/>
      <c r="N140" s="32"/>
    </row>
    <row r="141">
      <c r="A141" s="32"/>
      <c r="N141" s="32"/>
    </row>
    <row r="142">
      <c r="A142" s="32"/>
      <c r="N142" s="32"/>
    </row>
    <row r="143">
      <c r="A143" s="32"/>
      <c r="N143" s="32"/>
    </row>
    <row r="144">
      <c r="A144" s="32"/>
      <c r="N144" s="32"/>
    </row>
    <row r="145">
      <c r="A145" s="32"/>
      <c r="N145" s="32"/>
    </row>
    <row r="146">
      <c r="A146" s="32"/>
      <c r="N146" s="32"/>
    </row>
    <row r="147">
      <c r="A147" s="32"/>
      <c r="N147" s="32"/>
    </row>
    <row r="148">
      <c r="A148" s="32"/>
      <c r="N148" s="32"/>
    </row>
    <row r="149">
      <c r="A149" s="32"/>
      <c r="N149" s="32"/>
    </row>
    <row r="150">
      <c r="A150" s="32"/>
      <c r="N150" s="32"/>
    </row>
    <row r="151">
      <c r="A151" s="32"/>
      <c r="N151" s="32"/>
    </row>
    <row r="152">
      <c r="A152" s="32"/>
      <c r="N152" s="32"/>
    </row>
    <row r="153">
      <c r="A153" s="32"/>
      <c r="N153" s="32"/>
    </row>
    <row r="154">
      <c r="A154" s="32"/>
      <c r="N154" s="32"/>
    </row>
    <row r="155">
      <c r="A155" s="32"/>
      <c r="N155" s="32"/>
    </row>
    <row r="156">
      <c r="A156" s="32"/>
      <c r="N156" s="32"/>
    </row>
    <row r="157">
      <c r="A157" s="32"/>
      <c r="N157" s="32"/>
    </row>
    <row r="158">
      <c r="A158" s="32"/>
      <c r="N158" s="32"/>
    </row>
    <row r="159">
      <c r="A159" s="32"/>
      <c r="N159" s="32"/>
    </row>
    <row r="160">
      <c r="A160" s="32"/>
      <c r="N160" s="32"/>
    </row>
    <row r="161">
      <c r="A161" s="32"/>
      <c r="N161" s="32"/>
    </row>
    <row r="162">
      <c r="A162" s="32"/>
      <c r="N162" s="32"/>
    </row>
    <row r="163">
      <c r="A163" s="32"/>
      <c r="N163" s="32"/>
    </row>
    <row r="164">
      <c r="A164" s="32"/>
      <c r="N164" s="32"/>
    </row>
    <row r="165">
      <c r="A165" s="32"/>
      <c r="N165" s="32"/>
    </row>
    <row r="166">
      <c r="A166" s="32"/>
      <c r="N166" s="32"/>
    </row>
    <row r="167">
      <c r="A167" s="32"/>
      <c r="N167" s="32"/>
    </row>
    <row r="168">
      <c r="A168" s="32"/>
      <c r="N168" s="32"/>
    </row>
    <row r="169">
      <c r="A169" s="32"/>
      <c r="N169" s="32"/>
    </row>
    <row r="170">
      <c r="A170" s="32"/>
      <c r="N170" s="32"/>
    </row>
    <row r="171" ht="11.25" customHeight="1">
      <c r="A171" s="3"/>
      <c r="B171" s="34"/>
      <c r="C171" s="34"/>
      <c r="D171" s="35"/>
      <c r="E171" s="35"/>
      <c r="F171" s="35"/>
      <c r="G171" s="35"/>
      <c r="H171" s="35"/>
      <c r="I171" s="35"/>
      <c r="J171" s="35"/>
      <c r="K171" s="35"/>
      <c r="L171" s="35"/>
      <c r="M171" s="35"/>
      <c r="N171"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17.63"/>
    <col customWidth="1" min="3" max="9" width="18.88"/>
  </cols>
  <sheetData>
    <row r="1">
      <c r="A1" s="82" t="s">
        <v>50</v>
      </c>
      <c r="B1" s="83" t="s">
        <v>51</v>
      </c>
      <c r="C1" s="83" t="s">
        <v>52</v>
      </c>
      <c r="D1" s="83" t="s">
        <v>53</v>
      </c>
    </row>
    <row r="2">
      <c r="A2" s="84" t="s">
        <v>54</v>
      </c>
      <c r="B2" s="84" t="s">
        <v>55</v>
      </c>
      <c r="C2" s="84" t="s">
        <v>56</v>
      </c>
      <c r="D2" s="84" t="s">
        <v>57</v>
      </c>
    </row>
    <row r="3">
      <c r="A3" s="85">
        <v>44758.69917157407</v>
      </c>
      <c r="B3" s="84" t="s">
        <v>58</v>
      </c>
      <c r="C3" s="84" t="s">
        <v>30</v>
      </c>
      <c r="D3" s="84" t="s">
        <v>59</v>
      </c>
    </row>
    <row r="4">
      <c r="A4" s="85">
        <v>45101.36675951389</v>
      </c>
      <c r="B4" s="84" t="s">
        <v>60</v>
      </c>
      <c r="C4" s="84" t="s">
        <v>31</v>
      </c>
      <c r="D4" s="84" t="s">
        <v>59</v>
      </c>
    </row>
    <row r="5">
      <c r="A5" s="85">
        <v>45850.65721668981</v>
      </c>
      <c r="B5" s="84" t="s">
        <v>61</v>
      </c>
      <c r="C5" s="84" t="s">
        <v>33</v>
      </c>
      <c r="D5" s="84" t="s">
        <v>62</v>
      </c>
    </row>
    <row r="6">
      <c r="A6" s="86"/>
      <c r="B6" s="23"/>
      <c r="C6" s="23"/>
      <c r="D6" s="23"/>
    </row>
    <row r="7">
      <c r="A7" s="86"/>
      <c r="B7" s="23"/>
      <c r="C7" s="23"/>
      <c r="D7" s="23"/>
    </row>
    <row r="8">
      <c r="A8" s="86"/>
      <c r="B8" s="23"/>
      <c r="C8" s="23"/>
      <c r="D8" s="23"/>
    </row>
    <row r="9">
      <c r="A9" s="86"/>
      <c r="B9" s="23"/>
      <c r="C9" s="23"/>
      <c r="D9" s="23"/>
    </row>
    <row r="10">
      <c r="A10" s="86"/>
      <c r="B10" s="23"/>
      <c r="C10" s="23"/>
      <c r="D10" s="23"/>
    </row>
    <row r="11">
      <c r="A11" s="86"/>
      <c r="B11" s="23"/>
      <c r="C11" s="23"/>
      <c r="D11" s="23"/>
    </row>
    <row r="12">
      <c r="A12" s="86"/>
      <c r="B12" s="23"/>
      <c r="C12" s="23"/>
      <c r="D12" s="23"/>
    </row>
    <row r="13">
      <c r="A13" s="86"/>
      <c r="B13" s="23"/>
      <c r="C13" s="23"/>
      <c r="D13" s="23"/>
    </row>
    <row r="14">
      <c r="A14" s="86"/>
      <c r="B14" s="23"/>
      <c r="C14" s="23"/>
      <c r="D14" s="23"/>
    </row>
    <row r="15">
      <c r="A15" s="86"/>
      <c r="B15" s="23"/>
      <c r="C15" s="23"/>
      <c r="D15" s="23"/>
    </row>
    <row r="16">
      <c r="A16" s="86"/>
      <c r="B16" s="23"/>
      <c r="C16" s="23"/>
      <c r="D16" s="23"/>
    </row>
    <row r="17">
      <c r="A17" s="86"/>
      <c r="B17" s="23"/>
      <c r="C17" s="23"/>
      <c r="D17" s="23"/>
    </row>
    <row r="18">
      <c r="A18" s="86"/>
      <c r="B18" s="23"/>
      <c r="C18" s="23"/>
      <c r="D18" s="23"/>
    </row>
    <row r="19">
      <c r="A19" s="86"/>
      <c r="B19" s="23"/>
      <c r="C19" s="23"/>
      <c r="D19" s="23"/>
    </row>
    <row r="20">
      <c r="A20" s="86"/>
      <c r="B20" s="23"/>
      <c r="C20" s="23"/>
      <c r="D20" s="23"/>
    </row>
    <row r="21">
      <c r="A21" s="86"/>
      <c r="B21" s="23"/>
      <c r="C21" s="23"/>
      <c r="D21" s="23"/>
    </row>
    <row r="22">
      <c r="A22" s="86"/>
      <c r="B22" s="23"/>
      <c r="C22" s="23"/>
      <c r="D22" s="23"/>
    </row>
    <row r="23">
      <c r="A23" s="86"/>
      <c r="B23" s="23"/>
      <c r="C23" s="23"/>
      <c r="D23" s="23"/>
    </row>
    <row r="24">
      <c r="A24" s="86"/>
      <c r="B24" s="23"/>
      <c r="C24" s="23"/>
      <c r="D24" s="23"/>
    </row>
    <row r="25">
      <c r="A25" s="86"/>
      <c r="B25" s="23"/>
      <c r="C25" s="23"/>
      <c r="D25" s="23"/>
    </row>
    <row r="26">
      <c r="A26" s="86"/>
      <c r="B26" s="23"/>
      <c r="C26" s="23"/>
      <c r="D26" s="23"/>
    </row>
    <row r="27">
      <c r="A27" s="86"/>
      <c r="B27" s="23"/>
      <c r="C27" s="23"/>
      <c r="D27" s="23"/>
    </row>
    <row r="28">
      <c r="A28" s="86"/>
      <c r="B28" s="23"/>
      <c r="C28" s="23"/>
      <c r="D28" s="23"/>
    </row>
    <row r="29">
      <c r="A29" s="86"/>
      <c r="B29" s="23"/>
      <c r="C29" s="23"/>
      <c r="D29" s="23"/>
    </row>
    <row r="30">
      <c r="A30" s="86"/>
      <c r="B30" s="23"/>
      <c r="C30" s="23"/>
      <c r="D30" s="23"/>
    </row>
    <row r="31">
      <c r="A31" s="86"/>
      <c r="B31" s="23"/>
      <c r="C31" s="23"/>
      <c r="D31" s="23"/>
    </row>
    <row r="32">
      <c r="A32" s="86"/>
      <c r="B32" s="23"/>
      <c r="C32" s="23"/>
      <c r="D32" s="23"/>
    </row>
    <row r="33">
      <c r="A33" s="86"/>
      <c r="B33" s="23"/>
      <c r="C33" s="23"/>
      <c r="D33" s="23"/>
    </row>
    <row r="34">
      <c r="A34" s="86"/>
      <c r="B34" s="23"/>
      <c r="C34" s="23"/>
      <c r="D34" s="23"/>
    </row>
    <row r="35">
      <c r="A35" s="86"/>
      <c r="B35" s="23"/>
      <c r="C35" s="23"/>
      <c r="D35" s="23"/>
    </row>
    <row r="36">
      <c r="A36" s="86"/>
      <c r="B36" s="23"/>
      <c r="C36" s="23"/>
      <c r="D36" s="23"/>
    </row>
    <row r="37">
      <c r="A37" s="86"/>
      <c r="B37" s="23"/>
      <c r="C37" s="23"/>
      <c r="D37" s="23"/>
    </row>
    <row r="38">
      <c r="A38" s="86"/>
      <c r="B38" s="23"/>
      <c r="C38" s="23"/>
      <c r="D38" s="23"/>
    </row>
    <row r="39">
      <c r="A39" s="86"/>
      <c r="B39" s="23"/>
      <c r="C39" s="23"/>
      <c r="D39" s="23"/>
    </row>
    <row r="40">
      <c r="A40" s="86"/>
      <c r="B40" s="23"/>
      <c r="C40" s="23"/>
      <c r="D40" s="23"/>
    </row>
    <row r="41">
      <c r="A41" s="86"/>
      <c r="B41" s="23"/>
      <c r="C41" s="23"/>
      <c r="D41" s="23"/>
    </row>
    <row r="42">
      <c r="A42" s="86"/>
      <c r="B42" s="23"/>
      <c r="C42" s="23"/>
      <c r="D42" s="23"/>
    </row>
    <row r="43">
      <c r="A43" s="86"/>
      <c r="B43" s="23"/>
      <c r="C43" s="23"/>
      <c r="D43" s="23"/>
    </row>
    <row r="44">
      <c r="A44" s="86"/>
      <c r="B44" s="23"/>
      <c r="C44" s="23"/>
      <c r="D44" s="23"/>
    </row>
    <row r="45">
      <c r="A45" s="86"/>
      <c r="B45" s="23"/>
      <c r="C45" s="23"/>
      <c r="D45" s="23"/>
    </row>
    <row r="46">
      <c r="A46" s="86"/>
      <c r="B46" s="23"/>
      <c r="C46" s="23"/>
      <c r="D46" s="23"/>
    </row>
    <row r="47">
      <c r="A47" s="86"/>
      <c r="B47" s="23"/>
      <c r="C47" s="23"/>
      <c r="D47" s="23"/>
    </row>
    <row r="48">
      <c r="A48" s="86"/>
      <c r="B48" s="23"/>
      <c r="C48" s="23"/>
      <c r="D48" s="23"/>
    </row>
    <row r="49">
      <c r="A49" s="86"/>
      <c r="B49" s="23"/>
      <c r="C49" s="23"/>
      <c r="D49" s="23"/>
    </row>
    <row r="50">
      <c r="A50" s="86"/>
      <c r="B50" s="23"/>
      <c r="C50" s="23"/>
      <c r="D50" s="23"/>
    </row>
    <row r="51">
      <c r="A51" s="86"/>
      <c r="B51" s="23"/>
      <c r="C51" s="23"/>
      <c r="D51" s="23"/>
    </row>
    <row r="52">
      <c r="A52" s="86"/>
      <c r="B52" s="23"/>
      <c r="C52" s="23"/>
      <c r="D52" s="23"/>
    </row>
    <row r="53">
      <c r="A53" s="86"/>
      <c r="B53" s="23"/>
      <c r="C53" s="23"/>
      <c r="D53" s="23"/>
    </row>
    <row r="54">
      <c r="A54" s="86"/>
      <c r="B54" s="23"/>
      <c r="C54" s="23"/>
      <c r="D54" s="23"/>
    </row>
    <row r="55">
      <c r="A55" s="86"/>
      <c r="B55" s="23"/>
      <c r="C55" s="23"/>
      <c r="D55" s="23"/>
    </row>
    <row r="56">
      <c r="A56" s="86"/>
      <c r="B56" s="23"/>
      <c r="C56" s="23"/>
      <c r="D56" s="23"/>
    </row>
    <row r="57">
      <c r="A57" s="86"/>
      <c r="B57" s="23"/>
      <c r="C57" s="23"/>
      <c r="D57" s="23"/>
    </row>
    <row r="58">
      <c r="A58" s="86"/>
      <c r="B58" s="23"/>
      <c r="C58" s="23"/>
      <c r="D58" s="23"/>
    </row>
    <row r="59">
      <c r="A59" s="86"/>
      <c r="B59" s="23"/>
      <c r="C59" s="23"/>
      <c r="D59" s="23"/>
    </row>
    <row r="60">
      <c r="A60" s="86"/>
      <c r="B60" s="23"/>
      <c r="C60" s="23"/>
      <c r="D60" s="23"/>
    </row>
    <row r="61">
      <c r="A61" s="86"/>
      <c r="B61" s="23"/>
      <c r="C61" s="23"/>
      <c r="D61" s="23"/>
    </row>
    <row r="62">
      <c r="A62" s="86"/>
      <c r="B62" s="23"/>
      <c r="C62" s="23"/>
      <c r="D62" s="23"/>
    </row>
    <row r="63">
      <c r="A63" s="86"/>
      <c r="B63" s="23"/>
      <c r="C63" s="23"/>
      <c r="D63" s="23"/>
    </row>
    <row r="64">
      <c r="A64" s="86"/>
      <c r="B64" s="23"/>
      <c r="C64" s="23"/>
      <c r="D64" s="23"/>
    </row>
    <row r="65">
      <c r="A65" s="86"/>
      <c r="B65" s="23"/>
      <c r="C65" s="23"/>
      <c r="D65" s="23"/>
    </row>
    <row r="66">
      <c r="A66" s="86"/>
      <c r="B66" s="23"/>
      <c r="C66" s="23"/>
      <c r="D66" s="23"/>
    </row>
    <row r="67">
      <c r="A67" s="86"/>
      <c r="B67" s="23"/>
      <c r="C67" s="23"/>
      <c r="D67" s="23"/>
    </row>
    <row r="68">
      <c r="A68" s="86"/>
      <c r="B68" s="23"/>
      <c r="C68" s="23"/>
      <c r="D68" s="23"/>
    </row>
    <row r="69">
      <c r="A69" s="86"/>
      <c r="B69" s="23"/>
      <c r="C69" s="23"/>
      <c r="D69" s="23"/>
    </row>
    <row r="70">
      <c r="A70" s="86"/>
      <c r="B70" s="23"/>
      <c r="C70" s="23"/>
      <c r="D70" s="23"/>
    </row>
    <row r="71">
      <c r="A71" s="86"/>
      <c r="B71" s="23"/>
      <c r="C71" s="23"/>
      <c r="D71" s="23"/>
    </row>
    <row r="72">
      <c r="A72" s="86"/>
      <c r="B72" s="23"/>
      <c r="C72" s="23"/>
      <c r="D72" s="23"/>
    </row>
    <row r="73">
      <c r="A73" s="86"/>
      <c r="B73" s="23"/>
      <c r="C73" s="23"/>
      <c r="D73" s="23"/>
    </row>
    <row r="74">
      <c r="A74" s="86"/>
      <c r="B74" s="23"/>
      <c r="C74" s="23"/>
      <c r="D74" s="23"/>
    </row>
    <row r="75">
      <c r="A75" s="86"/>
      <c r="B75" s="23"/>
      <c r="C75" s="23"/>
      <c r="D75" s="23"/>
    </row>
    <row r="76">
      <c r="A76" s="86"/>
      <c r="B76" s="23"/>
      <c r="C76" s="23"/>
      <c r="D76" s="23"/>
    </row>
    <row r="77">
      <c r="A77" s="86"/>
      <c r="B77" s="23"/>
      <c r="C77" s="23"/>
      <c r="D77" s="23"/>
    </row>
    <row r="78">
      <c r="A78" s="86"/>
      <c r="B78" s="23"/>
      <c r="C78" s="23"/>
      <c r="D78" s="23"/>
    </row>
    <row r="79">
      <c r="A79" s="86"/>
      <c r="B79" s="23"/>
      <c r="C79" s="23"/>
      <c r="D79" s="23"/>
    </row>
    <row r="80">
      <c r="A80" s="86"/>
      <c r="B80" s="23"/>
      <c r="C80" s="23"/>
      <c r="D80" s="23"/>
    </row>
    <row r="81">
      <c r="A81" s="86"/>
      <c r="B81" s="23"/>
      <c r="C81" s="23"/>
      <c r="D81" s="23"/>
    </row>
    <row r="82">
      <c r="A82" s="86"/>
      <c r="B82" s="23"/>
      <c r="C82" s="23"/>
      <c r="D82" s="23"/>
    </row>
    <row r="83">
      <c r="A83" s="86"/>
      <c r="B83" s="23"/>
      <c r="C83" s="23"/>
      <c r="D83" s="23"/>
    </row>
    <row r="84">
      <c r="A84" s="86"/>
      <c r="B84" s="23"/>
      <c r="C84" s="23"/>
      <c r="D84" s="23"/>
    </row>
    <row r="85">
      <c r="A85" s="86"/>
      <c r="B85" s="23"/>
      <c r="C85" s="23"/>
      <c r="D85" s="23"/>
    </row>
    <row r="86">
      <c r="A86" s="86"/>
      <c r="B86" s="23"/>
      <c r="C86" s="23"/>
      <c r="D86" s="23"/>
    </row>
    <row r="87">
      <c r="A87" s="86"/>
      <c r="B87" s="23"/>
      <c r="C87" s="23"/>
      <c r="D87" s="23"/>
    </row>
    <row r="88">
      <c r="A88" s="86"/>
      <c r="B88" s="23"/>
      <c r="C88" s="23"/>
      <c r="D88" s="23"/>
    </row>
    <row r="89">
      <c r="A89" s="86"/>
      <c r="B89" s="23"/>
      <c r="C89" s="23"/>
      <c r="D89" s="23"/>
    </row>
    <row r="90">
      <c r="A90" s="86"/>
      <c r="B90" s="23"/>
      <c r="C90" s="23"/>
      <c r="D90" s="23"/>
    </row>
    <row r="91">
      <c r="A91" s="86"/>
      <c r="B91" s="23"/>
      <c r="C91" s="23"/>
      <c r="D91" s="23"/>
    </row>
    <row r="92">
      <c r="A92" s="86"/>
      <c r="B92" s="23"/>
      <c r="C92" s="23"/>
      <c r="D92" s="23"/>
    </row>
    <row r="93">
      <c r="A93" s="86"/>
      <c r="B93" s="23"/>
      <c r="C93" s="23"/>
      <c r="D93" s="23"/>
    </row>
    <row r="94">
      <c r="A94" s="86"/>
      <c r="B94" s="23"/>
      <c r="C94" s="23"/>
      <c r="D94" s="23"/>
    </row>
    <row r="95">
      <c r="A95" s="86"/>
      <c r="B95" s="23"/>
      <c r="C95" s="23"/>
      <c r="D95" s="23"/>
    </row>
    <row r="96">
      <c r="A96" s="86"/>
      <c r="B96" s="23"/>
      <c r="C96" s="23"/>
      <c r="D96" s="23"/>
    </row>
    <row r="97">
      <c r="A97" s="86"/>
      <c r="B97" s="23"/>
      <c r="C97" s="23"/>
      <c r="D97" s="23"/>
    </row>
    <row r="98">
      <c r="A98" s="86"/>
      <c r="B98" s="23"/>
      <c r="C98" s="23"/>
      <c r="D98" s="23"/>
    </row>
    <row r="99">
      <c r="A99" s="86"/>
      <c r="B99" s="23"/>
      <c r="C99" s="23"/>
      <c r="D99" s="23"/>
    </row>
    <row r="100">
      <c r="A100" s="86"/>
      <c r="B100" s="23"/>
      <c r="C100" s="23"/>
      <c r="D100" s="23"/>
    </row>
    <row r="101">
      <c r="A101" s="86"/>
      <c r="B101" s="23"/>
      <c r="C101" s="23"/>
      <c r="D101" s="23"/>
    </row>
    <row r="102">
      <c r="A102" s="86"/>
      <c r="B102" s="23"/>
      <c r="C102" s="23"/>
      <c r="D102" s="23"/>
    </row>
    <row r="103">
      <c r="A103" s="86"/>
      <c r="B103" s="23"/>
      <c r="C103" s="23"/>
      <c r="D103" s="23"/>
    </row>
    <row r="104">
      <c r="A104" s="86"/>
      <c r="B104" s="23"/>
      <c r="C104" s="23"/>
      <c r="D104" s="23"/>
    </row>
    <row r="105">
      <c r="A105" s="86"/>
      <c r="B105" s="23"/>
      <c r="C105" s="23"/>
      <c r="D105" s="23"/>
    </row>
    <row r="106">
      <c r="A106" s="86"/>
      <c r="B106" s="23"/>
      <c r="C106" s="23"/>
      <c r="D106" s="23"/>
    </row>
    <row r="107">
      <c r="A107" s="86"/>
      <c r="B107" s="23"/>
      <c r="C107" s="23"/>
      <c r="D107" s="23"/>
    </row>
    <row r="108">
      <c r="A108" s="86"/>
      <c r="B108" s="23"/>
      <c r="C108" s="23"/>
      <c r="D108" s="23"/>
    </row>
    <row r="109">
      <c r="A109" s="86"/>
      <c r="B109" s="23"/>
      <c r="C109" s="23"/>
      <c r="D109" s="23"/>
    </row>
    <row r="110">
      <c r="A110" s="86"/>
      <c r="B110" s="23"/>
      <c r="C110" s="23"/>
      <c r="D110" s="23"/>
    </row>
    <row r="111">
      <c r="A111" s="86"/>
      <c r="B111" s="23"/>
      <c r="C111" s="23"/>
      <c r="D111" s="23"/>
    </row>
    <row r="112">
      <c r="A112" s="86"/>
      <c r="B112" s="23"/>
      <c r="C112" s="23"/>
      <c r="D112" s="23"/>
    </row>
    <row r="113">
      <c r="A113" s="86"/>
      <c r="B113" s="23"/>
      <c r="C113" s="23"/>
      <c r="D113" s="23"/>
    </row>
    <row r="114">
      <c r="A114" s="86"/>
      <c r="B114" s="23"/>
      <c r="C114" s="23"/>
      <c r="D114" s="23"/>
    </row>
    <row r="115">
      <c r="A115" s="86"/>
      <c r="B115" s="23"/>
      <c r="C115" s="23"/>
      <c r="D115" s="23"/>
    </row>
    <row r="116">
      <c r="A116" s="86"/>
      <c r="B116" s="23"/>
      <c r="C116" s="23"/>
      <c r="D116" s="23"/>
    </row>
    <row r="117">
      <c r="A117" s="86"/>
      <c r="B117" s="23"/>
      <c r="C117" s="23"/>
      <c r="D117" s="23"/>
    </row>
    <row r="118">
      <c r="A118" s="86"/>
      <c r="B118" s="23"/>
      <c r="C118" s="23"/>
      <c r="D118" s="23"/>
    </row>
    <row r="119">
      <c r="A119" s="86"/>
      <c r="B119" s="23"/>
      <c r="C119" s="23"/>
      <c r="D119" s="23"/>
    </row>
    <row r="120">
      <c r="A120" s="86"/>
      <c r="B120" s="23"/>
      <c r="C120" s="23"/>
      <c r="D120" s="23"/>
    </row>
    <row r="121">
      <c r="A121" s="86"/>
      <c r="B121" s="23"/>
      <c r="C121" s="23"/>
      <c r="D121" s="23"/>
    </row>
    <row r="122">
      <c r="A122" s="86"/>
      <c r="B122" s="23"/>
      <c r="C122" s="23"/>
      <c r="D122" s="23"/>
    </row>
    <row r="123">
      <c r="A123" s="86"/>
      <c r="B123" s="23"/>
      <c r="C123" s="23"/>
      <c r="D123" s="23"/>
    </row>
    <row r="124">
      <c r="A124" s="86"/>
      <c r="B124" s="23"/>
      <c r="C124" s="23"/>
      <c r="D124" s="23"/>
    </row>
    <row r="125">
      <c r="A125" s="86"/>
      <c r="B125" s="23"/>
      <c r="C125" s="23"/>
      <c r="D125" s="23"/>
    </row>
    <row r="126">
      <c r="A126" s="86"/>
      <c r="B126" s="23"/>
      <c r="C126" s="23"/>
      <c r="D126" s="23"/>
    </row>
    <row r="127">
      <c r="A127" s="86"/>
      <c r="B127" s="23"/>
      <c r="C127" s="23"/>
      <c r="D127" s="23"/>
    </row>
    <row r="128">
      <c r="A128" s="86"/>
      <c r="B128" s="23"/>
      <c r="C128" s="23"/>
      <c r="D128" s="23"/>
    </row>
    <row r="129">
      <c r="A129" s="86"/>
      <c r="B129" s="23"/>
      <c r="C129" s="23"/>
      <c r="D129" s="23"/>
    </row>
    <row r="130">
      <c r="A130" s="86"/>
      <c r="B130" s="23"/>
      <c r="C130" s="23"/>
      <c r="D130" s="23"/>
    </row>
    <row r="131">
      <c r="A131" s="86"/>
      <c r="B131" s="23"/>
      <c r="C131" s="23"/>
      <c r="D131" s="23"/>
    </row>
    <row r="132">
      <c r="A132" s="86"/>
      <c r="B132" s="23"/>
      <c r="C132" s="23"/>
      <c r="D132" s="23"/>
    </row>
    <row r="133">
      <c r="A133" s="86"/>
      <c r="B133" s="23"/>
      <c r="C133" s="23"/>
      <c r="D133" s="23"/>
    </row>
    <row r="134">
      <c r="A134" s="86"/>
      <c r="B134" s="23"/>
      <c r="C134" s="23"/>
      <c r="D134" s="23"/>
    </row>
    <row r="135">
      <c r="A135" s="86"/>
      <c r="B135" s="23"/>
      <c r="C135" s="23"/>
      <c r="D135" s="23"/>
    </row>
    <row r="136">
      <c r="A136" s="86"/>
      <c r="B136" s="23"/>
      <c r="C136" s="23"/>
      <c r="D136" s="23"/>
    </row>
    <row r="137">
      <c r="A137" s="86"/>
      <c r="B137" s="23"/>
      <c r="C137" s="23"/>
      <c r="D137" s="23"/>
    </row>
    <row r="138">
      <c r="A138" s="86"/>
      <c r="B138" s="23"/>
      <c r="C138" s="23"/>
      <c r="D138" s="23"/>
    </row>
    <row r="139">
      <c r="A139" s="86"/>
      <c r="B139" s="23"/>
      <c r="C139" s="23"/>
      <c r="D139" s="23"/>
    </row>
    <row r="140">
      <c r="A140" s="86"/>
      <c r="B140" s="23"/>
      <c r="C140" s="23"/>
      <c r="D140" s="23"/>
    </row>
    <row r="141">
      <c r="A141" s="86"/>
      <c r="B141" s="23"/>
      <c r="C141" s="23"/>
      <c r="D141" s="23"/>
    </row>
    <row r="142">
      <c r="A142" s="86"/>
      <c r="B142" s="23"/>
      <c r="C142" s="23"/>
      <c r="D142" s="23"/>
    </row>
    <row r="143">
      <c r="A143" s="86"/>
      <c r="B143" s="23"/>
      <c r="C143" s="23"/>
      <c r="D143" s="23"/>
    </row>
    <row r="144">
      <c r="A144" s="86"/>
      <c r="B144" s="23"/>
      <c r="C144" s="23"/>
      <c r="D144" s="23"/>
    </row>
    <row r="145">
      <c r="A145" s="86"/>
      <c r="B145" s="23"/>
      <c r="C145" s="23"/>
      <c r="D145" s="23"/>
    </row>
    <row r="146">
      <c r="A146" s="86"/>
      <c r="B146" s="23"/>
      <c r="C146" s="23"/>
      <c r="D146" s="23"/>
    </row>
    <row r="147">
      <c r="A147" s="86"/>
      <c r="B147" s="23"/>
      <c r="C147" s="23"/>
      <c r="D147" s="23"/>
    </row>
    <row r="148">
      <c r="A148" s="86"/>
      <c r="B148" s="23"/>
      <c r="C148" s="23"/>
      <c r="D148" s="23"/>
    </row>
    <row r="149">
      <c r="A149" s="86"/>
      <c r="B149" s="23"/>
      <c r="C149" s="23"/>
      <c r="D149" s="23"/>
    </row>
    <row r="150">
      <c r="A150" s="86"/>
      <c r="B150" s="23"/>
      <c r="C150" s="23"/>
      <c r="D150" s="23"/>
    </row>
    <row r="151">
      <c r="A151" s="86"/>
      <c r="B151" s="23"/>
      <c r="C151" s="23"/>
      <c r="D151" s="23"/>
    </row>
    <row r="152">
      <c r="A152" s="86"/>
      <c r="B152" s="23"/>
      <c r="C152" s="23"/>
      <c r="D152" s="23"/>
    </row>
    <row r="153">
      <c r="A153" s="86"/>
      <c r="B153" s="23"/>
      <c r="C153" s="23"/>
      <c r="D153" s="23"/>
    </row>
    <row r="154">
      <c r="A154" s="86"/>
      <c r="B154" s="23"/>
      <c r="C154" s="23"/>
      <c r="D154" s="23"/>
    </row>
    <row r="155">
      <c r="A155" s="86"/>
      <c r="B155" s="23"/>
      <c r="C155" s="23"/>
      <c r="D155" s="23"/>
    </row>
    <row r="156">
      <c r="A156" s="86"/>
      <c r="B156" s="23"/>
      <c r="C156" s="23"/>
      <c r="D156" s="23"/>
    </row>
    <row r="157">
      <c r="A157" s="86"/>
      <c r="B157" s="23"/>
      <c r="C157" s="23"/>
      <c r="D157" s="23"/>
    </row>
    <row r="158">
      <c r="A158" s="86"/>
      <c r="B158" s="23"/>
      <c r="C158" s="23"/>
      <c r="D158" s="23"/>
    </row>
    <row r="159">
      <c r="A159" s="86"/>
      <c r="B159" s="23"/>
      <c r="C159" s="23"/>
      <c r="D159" s="23"/>
    </row>
    <row r="160">
      <c r="A160" s="86"/>
      <c r="B160" s="23"/>
      <c r="C160" s="23"/>
      <c r="D160" s="23"/>
    </row>
    <row r="161">
      <c r="A161" s="86"/>
      <c r="B161" s="23"/>
      <c r="C161" s="23"/>
      <c r="D161" s="23"/>
    </row>
    <row r="162">
      <c r="A162" s="86"/>
      <c r="B162" s="23"/>
      <c r="C162" s="23"/>
      <c r="D162" s="23"/>
    </row>
    <row r="163">
      <c r="A163" s="86"/>
      <c r="B163" s="23"/>
      <c r="C163" s="23"/>
      <c r="D163" s="23"/>
    </row>
    <row r="164">
      <c r="A164" s="86"/>
      <c r="B164" s="23"/>
      <c r="C164" s="23"/>
      <c r="D164" s="23"/>
    </row>
    <row r="165">
      <c r="A165" s="86"/>
      <c r="B165" s="23"/>
      <c r="C165" s="23"/>
      <c r="D165" s="23"/>
    </row>
    <row r="166">
      <c r="A166" s="86"/>
      <c r="B166" s="23"/>
      <c r="C166" s="23"/>
      <c r="D166" s="23"/>
    </row>
    <row r="167">
      <c r="A167" s="86"/>
      <c r="B167" s="23"/>
      <c r="C167" s="23"/>
      <c r="D167" s="23"/>
    </row>
    <row r="168">
      <c r="A168" s="86"/>
      <c r="B168" s="23"/>
      <c r="C168" s="23"/>
      <c r="D168" s="23"/>
    </row>
    <row r="169">
      <c r="A169" s="86"/>
      <c r="B169" s="23"/>
      <c r="C169" s="23"/>
      <c r="D169" s="23"/>
    </row>
    <row r="170">
      <c r="A170" s="86"/>
      <c r="B170" s="23"/>
      <c r="C170" s="23"/>
      <c r="D170" s="23"/>
    </row>
    <row r="171">
      <c r="A171" s="86"/>
      <c r="B171" s="23"/>
      <c r="C171" s="23"/>
      <c r="D171" s="23"/>
    </row>
    <row r="172">
      <c r="A172" s="86"/>
      <c r="B172" s="23"/>
      <c r="C172" s="23"/>
      <c r="D172" s="23"/>
    </row>
    <row r="173">
      <c r="A173" s="86"/>
      <c r="B173" s="23"/>
      <c r="C173" s="23"/>
      <c r="D173" s="23"/>
    </row>
    <row r="174">
      <c r="A174" s="86"/>
      <c r="B174" s="23"/>
      <c r="C174" s="23"/>
      <c r="D174" s="23"/>
    </row>
    <row r="175">
      <c r="A175" s="86"/>
      <c r="B175" s="23"/>
      <c r="C175" s="23"/>
      <c r="D175" s="23"/>
    </row>
    <row r="176">
      <c r="A176" s="86"/>
      <c r="B176" s="23"/>
      <c r="C176" s="23"/>
      <c r="D176" s="23"/>
    </row>
    <row r="177">
      <c r="A177" s="86"/>
      <c r="B177" s="23"/>
      <c r="C177" s="23"/>
      <c r="D177" s="23"/>
    </row>
    <row r="178">
      <c r="A178" s="86"/>
      <c r="B178" s="23"/>
      <c r="C178" s="23"/>
      <c r="D178" s="23"/>
    </row>
    <row r="179">
      <c r="A179" s="86"/>
      <c r="B179" s="23"/>
      <c r="C179" s="23"/>
      <c r="D179" s="23"/>
    </row>
    <row r="180">
      <c r="A180" s="86"/>
      <c r="B180" s="23"/>
      <c r="C180" s="23"/>
      <c r="D180" s="23"/>
    </row>
    <row r="181">
      <c r="A181" s="86"/>
      <c r="B181" s="23"/>
      <c r="C181" s="23"/>
      <c r="D181" s="23"/>
    </row>
    <row r="182">
      <c r="A182" s="86"/>
      <c r="B182" s="23"/>
      <c r="C182" s="23"/>
      <c r="D182" s="23"/>
    </row>
    <row r="183">
      <c r="A183" s="86"/>
      <c r="B183" s="23"/>
      <c r="C183" s="23"/>
      <c r="D183" s="23"/>
    </row>
    <row r="184">
      <c r="A184" s="86"/>
      <c r="B184" s="23"/>
      <c r="C184" s="23"/>
      <c r="D184" s="23"/>
    </row>
    <row r="185">
      <c r="A185" s="86"/>
      <c r="B185" s="23"/>
      <c r="C185" s="23"/>
      <c r="D185" s="23"/>
    </row>
    <row r="186">
      <c r="A186" s="86"/>
      <c r="B186" s="23"/>
      <c r="C186" s="23"/>
      <c r="D186" s="23"/>
    </row>
    <row r="187">
      <c r="A187" s="86"/>
      <c r="B187" s="23"/>
      <c r="C187" s="23"/>
      <c r="D187" s="23"/>
    </row>
    <row r="188">
      <c r="A188" s="86"/>
      <c r="B188" s="23"/>
      <c r="C188" s="23"/>
      <c r="D188" s="23"/>
    </row>
    <row r="189">
      <c r="A189" s="86"/>
      <c r="B189" s="23"/>
      <c r="C189" s="23"/>
      <c r="D189" s="23"/>
    </row>
    <row r="190">
      <c r="A190" s="86"/>
      <c r="B190" s="23"/>
      <c r="C190" s="23"/>
      <c r="D190" s="23"/>
    </row>
    <row r="191">
      <c r="A191" s="86"/>
      <c r="B191" s="23"/>
      <c r="C191" s="23"/>
      <c r="D191" s="23"/>
    </row>
    <row r="192">
      <c r="A192" s="86"/>
      <c r="B192" s="23"/>
      <c r="C192" s="23"/>
      <c r="D192" s="23"/>
    </row>
    <row r="193">
      <c r="A193" s="86"/>
      <c r="B193" s="23"/>
      <c r="C193" s="23"/>
      <c r="D193" s="23"/>
    </row>
    <row r="194">
      <c r="A194" s="86"/>
      <c r="B194" s="23"/>
      <c r="C194" s="23"/>
      <c r="D194" s="23"/>
    </row>
    <row r="195">
      <c r="A195" s="86"/>
      <c r="B195" s="23"/>
      <c r="C195" s="23"/>
      <c r="D195" s="23"/>
    </row>
    <row r="196">
      <c r="A196" s="86"/>
      <c r="B196" s="23"/>
      <c r="C196" s="23"/>
      <c r="D196" s="23"/>
    </row>
    <row r="197">
      <c r="A197" s="86"/>
      <c r="B197" s="23"/>
      <c r="C197" s="23"/>
      <c r="D197" s="23"/>
    </row>
    <row r="198">
      <c r="A198" s="86"/>
      <c r="B198" s="23"/>
      <c r="C198" s="23"/>
      <c r="D198" s="23"/>
    </row>
    <row r="199">
      <c r="A199" s="86"/>
      <c r="B199" s="23"/>
      <c r="C199" s="23"/>
      <c r="D199" s="23"/>
    </row>
    <row r="200">
      <c r="A200" s="86"/>
      <c r="B200" s="23"/>
      <c r="C200" s="23"/>
      <c r="D200" s="23"/>
    </row>
    <row r="201">
      <c r="A201" s="86"/>
      <c r="B201" s="23"/>
      <c r="C201" s="23"/>
      <c r="D201" s="23"/>
    </row>
    <row r="202">
      <c r="A202" s="86"/>
      <c r="B202" s="23"/>
      <c r="C202" s="23"/>
      <c r="D202" s="23"/>
    </row>
    <row r="203">
      <c r="A203" s="86"/>
      <c r="B203" s="23"/>
      <c r="C203" s="23"/>
      <c r="D203" s="23"/>
    </row>
    <row r="204">
      <c r="A204" s="86"/>
      <c r="B204" s="23"/>
      <c r="C204" s="23"/>
      <c r="D204" s="23"/>
    </row>
    <row r="205">
      <c r="A205" s="86"/>
      <c r="B205" s="23"/>
      <c r="C205" s="23"/>
      <c r="D205" s="23"/>
    </row>
    <row r="206">
      <c r="A206" s="86"/>
      <c r="B206" s="23"/>
      <c r="C206" s="23"/>
      <c r="D206" s="23"/>
    </row>
    <row r="207">
      <c r="A207" s="86"/>
      <c r="B207" s="23"/>
      <c r="C207" s="23"/>
      <c r="D207" s="23"/>
    </row>
    <row r="208">
      <c r="A208" s="86"/>
      <c r="B208" s="23"/>
      <c r="C208" s="23"/>
      <c r="D208" s="23"/>
    </row>
    <row r="209">
      <c r="A209" s="86"/>
      <c r="B209" s="23"/>
      <c r="C209" s="23"/>
      <c r="D209" s="23"/>
    </row>
    <row r="210">
      <c r="A210" s="86"/>
      <c r="B210" s="23"/>
      <c r="C210" s="23"/>
      <c r="D210" s="23"/>
    </row>
    <row r="211">
      <c r="A211" s="86"/>
      <c r="B211" s="23"/>
      <c r="C211" s="23"/>
      <c r="D211" s="23"/>
    </row>
    <row r="212">
      <c r="A212" s="86"/>
      <c r="B212" s="23"/>
      <c r="C212" s="23"/>
      <c r="D212" s="23"/>
    </row>
    <row r="213">
      <c r="A213" s="86"/>
      <c r="B213" s="23"/>
      <c r="C213" s="23"/>
      <c r="D213" s="23"/>
    </row>
    <row r="214">
      <c r="A214" s="86"/>
      <c r="B214" s="23"/>
      <c r="C214" s="23"/>
      <c r="D214" s="23"/>
    </row>
    <row r="215">
      <c r="A215" s="86"/>
      <c r="B215" s="23"/>
      <c r="C215" s="23"/>
      <c r="D215" s="23"/>
    </row>
    <row r="216">
      <c r="A216" s="86"/>
      <c r="B216" s="23"/>
      <c r="C216" s="23"/>
      <c r="D216" s="23"/>
    </row>
    <row r="217">
      <c r="A217" s="86"/>
      <c r="B217" s="23"/>
      <c r="C217" s="23"/>
      <c r="D217" s="23"/>
    </row>
    <row r="218">
      <c r="A218" s="86"/>
      <c r="B218" s="23"/>
      <c r="C218" s="23"/>
      <c r="D218" s="23"/>
    </row>
    <row r="219">
      <c r="A219" s="86"/>
      <c r="B219" s="23"/>
      <c r="C219" s="23"/>
      <c r="D219" s="23"/>
    </row>
    <row r="220">
      <c r="A220" s="86"/>
      <c r="B220" s="23"/>
      <c r="C220" s="23"/>
      <c r="D220" s="23"/>
    </row>
    <row r="221">
      <c r="A221" s="86"/>
      <c r="B221" s="23"/>
      <c r="C221" s="23"/>
      <c r="D221" s="23"/>
    </row>
    <row r="222">
      <c r="A222" s="86"/>
      <c r="B222" s="23"/>
      <c r="C222" s="23"/>
      <c r="D222" s="23"/>
    </row>
    <row r="223">
      <c r="A223" s="86"/>
      <c r="B223" s="23"/>
      <c r="C223" s="23"/>
      <c r="D223" s="23"/>
    </row>
    <row r="224">
      <c r="A224" s="86"/>
      <c r="B224" s="23"/>
      <c r="C224" s="23"/>
      <c r="D224" s="23"/>
    </row>
    <row r="225">
      <c r="A225" s="86"/>
      <c r="B225" s="23"/>
      <c r="C225" s="23"/>
      <c r="D225" s="23"/>
    </row>
    <row r="226">
      <c r="A226" s="86"/>
      <c r="B226" s="23"/>
      <c r="C226" s="23"/>
      <c r="D226" s="23"/>
    </row>
    <row r="227">
      <c r="A227" s="86"/>
      <c r="B227" s="23"/>
      <c r="C227" s="23"/>
      <c r="D227" s="23"/>
    </row>
    <row r="228">
      <c r="A228" s="86"/>
      <c r="B228" s="23"/>
      <c r="C228" s="23"/>
      <c r="D228" s="23"/>
    </row>
    <row r="229">
      <c r="A229" s="86"/>
      <c r="B229" s="23"/>
      <c r="C229" s="23"/>
      <c r="D229" s="23"/>
    </row>
    <row r="230">
      <c r="A230" s="86"/>
      <c r="B230" s="23"/>
      <c r="C230" s="23"/>
      <c r="D230" s="23"/>
    </row>
    <row r="231">
      <c r="A231" s="86"/>
      <c r="B231" s="23"/>
      <c r="C231" s="23"/>
      <c r="D231" s="23"/>
    </row>
    <row r="232">
      <c r="A232" s="86"/>
      <c r="B232" s="23"/>
      <c r="C232" s="23"/>
      <c r="D232" s="23"/>
    </row>
    <row r="233">
      <c r="A233" s="86"/>
      <c r="B233" s="23"/>
      <c r="C233" s="23"/>
      <c r="D233" s="23"/>
    </row>
    <row r="234">
      <c r="A234" s="86"/>
      <c r="B234" s="23"/>
      <c r="C234" s="23"/>
      <c r="D234" s="23"/>
    </row>
    <row r="235">
      <c r="A235" s="86"/>
      <c r="B235" s="23"/>
      <c r="C235" s="23"/>
      <c r="D235" s="23"/>
    </row>
    <row r="236">
      <c r="A236" s="86"/>
      <c r="B236" s="23"/>
      <c r="C236" s="23"/>
      <c r="D236" s="23"/>
    </row>
    <row r="237">
      <c r="A237" s="86"/>
      <c r="B237" s="23"/>
      <c r="C237" s="23"/>
      <c r="D237" s="23"/>
    </row>
    <row r="238">
      <c r="A238" s="86"/>
      <c r="B238" s="23"/>
      <c r="C238" s="23"/>
      <c r="D238" s="23"/>
    </row>
    <row r="239">
      <c r="A239" s="86"/>
      <c r="B239" s="23"/>
      <c r="C239" s="23"/>
      <c r="D239" s="23"/>
    </row>
    <row r="240">
      <c r="A240" s="86"/>
      <c r="B240" s="23"/>
      <c r="C240" s="23"/>
      <c r="D240" s="23"/>
    </row>
    <row r="241">
      <c r="A241" s="86"/>
      <c r="B241" s="23"/>
      <c r="C241" s="23"/>
      <c r="D241" s="23"/>
    </row>
    <row r="242">
      <c r="A242" s="86"/>
      <c r="B242" s="23"/>
      <c r="C242" s="23"/>
      <c r="D242" s="23"/>
    </row>
    <row r="243">
      <c r="A243" s="86"/>
      <c r="B243" s="23"/>
      <c r="C243" s="23"/>
      <c r="D243" s="23"/>
    </row>
    <row r="244">
      <c r="A244" s="86"/>
      <c r="B244" s="23"/>
      <c r="C244" s="23"/>
      <c r="D244" s="23"/>
    </row>
    <row r="245">
      <c r="A245" s="86"/>
      <c r="B245" s="23"/>
      <c r="C245" s="23"/>
      <c r="D245" s="23"/>
    </row>
    <row r="246">
      <c r="A246" s="86"/>
      <c r="B246" s="23"/>
      <c r="C246" s="23"/>
      <c r="D246" s="23"/>
    </row>
    <row r="247">
      <c r="A247" s="86"/>
      <c r="B247" s="23"/>
      <c r="C247" s="23"/>
      <c r="D247" s="23"/>
    </row>
    <row r="248">
      <c r="A248" s="86"/>
      <c r="B248" s="23"/>
      <c r="C248" s="23"/>
      <c r="D248" s="23"/>
    </row>
    <row r="249">
      <c r="A249" s="86"/>
      <c r="B249" s="23"/>
      <c r="C249" s="23"/>
      <c r="D249" s="23"/>
    </row>
    <row r="250">
      <c r="A250" s="86"/>
      <c r="B250" s="23"/>
      <c r="C250" s="23"/>
      <c r="D250" s="23"/>
    </row>
    <row r="251">
      <c r="A251" s="86"/>
      <c r="B251" s="23"/>
      <c r="C251" s="23"/>
      <c r="D251" s="23"/>
    </row>
    <row r="252">
      <c r="A252" s="86"/>
      <c r="B252" s="23"/>
      <c r="C252" s="23"/>
      <c r="D252" s="23"/>
    </row>
    <row r="253">
      <c r="A253" s="86"/>
      <c r="B253" s="23"/>
      <c r="C253" s="23"/>
      <c r="D253" s="23"/>
    </row>
    <row r="254">
      <c r="A254" s="86"/>
      <c r="B254" s="23"/>
      <c r="C254" s="23"/>
      <c r="D254" s="23"/>
    </row>
    <row r="255">
      <c r="A255" s="86"/>
      <c r="B255" s="23"/>
      <c r="C255" s="23"/>
      <c r="D255" s="23"/>
    </row>
    <row r="256">
      <c r="A256" s="86"/>
      <c r="B256" s="23"/>
      <c r="C256" s="23"/>
      <c r="D256" s="23"/>
    </row>
    <row r="257">
      <c r="A257" s="86"/>
      <c r="B257" s="23"/>
      <c r="C257" s="23"/>
      <c r="D257" s="23"/>
    </row>
    <row r="258">
      <c r="A258" s="86"/>
      <c r="B258" s="23"/>
      <c r="C258" s="23"/>
      <c r="D258" s="23"/>
    </row>
    <row r="259">
      <c r="A259" s="86"/>
      <c r="B259" s="23"/>
      <c r="C259" s="23"/>
      <c r="D259" s="23"/>
    </row>
    <row r="260">
      <c r="A260" s="86"/>
      <c r="B260" s="23"/>
      <c r="C260" s="23"/>
      <c r="D260" s="23"/>
    </row>
    <row r="261">
      <c r="A261" s="86"/>
      <c r="B261" s="23"/>
      <c r="C261" s="23"/>
      <c r="D261" s="23"/>
    </row>
    <row r="262">
      <c r="A262" s="86"/>
      <c r="B262" s="23"/>
      <c r="C262" s="23"/>
      <c r="D262" s="23"/>
    </row>
    <row r="263">
      <c r="A263" s="86"/>
      <c r="B263" s="23"/>
      <c r="C263" s="23"/>
      <c r="D263" s="23"/>
    </row>
    <row r="264">
      <c r="A264" s="86"/>
      <c r="B264" s="23"/>
      <c r="C264" s="23"/>
      <c r="D264" s="23"/>
    </row>
    <row r="265">
      <c r="A265" s="86"/>
      <c r="B265" s="23"/>
      <c r="C265" s="23"/>
      <c r="D265" s="23"/>
    </row>
    <row r="266">
      <c r="A266" s="86"/>
      <c r="B266" s="23"/>
      <c r="C266" s="23"/>
      <c r="D266" s="23"/>
    </row>
    <row r="267">
      <c r="A267" s="86"/>
      <c r="B267" s="23"/>
      <c r="C267" s="23"/>
      <c r="D267" s="23"/>
    </row>
    <row r="268">
      <c r="A268" s="86"/>
      <c r="B268" s="23"/>
      <c r="C268" s="23"/>
      <c r="D268" s="23"/>
    </row>
    <row r="269">
      <c r="A269" s="86"/>
      <c r="B269" s="23"/>
      <c r="C269" s="23"/>
      <c r="D269" s="23"/>
    </row>
    <row r="270">
      <c r="A270" s="86"/>
      <c r="B270" s="23"/>
      <c r="C270" s="23"/>
      <c r="D270" s="23"/>
    </row>
    <row r="271">
      <c r="A271" s="86"/>
      <c r="B271" s="23"/>
      <c r="C271" s="23"/>
      <c r="D271" s="23"/>
    </row>
    <row r="272">
      <c r="A272" s="86"/>
      <c r="B272" s="23"/>
      <c r="C272" s="23"/>
      <c r="D272" s="23"/>
    </row>
    <row r="273">
      <c r="A273" s="86"/>
      <c r="B273" s="23"/>
      <c r="C273" s="23"/>
      <c r="D273" s="23"/>
    </row>
    <row r="274">
      <c r="A274" s="86"/>
      <c r="B274" s="23"/>
      <c r="C274" s="23"/>
      <c r="D274" s="23"/>
    </row>
    <row r="275">
      <c r="A275" s="86"/>
      <c r="B275" s="23"/>
      <c r="C275" s="23"/>
      <c r="D275" s="23"/>
    </row>
    <row r="276">
      <c r="A276" s="86"/>
      <c r="B276" s="23"/>
      <c r="C276" s="23"/>
      <c r="D276" s="23"/>
    </row>
    <row r="277">
      <c r="A277" s="86"/>
      <c r="B277" s="23"/>
      <c r="C277" s="23"/>
      <c r="D277" s="23"/>
    </row>
    <row r="278">
      <c r="A278" s="86"/>
      <c r="B278" s="23"/>
      <c r="C278" s="23"/>
      <c r="D278" s="23"/>
    </row>
    <row r="279">
      <c r="A279" s="86"/>
      <c r="B279" s="23"/>
      <c r="C279" s="23"/>
      <c r="D279" s="23"/>
    </row>
    <row r="280">
      <c r="A280" s="86"/>
      <c r="B280" s="23"/>
      <c r="C280" s="23"/>
      <c r="D280" s="23"/>
    </row>
    <row r="281">
      <c r="A281" s="86"/>
      <c r="B281" s="23"/>
      <c r="C281" s="23"/>
      <c r="D281" s="23"/>
    </row>
    <row r="282">
      <c r="A282" s="86"/>
      <c r="B282" s="23"/>
      <c r="C282" s="23"/>
      <c r="D282" s="23"/>
    </row>
    <row r="283">
      <c r="A283" s="86"/>
      <c r="B283" s="23"/>
      <c r="C283" s="23"/>
      <c r="D283" s="23"/>
    </row>
    <row r="284">
      <c r="A284" s="86"/>
      <c r="B284" s="23"/>
      <c r="C284" s="23"/>
      <c r="D284" s="23"/>
    </row>
    <row r="285">
      <c r="A285" s="86"/>
      <c r="B285" s="23"/>
      <c r="C285" s="23"/>
      <c r="D285" s="23"/>
    </row>
    <row r="286">
      <c r="A286" s="86"/>
      <c r="B286" s="23"/>
      <c r="C286" s="23"/>
      <c r="D286" s="23"/>
    </row>
    <row r="287">
      <c r="A287" s="86"/>
      <c r="B287" s="23"/>
      <c r="C287" s="23"/>
      <c r="D287" s="23"/>
    </row>
    <row r="288">
      <c r="A288" s="86"/>
      <c r="B288" s="23"/>
      <c r="C288" s="23"/>
      <c r="D288" s="23"/>
    </row>
    <row r="289">
      <c r="A289" s="86"/>
      <c r="B289" s="23"/>
      <c r="C289" s="23"/>
      <c r="D289" s="23"/>
    </row>
    <row r="290">
      <c r="A290" s="86"/>
      <c r="B290" s="23"/>
      <c r="C290" s="23"/>
      <c r="D290" s="23"/>
    </row>
    <row r="291">
      <c r="A291" s="86"/>
      <c r="B291" s="23"/>
      <c r="C291" s="23"/>
      <c r="D291" s="23"/>
    </row>
    <row r="292">
      <c r="A292" s="86"/>
      <c r="B292" s="23"/>
      <c r="C292" s="23"/>
      <c r="D292" s="23"/>
    </row>
    <row r="293">
      <c r="A293" s="86"/>
      <c r="B293" s="23"/>
      <c r="C293" s="23"/>
      <c r="D293" s="23"/>
    </row>
    <row r="294">
      <c r="A294" s="86"/>
      <c r="B294" s="23"/>
      <c r="C294" s="23"/>
      <c r="D294" s="23"/>
    </row>
    <row r="295">
      <c r="A295" s="86"/>
      <c r="B295" s="23"/>
      <c r="C295" s="23"/>
      <c r="D295" s="23"/>
    </row>
    <row r="296">
      <c r="A296" s="86"/>
      <c r="B296" s="23"/>
      <c r="C296" s="23"/>
      <c r="D296" s="23"/>
    </row>
    <row r="297">
      <c r="A297" s="86"/>
      <c r="B297" s="23"/>
      <c r="C297" s="23"/>
      <c r="D297" s="23"/>
    </row>
    <row r="298">
      <c r="A298" s="86"/>
      <c r="B298" s="23"/>
      <c r="C298" s="23"/>
      <c r="D298" s="23"/>
    </row>
    <row r="299">
      <c r="A299" s="86"/>
      <c r="B299" s="23"/>
      <c r="C299" s="23"/>
      <c r="D299" s="23"/>
    </row>
    <row r="300">
      <c r="A300" s="86"/>
      <c r="B300" s="23"/>
      <c r="C300" s="23"/>
      <c r="D300" s="23"/>
    </row>
    <row r="301">
      <c r="A301" s="86"/>
      <c r="B301" s="23"/>
      <c r="C301" s="23"/>
      <c r="D301" s="23"/>
    </row>
    <row r="302">
      <c r="A302" s="86"/>
      <c r="B302" s="23"/>
      <c r="C302" s="23"/>
      <c r="D302" s="23"/>
    </row>
    <row r="303">
      <c r="A303" s="86"/>
      <c r="B303" s="23"/>
      <c r="C303" s="23"/>
      <c r="D303" s="23"/>
    </row>
    <row r="304">
      <c r="A304" s="86"/>
      <c r="B304" s="23"/>
      <c r="C304" s="23"/>
      <c r="D304" s="23"/>
    </row>
    <row r="305">
      <c r="A305" s="86"/>
      <c r="B305" s="23"/>
      <c r="C305" s="23"/>
      <c r="D305" s="23"/>
    </row>
    <row r="306">
      <c r="A306" s="86"/>
      <c r="B306" s="23"/>
      <c r="C306" s="23"/>
      <c r="D306" s="23"/>
    </row>
    <row r="307">
      <c r="A307" s="86"/>
      <c r="B307" s="23"/>
      <c r="C307" s="23"/>
      <c r="D307" s="23"/>
    </row>
    <row r="308">
      <c r="A308" s="86"/>
      <c r="B308" s="23"/>
      <c r="C308" s="23"/>
      <c r="D308" s="23"/>
    </row>
    <row r="309">
      <c r="A309" s="86"/>
      <c r="B309" s="23"/>
      <c r="C309" s="23"/>
      <c r="D309" s="23"/>
    </row>
    <row r="310">
      <c r="A310" s="86"/>
      <c r="B310" s="23"/>
      <c r="C310" s="23"/>
      <c r="D310" s="23"/>
    </row>
    <row r="311">
      <c r="A311" s="86"/>
      <c r="B311" s="23"/>
      <c r="C311" s="23"/>
      <c r="D311" s="23"/>
    </row>
    <row r="312">
      <c r="A312" s="86"/>
      <c r="B312" s="23"/>
      <c r="C312" s="23"/>
      <c r="D312" s="23"/>
    </row>
    <row r="313">
      <c r="A313" s="86"/>
      <c r="B313" s="23"/>
      <c r="C313" s="23"/>
      <c r="D313" s="23"/>
    </row>
    <row r="314">
      <c r="A314" s="86"/>
      <c r="B314" s="23"/>
      <c r="C314" s="23"/>
      <c r="D314" s="23"/>
    </row>
    <row r="315">
      <c r="A315" s="86"/>
      <c r="B315" s="23"/>
      <c r="C315" s="23"/>
      <c r="D315" s="23"/>
    </row>
    <row r="316">
      <c r="A316" s="86"/>
      <c r="B316" s="23"/>
      <c r="C316" s="23"/>
      <c r="D316" s="23"/>
    </row>
    <row r="317">
      <c r="A317" s="86"/>
      <c r="B317" s="23"/>
      <c r="C317" s="23"/>
      <c r="D317" s="23"/>
    </row>
    <row r="318">
      <c r="A318" s="86"/>
      <c r="B318" s="23"/>
      <c r="C318" s="23"/>
      <c r="D318" s="23"/>
    </row>
    <row r="319">
      <c r="A319" s="86"/>
      <c r="B319" s="23"/>
      <c r="C319" s="23"/>
      <c r="D319" s="23"/>
    </row>
    <row r="320">
      <c r="A320" s="86"/>
      <c r="B320" s="23"/>
      <c r="C320" s="23"/>
      <c r="D320" s="23"/>
    </row>
    <row r="321">
      <c r="A321" s="86"/>
      <c r="B321" s="23"/>
      <c r="C321" s="23"/>
      <c r="D321" s="23"/>
    </row>
    <row r="322">
      <c r="A322" s="86"/>
      <c r="B322" s="23"/>
      <c r="C322" s="23"/>
      <c r="D322" s="23"/>
    </row>
    <row r="323">
      <c r="A323" s="86"/>
      <c r="B323" s="23"/>
      <c r="C323" s="23"/>
      <c r="D323" s="23"/>
    </row>
    <row r="324">
      <c r="A324" s="86"/>
      <c r="B324" s="23"/>
      <c r="C324" s="23"/>
      <c r="D324" s="23"/>
    </row>
    <row r="325">
      <c r="A325" s="86"/>
      <c r="B325" s="23"/>
      <c r="C325" s="23"/>
      <c r="D325" s="23"/>
    </row>
    <row r="326">
      <c r="A326" s="86"/>
      <c r="B326" s="23"/>
      <c r="C326" s="23"/>
      <c r="D326" s="23"/>
    </row>
    <row r="327">
      <c r="A327" s="86"/>
      <c r="B327" s="23"/>
      <c r="C327" s="23"/>
      <c r="D327" s="23"/>
    </row>
    <row r="328">
      <c r="A328" s="86"/>
      <c r="B328" s="23"/>
      <c r="C328" s="23"/>
      <c r="D328" s="23"/>
    </row>
    <row r="329">
      <c r="A329" s="86"/>
      <c r="B329" s="23"/>
      <c r="C329" s="23"/>
      <c r="D329" s="23"/>
    </row>
    <row r="330">
      <c r="A330" s="86"/>
      <c r="B330" s="23"/>
      <c r="C330" s="23"/>
      <c r="D330" s="23"/>
    </row>
    <row r="331">
      <c r="A331" s="86"/>
      <c r="B331" s="23"/>
      <c r="C331" s="23"/>
      <c r="D331" s="23"/>
    </row>
    <row r="332">
      <c r="A332" s="86"/>
      <c r="B332" s="23"/>
      <c r="C332" s="23"/>
      <c r="D332" s="23"/>
    </row>
    <row r="333">
      <c r="A333" s="86"/>
      <c r="B333" s="23"/>
      <c r="C333" s="23"/>
      <c r="D333" s="23"/>
    </row>
    <row r="334">
      <c r="A334" s="86"/>
      <c r="B334" s="23"/>
      <c r="C334" s="23"/>
      <c r="D334" s="23"/>
    </row>
    <row r="335">
      <c r="A335" s="86"/>
      <c r="B335" s="23"/>
      <c r="C335" s="23"/>
      <c r="D335" s="23"/>
    </row>
    <row r="336">
      <c r="A336" s="86"/>
      <c r="B336" s="23"/>
      <c r="C336" s="23"/>
      <c r="D336" s="23"/>
    </row>
    <row r="337">
      <c r="A337" s="86"/>
      <c r="B337" s="23"/>
      <c r="C337" s="23"/>
      <c r="D337" s="23"/>
    </row>
    <row r="338">
      <c r="A338" s="86"/>
      <c r="B338" s="23"/>
      <c r="C338" s="23"/>
      <c r="D338" s="23"/>
    </row>
    <row r="339">
      <c r="A339" s="86"/>
      <c r="B339" s="23"/>
      <c r="C339" s="23"/>
      <c r="D339" s="23"/>
    </row>
    <row r="340">
      <c r="A340" s="86"/>
      <c r="B340" s="23"/>
      <c r="C340" s="23"/>
      <c r="D340" s="23"/>
    </row>
    <row r="341">
      <c r="A341" s="86"/>
      <c r="B341" s="23"/>
      <c r="C341" s="23"/>
      <c r="D341" s="23"/>
    </row>
    <row r="342">
      <c r="A342" s="86"/>
      <c r="B342" s="23"/>
      <c r="C342" s="23"/>
      <c r="D342" s="23"/>
    </row>
    <row r="343">
      <c r="A343" s="86"/>
      <c r="B343" s="23"/>
      <c r="C343" s="23"/>
      <c r="D343" s="23"/>
    </row>
    <row r="344">
      <c r="A344" s="86"/>
      <c r="B344" s="23"/>
      <c r="C344" s="23"/>
      <c r="D344" s="23"/>
    </row>
    <row r="345">
      <c r="A345" s="86"/>
      <c r="B345" s="23"/>
      <c r="C345" s="23"/>
      <c r="D345" s="23"/>
    </row>
    <row r="346">
      <c r="A346" s="86"/>
      <c r="B346" s="23"/>
      <c r="C346" s="23"/>
      <c r="D346" s="23"/>
    </row>
    <row r="347">
      <c r="A347" s="86"/>
      <c r="B347" s="23"/>
      <c r="C347" s="23"/>
      <c r="D347" s="23"/>
    </row>
    <row r="348">
      <c r="A348" s="86"/>
      <c r="B348" s="23"/>
      <c r="C348" s="23"/>
      <c r="D348" s="23"/>
    </row>
    <row r="349">
      <c r="A349" s="86"/>
      <c r="B349" s="23"/>
      <c r="C349" s="23"/>
      <c r="D349" s="23"/>
    </row>
    <row r="350">
      <c r="A350" s="86"/>
      <c r="B350" s="23"/>
      <c r="C350" s="23"/>
      <c r="D350" s="23"/>
    </row>
    <row r="351">
      <c r="A351" s="86"/>
      <c r="B351" s="23"/>
      <c r="C351" s="23"/>
      <c r="D351" s="23"/>
    </row>
    <row r="352">
      <c r="A352" s="86"/>
      <c r="B352" s="23"/>
      <c r="C352" s="23"/>
      <c r="D352" s="23"/>
    </row>
    <row r="353">
      <c r="A353" s="86"/>
      <c r="B353" s="23"/>
      <c r="C353" s="23"/>
      <c r="D353" s="23"/>
    </row>
    <row r="354">
      <c r="A354" s="86"/>
      <c r="B354" s="23"/>
      <c r="C354" s="23"/>
      <c r="D354" s="23"/>
    </row>
    <row r="355">
      <c r="A355" s="86"/>
      <c r="B355" s="23"/>
      <c r="C355" s="23"/>
      <c r="D355" s="23"/>
    </row>
    <row r="356">
      <c r="A356" s="86"/>
      <c r="B356" s="23"/>
      <c r="C356" s="23"/>
      <c r="D356" s="23"/>
    </row>
    <row r="357">
      <c r="A357" s="86"/>
      <c r="B357" s="23"/>
      <c r="C357" s="23"/>
      <c r="D357" s="23"/>
    </row>
    <row r="358">
      <c r="A358" s="86"/>
      <c r="B358" s="23"/>
      <c r="C358" s="23"/>
      <c r="D358" s="23"/>
    </row>
    <row r="359">
      <c r="A359" s="86"/>
      <c r="B359" s="23"/>
      <c r="C359" s="23"/>
      <c r="D359" s="23"/>
    </row>
    <row r="360">
      <c r="A360" s="86"/>
      <c r="B360" s="23"/>
      <c r="C360" s="23"/>
      <c r="D360" s="23"/>
    </row>
    <row r="361">
      <c r="A361" s="86"/>
      <c r="B361" s="23"/>
      <c r="C361" s="23"/>
      <c r="D361" s="23"/>
    </row>
    <row r="362">
      <c r="A362" s="86"/>
      <c r="B362" s="23"/>
      <c r="C362" s="23"/>
      <c r="D362" s="23"/>
    </row>
    <row r="363">
      <c r="A363" s="86"/>
      <c r="B363" s="23"/>
      <c r="C363" s="23"/>
      <c r="D363" s="23"/>
    </row>
    <row r="364">
      <c r="A364" s="86"/>
      <c r="B364" s="23"/>
      <c r="C364" s="23"/>
      <c r="D364" s="23"/>
    </row>
    <row r="365">
      <c r="A365" s="86"/>
      <c r="B365" s="23"/>
      <c r="C365" s="23"/>
      <c r="D365" s="23"/>
    </row>
    <row r="366">
      <c r="A366" s="86"/>
      <c r="B366" s="23"/>
      <c r="C366" s="23"/>
      <c r="D366" s="23"/>
    </row>
    <row r="367">
      <c r="A367" s="86"/>
      <c r="B367" s="23"/>
      <c r="C367" s="23"/>
      <c r="D367" s="23"/>
    </row>
    <row r="368">
      <c r="A368" s="86"/>
      <c r="B368" s="23"/>
      <c r="C368" s="23"/>
      <c r="D368" s="23"/>
    </row>
    <row r="369">
      <c r="A369" s="86"/>
      <c r="B369" s="23"/>
      <c r="C369" s="23"/>
      <c r="D369" s="23"/>
    </row>
    <row r="370">
      <c r="A370" s="86"/>
      <c r="B370" s="23"/>
      <c r="C370" s="23"/>
      <c r="D370" s="23"/>
    </row>
    <row r="371">
      <c r="A371" s="86"/>
      <c r="B371" s="23"/>
      <c r="C371" s="23"/>
      <c r="D371" s="23"/>
    </row>
    <row r="372">
      <c r="A372" s="86"/>
      <c r="B372" s="23"/>
      <c r="C372" s="23"/>
      <c r="D372" s="23"/>
    </row>
    <row r="373">
      <c r="A373" s="86"/>
      <c r="B373" s="23"/>
      <c r="C373" s="23"/>
      <c r="D373" s="23"/>
    </row>
    <row r="374">
      <c r="A374" s="86"/>
      <c r="B374" s="23"/>
      <c r="C374" s="23"/>
      <c r="D374" s="23"/>
    </row>
    <row r="375">
      <c r="A375" s="86"/>
      <c r="B375" s="23"/>
      <c r="C375" s="23"/>
      <c r="D375" s="23"/>
    </row>
    <row r="376">
      <c r="A376" s="86"/>
      <c r="B376" s="23"/>
      <c r="C376" s="23"/>
      <c r="D376" s="23"/>
    </row>
    <row r="377">
      <c r="A377" s="86"/>
      <c r="B377" s="23"/>
      <c r="C377" s="23"/>
      <c r="D377" s="23"/>
    </row>
    <row r="378">
      <c r="A378" s="86"/>
      <c r="B378" s="23"/>
      <c r="C378" s="23"/>
      <c r="D378" s="23"/>
    </row>
    <row r="379">
      <c r="A379" s="86"/>
      <c r="B379" s="23"/>
      <c r="C379" s="23"/>
      <c r="D379" s="23"/>
    </row>
    <row r="380">
      <c r="A380" s="86"/>
      <c r="B380" s="23"/>
      <c r="C380" s="23"/>
      <c r="D380" s="23"/>
    </row>
    <row r="381">
      <c r="A381" s="86"/>
      <c r="B381" s="23"/>
      <c r="C381" s="23"/>
      <c r="D381" s="23"/>
    </row>
    <row r="382">
      <c r="A382" s="86"/>
      <c r="B382" s="23"/>
      <c r="C382" s="23"/>
      <c r="D382" s="23"/>
    </row>
    <row r="383">
      <c r="A383" s="86"/>
      <c r="B383" s="23"/>
      <c r="C383" s="23"/>
      <c r="D383" s="23"/>
    </row>
    <row r="384">
      <c r="A384" s="86"/>
      <c r="B384" s="23"/>
      <c r="C384" s="23"/>
      <c r="D384" s="23"/>
    </row>
    <row r="385">
      <c r="A385" s="86"/>
      <c r="B385" s="23"/>
      <c r="C385" s="23"/>
      <c r="D385" s="23"/>
    </row>
    <row r="386">
      <c r="A386" s="86"/>
      <c r="B386" s="23"/>
      <c r="C386" s="23"/>
      <c r="D386" s="23"/>
    </row>
    <row r="387">
      <c r="A387" s="86"/>
      <c r="B387" s="23"/>
      <c r="C387" s="23"/>
      <c r="D387" s="23"/>
    </row>
    <row r="388">
      <c r="A388" s="86"/>
      <c r="B388" s="23"/>
      <c r="C388" s="23"/>
      <c r="D388" s="23"/>
    </row>
    <row r="389">
      <c r="A389" s="86"/>
      <c r="B389" s="23"/>
      <c r="C389" s="23"/>
      <c r="D389" s="23"/>
    </row>
    <row r="390">
      <c r="A390" s="86"/>
      <c r="B390" s="23"/>
      <c r="C390" s="23"/>
      <c r="D390" s="23"/>
    </row>
    <row r="391">
      <c r="A391" s="86"/>
      <c r="B391" s="23"/>
      <c r="C391" s="23"/>
      <c r="D391" s="23"/>
    </row>
    <row r="392">
      <c r="A392" s="86"/>
      <c r="B392" s="23"/>
      <c r="C392" s="23"/>
      <c r="D392" s="23"/>
    </row>
    <row r="393">
      <c r="A393" s="86"/>
      <c r="B393" s="23"/>
      <c r="C393" s="23"/>
      <c r="D393" s="23"/>
    </row>
    <row r="394">
      <c r="A394" s="86"/>
      <c r="B394" s="23"/>
      <c r="C394" s="23"/>
      <c r="D394" s="23"/>
    </row>
    <row r="395">
      <c r="A395" s="86"/>
      <c r="B395" s="23"/>
      <c r="C395" s="23"/>
      <c r="D395" s="23"/>
    </row>
    <row r="396">
      <c r="A396" s="86"/>
      <c r="B396" s="23"/>
      <c r="C396" s="23"/>
      <c r="D396" s="23"/>
    </row>
    <row r="397">
      <c r="A397" s="86"/>
      <c r="B397" s="23"/>
      <c r="C397" s="23"/>
      <c r="D397" s="23"/>
    </row>
    <row r="398">
      <c r="A398" s="86"/>
      <c r="B398" s="23"/>
      <c r="C398" s="23"/>
      <c r="D398" s="23"/>
    </row>
    <row r="399">
      <c r="A399" s="86"/>
      <c r="B399" s="23"/>
      <c r="C399" s="23"/>
      <c r="D399" s="23"/>
    </row>
    <row r="400">
      <c r="A400" s="86"/>
      <c r="B400" s="23"/>
      <c r="C400" s="23"/>
      <c r="D400" s="23"/>
    </row>
    <row r="401">
      <c r="A401" s="86"/>
      <c r="B401" s="23"/>
      <c r="C401" s="23"/>
      <c r="D401" s="23"/>
    </row>
    <row r="402">
      <c r="A402" s="86"/>
      <c r="B402" s="23"/>
      <c r="C402" s="23"/>
      <c r="D402" s="23"/>
    </row>
    <row r="403">
      <c r="A403" s="86"/>
      <c r="B403" s="23"/>
      <c r="C403" s="23"/>
      <c r="D403" s="23"/>
    </row>
    <row r="404">
      <c r="A404" s="86"/>
      <c r="B404" s="23"/>
      <c r="C404" s="23"/>
      <c r="D404" s="23"/>
    </row>
    <row r="405">
      <c r="A405" s="86"/>
      <c r="B405" s="23"/>
      <c r="C405" s="23"/>
      <c r="D405" s="23"/>
    </row>
    <row r="406">
      <c r="A406" s="86"/>
      <c r="B406" s="23"/>
      <c r="C406" s="23"/>
      <c r="D406" s="23"/>
    </row>
    <row r="407">
      <c r="A407" s="86"/>
      <c r="B407" s="23"/>
      <c r="C407" s="23"/>
      <c r="D407" s="23"/>
    </row>
    <row r="408">
      <c r="A408" s="86"/>
      <c r="B408" s="23"/>
      <c r="C408" s="23"/>
      <c r="D408" s="23"/>
    </row>
    <row r="409">
      <c r="A409" s="86"/>
      <c r="B409" s="23"/>
      <c r="C409" s="23"/>
      <c r="D409" s="23"/>
    </row>
    <row r="410">
      <c r="A410" s="86"/>
      <c r="B410" s="23"/>
      <c r="C410" s="23"/>
      <c r="D410" s="23"/>
    </row>
    <row r="411">
      <c r="A411" s="86"/>
      <c r="B411" s="23"/>
      <c r="C411" s="23"/>
      <c r="D411" s="23"/>
    </row>
    <row r="412">
      <c r="A412" s="86"/>
      <c r="B412" s="23"/>
      <c r="C412" s="23"/>
      <c r="D412" s="23"/>
    </row>
    <row r="413">
      <c r="A413" s="86"/>
      <c r="B413" s="23"/>
      <c r="C413" s="23"/>
      <c r="D413" s="23"/>
    </row>
    <row r="414">
      <c r="A414" s="86"/>
      <c r="B414" s="23"/>
      <c r="C414" s="23"/>
      <c r="D414" s="23"/>
    </row>
    <row r="415">
      <c r="A415" s="86"/>
      <c r="B415" s="23"/>
      <c r="C415" s="23"/>
      <c r="D415" s="23"/>
    </row>
    <row r="416">
      <c r="A416" s="86"/>
      <c r="B416" s="23"/>
      <c r="C416" s="23"/>
      <c r="D416" s="23"/>
    </row>
    <row r="417">
      <c r="A417" s="86"/>
      <c r="B417" s="23"/>
      <c r="C417" s="23"/>
      <c r="D417" s="23"/>
    </row>
    <row r="418">
      <c r="A418" s="86"/>
      <c r="B418" s="23"/>
      <c r="C418" s="23"/>
      <c r="D418" s="23"/>
    </row>
    <row r="419">
      <c r="A419" s="86"/>
      <c r="B419" s="23"/>
      <c r="C419" s="23"/>
      <c r="D419" s="23"/>
    </row>
    <row r="420">
      <c r="A420" s="86"/>
      <c r="B420" s="23"/>
      <c r="C420" s="23"/>
      <c r="D420" s="23"/>
    </row>
    <row r="421">
      <c r="A421" s="86"/>
      <c r="B421" s="23"/>
      <c r="C421" s="23"/>
      <c r="D421" s="23"/>
    </row>
    <row r="422">
      <c r="A422" s="86"/>
      <c r="B422" s="23"/>
      <c r="C422" s="23"/>
      <c r="D422" s="23"/>
    </row>
    <row r="423">
      <c r="A423" s="86"/>
      <c r="B423" s="23"/>
      <c r="C423" s="23"/>
      <c r="D423" s="23"/>
    </row>
    <row r="424">
      <c r="A424" s="86"/>
      <c r="B424" s="23"/>
      <c r="C424" s="23"/>
      <c r="D424" s="23"/>
    </row>
    <row r="425">
      <c r="A425" s="86"/>
      <c r="B425" s="23"/>
      <c r="C425" s="23"/>
      <c r="D425" s="23"/>
    </row>
    <row r="426">
      <c r="A426" s="86"/>
      <c r="B426" s="23"/>
      <c r="C426" s="23"/>
      <c r="D426" s="23"/>
    </row>
    <row r="427">
      <c r="A427" s="86"/>
      <c r="B427" s="23"/>
      <c r="C427" s="23"/>
      <c r="D427" s="23"/>
    </row>
    <row r="428">
      <c r="A428" s="86"/>
      <c r="B428" s="23"/>
      <c r="C428" s="23"/>
      <c r="D428" s="23"/>
    </row>
    <row r="429">
      <c r="A429" s="86"/>
      <c r="B429" s="23"/>
      <c r="C429" s="23"/>
      <c r="D429" s="23"/>
    </row>
    <row r="430">
      <c r="A430" s="86"/>
      <c r="B430" s="23"/>
      <c r="C430" s="23"/>
      <c r="D430" s="23"/>
    </row>
    <row r="431">
      <c r="A431" s="86"/>
      <c r="B431" s="23"/>
      <c r="C431" s="23"/>
      <c r="D431" s="23"/>
    </row>
    <row r="432">
      <c r="A432" s="86"/>
      <c r="B432" s="23"/>
      <c r="C432" s="23"/>
      <c r="D432" s="23"/>
    </row>
    <row r="433">
      <c r="A433" s="86"/>
      <c r="B433" s="23"/>
      <c r="C433" s="23"/>
      <c r="D433" s="23"/>
    </row>
    <row r="434">
      <c r="A434" s="86"/>
      <c r="B434" s="23"/>
      <c r="C434" s="23"/>
      <c r="D434" s="23"/>
    </row>
    <row r="435">
      <c r="A435" s="86"/>
      <c r="B435" s="23"/>
      <c r="C435" s="23"/>
      <c r="D435" s="23"/>
    </row>
    <row r="436">
      <c r="A436" s="86"/>
      <c r="B436" s="23"/>
      <c r="C436" s="23"/>
      <c r="D436" s="23"/>
    </row>
    <row r="437">
      <c r="A437" s="86"/>
      <c r="B437" s="23"/>
      <c r="C437" s="23"/>
      <c r="D437" s="23"/>
    </row>
    <row r="438">
      <c r="A438" s="86"/>
      <c r="B438" s="23"/>
      <c r="C438" s="23"/>
      <c r="D438" s="23"/>
    </row>
    <row r="439">
      <c r="A439" s="86"/>
      <c r="B439" s="23"/>
      <c r="C439" s="23"/>
      <c r="D439" s="23"/>
    </row>
    <row r="440">
      <c r="A440" s="86"/>
      <c r="B440" s="23"/>
      <c r="C440" s="23"/>
      <c r="D440" s="23"/>
    </row>
    <row r="441">
      <c r="A441" s="86"/>
      <c r="B441" s="23"/>
      <c r="C441" s="23"/>
      <c r="D441" s="23"/>
    </row>
    <row r="442">
      <c r="A442" s="86"/>
      <c r="B442" s="23"/>
      <c r="C442" s="23"/>
      <c r="D442" s="23"/>
    </row>
    <row r="443">
      <c r="A443" s="86"/>
      <c r="B443" s="23"/>
      <c r="C443" s="23"/>
      <c r="D443" s="23"/>
    </row>
    <row r="444">
      <c r="A444" s="86"/>
      <c r="B444" s="23"/>
      <c r="C444" s="23"/>
      <c r="D444" s="23"/>
    </row>
    <row r="445">
      <c r="A445" s="86"/>
      <c r="B445" s="23"/>
      <c r="C445" s="23"/>
      <c r="D445" s="23"/>
    </row>
    <row r="446">
      <c r="A446" s="86"/>
      <c r="B446" s="23"/>
      <c r="C446" s="23"/>
      <c r="D446" s="23"/>
    </row>
    <row r="447">
      <c r="A447" s="86"/>
      <c r="B447" s="23"/>
      <c r="C447" s="23"/>
      <c r="D447" s="23"/>
    </row>
    <row r="448">
      <c r="A448" s="86"/>
      <c r="B448" s="23"/>
      <c r="C448" s="23"/>
      <c r="D448" s="23"/>
    </row>
    <row r="449">
      <c r="A449" s="86"/>
      <c r="B449" s="23"/>
      <c r="C449" s="23"/>
      <c r="D449" s="23"/>
    </row>
    <row r="450">
      <c r="A450" s="86"/>
      <c r="B450" s="23"/>
      <c r="C450" s="23"/>
      <c r="D450" s="23"/>
    </row>
    <row r="451">
      <c r="A451" s="86"/>
      <c r="B451" s="23"/>
      <c r="C451" s="23"/>
      <c r="D451" s="23"/>
    </row>
    <row r="452">
      <c r="A452" s="86"/>
      <c r="B452" s="23"/>
      <c r="C452" s="23"/>
      <c r="D452" s="23"/>
    </row>
    <row r="453">
      <c r="A453" s="86"/>
      <c r="B453" s="23"/>
      <c r="C453" s="23"/>
      <c r="D453" s="23"/>
    </row>
    <row r="454">
      <c r="A454" s="86"/>
      <c r="B454" s="23"/>
      <c r="C454" s="23"/>
      <c r="D454" s="23"/>
    </row>
    <row r="455">
      <c r="A455" s="86"/>
      <c r="B455" s="23"/>
      <c r="C455" s="23"/>
      <c r="D455" s="23"/>
    </row>
    <row r="456">
      <c r="A456" s="86"/>
      <c r="B456" s="23"/>
      <c r="C456" s="23"/>
      <c r="D456" s="23"/>
    </row>
    <row r="457">
      <c r="A457" s="86"/>
      <c r="B457" s="23"/>
      <c r="C457" s="23"/>
      <c r="D457" s="23"/>
    </row>
    <row r="458">
      <c r="A458" s="86"/>
      <c r="B458" s="23"/>
      <c r="C458" s="23"/>
      <c r="D458" s="23"/>
    </row>
    <row r="459">
      <c r="A459" s="86"/>
      <c r="B459" s="23"/>
      <c r="C459" s="23"/>
      <c r="D459" s="23"/>
    </row>
    <row r="460">
      <c r="A460" s="86"/>
      <c r="B460" s="23"/>
      <c r="C460" s="23"/>
      <c r="D460" s="23"/>
    </row>
    <row r="461">
      <c r="A461" s="86"/>
      <c r="B461" s="23"/>
      <c r="C461" s="23"/>
      <c r="D461" s="23"/>
    </row>
    <row r="462">
      <c r="A462" s="86"/>
      <c r="B462" s="23"/>
      <c r="C462" s="23"/>
      <c r="D462" s="23"/>
    </row>
    <row r="463">
      <c r="A463" s="86"/>
      <c r="B463" s="23"/>
      <c r="C463" s="23"/>
      <c r="D463" s="23"/>
    </row>
    <row r="464">
      <c r="A464" s="86"/>
      <c r="B464" s="23"/>
      <c r="C464" s="23"/>
      <c r="D464" s="23"/>
    </row>
    <row r="465">
      <c r="A465" s="86"/>
      <c r="B465" s="23"/>
      <c r="C465" s="23"/>
      <c r="D465" s="23"/>
    </row>
    <row r="466">
      <c r="A466" s="86"/>
      <c r="B466" s="23"/>
      <c r="C466" s="23"/>
      <c r="D466" s="23"/>
    </row>
    <row r="467">
      <c r="A467" s="86"/>
      <c r="B467" s="23"/>
      <c r="C467" s="23"/>
      <c r="D467" s="23"/>
    </row>
    <row r="468">
      <c r="A468" s="86"/>
      <c r="B468" s="23"/>
      <c r="C468" s="23"/>
      <c r="D468" s="23"/>
    </row>
    <row r="469">
      <c r="A469" s="86"/>
      <c r="B469" s="23"/>
      <c r="C469" s="23"/>
      <c r="D469" s="23"/>
    </row>
    <row r="470">
      <c r="A470" s="86"/>
      <c r="B470" s="23"/>
      <c r="C470" s="23"/>
      <c r="D470" s="23"/>
    </row>
    <row r="471">
      <c r="A471" s="86"/>
      <c r="B471" s="23"/>
      <c r="C471" s="23"/>
      <c r="D471" s="23"/>
    </row>
    <row r="472">
      <c r="A472" s="86"/>
      <c r="B472" s="23"/>
      <c r="C472" s="23"/>
      <c r="D472" s="23"/>
    </row>
    <row r="473">
      <c r="A473" s="86"/>
      <c r="B473" s="23"/>
      <c r="C473" s="23"/>
      <c r="D473" s="23"/>
    </row>
    <row r="474">
      <c r="A474" s="86"/>
      <c r="B474" s="23"/>
      <c r="C474" s="23"/>
      <c r="D474" s="23"/>
    </row>
    <row r="475">
      <c r="A475" s="86"/>
      <c r="B475" s="23"/>
      <c r="C475" s="23"/>
      <c r="D475" s="23"/>
    </row>
    <row r="476">
      <c r="A476" s="86"/>
      <c r="B476" s="23"/>
      <c r="C476" s="23"/>
      <c r="D476" s="23"/>
    </row>
    <row r="477">
      <c r="A477" s="86"/>
      <c r="B477" s="23"/>
      <c r="C477" s="23"/>
      <c r="D477" s="23"/>
    </row>
    <row r="478">
      <c r="A478" s="86"/>
      <c r="B478" s="23"/>
      <c r="C478" s="23"/>
      <c r="D478" s="23"/>
    </row>
    <row r="479">
      <c r="A479" s="86"/>
      <c r="B479" s="23"/>
      <c r="C479" s="23"/>
      <c r="D479" s="23"/>
    </row>
    <row r="480">
      <c r="A480" s="86"/>
      <c r="B480" s="23"/>
      <c r="C480" s="23"/>
      <c r="D480" s="23"/>
    </row>
    <row r="481">
      <c r="A481" s="86"/>
      <c r="B481" s="23"/>
      <c r="C481" s="23"/>
      <c r="D481" s="23"/>
    </row>
    <row r="482">
      <c r="A482" s="86"/>
      <c r="B482" s="23"/>
      <c r="C482" s="23"/>
      <c r="D482" s="23"/>
    </row>
    <row r="483">
      <c r="A483" s="86"/>
      <c r="B483" s="23"/>
      <c r="C483" s="23"/>
      <c r="D483" s="23"/>
    </row>
    <row r="484">
      <c r="A484" s="86"/>
      <c r="B484" s="23"/>
      <c r="C484" s="23"/>
      <c r="D484" s="23"/>
    </row>
    <row r="485">
      <c r="A485" s="86"/>
      <c r="B485" s="23"/>
      <c r="C485" s="23"/>
      <c r="D485" s="23"/>
    </row>
    <row r="486">
      <c r="A486" s="86"/>
      <c r="B486" s="23"/>
      <c r="C486" s="23"/>
      <c r="D486" s="23"/>
    </row>
    <row r="487">
      <c r="A487" s="86"/>
      <c r="B487" s="23"/>
      <c r="C487" s="23"/>
      <c r="D487" s="23"/>
    </row>
    <row r="488">
      <c r="A488" s="86"/>
      <c r="B488" s="23"/>
      <c r="C488" s="23"/>
      <c r="D488" s="23"/>
    </row>
    <row r="489">
      <c r="A489" s="86"/>
      <c r="B489" s="23"/>
      <c r="C489" s="23"/>
      <c r="D489" s="23"/>
    </row>
    <row r="490">
      <c r="A490" s="86"/>
      <c r="B490" s="23"/>
      <c r="C490" s="23"/>
      <c r="D490" s="23"/>
    </row>
    <row r="491">
      <c r="A491" s="86"/>
      <c r="B491" s="23"/>
      <c r="C491" s="23"/>
      <c r="D491" s="23"/>
    </row>
    <row r="492">
      <c r="A492" s="86"/>
      <c r="B492" s="23"/>
      <c r="C492" s="23"/>
      <c r="D492" s="23"/>
    </row>
    <row r="493">
      <c r="A493" s="86"/>
      <c r="B493" s="23"/>
      <c r="C493" s="23"/>
      <c r="D493" s="23"/>
    </row>
    <row r="494">
      <c r="A494" s="86"/>
      <c r="B494" s="23"/>
      <c r="C494" s="23"/>
      <c r="D494" s="23"/>
    </row>
    <row r="495">
      <c r="A495" s="86"/>
      <c r="B495" s="23"/>
      <c r="C495" s="23"/>
      <c r="D495" s="23"/>
    </row>
    <row r="496">
      <c r="A496" s="86"/>
      <c r="B496" s="23"/>
      <c r="C496" s="23"/>
      <c r="D496" s="23"/>
    </row>
    <row r="497">
      <c r="A497" s="86"/>
      <c r="B497" s="23"/>
      <c r="C497" s="23"/>
      <c r="D497" s="23"/>
    </row>
    <row r="498">
      <c r="A498" s="86"/>
      <c r="B498" s="23"/>
      <c r="C498" s="23"/>
      <c r="D498" s="23"/>
    </row>
    <row r="499">
      <c r="A499" s="86"/>
      <c r="B499" s="23"/>
      <c r="C499" s="23"/>
      <c r="D499" s="23"/>
    </row>
    <row r="500">
      <c r="A500" s="86"/>
      <c r="B500" s="23"/>
      <c r="C500" s="23"/>
      <c r="D500" s="23"/>
    </row>
    <row r="501">
      <c r="A501" s="86"/>
      <c r="B501" s="23"/>
      <c r="C501" s="23"/>
      <c r="D501" s="23"/>
    </row>
    <row r="502">
      <c r="A502" s="86"/>
      <c r="B502" s="23"/>
      <c r="C502" s="23"/>
      <c r="D502" s="23"/>
    </row>
    <row r="503">
      <c r="A503" s="86"/>
      <c r="B503" s="23"/>
      <c r="C503" s="23"/>
      <c r="D503" s="23"/>
    </row>
    <row r="504">
      <c r="A504" s="86"/>
      <c r="B504" s="23"/>
      <c r="C504" s="23"/>
      <c r="D504" s="23"/>
    </row>
    <row r="505">
      <c r="A505" s="86"/>
      <c r="B505" s="23"/>
      <c r="C505" s="23"/>
      <c r="D505" s="23"/>
    </row>
    <row r="506">
      <c r="A506" s="86"/>
      <c r="B506" s="23"/>
      <c r="C506" s="23"/>
      <c r="D506" s="23"/>
    </row>
    <row r="507">
      <c r="A507" s="86"/>
      <c r="B507" s="23"/>
      <c r="C507" s="23"/>
      <c r="D507" s="23"/>
    </row>
    <row r="508">
      <c r="A508" s="86"/>
      <c r="B508" s="23"/>
      <c r="C508" s="23"/>
      <c r="D508" s="23"/>
    </row>
    <row r="509">
      <c r="A509" s="86"/>
      <c r="B509" s="23"/>
      <c r="C509" s="23"/>
      <c r="D509" s="23"/>
    </row>
    <row r="510">
      <c r="A510" s="86"/>
      <c r="B510" s="23"/>
      <c r="C510" s="23"/>
      <c r="D510" s="23"/>
    </row>
    <row r="511">
      <c r="A511" s="86"/>
      <c r="B511" s="23"/>
      <c r="C511" s="23"/>
      <c r="D511" s="23"/>
    </row>
    <row r="512">
      <c r="A512" s="86"/>
      <c r="B512" s="23"/>
      <c r="C512" s="23"/>
      <c r="D512" s="23"/>
    </row>
    <row r="513">
      <c r="A513" s="86"/>
      <c r="B513" s="23"/>
      <c r="C513" s="23"/>
      <c r="D513" s="23"/>
    </row>
    <row r="514">
      <c r="A514" s="86"/>
      <c r="B514" s="23"/>
      <c r="C514" s="23"/>
      <c r="D514" s="23"/>
    </row>
    <row r="515">
      <c r="A515" s="86"/>
      <c r="B515" s="23"/>
      <c r="C515" s="23"/>
      <c r="D515" s="23"/>
    </row>
    <row r="516">
      <c r="A516" s="86"/>
      <c r="B516" s="23"/>
      <c r="C516" s="23"/>
      <c r="D516" s="23"/>
    </row>
    <row r="517">
      <c r="A517" s="86"/>
      <c r="B517" s="23"/>
      <c r="C517" s="23"/>
      <c r="D517" s="23"/>
    </row>
    <row r="518">
      <c r="A518" s="86"/>
      <c r="B518" s="23"/>
      <c r="C518" s="23"/>
      <c r="D518" s="23"/>
    </row>
    <row r="519">
      <c r="A519" s="86"/>
      <c r="B519" s="23"/>
      <c r="C519" s="23"/>
      <c r="D519" s="23"/>
    </row>
    <row r="520">
      <c r="A520" s="86"/>
      <c r="B520" s="23"/>
      <c r="C520" s="23"/>
      <c r="D520" s="23"/>
    </row>
    <row r="521">
      <c r="A521" s="86"/>
      <c r="B521" s="23"/>
      <c r="C521" s="23"/>
      <c r="D521" s="23"/>
    </row>
    <row r="522">
      <c r="A522" s="86"/>
      <c r="B522" s="23"/>
      <c r="C522" s="23"/>
      <c r="D522" s="23"/>
    </row>
    <row r="523">
      <c r="A523" s="86"/>
      <c r="B523" s="23"/>
      <c r="C523" s="23"/>
      <c r="D523" s="23"/>
    </row>
    <row r="524">
      <c r="A524" s="86"/>
      <c r="B524" s="23"/>
      <c r="C524" s="23"/>
      <c r="D524" s="23"/>
    </row>
    <row r="525">
      <c r="A525" s="86"/>
      <c r="B525" s="23"/>
      <c r="C525" s="23"/>
      <c r="D525" s="23"/>
    </row>
    <row r="526">
      <c r="A526" s="86"/>
      <c r="B526" s="23"/>
      <c r="C526" s="23"/>
      <c r="D526" s="23"/>
    </row>
    <row r="527">
      <c r="A527" s="86"/>
      <c r="B527" s="23"/>
      <c r="C527" s="23"/>
      <c r="D527" s="23"/>
    </row>
    <row r="528">
      <c r="A528" s="86"/>
      <c r="B528" s="23"/>
      <c r="C528" s="23"/>
      <c r="D528" s="23"/>
    </row>
    <row r="529">
      <c r="A529" s="86"/>
      <c r="B529" s="23"/>
      <c r="C529" s="23"/>
      <c r="D529" s="23"/>
    </row>
    <row r="530">
      <c r="A530" s="86"/>
      <c r="B530" s="23"/>
      <c r="C530" s="23"/>
      <c r="D530" s="23"/>
    </row>
    <row r="531">
      <c r="A531" s="86"/>
      <c r="B531" s="23"/>
      <c r="C531" s="23"/>
      <c r="D531" s="23"/>
    </row>
    <row r="532">
      <c r="A532" s="86"/>
      <c r="B532" s="23"/>
      <c r="C532" s="23"/>
      <c r="D532" s="23"/>
    </row>
    <row r="533">
      <c r="A533" s="86"/>
      <c r="B533" s="23"/>
      <c r="C533" s="23"/>
      <c r="D533" s="23"/>
    </row>
    <row r="534">
      <c r="A534" s="86"/>
      <c r="B534" s="23"/>
      <c r="C534" s="23"/>
      <c r="D534" s="23"/>
    </row>
    <row r="535">
      <c r="A535" s="86"/>
      <c r="B535" s="23"/>
      <c r="C535" s="23"/>
      <c r="D535" s="23"/>
    </row>
    <row r="536">
      <c r="A536" s="86"/>
      <c r="B536" s="23"/>
      <c r="C536" s="23"/>
      <c r="D536" s="23"/>
    </row>
    <row r="537">
      <c r="A537" s="86"/>
      <c r="B537" s="23"/>
      <c r="C537" s="23"/>
      <c r="D537" s="23"/>
    </row>
    <row r="538">
      <c r="A538" s="86"/>
      <c r="B538" s="23"/>
      <c r="C538" s="23"/>
      <c r="D538" s="23"/>
    </row>
    <row r="539">
      <c r="A539" s="86"/>
      <c r="B539" s="23"/>
      <c r="C539" s="23"/>
      <c r="D539" s="23"/>
    </row>
    <row r="540">
      <c r="A540" s="86"/>
      <c r="B540" s="23"/>
      <c r="C540" s="23"/>
      <c r="D540" s="23"/>
    </row>
    <row r="541">
      <c r="A541" s="86"/>
      <c r="B541" s="23"/>
      <c r="C541" s="23"/>
      <c r="D541" s="23"/>
    </row>
    <row r="542">
      <c r="A542" s="86"/>
      <c r="B542" s="23"/>
      <c r="C542" s="23"/>
      <c r="D542" s="23"/>
    </row>
    <row r="543">
      <c r="A543" s="86"/>
      <c r="B543" s="23"/>
      <c r="C543" s="23"/>
      <c r="D543" s="23"/>
    </row>
    <row r="544">
      <c r="A544" s="86"/>
      <c r="B544" s="23"/>
      <c r="C544" s="23"/>
      <c r="D544" s="23"/>
    </row>
    <row r="545">
      <c r="A545" s="86"/>
      <c r="B545" s="23"/>
      <c r="C545" s="23"/>
      <c r="D545" s="23"/>
    </row>
    <row r="546">
      <c r="A546" s="86"/>
      <c r="B546" s="23"/>
      <c r="C546" s="23"/>
      <c r="D546" s="23"/>
    </row>
    <row r="547">
      <c r="A547" s="86"/>
      <c r="B547" s="23"/>
      <c r="C547" s="23"/>
      <c r="D547" s="23"/>
    </row>
    <row r="548">
      <c r="A548" s="86"/>
      <c r="B548" s="23"/>
      <c r="C548" s="23"/>
      <c r="D548" s="23"/>
    </row>
    <row r="549">
      <c r="A549" s="86"/>
      <c r="B549" s="23"/>
      <c r="C549" s="23"/>
      <c r="D549" s="23"/>
    </row>
    <row r="550">
      <c r="A550" s="86"/>
      <c r="B550" s="23"/>
      <c r="C550" s="23"/>
      <c r="D550" s="23"/>
    </row>
    <row r="551">
      <c r="A551" s="86"/>
      <c r="B551" s="23"/>
      <c r="C551" s="23"/>
      <c r="D551" s="23"/>
    </row>
    <row r="552">
      <c r="A552" s="86"/>
      <c r="B552" s="23"/>
      <c r="C552" s="23"/>
      <c r="D552" s="23"/>
    </row>
    <row r="553">
      <c r="A553" s="86"/>
      <c r="B553" s="23"/>
      <c r="C553" s="23"/>
      <c r="D553" s="23"/>
    </row>
    <row r="554">
      <c r="A554" s="86"/>
      <c r="B554" s="23"/>
      <c r="C554" s="23"/>
      <c r="D554" s="23"/>
    </row>
    <row r="555">
      <c r="A555" s="86"/>
      <c r="B555" s="23"/>
      <c r="C555" s="23"/>
      <c r="D555" s="23"/>
    </row>
    <row r="556">
      <c r="A556" s="86"/>
      <c r="B556" s="23"/>
      <c r="C556" s="23"/>
      <c r="D556" s="23"/>
    </row>
    <row r="557">
      <c r="A557" s="86"/>
      <c r="B557" s="23"/>
      <c r="C557" s="23"/>
      <c r="D557" s="23"/>
    </row>
    <row r="558">
      <c r="A558" s="86"/>
      <c r="B558" s="23"/>
      <c r="C558" s="23"/>
      <c r="D558" s="23"/>
    </row>
    <row r="559">
      <c r="A559" s="86"/>
      <c r="B559" s="23"/>
      <c r="C559" s="23"/>
      <c r="D559" s="23"/>
    </row>
    <row r="560">
      <c r="A560" s="86"/>
      <c r="B560" s="23"/>
      <c r="C560" s="23"/>
      <c r="D560" s="23"/>
    </row>
    <row r="561">
      <c r="A561" s="86"/>
      <c r="B561" s="23"/>
      <c r="C561" s="23"/>
      <c r="D561" s="23"/>
    </row>
    <row r="562">
      <c r="A562" s="86"/>
      <c r="B562" s="23"/>
      <c r="C562" s="23"/>
      <c r="D562" s="23"/>
    </row>
    <row r="563">
      <c r="A563" s="86"/>
      <c r="B563" s="23"/>
      <c r="C563" s="23"/>
      <c r="D563" s="23"/>
    </row>
    <row r="564">
      <c r="A564" s="86"/>
      <c r="B564" s="23"/>
      <c r="C564" s="23"/>
      <c r="D564" s="23"/>
    </row>
    <row r="565">
      <c r="A565" s="86"/>
      <c r="B565" s="23"/>
      <c r="C565" s="23"/>
      <c r="D565" s="23"/>
    </row>
    <row r="566">
      <c r="A566" s="86"/>
      <c r="B566" s="23"/>
      <c r="C566" s="23"/>
      <c r="D566" s="23"/>
    </row>
    <row r="567">
      <c r="A567" s="86"/>
      <c r="B567" s="23"/>
      <c r="C567" s="23"/>
      <c r="D567" s="23"/>
    </row>
    <row r="568">
      <c r="A568" s="86"/>
      <c r="B568" s="23"/>
      <c r="C568" s="23"/>
      <c r="D568" s="23"/>
    </row>
    <row r="569">
      <c r="A569" s="86"/>
      <c r="B569" s="23"/>
      <c r="C569" s="23"/>
      <c r="D569" s="23"/>
    </row>
    <row r="570">
      <c r="A570" s="86"/>
      <c r="B570" s="23"/>
      <c r="C570" s="23"/>
      <c r="D570" s="23"/>
    </row>
    <row r="571">
      <c r="A571" s="86"/>
      <c r="B571" s="23"/>
      <c r="C571" s="23"/>
      <c r="D571" s="23"/>
    </row>
    <row r="572">
      <c r="A572" s="86"/>
      <c r="B572" s="23"/>
      <c r="C572" s="23"/>
      <c r="D572" s="23"/>
    </row>
    <row r="573">
      <c r="A573" s="86"/>
      <c r="B573" s="23"/>
      <c r="C573" s="23"/>
      <c r="D573" s="23"/>
    </row>
    <row r="574">
      <c r="A574" s="86"/>
      <c r="B574" s="23"/>
      <c r="C574" s="23"/>
      <c r="D574" s="23"/>
    </row>
    <row r="575">
      <c r="A575" s="86"/>
      <c r="B575" s="23"/>
      <c r="C575" s="23"/>
      <c r="D575" s="23"/>
    </row>
    <row r="576">
      <c r="A576" s="86"/>
      <c r="B576" s="23"/>
      <c r="C576" s="23"/>
      <c r="D576" s="23"/>
    </row>
    <row r="577">
      <c r="A577" s="86"/>
      <c r="B577" s="23"/>
      <c r="C577" s="23"/>
      <c r="D577" s="23"/>
    </row>
    <row r="578">
      <c r="A578" s="86"/>
      <c r="B578" s="23"/>
      <c r="C578" s="23"/>
      <c r="D578" s="23"/>
    </row>
    <row r="579">
      <c r="A579" s="86"/>
      <c r="B579" s="23"/>
      <c r="C579" s="23"/>
      <c r="D579" s="23"/>
    </row>
    <row r="580">
      <c r="A580" s="86"/>
      <c r="B580" s="23"/>
      <c r="C580" s="23"/>
      <c r="D580" s="23"/>
    </row>
    <row r="581">
      <c r="A581" s="86"/>
      <c r="B581" s="23"/>
      <c r="C581" s="23"/>
      <c r="D581" s="23"/>
    </row>
    <row r="582">
      <c r="A582" s="86"/>
      <c r="B582" s="23"/>
      <c r="C582" s="23"/>
      <c r="D582" s="23"/>
    </row>
    <row r="583">
      <c r="A583" s="86"/>
      <c r="B583" s="23"/>
      <c r="C583" s="23"/>
      <c r="D583" s="23"/>
    </row>
    <row r="584">
      <c r="A584" s="86"/>
      <c r="B584" s="23"/>
      <c r="C584" s="23"/>
      <c r="D584" s="23"/>
    </row>
    <row r="585">
      <c r="A585" s="86"/>
      <c r="B585" s="23"/>
      <c r="C585" s="23"/>
      <c r="D585" s="23"/>
    </row>
    <row r="586">
      <c r="A586" s="86"/>
      <c r="B586" s="23"/>
      <c r="C586" s="23"/>
      <c r="D586" s="23"/>
    </row>
    <row r="587">
      <c r="A587" s="86"/>
      <c r="B587" s="23"/>
      <c r="C587" s="23"/>
      <c r="D587" s="23"/>
    </row>
    <row r="588">
      <c r="A588" s="86"/>
      <c r="B588" s="23"/>
      <c r="C588" s="23"/>
      <c r="D588" s="23"/>
    </row>
    <row r="589">
      <c r="A589" s="86"/>
      <c r="B589" s="23"/>
      <c r="C589" s="23"/>
      <c r="D589" s="23"/>
    </row>
    <row r="590">
      <c r="A590" s="86"/>
      <c r="B590" s="23"/>
      <c r="C590" s="23"/>
      <c r="D590" s="23"/>
    </row>
    <row r="591">
      <c r="A591" s="86"/>
      <c r="B591" s="23"/>
      <c r="C591" s="23"/>
      <c r="D591" s="23"/>
    </row>
    <row r="592">
      <c r="A592" s="86"/>
      <c r="B592" s="23"/>
      <c r="C592" s="23"/>
      <c r="D592" s="23"/>
    </row>
    <row r="593">
      <c r="A593" s="86"/>
      <c r="B593" s="23"/>
      <c r="C593" s="23"/>
      <c r="D593" s="23"/>
    </row>
    <row r="594">
      <c r="A594" s="86"/>
      <c r="B594" s="23"/>
      <c r="C594" s="23"/>
      <c r="D594" s="23"/>
    </row>
    <row r="595">
      <c r="A595" s="86"/>
      <c r="B595" s="23"/>
      <c r="C595" s="23"/>
      <c r="D595" s="23"/>
    </row>
    <row r="596">
      <c r="A596" s="86"/>
      <c r="B596" s="23"/>
      <c r="C596" s="23"/>
      <c r="D596" s="23"/>
    </row>
    <row r="597">
      <c r="A597" s="86"/>
      <c r="B597" s="23"/>
      <c r="C597" s="23"/>
      <c r="D597" s="23"/>
    </row>
    <row r="598">
      <c r="A598" s="86"/>
      <c r="B598" s="23"/>
      <c r="C598" s="23"/>
      <c r="D598" s="23"/>
    </row>
    <row r="599">
      <c r="A599" s="86"/>
      <c r="B599" s="23"/>
      <c r="C599" s="23"/>
      <c r="D599" s="23"/>
    </row>
    <row r="600">
      <c r="A600" s="86"/>
      <c r="B600" s="23"/>
      <c r="C600" s="23"/>
      <c r="D600" s="23"/>
    </row>
    <row r="601">
      <c r="A601" s="86"/>
      <c r="B601" s="23"/>
      <c r="C601" s="23"/>
      <c r="D601" s="23"/>
    </row>
    <row r="602">
      <c r="A602" s="86"/>
      <c r="B602" s="23"/>
      <c r="C602" s="23"/>
      <c r="D602" s="23"/>
    </row>
    <row r="603">
      <c r="A603" s="86"/>
      <c r="B603" s="23"/>
      <c r="C603" s="23"/>
      <c r="D603" s="23"/>
    </row>
    <row r="604">
      <c r="A604" s="86"/>
      <c r="B604" s="23"/>
      <c r="C604" s="23"/>
      <c r="D604" s="23"/>
    </row>
    <row r="605">
      <c r="A605" s="86"/>
      <c r="B605" s="23"/>
      <c r="C605" s="23"/>
      <c r="D605" s="23"/>
    </row>
    <row r="606">
      <c r="A606" s="86"/>
      <c r="B606" s="23"/>
      <c r="C606" s="23"/>
      <c r="D606" s="23"/>
    </row>
    <row r="607">
      <c r="A607" s="86"/>
      <c r="B607" s="23"/>
      <c r="C607" s="23"/>
      <c r="D607" s="23"/>
    </row>
    <row r="608">
      <c r="A608" s="86"/>
      <c r="B608" s="23"/>
      <c r="C608" s="23"/>
      <c r="D608" s="23"/>
    </row>
    <row r="609">
      <c r="A609" s="86"/>
      <c r="B609" s="23"/>
      <c r="C609" s="23"/>
      <c r="D609" s="23"/>
    </row>
    <row r="610">
      <c r="A610" s="86"/>
      <c r="B610" s="23"/>
      <c r="C610" s="23"/>
      <c r="D610" s="23"/>
    </row>
    <row r="611">
      <c r="A611" s="86"/>
      <c r="B611" s="23"/>
      <c r="C611" s="23"/>
      <c r="D611" s="23"/>
    </row>
    <row r="612">
      <c r="A612" s="86"/>
      <c r="B612" s="23"/>
      <c r="C612" s="23"/>
      <c r="D612" s="23"/>
    </row>
    <row r="613">
      <c r="A613" s="86"/>
      <c r="B613" s="23"/>
      <c r="C613" s="23"/>
      <c r="D613" s="23"/>
    </row>
    <row r="614">
      <c r="A614" s="86"/>
      <c r="B614" s="23"/>
      <c r="C614" s="23"/>
      <c r="D614" s="23"/>
    </row>
    <row r="615">
      <c r="A615" s="86"/>
      <c r="B615" s="23"/>
      <c r="C615" s="23"/>
      <c r="D615" s="23"/>
    </row>
    <row r="616">
      <c r="A616" s="86"/>
      <c r="B616" s="23"/>
      <c r="C616" s="23"/>
      <c r="D616" s="23"/>
    </row>
    <row r="617">
      <c r="A617" s="86"/>
      <c r="B617" s="23"/>
      <c r="C617" s="23"/>
      <c r="D617" s="23"/>
    </row>
    <row r="618">
      <c r="A618" s="86"/>
      <c r="B618" s="23"/>
      <c r="C618" s="23"/>
      <c r="D618" s="23"/>
    </row>
    <row r="619">
      <c r="A619" s="86"/>
      <c r="B619" s="23"/>
      <c r="C619" s="23"/>
      <c r="D619" s="23"/>
    </row>
    <row r="620">
      <c r="A620" s="86"/>
      <c r="B620" s="23"/>
      <c r="C620" s="23"/>
      <c r="D620" s="23"/>
    </row>
    <row r="621">
      <c r="A621" s="86"/>
      <c r="B621" s="23"/>
      <c r="C621" s="23"/>
      <c r="D621" s="23"/>
    </row>
    <row r="622">
      <c r="A622" s="86"/>
      <c r="B622" s="23"/>
      <c r="C622" s="23"/>
      <c r="D622" s="23"/>
    </row>
    <row r="623">
      <c r="A623" s="86"/>
      <c r="B623" s="23"/>
      <c r="C623" s="23"/>
      <c r="D623" s="23"/>
    </row>
    <row r="624">
      <c r="A624" s="86"/>
      <c r="B624" s="23"/>
      <c r="C624" s="23"/>
      <c r="D624" s="23"/>
    </row>
    <row r="625">
      <c r="A625" s="86"/>
      <c r="B625" s="23"/>
      <c r="C625" s="23"/>
      <c r="D625" s="23"/>
    </row>
    <row r="626">
      <c r="A626" s="86"/>
      <c r="B626" s="23"/>
      <c r="C626" s="23"/>
      <c r="D626" s="23"/>
    </row>
    <row r="627">
      <c r="A627" s="86"/>
      <c r="B627" s="23"/>
      <c r="C627" s="23"/>
      <c r="D627" s="23"/>
    </row>
    <row r="628">
      <c r="A628" s="86"/>
      <c r="B628" s="23"/>
      <c r="C628" s="23"/>
      <c r="D628" s="23"/>
    </row>
    <row r="629">
      <c r="A629" s="86"/>
      <c r="B629" s="23"/>
      <c r="C629" s="23"/>
      <c r="D629" s="23"/>
    </row>
    <row r="630">
      <c r="A630" s="86"/>
      <c r="B630" s="23"/>
      <c r="C630" s="23"/>
      <c r="D630" s="23"/>
    </row>
    <row r="631">
      <c r="A631" s="86"/>
      <c r="B631" s="23"/>
      <c r="C631" s="23"/>
      <c r="D631" s="23"/>
    </row>
    <row r="632">
      <c r="A632" s="86"/>
      <c r="B632" s="23"/>
      <c r="C632" s="23"/>
      <c r="D632" s="23"/>
    </row>
    <row r="633">
      <c r="A633" s="86"/>
      <c r="B633" s="23"/>
      <c r="C633" s="23"/>
      <c r="D633" s="23"/>
    </row>
    <row r="634">
      <c r="A634" s="86"/>
      <c r="B634" s="23"/>
      <c r="C634" s="23"/>
      <c r="D634" s="23"/>
    </row>
    <row r="635">
      <c r="A635" s="86"/>
      <c r="B635" s="23"/>
      <c r="C635" s="23"/>
      <c r="D635" s="23"/>
    </row>
    <row r="636">
      <c r="A636" s="86"/>
      <c r="B636" s="23"/>
      <c r="C636" s="23"/>
      <c r="D636" s="23"/>
    </row>
    <row r="637">
      <c r="A637" s="86"/>
      <c r="B637" s="23"/>
      <c r="C637" s="23"/>
      <c r="D637" s="23"/>
    </row>
    <row r="638">
      <c r="A638" s="86"/>
      <c r="B638" s="23"/>
      <c r="C638" s="23"/>
      <c r="D638" s="23"/>
    </row>
    <row r="639">
      <c r="A639" s="86"/>
      <c r="B639" s="23"/>
      <c r="C639" s="23"/>
      <c r="D639" s="23"/>
    </row>
    <row r="640">
      <c r="A640" s="86"/>
      <c r="B640" s="23"/>
      <c r="C640" s="23"/>
      <c r="D640" s="23"/>
    </row>
    <row r="641">
      <c r="A641" s="86"/>
      <c r="B641" s="23"/>
      <c r="C641" s="23"/>
      <c r="D641" s="23"/>
    </row>
    <row r="642">
      <c r="A642" s="86"/>
      <c r="B642" s="23"/>
      <c r="C642" s="23"/>
      <c r="D642" s="23"/>
    </row>
    <row r="643">
      <c r="A643" s="86"/>
      <c r="B643" s="23"/>
      <c r="C643" s="23"/>
      <c r="D643" s="23"/>
    </row>
    <row r="644">
      <c r="A644" s="86"/>
      <c r="B644" s="23"/>
      <c r="C644" s="23"/>
      <c r="D644" s="23"/>
    </row>
    <row r="645">
      <c r="A645" s="86"/>
      <c r="B645" s="23"/>
      <c r="C645" s="23"/>
      <c r="D645" s="23"/>
    </row>
    <row r="646">
      <c r="A646" s="86"/>
      <c r="B646" s="23"/>
      <c r="C646" s="23"/>
      <c r="D646" s="23"/>
    </row>
    <row r="647">
      <c r="A647" s="86"/>
      <c r="B647" s="23"/>
      <c r="C647" s="23"/>
      <c r="D647" s="23"/>
    </row>
    <row r="648">
      <c r="A648" s="86"/>
      <c r="B648" s="23"/>
      <c r="C648" s="23"/>
      <c r="D648" s="23"/>
    </row>
    <row r="649">
      <c r="A649" s="86"/>
      <c r="B649" s="23"/>
      <c r="C649" s="23"/>
      <c r="D649" s="23"/>
    </row>
    <row r="650">
      <c r="A650" s="86"/>
      <c r="B650" s="23"/>
      <c r="C650" s="23"/>
      <c r="D650" s="23"/>
    </row>
    <row r="651">
      <c r="A651" s="86"/>
      <c r="B651" s="23"/>
      <c r="C651" s="23"/>
      <c r="D651" s="23"/>
    </row>
    <row r="652">
      <c r="A652" s="86"/>
      <c r="B652" s="23"/>
      <c r="C652" s="23"/>
      <c r="D652" s="23"/>
    </row>
    <row r="653">
      <c r="A653" s="86"/>
      <c r="B653" s="23"/>
      <c r="C653" s="23"/>
      <c r="D653" s="23"/>
    </row>
    <row r="654">
      <c r="A654" s="86"/>
      <c r="B654" s="23"/>
      <c r="C654" s="23"/>
      <c r="D654" s="23"/>
    </row>
    <row r="655">
      <c r="A655" s="86"/>
      <c r="B655" s="23"/>
      <c r="C655" s="23"/>
      <c r="D655" s="23"/>
    </row>
    <row r="656">
      <c r="A656" s="86"/>
      <c r="B656" s="23"/>
      <c r="C656" s="23"/>
      <c r="D656" s="23"/>
    </row>
    <row r="657">
      <c r="A657" s="86"/>
      <c r="B657" s="23"/>
      <c r="C657" s="23"/>
      <c r="D657" s="23"/>
    </row>
    <row r="658">
      <c r="A658" s="86"/>
      <c r="B658" s="23"/>
      <c r="C658" s="23"/>
      <c r="D658" s="23"/>
    </row>
    <row r="659">
      <c r="A659" s="86"/>
      <c r="B659" s="23"/>
      <c r="C659" s="23"/>
      <c r="D659" s="23"/>
    </row>
    <row r="660">
      <c r="A660" s="86"/>
      <c r="B660" s="23"/>
      <c r="C660" s="23"/>
      <c r="D660" s="23"/>
    </row>
    <row r="661">
      <c r="A661" s="86"/>
      <c r="B661" s="23"/>
      <c r="C661" s="23"/>
      <c r="D661" s="23"/>
    </row>
    <row r="662">
      <c r="A662" s="86"/>
      <c r="B662" s="23"/>
      <c r="C662" s="23"/>
      <c r="D662" s="23"/>
    </row>
    <row r="663">
      <c r="A663" s="86"/>
      <c r="B663" s="23"/>
      <c r="C663" s="23"/>
      <c r="D663" s="23"/>
    </row>
    <row r="664">
      <c r="A664" s="86"/>
      <c r="B664" s="23"/>
      <c r="C664" s="23"/>
      <c r="D664" s="23"/>
    </row>
    <row r="665">
      <c r="A665" s="86"/>
      <c r="B665" s="23"/>
      <c r="C665" s="23"/>
      <c r="D665" s="23"/>
    </row>
    <row r="666">
      <c r="A666" s="86"/>
      <c r="B666" s="23"/>
      <c r="C666" s="23"/>
      <c r="D666" s="23"/>
    </row>
    <row r="667">
      <c r="A667" s="86"/>
      <c r="B667" s="23"/>
      <c r="C667" s="23"/>
      <c r="D667" s="23"/>
    </row>
    <row r="668">
      <c r="A668" s="86"/>
      <c r="B668" s="23"/>
      <c r="C668" s="23"/>
      <c r="D668" s="23"/>
    </row>
    <row r="669">
      <c r="A669" s="86"/>
      <c r="B669" s="23"/>
      <c r="C669" s="23"/>
      <c r="D669" s="23"/>
    </row>
    <row r="670">
      <c r="A670" s="86"/>
      <c r="B670" s="23"/>
      <c r="C670" s="23"/>
      <c r="D670" s="23"/>
    </row>
    <row r="671">
      <c r="A671" s="86"/>
      <c r="B671" s="23"/>
      <c r="C671" s="23"/>
      <c r="D671" s="23"/>
    </row>
    <row r="672">
      <c r="A672" s="86"/>
      <c r="B672" s="23"/>
      <c r="C672" s="23"/>
      <c r="D672" s="23"/>
    </row>
    <row r="673">
      <c r="A673" s="86"/>
      <c r="B673" s="23"/>
      <c r="C673" s="23"/>
      <c r="D673" s="23"/>
    </row>
    <row r="674">
      <c r="A674" s="86"/>
      <c r="B674" s="23"/>
      <c r="C674" s="23"/>
      <c r="D674" s="23"/>
    </row>
    <row r="675">
      <c r="A675" s="86"/>
      <c r="B675" s="23"/>
      <c r="C675" s="23"/>
      <c r="D675" s="23"/>
    </row>
    <row r="676">
      <c r="A676" s="86"/>
      <c r="B676" s="23"/>
      <c r="C676" s="23"/>
      <c r="D676" s="23"/>
    </row>
    <row r="677">
      <c r="A677" s="86"/>
      <c r="B677" s="23"/>
      <c r="C677" s="23"/>
      <c r="D677" s="23"/>
    </row>
    <row r="678">
      <c r="A678" s="86"/>
      <c r="B678" s="23"/>
      <c r="C678" s="23"/>
      <c r="D678" s="23"/>
    </row>
    <row r="679">
      <c r="A679" s="86"/>
      <c r="B679" s="23"/>
      <c r="C679" s="23"/>
      <c r="D679" s="23"/>
    </row>
    <row r="680">
      <c r="A680" s="86"/>
      <c r="B680" s="23"/>
      <c r="C680" s="23"/>
      <c r="D680" s="23"/>
    </row>
    <row r="681">
      <c r="A681" s="86"/>
      <c r="B681" s="23"/>
      <c r="C681" s="23"/>
      <c r="D681" s="23"/>
    </row>
    <row r="682">
      <c r="A682" s="86"/>
      <c r="B682" s="23"/>
      <c r="C682" s="23"/>
      <c r="D682" s="23"/>
    </row>
    <row r="683">
      <c r="A683" s="86"/>
      <c r="B683" s="23"/>
      <c r="C683" s="23"/>
      <c r="D683" s="23"/>
    </row>
    <row r="684">
      <c r="A684" s="86"/>
      <c r="B684" s="23"/>
      <c r="C684" s="23"/>
      <c r="D684" s="23"/>
    </row>
    <row r="685">
      <c r="A685" s="86"/>
      <c r="B685" s="23"/>
      <c r="C685" s="23"/>
      <c r="D685" s="23"/>
    </row>
    <row r="686">
      <c r="A686" s="86"/>
      <c r="B686" s="23"/>
      <c r="C686" s="23"/>
      <c r="D686" s="23"/>
    </row>
    <row r="687">
      <c r="A687" s="86"/>
      <c r="B687" s="23"/>
      <c r="C687" s="23"/>
      <c r="D687" s="23"/>
    </row>
    <row r="688">
      <c r="A688" s="86"/>
      <c r="B688" s="23"/>
      <c r="C688" s="23"/>
      <c r="D688" s="23"/>
    </row>
    <row r="689">
      <c r="A689" s="86"/>
      <c r="B689" s="23"/>
      <c r="C689" s="23"/>
      <c r="D689" s="23"/>
    </row>
    <row r="690">
      <c r="A690" s="86"/>
      <c r="B690" s="23"/>
      <c r="C690" s="23"/>
      <c r="D690" s="23"/>
    </row>
    <row r="691">
      <c r="A691" s="86"/>
      <c r="B691" s="23"/>
      <c r="C691" s="23"/>
      <c r="D691" s="23"/>
    </row>
    <row r="692">
      <c r="A692" s="86"/>
      <c r="B692" s="23"/>
      <c r="C692" s="23"/>
      <c r="D692" s="23"/>
    </row>
    <row r="693">
      <c r="A693" s="86"/>
      <c r="B693" s="23"/>
      <c r="C693" s="23"/>
      <c r="D693" s="23"/>
    </row>
    <row r="694">
      <c r="A694" s="86"/>
      <c r="B694" s="23"/>
      <c r="C694" s="23"/>
      <c r="D694" s="23"/>
    </row>
    <row r="695">
      <c r="A695" s="86"/>
      <c r="B695" s="23"/>
      <c r="C695" s="23"/>
      <c r="D695" s="23"/>
    </row>
    <row r="696">
      <c r="A696" s="86"/>
      <c r="B696" s="23"/>
      <c r="C696" s="23"/>
      <c r="D696" s="23"/>
    </row>
    <row r="697">
      <c r="A697" s="86"/>
      <c r="B697" s="23"/>
      <c r="C697" s="23"/>
      <c r="D697" s="23"/>
    </row>
    <row r="698">
      <c r="A698" s="86"/>
      <c r="B698" s="23"/>
      <c r="C698" s="23"/>
      <c r="D698" s="23"/>
    </row>
    <row r="699">
      <c r="A699" s="86"/>
      <c r="B699" s="23"/>
      <c r="C699" s="23"/>
      <c r="D699" s="23"/>
    </row>
    <row r="700">
      <c r="A700" s="86"/>
      <c r="B700" s="23"/>
      <c r="C700" s="23"/>
      <c r="D700" s="23"/>
    </row>
    <row r="701">
      <c r="A701" s="86"/>
      <c r="B701" s="23"/>
      <c r="C701" s="23"/>
      <c r="D701" s="23"/>
    </row>
    <row r="702">
      <c r="A702" s="86"/>
      <c r="B702" s="23"/>
      <c r="C702" s="23"/>
      <c r="D702" s="23"/>
    </row>
    <row r="703">
      <c r="A703" s="86"/>
      <c r="B703" s="23"/>
      <c r="C703" s="23"/>
      <c r="D703" s="23"/>
    </row>
    <row r="704">
      <c r="A704" s="86"/>
      <c r="B704" s="23"/>
      <c r="C704" s="23"/>
      <c r="D704" s="23"/>
    </row>
    <row r="705">
      <c r="A705" s="86"/>
      <c r="B705" s="23"/>
      <c r="C705" s="23"/>
      <c r="D705" s="23"/>
    </row>
    <row r="706">
      <c r="A706" s="86"/>
      <c r="B706" s="23"/>
      <c r="C706" s="23"/>
      <c r="D706" s="23"/>
    </row>
    <row r="707">
      <c r="A707" s="86"/>
      <c r="B707" s="23"/>
      <c r="C707" s="23"/>
      <c r="D707" s="23"/>
    </row>
    <row r="708">
      <c r="A708" s="86"/>
      <c r="B708" s="23"/>
      <c r="C708" s="23"/>
      <c r="D708" s="23"/>
    </row>
    <row r="709">
      <c r="A709" s="86"/>
      <c r="B709" s="23"/>
      <c r="C709" s="23"/>
      <c r="D709" s="23"/>
    </row>
    <row r="710">
      <c r="A710" s="86"/>
      <c r="B710" s="23"/>
      <c r="C710" s="23"/>
      <c r="D710" s="23"/>
    </row>
    <row r="711">
      <c r="A711" s="86"/>
      <c r="B711" s="23"/>
      <c r="C711" s="23"/>
      <c r="D711" s="23"/>
    </row>
    <row r="712">
      <c r="A712" s="86"/>
      <c r="B712" s="23"/>
      <c r="C712" s="23"/>
      <c r="D712" s="23"/>
    </row>
    <row r="713">
      <c r="A713" s="86"/>
      <c r="B713" s="23"/>
      <c r="C713" s="23"/>
      <c r="D713" s="23"/>
    </row>
    <row r="714">
      <c r="A714" s="86"/>
      <c r="B714" s="23"/>
      <c r="C714" s="23"/>
      <c r="D714" s="23"/>
    </row>
    <row r="715">
      <c r="A715" s="86"/>
      <c r="B715" s="23"/>
      <c r="C715" s="23"/>
      <c r="D715" s="23"/>
    </row>
    <row r="716">
      <c r="A716" s="86"/>
      <c r="B716" s="23"/>
      <c r="C716" s="23"/>
      <c r="D716" s="23"/>
    </row>
    <row r="717">
      <c r="A717" s="86"/>
      <c r="B717" s="23"/>
      <c r="C717" s="23"/>
      <c r="D717" s="23"/>
    </row>
    <row r="718">
      <c r="A718" s="86"/>
      <c r="B718" s="23"/>
      <c r="C718" s="23"/>
      <c r="D718" s="23"/>
    </row>
    <row r="719">
      <c r="A719" s="86"/>
      <c r="B719" s="23"/>
      <c r="C719" s="23"/>
      <c r="D719" s="23"/>
    </row>
    <row r="720">
      <c r="A720" s="86"/>
      <c r="B720" s="23"/>
      <c r="C720" s="23"/>
      <c r="D720" s="23"/>
    </row>
    <row r="721">
      <c r="A721" s="86"/>
      <c r="B721" s="23"/>
      <c r="C721" s="23"/>
      <c r="D721" s="23"/>
    </row>
    <row r="722">
      <c r="A722" s="86"/>
      <c r="B722" s="23"/>
      <c r="C722" s="23"/>
      <c r="D722" s="23"/>
    </row>
    <row r="723">
      <c r="A723" s="86"/>
      <c r="B723" s="23"/>
      <c r="C723" s="23"/>
      <c r="D723" s="23"/>
    </row>
    <row r="724">
      <c r="A724" s="86"/>
      <c r="B724" s="23"/>
      <c r="C724" s="23"/>
      <c r="D724" s="23"/>
    </row>
    <row r="725">
      <c r="A725" s="86"/>
      <c r="B725" s="23"/>
      <c r="C725" s="23"/>
      <c r="D725" s="23"/>
    </row>
    <row r="726">
      <c r="A726" s="86"/>
      <c r="B726" s="23"/>
      <c r="C726" s="23"/>
      <c r="D726" s="23"/>
    </row>
    <row r="727">
      <c r="A727" s="86"/>
      <c r="B727" s="23"/>
      <c r="C727" s="23"/>
      <c r="D727" s="23"/>
    </row>
    <row r="728">
      <c r="A728" s="86"/>
      <c r="B728" s="23"/>
      <c r="C728" s="23"/>
      <c r="D728" s="23"/>
    </row>
    <row r="729">
      <c r="A729" s="86"/>
      <c r="B729" s="23"/>
      <c r="C729" s="23"/>
      <c r="D729" s="23"/>
    </row>
    <row r="730">
      <c r="A730" s="86"/>
      <c r="B730" s="23"/>
      <c r="C730" s="23"/>
      <c r="D730" s="23"/>
    </row>
    <row r="731">
      <c r="A731" s="86"/>
      <c r="B731" s="23"/>
      <c r="C731" s="23"/>
      <c r="D731" s="23"/>
    </row>
    <row r="732">
      <c r="A732" s="86"/>
      <c r="B732" s="23"/>
      <c r="C732" s="23"/>
      <c r="D732" s="23"/>
    </row>
    <row r="733">
      <c r="A733" s="86"/>
      <c r="B733" s="23"/>
      <c r="C733" s="23"/>
      <c r="D733" s="23"/>
    </row>
    <row r="734">
      <c r="A734" s="86"/>
      <c r="B734" s="23"/>
      <c r="C734" s="23"/>
      <c r="D734" s="23"/>
    </row>
    <row r="735">
      <c r="A735" s="86"/>
      <c r="B735" s="23"/>
      <c r="C735" s="23"/>
      <c r="D735" s="23"/>
    </row>
    <row r="736">
      <c r="A736" s="86"/>
      <c r="B736" s="23"/>
      <c r="C736" s="23"/>
      <c r="D736" s="23"/>
    </row>
    <row r="737">
      <c r="A737" s="86"/>
      <c r="B737" s="23"/>
      <c r="C737" s="23"/>
      <c r="D737" s="23"/>
    </row>
    <row r="738">
      <c r="A738" s="86"/>
      <c r="B738" s="23"/>
      <c r="C738" s="23"/>
      <c r="D738" s="23"/>
    </row>
    <row r="739">
      <c r="A739" s="86"/>
      <c r="B739" s="23"/>
      <c r="C739" s="23"/>
      <c r="D739" s="23"/>
    </row>
    <row r="740">
      <c r="A740" s="86"/>
      <c r="B740" s="23"/>
      <c r="C740" s="23"/>
      <c r="D740" s="23"/>
    </row>
    <row r="741">
      <c r="A741" s="86"/>
      <c r="B741" s="23"/>
      <c r="C741" s="23"/>
      <c r="D741" s="23"/>
    </row>
    <row r="742">
      <c r="A742" s="86"/>
      <c r="B742" s="23"/>
      <c r="C742" s="23"/>
      <c r="D742" s="23"/>
    </row>
    <row r="743">
      <c r="A743" s="86"/>
      <c r="B743" s="23"/>
      <c r="C743" s="23"/>
      <c r="D743" s="23"/>
    </row>
    <row r="744">
      <c r="A744" s="86"/>
      <c r="B744" s="23"/>
      <c r="C744" s="23"/>
      <c r="D744" s="23"/>
    </row>
    <row r="745">
      <c r="A745" s="86"/>
      <c r="B745" s="23"/>
      <c r="C745" s="23"/>
      <c r="D745" s="23"/>
    </row>
    <row r="746">
      <c r="A746" s="86"/>
      <c r="B746" s="23"/>
      <c r="C746" s="23"/>
      <c r="D746" s="23"/>
    </row>
    <row r="747">
      <c r="A747" s="86"/>
      <c r="B747" s="23"/>
      <c r="C747" s="23"/>
      <c r="D747" s="23"/>
    </row>
    <row r="748">
      <c r="A748" s="86"/>
      <c r="B748" s="23"/>
      <c r="C748" s="23"/>
      <c r="D748" s="23"/>
    </row>
    <row r="749">
      <c r="A749" s="86"/>
      <c r="B749" s="23"/>
      <c r="C749" s="23"/>
      <c r="D749" s="23"/>
    </row>
    <row r="750">
      <c r="A750" s="86"/>
      <c r="B750" s="23"/>
      <c r="C750" s="23"/>
      <c r="D750" s="23"/>
    </row>
    <row r="751">
      <c r="A751" s="86"/>
      <c r="B751" s="23"/>
      <c r="C751" s="23"/>
      <c r="D751" s="23"/>
    </row>
    <row r="752">
      <c r="A752" s="86"/>
      <c r="B752" s="23"/>
      <c r="C752" s="23"/>
      <c r="D752" s="23"/>
    </row>
    <row r="753">
      <c r="A753" s="86"/>
      <c r="B753" s="23"/>
      <c r="C753" s="23"/>
      <c r="D753" s="23"/>
    </row>
    <row r="754">
      <c r="A754" s="86"/>
      <c r="B754" s="23"/>
      <c r="C754" s="23"/>
      <c r="D754" s="23"/>
    </row>
    <row r="755">
      <c r="A755" s="86"/>
      <c r="B755" s="23"/>
      <c r="C755" s="23"/>
      <c r="D755" s="23"/>
    </row>
    <row r="756">
      <c r="A756" s="86"/>
      <c r="B756" s="23"/>
      <c r="C756" s="23"/>
      <c r="D756" s="23"/>
    </row>
    <row r="757">
      <c r="A757" s="86"/>
      <c r="B757" s="23"/>
      <c r="C757" s="23"/>
      <c r="D757" s="23"/>
    </row>
    <row r="758">
      <c r="A758" s="86"/>
      <c r="B758" s="23"/>
      <c r="C758" s="23"/>
      <c r="D758" s="23"/>
    </row>
    <row r="759">
      <c r="A759" s="86"/>
      <c r="B759" s="23"/>
      <c r="C759" s="23"/>
      <c r="D759" s="23"/>
    </row>
    <row r="760">
      <c r="A760" s="86"/>
      <c r="B760" s="23"/>
      <c r="C760" s="23"/>
      <c r="D760" s="23"/>
    </row>
    <row r="761">
      <c r="A761" s="86"/>
      <c r="B761" s="23"/>
      <c r="C761" s="23"/>
      <c r="D761" s="23"/>
    </row>
    <row r="762">
      <c r="A762" s="86"/>
      <c r="B762" s="23"/>
      <c r="C762" s="23"/>
      <c r="D762" s="23"/>
    </row>
    <row r="763">
      <c r="A763" s="86"/>
      <c r="B763" s="23"/>
      <c r="C763" s="23"/>
      <c r="D763" s="23"/>
    </row>
    <row r="764">
      <c r="A764" s="86"/>
      <c r="B764" s="23"/>
      <c r="C764" s="23"/>
      <c r="D764" s="23"/>
    </row>
    <row r="765">
      <c r="A765" s="86"/>
      <c r="B765" s="23"/>
      <c r="C765" s="23"/>
      <c r="D765" s="23"/>
    </row>
    <row r="766">
      <c r="A766" s="86"/>
      <c r="B766" s="23"/>
      <c r="C766" s="23"/>
      <c r="D766" s="23"/>
    </row>
    <row r="767">
      <c r="A767" s="86"/>
      <c r="B767" s="23"/>
      <c r="C767" s="23"/>
      <c r="D767" s="23"/>
    </row>
    <row r="768">
      <c r="A768" s="86"/>
      <c r="B768" s="23"/>
      <c r="C768" s="23"/>
      <c r="D768" s="23"/>
    </row>
    <row r="769">
      <c r="A769" s="86"/>
      <c r="B769" s="23"/>
      <c r="C769" s="23"/>
      <c r="D769" s="23"/>
    </row>
    <row r="770">
      <c r="A770" s="86"/>
      <c r="B770" s="23"/>
      <c r="C770" s="23"/>
      <c r="D770" s="23"/>
    </row>
    <row r="771">
      <c r="A771" s="86"/>
      <c r="B771" s="23"/>
      <c r="C771" s="23"/>
      <c r="D771" s="23"/>
    </row>
    <row r="772">
      <c r="A772" s="86"/>
      <c r="B772" s="23"/>
      <c r="C772" s="23"/>
      <c r="D772" s="23"/>
    </row>
    <row r="773">
      <c r="A773" s="86"/>
      <c r="B773" s="23"/>
      <c r="C773" s="23"/>
      <c r="D773" s="23"/>
    </row>
    <row r="774">
      <c r="A774" s="86"/>
      <c r="B774" s="23"/>
      <c r="C774" s="23"/>
      <c r="D774" s="23"/>
    </row>
    <row r="775">
      <c r="A775" s="86"/>
      <c r="B775" s="23"/>
      <c r="C775" s="23"/>
      <c r="D775" s="23"/>
    </row>
    <row r="776">
      <c r="A776" s="86"/>
      <c r="B776" s="23"/>
      <c r="C776" s="23"/>
      <c r="D776" s="23"/>
    </row>
    <row r="777">
      <c r="A777" s="86"/>
      <c r="B777" s="23"/>
      <c r="C777" s="23"/>
      <c r="D777" s="23"/>
    </row>
    <row r="778">
      <c r="A778" s="86"/>
      <c r="B778" s="23"/>
      <c r="C778" s="23"/>
      <c r="D778" s="23"/>
    </row>
    <row r="779">
      <c r="A779" s="86"/>
      <c r="B779" s="23"/>
      <c r="C779" s="23"/>
      <c r="D779" s="23"/>
    </row>
    <row r="780">
      <c r="A780" s="86"/>
      <c r="B780" s="23"/>
      <c r="C780" s="23"/>
      <c r="D780" s="23"/>
    </row>
    <row r="781">
      <c r="A781" s="86"/>
      <c r="B781" s="23"/>
      <c r="C781" s="23"/>
      <c r="D781" s="23"/>
    </row>
    <row r="782">
      <c r="A782" s="86"/>
      <c r="B782" s="23"/>
      <c r="C782" s="23"/>
      <c r="D782" s="23"/>
    </row>
    <row r="783">
      <c r="A783" s="86"/>
      <c r="B783" s="23"/>
      <c r="C783" s="23"/>
      <c r="D783" s="23"/>
    </row>
    <row r="784">
      <c r="A784" s="86"/>
      <c r="B784" s="23"/>
      <c r="C784" s="23"/>
      <c r="D784" s="23"/>
    </row>
    <row r="785">
      <c r="A785" s="86"/>
      <c r="B785" s="23"/>
      <c r="C785" s="23"/>
      <c r="D785" s="23"/>
    </row>
    <row r="786">
      <c r="A786" s="86"/>
      <c r="B786" s="23"/>
      <c r="C786" s="23"/>
      <c r="D786" s="23"/>
    </row>
    <row r="787">
      <c r="A787" s="86"/>
      <c r="B787" s="23"/>
      <c r="C787" s="23"/>
      <c r="D787" s="23"/>
    </row>
    <row r="788">
      <c r="A788" s="86"/>
      <c r="B788" s="23"/>
      <c r="C788" s="23"/>
      <c r="D788" s="23"/>
    </row>
    <row r="789">
      <c r="A789" s="86"/>
      <c r="B789" s="23"/>
      <c r="C789" s="23"/>
      <c r="D789" s="23"/>
    </row>
    <row r="790">
      <c r="A790" s="86"/>
      <c r="B790" s="23"/>
      <c r="C790" s="23"/>
      <c r="D790" s="23"/>
    </row>
    <row r="791">
      <c r="A791" s="86"/>
      <c r="B791" s="23"/>
      <c r="C791" s="23"/>
      <c r="D791" s="23"/>
    </row>
    <row r="792">
      <c r="A792" s="86"/>
      <c r="B792" s="23"/>
      <c r="C792" s="23"/>
      <c r="D792" s="23"/>
    </row>
    <row r="793">
      <c r="A793" s="86"/>
      <c r="B793" s="23"/>
      <c r="C793" s="23"/>
      <c r="D793" s="23"/>
    </row>
    <row r="794">
      <c r="A794" s="86"/>
      <c r="B794" s="23"/>
      <c r="C794" s="23"/>
      <c r="D794" s="23"/>
    </row>
    <row r="795">
      <c r="A795" s="86"/>
      <c r="B795" s="23"/>
      <c r="C795" s="23"/>
      <c r="D795" s="23"/>
    </row>
    <row r="796">
      <c r="A796" s="86"/>
      <c r="B796" s="23"/>
      <c r="C796" s="23"/>
      <c r="D796" s="23"/>
    </row>
    <row r="797">
      <c r="A797" s="86"/>
      <c r="B797" s="23"/>
      <c r="C797" s="23"/>
      <c r="D797" s="23"/>
    </row>
    <row r="798">
      <c r="A798" s="86"/>
      <c r="B798" s="23"/>
      <c r="C798" s="23"/>
      <c r="D798" s="23"/>
    </row>
    <row r="799">
      <c r="A799" s="86"/>
      <c r="B799" s="23"/>
      <c r="C799" s="23"/>
      <c r="D799" s="23"/>
    </row>
    <row r="800">
      <c r="A800" s="86"/>
      <c r="B800" s="23"/>
      <c r="C800" s="23"/>
      <c r="D800" s="23"/>
    </row>
    <row r="801">
      <c r="A801" s="86"/>
      <c r="B801" s="23"/>
      <c r="C801" s="23"/>
      <c r="D801" s="23"/>
    </row>
    <row r="802">
      <c r="A802" s="86"/>
      <c r="B802" s="23"/>
      <c r="C802" s="23"/>
      <c r="D802" s="23"/>
    </row>
    <row r="803">
      <c r="A803" s="86"/>
      <c r="B803" s="23"/>
      <c r="C803" s="23"/>
      <c r="D803" s="23"/>
    </row>
    <row r="804">
      <c r="A804" s="86"/>
      <c r="B804" s="23"/>
      <c r="C804" s="23"/>
      <c r="D804" s="23"/>
    </row>
    <row r="805">
      <c r="A805" s="86"/>
      <c r="B805" s="23"/>
      <c r="C805" s="23"/>
      <c r="D805" s="23"/>
    </row>
    <row r="806">
      <c r="A806" s="86"/>
      <c r="B806" s="23"/>
      <c r="C806" s="23"/>
      <c r="D806" s="23"/>
    </row>
    <row r="807">
      <c r="A807" s="86"/>
      <c r="B807" s="23"/>
      <c r="C807" s="23"/>
      <c r="D807" s="23"/>
    </row>
    <row r="808">
      <c r="A808" s="86"/>
      <c r="B808" s="23"/>
      <c r="C808" s="23"/>
      <c r="D808" s="23"/>
    </row>
    <row r="809">
      <c r="A809" s="86"/>
      <c r="B809" s="23"/>
      <c r="C809" s="23"/>
      <c r="D809" s="23"/>
    </row>
    <row r="810">
      <c r="A810" s="86"/>
      <c r="B810" s="23"/>
      <c r="C810" s="23"/>
      <c r="D810" s="23"/>
    </row>
    <row r="811">
      <c r="A811" s="86"/>
      <c r="B811" s="23"/>
      <c r="C811" s="23"/>
      <c r="D811" s="23"/>
    </row>
    <row r="812">
      <c r="A812" s="86"/>
      <c r="B812" s="23"/>
      <c r="C812" s="23"/>
      <c r="D812" s="23"/>
    </row>
    <row r="813">
      <c r="A813" s="86"/>
      <c r="B813" s="23"/>
      <c r="C813" s="23"/>
      <c r="D813" s="23"/>
    </row>
    <row r="814">
      <c r="A814" s="86"/>
      <c r="B814" s="23"/>
      <c r="C814" s="23"/>
      <c r="D814" s="23"/>
    </row>
    <row r="815">
      <c r="A815" s="86"/>
      <c r="B815" s="23"/>
      <c r="C815" s="23"/>
      <c r="D815" s="23"/>
    </row>
    <row r="816">
      <c r="A816" s="86"/>
      <c r="B816" s="23"/>
      <c r="C816" s="23"/>
      <c r="D816" s="23"/>
    </row>
    <row r="817">
      <c r="A817" s="86"/>
      <c r="B817" s="23"/>
      <c r="C817" s="23"/>
      <c r="D817" s="23"/>
    </row>
    <row r="818">
      <c r="A818" s="86"/>
      <c r="B818" s="23"/>
      <c r="C818" s="23"/>
      <c r="D818" s="23"/>
    </row>
    <row r="819">
      <c r="A819" s="86"/>
      <c r="B819" s="23"/>
      <c r="C819" s="23"/>
      <c r="D819" s="23"/>
    </row>
    <row r="820">
      <c r="A820" s="86"/>
      <c r="B820" s="23"/>
      <c r="C820" s="23"/>
      <c r="D820" s="23"/>
    </row>
    <row r="821">
      <c r="A821" s="86"/>
      <c r="B821" s="23"/>
      <c r="C821" s="23"/>
      <c r="D821" s="23"/>
    </row>
    <row r="822">
      <c r="A822" s="86"/>
      <c r="B822" s="23"/>
      <c r="C822" s="23"/>
      <c r="D822" s="23"/>
    </row>
    <row r="823">
      <c r="A823" s="86"/>
      <c r="B823" s="23"/>
      <c r="C823" s="23"/>
      <c r="D823" s="23"/>
    </row>
    <row r="824">
      <c r="A824" s="86"/>
      <c r="B824" s="23"/>
      <c r="C824" s="23"/>
      <c r="D824" s="23"/>
    </row>
    <row r="825">
      <c r="A825" s="86"/>
      <c r="B825" s="23"/>
      <c r="C825" s="23"/>
      <c r="D825" s="23"/>
    </row>
    <row r="826">
      <c r="A826" s="86"/>
      <c r="B826" s="23"/>
      <c r="C826" s="23"/>
      <c r="D826" s="23"/>
    </row>
    <row r="827">
      <c r="A827" s="86"/>
      <c r="B827" s="23"/>
      <c r="C827" s="23"/>
      <c r="D827" s="23"/>
    </row>
    <row r="828">
      <c r="A828" s="86"/>
      <c r="B828" s="23"/>
      <c r="C828" s="23"/>
      <c r="D828" s="23"/>
    </row>
    <row r="829">
      <c r="A829" s="86"/>
      <c r="B829" s="23"/>
      <c r="C829" s="23"/>
      <c r="D829" s="23"/>
    </row>
    <row r="830">
      <c r="A830" s="86"/>
      <c r="B830" s="23"/>
      <c r="C830" s="23"/>
      <c r="D830" s="23"/>
    </row>
    <row r="831">
      <c r="A831" s="86"/>
      <c r="B831" s="23"/>
      <c r="C831" s="23"/>
      <c r="D831" s="23"/>
    </row>
    <row r="832">
      <c r="A832" s="86"/>
      <c r="B832" s="23"/>
      <c r="C832" s="23"/>
      <c r="D832" s="23"/>
    </row>
    <row r="833">
      <c r="A833" s="86"/>
      <c r="B833" s="23"/>
      <c r="C833" s="23"/>
      <c r="D833" s="23"/>
    </row>
    <row r="834">
      <c r="A834" s="86"/>
      <c r="B834" s="23"/>
      <c r="C834" s="23"/>
      <c r="D834" s="23"/>
    </row>
    <row r="835">
      <c r="A835" s="86"/>
      <c r="B835" s="23"/>
      <c r="C835" s="23"/>
      <c r="D835" s="23"/>
    </row>
    <row r="836">
      <c r="A836" s="86"/>
      <c r="B836" s="23"/>
      <c r="C836" s="23"/>
      <c r="D836" s="23"/>
    </row>
    <row r="837">
      <c r="A837" s="86"/>
      <c r="B837" s="23"/>
      <c r="C837" s="23"/>
      <c r="D837" s="23"/>
    </row>
    <row r="838">
      <c r="A838" s="86"/>
      <c r="B838" s="23"/>
      <c r="C838" s="23"/>
      <c r="D838" s="23"/>
    </row>
    <row r="839">
      <c r="A839" s="86"/>
      <c r="B839" s="23"/>
      <c r="C839" s="23"/>
      <c r="D839" s="23"/>
    </row>
    <row r="840">
      <c r="A840" s="86"/>
      <c r="B840" s="23"/>
      <c r="C840" s="23"/>
      <c r="D840" s="23"/>
    </row>
    <row r="841">
      <c r="A841" s="86"/>
      <c r="B841" s="23"/>
      <c r="C841" s="23"/>
      <c r="D841" s="23"/>
    </row>
    <row r="842">
      <c r="A842" s="86"/>
      <c r="B842" s="23"/>
      <c r="C842" s="23"/>
      <c r="D842" s="23"/>
    </row>
    <row r="843">
      <c r="A843" s="86"/>
      <c r="B843" s="23"/>
      <c r="C843" s="23"/>
      <c r="D843" s="23"/>
    </row>
    <row r="844">
      <c r="A844" s="86"/>
      <c r="B844" s="23"/>
      <c r="C844" s="23"/>
      <c r="D844" s="23"/>
    </row>
    <row r="845">
      <c r="A845" s="86"/>
      <c r="B845" s="23"/>
      <c r="C845" s="23"/>
      <c r="D845" s="23"/>
    </row>
    <row r="846">
      <c r="A846" s="86"/>
      <c r="B846" s="23"/>
      <c r="C846" s="23"/>
      <c r="D846" s="23"/>
    </row>
    <row r="847">
      <c r="A847" s="86"/>
      <c r="B847" s="23"/>
      <c r="C847" s="23"/>
      <c r="D847" s="23"/>
    </row>
    <row r="848">
      <c r="A848" s="86"/>
      <c r="B848" s="23"/>
      <c r="C848" s="23"/>
      <c r="D848" s="23"/>
    </row>
    <row r="849">
      <c r="A849" s="86"/>
      <c r="B849" s="23"/>
      <c r="C849" s="23"/>
      <c r="D849" s="23"/>
    </row>
    <row r="850">
      <c r="A850" s="86"/>
      <c r="B850" s="23"/>
      <c r="C850" s="23"/>
      <c r="D850" s="23"/>
    </row>
    <row r="851">
      <c r="A851" s="86"/>
      <c r="B851" s="23"/>
      <c r="C851" s="23"/>
      <c r="D851" s="23"/>
    </row>
    <row r="852">
      <c r="A852" s="86"/>
      <c r="B852" s="23"/>
      <c r="C852" s="23"/>
      <c r="D852" s="23"/>
    </row>
    <row r="853">
      <c r="A853" s="86"/>
      <c r="B853" s="23"/>
      <c r="C853" s="23"/>
      <c r="D853" s="23"/>
    </row>
    <row r="854">
      <c r="A854" s="86"/>
      <c r="B854" s="23"/>
      <c r="C854" s="23"/>
      <c r="D854" s="23"/>
    </row>
    <row r="855">
      <c r="A855" s="86"/>
      <c r="B855" s="23"/>
      <c r="C855" s="23"/>
      <c r="D855" s="23"/>
    </row>
    <row r="856">
      <c r="A856" s="86"/>
      <c r="B856" s="23"/>
      <c r="C856" s="23"/>
      <c r="D856" s="23"/>
    </row>
    <row r="857">
      <c r="A857" s="86"/>
      <c r="B857" s="23"/>
      <c r="C857" s="23"/>
      <c r="D857" s="23"/>
    </row>
    <row r="858">
      <c r="A858" s="86"/>
      <c r="B858" s="23"/>
      <c r="C858" s="23"/>
      <c r="D858" s="23"/>
    </row>
    <row r="859">
      <c r="A859" s="86"/>
      <c r="B859" s="23"/>
      <c r="C859" s="23"/>
      <c r="D859" s="23"/>
    </row>
    <row r="860">
      <c r="A860" s="86"/>
      <c r="B860" s="23"/>
      <c r="C860" s="23"/>
      <c r="D860" s="23"/>
    </row>
    <row r="861">
      <c r="A861" s="86"/>
      <c r="B861" s="23"/>
      <c r="C861" s="23"/>
      <c r="D861" s="23"/>
    </row>
    <row r="862">
      <c r="A862" s="86"/>
      <c r="B862" s="23"/>
      <c r="C862" s="23"/>
      <c r="D862" s="23"/>
    </row>
    <row r="863">
      <c r="A863" s="86"/>
      <c r="B863" s="23"/>
      <c r="C863" s="23"/>
      <c r="D863" s="23"/>
    </row>
    <row r="864">
      <c r="A864" s="86"/>
      <c r="B864" s="23"/>
      <c r="C864" s="23"/>
      <c r="D864" s="23"/>
    </row>
    <row r="865">
      <c r="A865" s="86"/>
      <c r="B865" s="23"/>
      <c r="C865" s="23"/>
      <c r="D865" s="23"/>
    </row>
    <row r="866">
      <c r="A866" s="86"/>
      <c r="B866" s="23"/>
      <c r="C866" s="23"/>
      <c r="D866" s="23"/>
    </row>
    <row r="867">
      <c r="A867" s="86"/>
      <c r="B867" s="23"/>
      <c r="C867" s="23"/>
      <c r="D867" s="23"/>
    </row>
    <row r="868">
      <c r="A868" s="86"/>
      <c r="B868" s="23"/>
      <c r="C868" s="23"/>
      <c r="D868" s="23"/>
    </row>
    <row r="869">
      <c r="A869" s="86"/>
      <c r="B869" s="23"/>
      <c r="C869" s="23"/>
      <c r="D869" s="23"/>
    </row>
    <row r="870">
      <c r="A870" s="86"/>
      <c r="B870" s="23"/>
      <c r="C870" s="23"/>
      <c r="D870" s="23"/>
    </row>
    <row r="871">
      <c r="A871" s="86"/>
      <c r="B871" s="23"/>
      <c r="C871" s="23"/>
      <c r="D871" s="23"/>
    </row>
    <row r="872">
      <c r="A872" s="86"/>
      <c r="B872" s="23"/>
      <c r="C872" s="23"/>
      <c r="D872" s="23"/>
    </row>
    <row r="873">
      <c r="A873" s="86"/>
      <c r="B873" s="23"/>
      <c r="C873" s="23"/>
      <c r="D873" s="23"/>
    </row>
    <row r="874">
      <c r="A874" s="86"/>
      <c r="B874" s="23"/>
      <c r="C874" s="23"/>
      <c r="D874" s="23"/>
    </row>
    <row r="875">
      <c r="A875" s="86"/>
      <c r="B875" s="23"/>
      <c r="C875" s="23"/>
      <c r="D875" s="23"/>
    </row>
    <row r="876">
      <c r="A876" s="86"/>
      <c r="B876" s="23"/>
      <c r="C876" s="23"/>
      <c r="D876" s="23"/>
    </row>
    <row r="877">
      <c r="A877" s="86"/>
      <c r="B877" s="23"/>
      <c r="C877" s="23"/>
      <c r="D877" s="23"/>
    </row>
    <row r="878">
      <c r="A878" s="86"/>
      <c r="B878" s="23"/>
      <c r="C878" s="23"/>
      <c r="D878" s="23"/>
    </row>
    <row r="879">
      <c r="A879" s="86"/>
      <c r="B879" s="23"/>
      <c r="C879" s="23"/>
      <c r="D879" s="23"/>
    </row>
    <row r="880">
      <c r="A880" s="86"/>
      <c r="B880" s="23"/>
      <c r="C880" s="23"/>
      <c r="D880" s="23"/>
    </row>
    <row r="881">
      <c r="A881" s="86"/>
      <c r="B881" s="23"/>
      <c r="C881" s="23"/>
      <c r="D881" s="23"/>
    </row>
    <row r="882">
      <c r="A882" s="86"/>
      <c r="B882" s="23"/>
      <c r="C882" s="23"/>
      <c r="D882" s="23"/>
    </row>
    <row r="883">
      <c r="A883" s="86"/>
      <c r="B883" s="23"/>
      <c r="C883" s="23"/>
      <c r="D883" s="23"/>
    </row>
    <row r="884">
      <c r="A884" s="86"/>
      <c r="B884" s="23"/>
      <c r="C884" s="23"/>
      <c r="D884" s="23"/>
    </row>
    <row r="885">
      <c r="A885" s="86"/>
      <c r="B885" s="23"/>
      <c r="C885" s="23"/>
      <c r="D885" s="23"/>
    </row>
    <row r="886">
      <c r="A886" s="86"/>
      <c r="B886" s="23"/>
      <c r="C886" s="23"/>
      <c r="D886" s="23"/>
    </row>
    <row r="887">
      <c r="A887" s="86"/>
      <c r="B887" s="23"/>
      <c r="C887" s="23"/>
      <c r="D887" s="23"/>
    </row>
    <row r="888">
      <c r="A888" s="86"/>
      <c r="B888" s="23"/>
      <c r="C888" s="23"/>
      <c r="D888" s="23"/>
    </row>
    <row r="889">
      <c r="A889" s="86"/>
      <c r="B889" s="23"/>
      <c r="C889" s="23"/>
      <c r="D889" s="23"/>
    </row>
    <row r="890">
      <c r="A890" s="86"/>
      <c r="B890" s="23"/>
      <c r="C890" s="23"/>
      <c r="D890" s="23"/>
    </row>
    <row r="891">
      <c r="A891" s="86"/>
      <c r="B891" s="23"/>
      <c r="C891" s="23"/>
      <c r="D891" s="23"/>
    </row>
    <row r="892">
      <c r="A892" s="86"/>
      <c r="B892" s="23"/>
      <c r="C892" s="23"/>
      <c r="D892" s="23"/>
    </row>
    <row r="893">
      <c r="A893" s="86"/>
      <c r="B893" s="23"/>
      <c r="C893" s="23"/>
      <c r="D893" s="23"/>
    </row>
    <row r="894">
      <c r="A894" s="86"/>
      <c r="B894" s="23"/>
      <c r="C894" s="23"/>
      <c r="D894" s="23"/>
    </row>
    <row r="895">
      <c r="A895" s="86"/>
      <c r="B895" s="23"/>
      <c r="C895" s="23"/>
      <c r="D895" s="23"/>
    </row>
    <row r="896">
      <c r="A896" s="86"/>
      <c r="B896" s="23"/>
      <c r="C896" s="23"/>
      <c r="D896" s="23"/>
    </row>
    <row r="897">
      <c r="A897" s="86"/>
      <c r="B897" s="23"/>
      <c r="C897" s="23"/>
      <c r="D897" s="23"/>
    </row>
    <row r="898">
      <c r="A898" s="86"/>
      <c r="B898" s="23"/>
      <c r="C898" s="23"/>
      <c r="D898" s="23"/>
    </row>
    <row r="899">
      <c r="A899" s="86"/>
      <c r="B899" s="23"/>
      <c r="C899" s="23"/>
      <c r="D899" s="23"/>
    </row>
    <row r="900">
      <c r="A900" s="86"/>
      <c r="B900" s="23"/>
      <c r="C900" s="23"/>
      <c r="D900" s="23"/>
    </row>
    <row r="901">
      <c r="A901" s="86"/>
      <c r="B901" s="23"/>
      <c r="C901" s="23"/>
      <c r="D901" s="23"/>
    </row>
    <row r="902">
      <c r="A902" s="86"/>
      <c r="B902" s="23"/>
      <c r="C902" s="23"/>
      <c r="D902" s="23"/>
    </row>
    <row r="903">
      <c r="A903" s="86"/>
      <c r="B903" s="23"/>
      <c r="C903" s="23"/>
      <c r="D903" s="23"/>
    </row>
    <row r="904">
      <c r="A904" s="86"/>
      <c r="B904" s="23"/>
      <c r="C904" s="23"/>
      <c r="D904" s="23"/>
    </row>
    <row r="905">
      <c r="A905" s="86"/>
      <c r="B905" s="23"/>
      <c r="C905" s="23"/>
      <c r="D905" s="23"/>
    </row>
    <row r="906">
      <c r="A906" s="86"/>
      <c r="B906" s="23"/>
      <c r="C906" s="23"/>
      <c r="D906" s="23"/>
    </row>
    <row r="907">
      <c r="A907" s="86"/>
      <c r="B907" s="23"/>
      <c r="C907" s="23"/>
      <c r="D907" s="23"/>
    </row>
    <row r="908">
      <c r="A908" s="86"/>
      <c r="B908" s="23"/>
      <c r="C908" s="23"/>
      <c r="D908" s="23"/>
    </row>
    <row r="909">
      <c r="A909" s="86"/>
      <c r="B909" s="23"/>
      <c r="C909" s="23"/>
      <c r="D909" s="23"/>
    </row>
    <row r="910">
      <c r="A910" s="86"/>
      <c r="B910" s="23"/>
      <c r="C910" s="23"/>
      <c r="D910" s="23"/>
    </row>
    <row r="911">
      <c r="A911" s="86"/>
      <c r="B911" s="23"/>
      <c r="C911" s="23"/>
      <c r="D911" s="23"/>
    </row>
    <row r="912">
      <c r="A912" s="86"/>
      <c r="B912" s="23"/>
      <c r="C912" s="23"/>
      <c r="D912" s="23"/>
    </row>
    <row r="913">
      <c r="A913" s="86"/>
      <c r="B913" s="23"/>
      <c r="C913" s="23"/>
      <c r="D913" s="23"/>
    </row>
    <row r="914">
      <c r="A914" s="86"/>
      <c r="B914" s="23"/>
      <c r="C914" s="23"/>
      <c r="D914" s="23"/>
    </row>
    <row r="915">
      <c r="A915" s="86"/>
      <c r="B915" s="23"/>
      <c r="C915" s="23"/>
      <c r="D915" s="23"/>
    </row>
    <row r="916">
      <c r="A916" s="86"/>
      <c r="B916" s="23"/>
      <c r="C916" s="23"/>
      <c r="D916" s="23"/>
    </row>
    <row r="917">
      <c r="A917" s="86"/>
      <c r="B917" s="23"/>
      <c r="C917" s="23"/>
      <c r="D917" s="23"/>
    </row>
    <row r="918">
      <c r="A918" s="86"/>
      <c r="B918" s="23"/>
      <c r="C918" s="23"/>
      <c r="D918" s="23"/>
    </row>
    <row r="919">
      <c r="A919" s="86"/>
      <c r="B919" s="23"/>
      <c r="C919" s="23"/>
      <c r="D919" s="23"/>
    </row>
    <row r="920">
      <c r="A920" s="86"/>
      <c r="B920" s="23"/>
      <c r="C920" s="23"/>
      <c r="D920" s="23"/>
    </row>
    <row r="921">
      <c r="A921" s="86"/>
      <c r="B921" s="23"/>
      <c r="C921" s="23"/>
      <c r="D921" s="23"/>
    </row>
    <row r="922">
      <c r="A922" s="86"/>
      <c r="B922" s="23"/>
      <c r="C922" s="23"/>
      <c r="D922" s="23"/>
    </row>
    <row r="923">
      <c r="A923" s="86"/>
      <c r="B923" s="23"/>
      <c r="C923" s="23"/>
      <c r="D923" s="23"/>
    </row>
    <row r="924">
      <c r="A924" s="86"/>
      <c r="B924" s="23"/>
      <c r="C924" s="23"/>
      <c r="D924" s="23"/>
    </row>
    <row r="925">
      <c r="A925" s="86"/>
      <c r="B925" s="23"/>
      <c r="C925" s="23"/>
      <c r="D925" s="23"/>
    </row>
    <row r="926">
      <c r="A926" s="86"/>
      <c r="B926" s="23"/>
      <c r="C926" s="23"/>
      <c r="D926" s="23"/>
    </row>
    <row r="927">
      <c r="A927" s="86"/>
      <c r="B927" s="23"/>
      <c r="C927" s="23"/>
      <c r="D927" s="23"/>
    </row>
    <row r="928">
      <c r="A928" s="86"/>
      <c r="B928" s="23"/>
      <c r="C928" s="23"/>
      <c r="D928" s="23"/>
    </row>
    <row r="929">
      <c r="A929" s="86"/>
      <c r="B929" s="23"/>
      <c r="C929" s="23"/>
      <c r="D929" s="23"/>
    </row>
    <row r="930">
      <c r="A930" s="86"/>
      <c r="B930" s="23"/>
      <c r="C930" s="23"/>
      <c r="D930" s="23"/>
    </row>
    <row r="931">
      <c r="A931" s="86"/>
      <c r="B931" s="23"/>
      <c r="C931" s="23"/>
      <c r="D931" s="23"/>
    </row>
    <row r="932">
      <c r="A932" s="86"/>
      <c r="B932" s="23"/>
      <c r="C932" s="23"/>
      <c r="D932" s="23"/>
    </row>
    <row r="933">
      <c r="A933" s="86"/>
      <c r="B933" s="23"/>
      <c r="C933" s="23"/>
      <c r="D933" s="23"/>
    </row>
    <row r="934">
      <c r="A934" s="86"/>
      <c r="B934" s="23"/>
      <c r="C934" s="23"/>
      <c r="D934" s="23"/>
    </row>
    <row r="935">
      <c r="A935" s="86"/>
      <c r="B935" s="23"/>
      <c r="C935" s="23"/>
      <c r="D935" s="23"/>
    </row>
    <row r="936">
      <c r="A936" s="86"/>
      <c r="B936" s="23"/>
      <c r="C936" s="23"/>
      <c r="D936" s="23"/>
    </row>
    <row r="937">
      <c r="A937" s="86"/>
      <c r="B937" s="23"/>
      <c r="C937" s="23"/>
      <c r="D937" s="23"/>
    </row>
    <row r="938">
      <c r="A938" s="86"/>
      <c r="B938" s="23"/>
      <c r="C938" s="23"/>
      <c r="D938" s="23"/>
    </row>
    <row r="939">
      <c r="A939" s="86"/>
      <c r="B939" s="23"/>
      <c r="C939" s="23"/>
      <c r="D939" s="23"/>
    </row>
    <row r="940">
      <c r="A940" s="86"/>
      <c r="B940" s="23"/>
      <c r="C940" s="23"/>
      <c r="D940" s="23"/>
    </row>
    <row r="941">
      <c r="A941" s="86"/>
      <c r="B941" s="23"/>
      <c r="C941" s="23"/>
      <c r="D941" s="23"/>
    </row>
    <row r="942">
      <c r="A942" s="86"/>
      <c r="B942" s="23"/>
      <c r="C942" s="23"/>
      <c r="D942" s="23"/>
    </row>
    <row r="943">
      <c r="A943" s="86"/>
      <c r="B943" s="23"/>
      <c r="C943" s="23"/>
      <c r="D943" s="23"/>
    </row>
    <row r="944">
      <c r="A944" s="86"/>
      <c r="B944" s="23"/>
      <c r="C944" s="23"/>
      <c r="D944" s="23"/>
    </row>
    <row r="945">
      <c r="A945" s="86"/>
      <c r="B945" s="23"/>
      <c r="C945" s="23"/>
      <c r="D945" s="23"/>
    </row>
    <row r="946">
      <c r="A946" s="86"/>
      <c r="B946" s="23"/>
      <c r="C946" s="23"/>
      <c r="D946" s="23"/>
    </row>
    <row r="947">
      <c r="A947" s="86"/>
      <c r="B947" s="23"/>
      <c r="C947" s="23"/>
      <c r="D947" s="23"/>
    </row>
    <row r="948">
      <c r="A948" s="86"/>
      <c r="B948" s="23"/>
      <c r="C948" s="23"/>
      <c r="D948" s="23"/>
    </row>
    <row r="949">
      <c r="A949" s="86"/>
      <c r="B949" s="23"/>
      <c r="C949" s="23"/>
      <c r="D949" s="23"/>
    </row>
    <row r="950">
      <c r="A950" s="86"/>
      <c r="B950" s="23"/>
      <c r="C950" s="23"/>
      <c r="D950" s="23"/>
    </row>
    <row r="951">
      <c r="A951" s="86"/>
      <c r="B951" s="23"/>
      <c r="C951" s="23"/>
      <c r="D951" s="23"/>
    </row>
    <row r="952">
      <c r="A952" s="86"/>
      <c r="B952" s="23"/>
      <c r="C952" s="23"/>
      <c r="D952" s="23"/>
    </row>
    <row r="953">
      <c r="A953" s="86"/>
      <c r="B953" s="23"/>
      <c r="C953" s="23"/>
      <c r="D953" s="23"/>
    </row>
    <row r="954">
      <c r="A954" s="86"/>
      <c r="B954" s="23"/>
      <c r="C954" s="23"/>
      <c r="D954" s="23"/>
    </row>
    <row r="955">
      <c r="A955" s="86"/>
      <c r="B955" s="23"/>
      <c r="C955" s="23"/>
      <c r="D955" s="23"/>
    </row>
    <row r="956">
      <c r="A956" s="86"/>
      <c r="B956" s="23"/>
      <c r="C956" s="23"/>
      <c r="D956" s="23"/>
    </row>
    <row r="957">
      <c r="A957" s="86"/>
      <c r="B957" s="23"/>
      <c r="C957" s="23"/>
      <c r="D957" s="23"/>
    </row>
    <row r="958">
      <c r="A958" s="86"/>
      <c r="B958" s="23"/>
      <c r="C958" s="23"/>
      <c r="D958" s="23"/>
    </row>
    <row r="959">
      <c r="A959" s="86"/>
      <c r="B959" s="23"/>
      <c r="C959" s="23"/>
      <c r="D959" s="23"/>
    </row>
    <row r="960">
      <c r="A960" s="86"/>
      <c r="B960" s="23"/>
      <c r="C960" s="23"/>
      <c r="D960" s="23"/>
    </row>
    <row r="961">
      <c r="A961" s="86"/>
      <c r="B961" s="23"/>
      <c r="C961" s="23"/>
      <c r="D961" s="23"/>
    </row>
    <row r="962">
      <c r="A962" s="86"/>
      <c r="B962" s="23"/>
      <c r="C962" s="23"/>
      <c r="D962" s="23"/>
    </row>
    <row r="963">
      <c r="A963" s="86"/>
      <c r="B963" s="23"/>
      <c r="C963" s="23"/>
      <c r="D963" s="23"/>
    </row>
    <row r="964">
      <c r="A964" s="86"/>
      <c r="B964" s="23"/>
      <c r="C964" s="23"/>
      <c r="D964" s="23"/>
    </row>
    <row r="965">
      <c r="A965" s="86"/>
      <c r="B965" s="23"/>
      <c r="C965" s="23"/>
      <c r="D965" s="23"/>
    </row>
    <row r="966">
      <c r="A966" s="86"/>
      <c r="B966" s="23"/>
      <c r="C966" s="23"/>
      <c r="D966" s="23"/>
    </row>
    <row r="967">
      <c r="A967" s="86"/>
      <c r="B967" s="23"/>
      <c r="C967" s="23"/>
      <c r="D967" s="23"/>
    </row>
    <row r="968">
      <c r="A968" s="86"/>
      <c r="B968" s="23"/>
      <c r="C968" s="23"/>
      <c r="D968" s="23"/>
    </row>
    <row r="969">
      <c r="A969" s="86"/>
      <c r="B969" s="23"/>
      <c r="C969" s="23"/>
      <c r="D969" s="23"/>
    </row>
    <row r="970">
      <c r="A970" s="86"/>
      <c r="B970" s="23"/>
      <c r="C970" s="23"/>
      <c r="D970" s="23"/>
    </row>
    <row r="971">
      <c r="A971" s="86"/>
      <c r="B971" s="23"/>
      <c r="C971" s="23"/>
      <c r="D971" s="23"/>
    </row>
    <row r="972">
      <c r="A972" s="86"/>
      <c r="B972" s="23"/>
      <c r="C972" s="23"/>
      <c r="D972" s="23"/>
    </row>
    <row r="973">
      <c r="A973" s="86"/>
      <c r="B973" s="23"/>
      <c r="C973" s="23"/>
      <c r="D973" s="23"/>
    </row>
    <row r="974">
      <c r="A974" s="86"/>
      <c r="B974" s="23"/>
      <c r="C974" s="23"/>
      <c r="D974" s="23"/>
    </row>
    <row r="975">
      <c r="A975" s="86"/>
      <c r="B975" s="23"/>
      <c r="C975" s="23"/>
      <c r="D975" s="23"/>
    </row>
    <row r="976">
      <c r="A976" s="86"/>
      <c r="B976" s="23"/>
      <c r="C976" s="23"/>
      <c r="D976" s="23"/>
    </row>
    <row r="977">
      <c r="A977" s="86"/>
      <c r="B977" s="23"/>
      <c r="C977" s="23"/>
      <c r="D977" s="23"/>
    </row>
    <row r="978">
      <c r="A978" s="86"/>
      <c r="B978" s="23"/>
      <c r="C978" s="23"/>
      <c r="D978" s="23"/>
    </row>
    <row r="979">
      <c r="A979" s="86"/>
      <c r="B979" s="23"/>
      <c r="C979" s="23"/>
      <c r="D979" s="23"/>
    </row>
    <row r="980">
      <c r="A980" s="86"/>
      <c r="B980" s="23"/>
      <c r="C980" s="23"/>
      <c r="D980" s="23"/>
    </row>
    <row r="981">
      <c r="A981" s="86"/>
      <c r="B981" s="23"/>
      <c r="C981" s="23"/>
      <c r="D981" s="23"/>
    </row>
    <row r="982">
      <c r="A982" s="86"/>
      <c r="B982" s="23"/>
      <c r="C982" s="23"/>
      <c r="D982" s="23"/>
    </row>
    <row r="983">
      <c r="A983" s="86"/>
      <c r="B983" s="23"/>
      <c r="C983" s="23"/>
      <c r="D983" s="23"/>
    </row>
    <row r="984">
      <c r="A984" s="86"/>
      <c r="B984" s="23"/>
      <c r="C984" s="23"/>
      <c r="D984" s="23"/>
    </row>
    <row r="985">
      <c r="A985" s="86"/>
      <c r="B985" s="23"/>
      <c r="C985" s="23"/>
      <c r="D985" s="23"/>
    </row>
    <row r="986">
      <c r="A986" s="86"/>
      <c r="B986" s="23"/>
      <c r="C986" s="23"/>
      <c r="D986" s="23"/>
    </row>
    <row r="987">
      <c r="A987" s="86"/>
      <c r="B987" s="23"/>
      <c r="C987" s="23"/>
      <c r="D987" s="23"/>
    </row>
    <row r="988">
      <c r="A988" s="86"/>
      <c r="B988" s="23"/>
      <c r="C988" s="23"/>
      <c r="D988" s="23"/>
    </row>
    <row r="989">
      <c r="A989" s="86"/>
      <c r="B989" s="23"/>
      <c r="C989" s="23"/>
      <c r="D989" s="23"/>
    </row>
    <row r="990">
      <c r="A990" s="86"/>
      <c r="B990" s="23"/>
      <c r="C990" s="23"/>
      <c r="D990" s="23"/>
    </row>
    <row r="991">
      <c r="A991" s="86"/>
      <c r="B991" s="23"/>
      <c r="C991" s="23"/>
      <c r="D991" s="23"/>
    </row>
    <row r="992">
      <c r="A992" s="86"/>
      <c r="B992" s="23"/>
      <c r="C992" s="23"/>
      <c r="D992" s="23"/>
    </row>
    <row r="993">
      <c r="A993" s="86"/>
      <c r="B993" s="23"/>
      <c r="C993" s="23"/>
      <c r="D993" s="23"/>
    </row>
    <row r="994">
      <c r="A994" s="86"/>
      <c r="B994" s="23"/>
      <c r="C994" s="23"/>
      <c r="D994" s="23"/>
    </row>
    <row r="995">
      <c r="A995" s="86"/>
      <c r="B995" s="23"/>
      <c r="C995" s="23"/>
      <c r="D995" s="23"/>
    </row>
    <row r="996">
      <c r="A996" s="86"/>
      <c r="B996" s="23"/>
      <c r="C996" s="23"/>
      <c r="D996" s="23"/>
    </row>
    <row r="997">
      <c r="A997" s="86"/>
      <c r="B997" s="23"/>
      <c r="C997" s="23"/>
      <c r="D997" s="23"/>
    </row>
    <row r="998">
      <c r="A998" s="86"/>
      <c r="B998" s="23"/>
      <c r="C998" s="23"/>
      <c r="D998" s="23"/>
    </row>
    <row r="999">
      <c r="A999" s="86"/>
      <c r="B999" s="23"/>
      <c r="C999" s="23"/>
      <c r="D999" s="23"/>
    </row>
    <row r="1000">
      <c r="A1000" s="86"/>
      <c r="B1000" s="23"/>
      <c r="C1000" s="23"/>
      <c r="D1000" s="23"/>
    </row>
    <row r="1001">
      <c r="A1001" s="86"/>
      <c r="B1001" s="23"/>
      <c r="C1001" s="23"/>
      <c r="D1001" s="23"/>
    </row>
    <row r="1002">
      <c r="A1002" s="86"/>
      <c r="B1002" s="23"/>
      <c r="C1002" s="23"/>
      <c r="D1002" s="23"/>
    </row>
    <row r="1003">
      <c r="A1003" s="86"/>
      <c r="B1003" s="23"/>
      <c r="C1003" s="23"/>
      <c r="D1003" s="23"/>
    </row>
    <row r="1004">
      <c r="A1004" s="86"/>
      <c r="B1004" s="23"/>
      <c r="C1004" s="23"/>
      <c r="D1004" s="23"/>
    </row>
    <row r="1005">
      <c r="A1005" s="86"/>
      <c r="B1005" s="23"/>
      <c r="C1005" s="23"/>
      <c r="D1005" s="23"/>
    </row>
  </sheetData>
  <drawing r:id="rId1"/>
</worksheet>
</file>